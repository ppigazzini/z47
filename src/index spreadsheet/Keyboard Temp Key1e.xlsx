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0AF19D84-065C-7B43-93CA-45FF7BEB983C}" xr6:coauthVersionLast="47" xr6:coauthVersionMax="47" xr10:uidLastSave="{00000000-0000-0000-0000-000000000000}"/>
  <bookViews>
    <workbookView xWindow="0" yWindow="500" windowWidth="32680" windowHeight="20500" tabRatio="500" xr2:uid="{00000000-000D-0000-FFFF-FFFF00000000}"/>
  </bookViews>
  <sheets>
    <sheet name="Sheet2" sheetId="22" r:id="rId1"/>
    <sheet name="EXPORT.C" sheetId="4" r:id="rId2"/>
    <sheet name="Sheet1" sheetId="23" r:id="rId3"/>
  </sheets>
  <definedNames>
    <definedName name="_xlnm._FilterDatabase" localSheetId="0" hidden="1">Sheet2!$B$4:$L$30</definedName>
    <definedName name="CRLF">Sheet2!$B$1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4" i="4" l="1"/>
  <c r="F47" i="4"/>
  <c r="B94" i="22"/>
  <c r="B93" i="22"/>
  <c r="B92" i="22"/>
  <c r="B47" i="22"/>
  <c r="J95" i="4"/>
  <c r="J86" i="4"/>
  <c r="J74" i="4"/>
  <c r="J73" i="4"/>
  <c r="J49" i="4"/>
  <c r="J34" i="4"/>
  <c r="J22" i="4"/>
  <c r="J13" i="4"/>
  <c r="J11" i="4"/>
  <c r="J10" i="4"/>
  <c r="F95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A93" i="4"/>
  <c r="B46" i="22"/>
  <c r="B45" i="22"/>
  <c r="I95" i="4"/>
  <c r="H95" i="4"/>
  <c r="G95" i="4"/>
  <c r="E95" i="4"/>
  <c r="C95" i="4"/>
  <c r="D95" i="4" s="1"/>
  <c r="B95" i="4"/>
  <c r="A95" i="4"/>
  <c r="I94" i="4"/>
  <c r="H94" i="4"/>
  <c r="G94" i="4"/>
  <c r="E94" i="4"/>
  <c r="C94" i="4"/>
  <c r="D94" i="4" s="1"/>
  <c r="B94" i="4"/>
  <c r="A94" i="4"/>
  <c r="I93" i="4"/>
  <c r="H93" i="4"/>
  <c r="G93" i="4"/>
  <c r="E93" i="4"/>
  <c r="C93" i="4"/>
  <c r="D93" i="4" s="1"/>
  <c r="B93" i="4"/>
  <c r="I92" i="4"/>
  <c r="H92" i="4"/>
  <c r="G92" i="4"/>
  <c r="E92" i="4"/>
  <c r="C92" i="4"/>
  <c r="D92" i="4" s="1"/>
  <c r="B92" i="4"/>
  <c r="A92" i="4"/>
  <c r="I91" i="4"/>
  <c r="H91" i="4"/>
  <c r="G91" i="4"/>
  <c r="J91" i="4" s="1"/>
  <c r="E91" i="4"/>
  <c r="C91" i="4"/>
  <c r="D91" i="4" s="1"/>
  <c r="B91" i="4"/>
  <c r="B91" i="22"/>
  <c r="A91" i="4" s="1"/>
  <c r="B90" i="22"/>
  <c r="B89" i="22"/>
  <c r="A89" i="4" s="1"/>
  <c r="B44" i="22"/>
  <c r="B43" i="22"/>
  <c r="A43" i="4" s="1"/>
  <c r="B42" i="22"/>
  <c r="A42" i="4" s="1"/>
  <c r="B12" i="23"/>
  <c r="I90" i="4"/>
  <c r="H90" i="4"/>
  <c r="G90" i="4"/>
  <c r="J90" i="4" s="1"/>
  <c r="E90" i="4"/>
  <c r="C90" i="4"/>
  <c r="D90" i="4" s="1"/>
  <c r="B90" i="4"/>
  <c r="A90" i="4"/>
  <c r="I89" i="4"/>
  <c r="H89" i="4"/>
  <c r="G89" i="4"/>
  <c r="J89" i="4" s="1"/>
  <c r="E89" i="4"/>
  <c r="C89" i="4"/>
  <c r="D89" i="4" s="1"/>
  <c r="B89" i="4"/>
  <c r="H88" i="4"/>
  <c r="G88" i="4"/>
  <c r="J88" i="4" s="1"/>
  <c r="E88" i="4"/>
  <c r="C88" i="4"/>
  <c r="D88" i="4" s="1"/>
  <c r="B88" i="4"/>
  <c r="H87" i="4"/>
  <c r="G87" i="4"/>
  <c r="J87" i="4" s="1"/>
  <c r="E87" i="4"/>
  <c r="C87" i="4"/>
  <c r="D87" i="4" s="1"/>
  <c r="B87" i="4"/>
  <c r="H86" i="4"/>
  <c r="G86" i="4"/>
  <c r="E86" i="4"/>
  <c r="C86" i="4"/>
  <c r="D86" i="4" s="1"/>
  <c r="B86" i="4"/>
  <c r="A86" i="4"/>
  <c r="H85" i="4"/>
  <c r="G85" i="4"/>
  <c r="J85" i="4" s="1"/>
  <c r="E85" i="4"/>
  <c r="C85" i="4"/>
  <c r="D85" i="4" s="1"/>
  <c r="B85" i="4"/>
  <c r="H84" i="4"/>
  <c r="G84" i="4"/>
  <c r="J84" i="4" s="1"/>
  <c r="E84" i="4"/>
  <c r="C84" i="4"/>
  <c r="D84" i="4" s="1"/>
  <c r="B84" i="4"/>
  <c r="H83" i="4"/>
  <c r="G83" i="4"/>
  <c r="J83" i="4" s="1"/>
  <c r="E83" i="4"/>
  <c r="C83" i="4"/>
  <c r="D83" i="4" s="1"/>
  <c r="B83" i="4"/>
  <c r="H82" i="4"/>
  <c r="G82" i="4"/>
  <c r="J82" i="4" s="1"/>
  <c r="E82" i="4"/>
  <c r="C82" i="4"/>
  <c r="D82" i="4" s="1"/>
  <c r="B82" i="4"/>
  <c r="I81" i="4"/>
  <c r="H81" i="4"/>
  <c r="G81" i="4"/>
  <c r="J81" i="4" s="1"/>
  <c r="E81" i="4"/>
  <c r="C81" i="4"/>
  <c r="D81" i="4" s="1"/>
  <c r="B81" i="4"/>
  <c r="H80" i="4"/>
  <c r="G80" i="4"/>
  <c r="J80" i="4" s="1"/>
  <c r="E80" i="4"/>
  <c r="C80" i="4"/>
  <c r="D80" i="4" s="1"/>
  <c r="B80" i="4"/>
  <c r="H79" i="4"/>
  <c r="G79" i="4"/>
  <c r="J79" i="4" s="1"/>
  <c r="E79" i="4"/>
  <c r="C79" i="4"/>
  <c r="D79" i="4" s="1"/>
  <c r="B79" i="4"/>
  <c r="H78" i="4"/>
  <c r="G78" i="4"/>
  <c r="J78" i="4" s="1"/>
  <c r="E78" i="4"/>
  <c r="C78" i="4"/>
  <c r="D78" i="4" s="1"/>
  <c r="B78" i="4"/>
  <c r="H77" i="4"/>
  <c r="G77" i="4"/>
  <c r="J77" i="4" s="1"/>
  <c r="E77" i="4"/>
  <c r="C77" i="4"/>
  <c r="D77" i="4" s="1"/>
  <c r="B77" i="4"/>
  <c r="H76" i="4"/>
  <c r="G76" i="4"/>
  <c r="J76" i="4" s="1"/>
  <c r="E76" i="4"/>
  <c r="C76" i="4"/>
  <c r="D76" i="4" s="1"/>
  <c r="B76" i="4"/>
  <c r="H75" i="4"/>
  <c r="G75" i="4"/>
  <c r="J75" i="4" s="1"/>
  <c r="E75" i="4"/>
  <c r="C75" i="4"/>
  <c r="D75" i="4" s="1"/>
  <c r="B75" i="4"/>
  <c r="H74" i="4"/>
  <c r="G74" i="4"/>
  <c r="E74" i="4"/>
  <c r="C74" i="4"/>
  <c r="D74" i="4" s="1"/>
  <c r="B74" i="4"/>
  <c r="H73" i="4"/>
  <c r="G73" i="4"/>
  <c r="E73" i="4"/>
  <c r="C73" i="4"/>
  <c r="D73" i="4" s="1"/>
  <c r="B73" i="4"/>
  <c r="H72" i="4"/>
  <c r="G72" i="4"/>
  <c r="J72" i="4" s="1"/>
  <c r="E72" i="4"/>
  <c r="C72" i="4"/>
  <c r="D72" i="4" s="1"/>
  <c r="B72" i="4"/>
  <c r="H71" i="4"/>
  <c r="G71" i="4"/>
  <c r="J71" i="4" s="1"/>
  <c r="E71" i="4"/>
  <c r="C71" i="4"/>
  <c r="D71" i="4" s="1"/>
  <c r="B71" i="4"/>
  <c r="H70" i="4"/>
  <c r="G70" i="4"/>
  <c r="J70" i="4" s="1"/>
  <c r="E70" i="4"/>
  <c r="C70" i="4"/>
  <c r="D70" i="4" s="1"/>
  <c r="B70" i="4"/>
  <c r="H69" i="4"/>
  <c r="G69" i="4"/>
  <c r="J69" i="4" s="1"/>
  <c r="E69" i="4"/>
  <c r="C69" i="4"/>
  <c r="D69" i="4" s="1"/>
  <c r="B69" i="4"/>
  <c r="H68" i="4"/>
  <c r="G68" i="4"/>
  <c r="J68" i="4" s="1"/>
  <c r="E68" i="4"/>
  <c r="C68" i="4"/>
  <c r="D68" i="4" s="1"/>
  <c r="B68" i="4"/>
  <c r="H67" i="4"/>
  <c r="G67" i="4"/>
  <c r="J67" i="4" s="1"/>
  <c r="E67" i="4"/>
  <c r="C67" i="4"/>
  <c r="D67" i="4" s="1"/>
  <c r="B67" i="4"/>
  <c r="H66" i="4"/>
  <c r="G66" i="4"/>
  <c r="J66" i="4" s="1"/>
  <c r="E66" i="4"/>
  <c r="C66" i="4"/>
  <c r="D66" i="4" s="1"/>
  <c r="B66" i="4"/>
  <c r="H65" i="4"/>
  <c r="G65" i="4"/>
  <c r="J65" i="4" s="1"/>
  <c r="E65" i="4"/>
  <c r="C65" i="4"/>
  <c r="D65" i="4" s="1"/>
  <c r="B65" i="4"/>
  <c r="H64" i="4"/>
  <c r="G64" i="4"/>
  <c r="J64" i="4" s="1"/>
  <c r="E64" i="4"/>
  <c r="C64" i="4"/>
  <c r="D64" i="4" s="1"/>
  <c r="B64" i="4"/>
  <c r="H63" i="4"/>
  <c r="G63" i="4"/>
  <c r="J63" i="4" s="1"/>
  <c r="E63" i="4"/>
  <c r="C63" i="4"/>
  <c r="D63" i="4" s="1"/>
  <c r="B63" i="4"/>
  <c r="H62" i="4"/>
  <c r="G62" i="4"/>
  <c r="J62" i="4" s="1"/>
  <c r="E62" i="4"/>
  <c r="C62" i="4"/>
  <c r="D62" i="4" s="1"/>
  <c r="B62" i="4"/>
  <c r="I61" i="4"/>
  <c r="H61" i="4"/>
  <c r="G61" i="4"/>
  <c r="J61" i="4" s="1"/>
  <c r="E61" i="4"/>
  <c r="C61" i="4"/>
  <c r="D61" i="4" s="1"/>
  <c r="B61" i="4"/>
  <c r="I60" i="4"/>
  <c r="H60" i="4"/>
  <c r="G60" i="4"/>
  <c r="J60" i="4" s="1"/>
  <c r="E60" i="4"/>
  <c r="C60" i="4"/>
  <c r="D60" i="4" s="1"/>
  <c r="B60" i="4"/>
  <c r="A60" i="4"/>
  <c r="H59" i="4"/>
  <c r="G59" i="4"/>
  <c r="J59" i="4" s="1"/>
  <c r="E59" i="4"/>
  <c r="C59" i="4"/>
  <c r="D59" i="4" s="1"/>
  <c r="B59" i="4"/>
  <c r="H58" i="4"/>
  <c r="G58" i="4"/>
  <c r="J58" i="4" s="1"/>
  <c r="E58" i="4"/>
  <c r="C58" i="4"/>
  <c r="D58" i="4" s="1"/>
  <c r="B58" i="4"/>
  <c r="H57" i="4"/>
  <c r="G57" i="4"/>
  <c r="J57" i="4" s="1"/>
  <c r="E57" i="4"/>
  <c r="C57" i="4"/>
  <c r="D57" i="4" s="1"/>
  <c r="B57" i="4"/>
  <c r="H56" i="4"/>
  <c r="G56" i="4"/>
  <c r="J56" i="4" s="1"/>
  <c r="E56" i="4"/>
  <c r="C56" i="4"/>
  <c r="D56" i="4" s="1"/>
  <c r="B56" i="4"/>
  <c r="H55" i="4"/>
  <c r="G55" i="4"/>
  <c r="J55" i="4" s="1"/>
  <c r="E55" i="4"/>
  <c r="C55" i="4"/>
  <c r="D55" i="4" s="1"/>
  <c r="B55" i="4"/>
  <c r="H54" i="4"/>
  <c r="G54" i="4"/>
  <c r="J54" i="4" s="1"/>
  <c r="E54" i="4"/>
  <c r="C54" i="4"/>
  <c r="D54" i="4" s="1"/>
  <c r="B54" i="4"/>
  <c r="H53" i="4"/>
  <c r="G53" i="4"/>
  <c r="J53" i="4" s="1"/>
  <c r="E53" i="4"/>
  <c r="C53" i="4"/>
  <c r="D53" i="4" s="1"/>
  <c r="B53" i="4"/>
  <c r="H52" i="4"/>
  <c r="G52" i="4"/>
  <c r="J52" i="4" s="1"/>
  <c r="E52" i="4"/>
  <c r="C52" i="4"/>
  <c r="D52" i="4" s="1"/>
  <c r="B52" i="4"/>
  <c r="H51" i="4"/>
  <c r="G51" i="4"/>
  <c r="J51" i="4" s="1"/>
  <c r="E51" i="4"/>
  <c r="C51" i="4"/>
  <c r="D51" i="4" s="1"/>
  <c r="B51" i="4"/>
  <c r="H50" i="4"/>
  <c r="G50" i="4"/>
  <c r="J50" i="4" s="1"/>
  <c r="E50" i="4"/>
  <c r="C50" i="4"/>
  <c r="D50" i="4" s="1"/>
  <c r="B50" i="4"/>
  <c r="I49" i="4"/>
  <c r="H49" i="4"/>
  <c r="G49" i="4"/>
  <c r="E49" i="4"/>
  <c r="C49" i="4"/>
  <c r="D49" i="4" s="1"/>
  <c r="B49" i="4"/>
  <c r="A49" i="4"/>
  <c r="I48" i="4"/>
  <c r="H48" i="4"/>
  <c r="G48" i="4"/>
  <c r="E48" i="4"/>
  <c r="C48" i="4"/>
  <c r="D48" i="4" s="1"/>
  <c r="B48" i="4"/>
  <c r="A48" i="4"/>
  <c r="I47" i="4"/>
  <c r="H47" i="4"/>
  <c r="G47" i="4"/>
  <c r="E47" i="4"/>
  <c r="C47" i="4"/>
  <c r="D47" i="4" s="1"/>
  <c r="B47" i="4"/>
  <c r="A47" i="4"/>
  <c r="J47" i="4" s="1"/>
  <c r="I46" i="4"/>
  <c r="H46" i="4"/>
  <c r="G46" i="4"/>
  <c r="E46" i="4"/>
  <c r="C46" i="4"/>
  <c r="D46" i="4" s="1"/>
  <c r="B46" i="4"/>
  <c r="A46" i="4"/>
  <c r="I45" i="4"/>
  <c r="H45" i="4"/>
  <c r="G45" i="4"/>
  <c r="E45" i="4"/>
  <c r="C45" i="4"/>
  <c r="D45" i="4" s="1"/>
  <c r="B45" i="4"/>
  <c r="A45" i="4"/>
  <c r="I44" i="4"/>
  <c r="H44" i="4"/>
  <c r="G44" i="4"/>
  <c r="J44" i="4" s="1"/>
  <c r="E44" i="4"/>
  <c r="C44" i="4"/>
  <c r="D44" i="4" s="1"/>
  <c r="B44" i="4"/>
  <c r="A44" i="4"/>
  <c r="I43" i="4"/>
  <c r="H43" i="4"/>
  <c r="G43" i="4"/>
  <c r="J43" i="4" s="1"/>
  <c r="E43" i="4"/>
  <c r="C43" i="4"/>
  <c r="D43" i="4" s="1"/>
  <c r="B43" i="4"/>
  <c r="I42" i="4"/>
  <c r="H42" i="4"/>
  <c r="G42" i="4"/>
  <c r="J42" i="4" s="1"/>
  <c r="E42" i="4"/>
  <c r="C42" i="4"/>
  <c r="D42" i="4" s="1"/>
  <c r="B42" i="4"/>
  <c r="I41" i="4"/>
  <c r="H41" i="4"/>
  <c r="G41" i="4"/>
  <c r="J41" i="4" s="1"/>
  <c r="E41" i="4"/>
  <c r="C41" i="4"/>
  <c r="D41" i="4" s="1"/>
  <c r="B41" i="4"/>
  <c r="I40" i="4"/>
  <c r="H40" i="4"/>
  <c r="G40" i="4"/>
  <c r="J40" i="4" s="1"/>
  <c r="E40" i="4"/>
  <c r="C40" i="4"/>
  <c r="D40" i="4" s="1"/>
  <c r="B40" i="4"/>
  <c r="I39" i="4"/>
  <c r="H39" i="4"/>
  <c r="G39" i="4"/>
  <c r="J39" i="4" s="1"/>
  <c r="E39" i="4"/>
  <c r="C39" i="4"/>
  <c r="D39" i="4" s="1"/>
  <c r="B39" i="4"/>
  <c r="I38" i="4"/>
  <c r="H38" i="4"/>
  <c r="G38" i="4"/>
  <c r="J38" i="4" s="1"/>
  <c r="E38" i="4"/>
  <c r="C38" i="4"/>
  <c r="D38" i="4" s="1"/>
  <c r="B38" i="4"/>
  <c r="I37" i="4"/>
  <c r="H37" i="4"/>
  <c r="G37" i="4"/>
  <c r="J37" i="4" s="1"/>
  <c r="E37" i="4"/>
  <c r="C37" i="4"/>
  <c r="D37" i="4" s="1"/>
  <c r="B37" i="4"/>
  <c r="I36" i="4"/>
  <c r="H36" i="4"/>
  <c r="G36" i="4"/>
  <c r="J36" i="4" s="1"/>
  <c r="E36" i="4"/>
  <c r="C36" i="4"/>
  <c r="D36" i="4" s="1"/>
  <c r="B36" i="4"/>
  <c r="I35" i="4"/>
  <c r="H35" i="4"/>
  <c r="G35" i="4"/>
  <c r="J35" i="4" s="1"/>
  <c r="E35" i="4"/>
  <c r="C35" i="4"/>
  <c r="D35" i="4" s="1"/>
  <c r="B35" i="4"/>
  <c r="I34" i="4"/>
  <c r="H34" i="4"/>
  <c r="G34" i="4"/>
  <c r="E34" i="4"/>
  <c r="C34" i="4"/>
  <c r="D34" i="4" s="1"/>
  <c r="B34" i="4"/>
  <c r="I33" i="4"/>
  <c r="H33" i="4"/>
  <c r="G33" i="4"/>
  <c r="J33" i="4" s="1"/>
  <c r="E33" i="4"/>
  <c r="C33" i="4"/>
  <c r="D33" i="4" s="1"/>
  <c r="B33" i="4"/>
  <c r="I32" i="4"/>
  <c r="H32" i="4"/>
  <c r="G32" i="4"/>
  <c r="J32" i="4" s="1"/>
  <c r="E32" i="4"/>
  <c r="C32" i="4"/>
  <c r="D32" i="4" s="1"/>
  <c r="B32" i="4"/>
  <c r="I31" i="4"/>
  <c r="H31" i="4"/>
  <c r="G31" i="4"/>
  <c r="J31" i="4" s="1"/>
  <c r="E31" i="4"/>
  <c r="C31" i="4"/>
  <c r="D31" i="4" s="1"/>
  <c r="B31" i="4"/>
  <c r="I30" i="4"/>
  <c r="H30" i="4"/>
  <c r="G30" i="4"/>
  <c r="J30" i="4" s="1"/>
  <c r="E30" i="4"/>
  <c r="C30" i="4"/>
  <c r="D30" i="4" s="1"/>
  <c r="B30" i="4"/>
  <c r="I29" i="4"/>
  <c r="H29" i="4"/>
  <c r="G29" i="4"/>
  <c r="J29" i="4" s="1"/>
  <c r="E29" i="4"/>
  <c r="C29" i="4"/>
  <c r="D29" i="4" s="1"/>
  <c r="B29" i="4"/>
  <c r="I28" i="4"/>
  <c r="H28" i="4"/>
  <c r="G28" i="4"/>
  <c r="J28" i="4" s="1"/>
  <c r="E28" i="4"/>
  <c r="C28" i="4"/>
  <c r="D28" i="4" s="1"/>
  <c r="B28" i="4"/>
  <c r="I27" i="4"/>
  <c r="H27" i="4"/>
  <c r="G27" i="4"/>
  <c r="J27" i="4" s="1"/>
  <c r="E27" i="4"/>
  <c r="C27" i="4"/>
  <c r="D27" i="4" s="1"/>
  <c r="B27" i="4"/>
  <c r="I26" i="4"/>
  <c r="H26" i="4"/>
  <c r="G26" i="4"/>
  <c r="J26" i="4" s="1"/>
  <c r="E26" i="4"/>
  <c r="C26" i="4"/>
  <c r="D26" i="4" s="1"/>
  <c r="B26" i="4"/>
  <c r="I25" i="4"/>
  <c r="H25" i="4"/>
  <c r="G25" i="4"/>
  <c r="J25" i="4" s="1"/>
  <c r="E25" i="4"/>
  <c r="C25" i="4"/>
  <c r="D25" i="4" s="1"/>
  <c r="B25" i="4"/>
  <c r="I24" i="4"/>
  <c r="H24" i="4"/>
  <c r="G24" i="4"/>
  <c r="J24" i="4" s="1"/>
  <c r="E24" i="4"/>
  <c r="C24" i="4"/>
  <c r="D24" i="4" s="1"/>
  <c r="B24" i="4"/>
  <c r="I23" i="4"/>
  <c r="H23" i="4"/>
  <c r="G23" i="4"/>
  <c r="J23" i="4" s="1"/>
  <c r="E23" i="4"/>
  <c r="C23" i="4"/>
  <c r="D23" i="4" s="1"/>
  <c r="B23" i="4"/>
  <c r="I22" i="4"/>
  <c r="H22" i="4"/>
  <c r="G22" i="4"/>
  <c r="E22" i="4"/>
  <c r="C22" i="4"/>
  <c r="D22" i="4" s="1"/>
  <c r="B22" i="4"/>
  <c r="I21" i="4"/>
  <c r="H21" i="4"/>
  <c r="G21" i="4"/>
  <c r="J21" i="4" s="1"/>
  <c r="E21" i="4"/>
  <c r="C21" i="4"/>
  <c r="D21" i="4" s="1"/>
  <c r="B21" i="4"/>
  <c r="I20" i="4"/>
  <c r="H20" i="4"/>
  <c r="G20" i="4"/>
  <c r="J20" i="4" s="1"/>
  <c r="E20" i="4"/>
  <c r="C20" i="4"/>
  <c r="D20" i="4" s="1"/>
  <c r="B20" i="4"/>
  <c r="I19" i="4"/>
  <c r="H19" i="4"/>
  <c r="G19" i="4"/>
  <c r="J19" i="4" s="1"/>
  <c r="E19" i="4"/>
  <c r="C19" i="4"/>
  <c r="D19" i="4" s="1"/>
  <c r="B19" i="4"/>
  <c r="I18" i="4"/>
  <c r="H18" i="4"/>
  <c r="G18" i="4"/>
  <c r="J18" i="4" s="1"/>
  <c r="E18" i="4"/>
  <c r="C18" i="4"/>
  <c r="D18" i="4" s="1"/>
  <c r="B18" i="4"/>
  <c r="I17" i="4"/>
  <c r="H17" i="4"/>
  <c r="G17" i="4"/>
  <c r="J17" i="4" s="1"/>
  <c r="E17" i="4"/>
  <c r="C17" i="4"/>
  <c r="D17" i="4" s="1"/>
  <c r="B17" i="4"/>
  <c r="A17" i="4"/>
  <c r="I16" i="4"/>
  <c r="H16" i="4"/>
  <c r="G16" i="4"/>
  <c r="J16" i="4" s="1"/>
  <c r="E16" i="4"/>
  <c r="C16" i="4"/>
  <c r="D16" i="4" s="1"/>
  <c r="B16" i="4"/>
  <c r="I15" i="4"/>
  <c r="H15" i="4"/>
  <c r="G15" i="4"/>
  <c r="J15" i="4" s="1"/>
  <c r="E15" i="4"/>
  <c r="C15" i="4"/>
  <c r="D15" i="4" s="1"/>
  <c r="B15" i="4"/>
  <c r="I14" i="4"/>
  <c r="H14" i="4"/>
  <c r="G14" i="4"/>
  <c r="J14" i="4" s="1"/>
  <c r="E14" i="4"/>
  <c r="C14" i="4"/>
  <c r="D14" i="4" s="1"/>
  <c r="B14" i="4"/>
  <c r="I13" i="4"/>
  <c r="H13" i="4"/>
  <c r="G13" i="4"/>
  <c r="E13" i="4"/>
  <c r="C13" i="4"/>
  <c r="D13" i="4" s="1"/>
  <c r="B13" i="4"/>
  <c r="I12" i="4"/>
  <c r="H12" i="4"/>
  <c r="G12" i="4"/>
  <c r="J12" i="4" s="1"/>
  <c r="E12" i="4"/>
  <c r="C12" i="4"/>
  <c r="D12" i="4" s="1"/>
  <c r="B12" i="4"/>
  <c r="I11" i="4"/>
  <c r="H11" i="4"/>
  <c r="G11" i="4"/>
  <c r="E11" i="4"/>
  <c r="C11" i="4"/>
  <c r="D11" i="4" s="1"/>
  <c r="B11" i="4"/>
  <c r="I10" i="4"/>
  <c r="H10" i="4"/>
  <c r="G10" i="4"/>
  <c r="E10" i="4"/>
  <c r="C10" i="4"/>
  <c r="D10" i="4" s="1"/>
  <c r="B10" i="4"/>
  <c r="I9" i="4"/>
  <c r="H9" i="4"/>
  <c r="G9" i="4"/>
  <c r="J9" i="4" s="1"/>
  <c r="E9" i="4"/>
  <c r="C9" i="4"/>
  <c r="D9" i="4" s="1"/>
  <c r="B9" i="4"/>
  <c r="I8" i="4"/>
  <c r="H8" i="4"/>
  <c r="G8" i="4"/>
  <c r="J8" i="4" s="1"/>
  <c r="E8" i="4"/>
  <c r="C8" i="4"/>
  <c r="D8" i="4" s="1"/>
  <c r="B8" i="4"/>
  <c r="I7" i="4"/>
  <c r="H7" i="4"/>
  <c r="G7" i="4"/>
  <c r="J7" i="4" s="1"/>
  <c r="E7" i="4"/>
  <c r="C7" i="4"/>
  <c r="D7" i="4" s="1"/>
  <c r="B7" i="4"/>
  <c r="I6" i="4"/>
  <c r="H6" i="4"/>
  <c r="G6" i="4"/>
  <c r="J6" i="4" s="1"/>
  <c r="E6" i="4"/>
  <c r="C6" i="4"/>
  <c r="D6" i="4" s="1"/>
  <c r="B6" i="4"/>
  <c r="I88" i="22"/>
  <c r="I88" i="4" s="1"/>
  <c r="I86" i="22"/>
  <c r="I86" i="4" s="1"/>
  <c r="I87" i="22"/>
  <c r="I87" i="4" s="1"/>
  <c r="I85" i="22"/>
  <c r="I85" i="4" s="1"/>
  <c r="B88" i="22"/>
  <c r="A88" i="4" s="1"/>
  <c r="B87" i="22"/>
  <c r="A87" i="4" s="1"/>
  <c r="B60" i="22"/>
  <c r="B61" i="22"/>
  <c r="A61" i="4" s="1"/>
  <c r="B86" i="22"/>
  <c r="M40" i="22" a="1"/>
  <c r="M40" i="22" s="1"/>
  <c r="L40" i="22" s="1"/>
  <c r="M41" i="22" a="1"/>
  <c r="M41" i="22"/>
  <c r="L41" i="22" s="1"/>
  <c r="B41" i="22"/>
  <c r="A41" i="4" s="1"/>
  <c r="B85" i="22"/>
  <c r="A85" i="4" s="1"/>
  <c r="I84" i="22"/>
  <c r="I84" i="4" s="1"/>
  <c r="A84" i="22"/>
  <c r="B84" i="22" s="1"/>
  <c r="A84" i="4" s="1"/>
  <c r="I83" i="22"/>
  <c r="I83" i="4" s="1"/>
  <c r="A83" i="22"/>
  <c r="B83" i="22" s="1"/>
  <c r="A83" i="4" s="1"/>
  <c r="I82" i="22"/>
  <c r="I82" i="4" s="1"/>
  <c r="A82" i="22"/>
  <c r="B82" i="22" s="1"/>
  <c r="A82" i="4" s="1"/>
  <c r="I80" i="22"/>
  <c r="I80" i="4" s="1"/>
  <c r="A80" i="22"/>
  <c r="B80" i="22" s="1"/>
  <c r="A80" i="4" s="1"/>
  <c r="M36" i="22" a="1"/>
  <c r="M36" i="22" s="1"/>
  <c r="L36" i="22" s="1"/>
  <c r="B36" i="22"/>
  <c r="A36" i="4" s="1"/>
  <c r="H5" i="4"/>
  <c r="A67" i="22"/>
  <c r="B67" i="22" s="1"/>
  <c r="A67" i="4" s="1"/>
  <c r="A66" i="22"/>
  <c r="B66" i="22" s="1"/>
  <c r="A66" i="4" s="1"/>
  <c r="A65" i="22"/>
  <c r="B65" i="22" s="1"/>
  <c r="A65" i="4" s="1"/>
  <c r="A64" i="22"/>
  <c r="B64" i="22" s="1"/>
  <c r="A64" i="4" s="1"/>
  <c r="A63" i="22"/>
  <c r="B63" i="22" s="1"/>
  <c r="A63" i="4" s="1"/>
  <c r="A62" i="22"/>
  <c r="A59" i="22"/>
  <c r="A58" i="22"/>
  <c r="B58" i="22" s="1"/>
  <c r="A58" i="4" s="1"/>
  <c r="A57" i="22"/>
  <c r="A56" i="22"/>
  <c r="B56" i="22" s="1"/>
  <c r="A56" i="4" s="1"/>
  <c r="A55" i="22"/>
  <c r="B55" i="22" s="1"/>
  <c r="A55" i="4" s="1"/>
  <c r="A54" i="22"/>
  <c r="B54" i="22" s="1"/>
  <c r="A54" i="4" s="1"/>
  <c r="B53" i="22"/>
  <c r="A53" i="4" s="1"/>
  <c r="A52" i="22"/>
  <c r="A51" i="22"/>
  <c r="A50" i="22"/>
  <c r="I67" i="22"/>
  <c r="I67" i="4" s="1"/>
  <c r="I66" i="22"/>
  <c r="I66" i="4" s="1"/>
  <c r="I65" i="22"/>
  <c r="I65" i="4" s="1"/>
  <c r="I64" i="22"/>
  <c r="I64" i="4" s="1"/>
  <c r="I63" i="22"/>
  <c r="I63" i="4" s="1"/>
  <c r="I62" i="22"/>
  <c r="I62" i="4" s="1"/>
  <c r="I59" i="22"/>
  <c r="I59" i="4" s="1"/>
  <c r="I58" i="22"/>
  <c r="I58" i="4" s="1"/>
  <c r="I57" i="22"/>
  <c r="I57" i="4" s="1"/>
  <c r="I56" i="22"/>
  <c r="I56" i="4" s="1"/>
  <c r="I55" i="22"/>
  <c r="I55" i="4" s="1"/>
  <c r="I54" i="22"/>
  <c r="I54" i="4" s="1"/>
  <c r="I53" i="22"/>
  <c r="I53" i="4" s="1"/>
  <c r="I52" i="22"/>
  <c r="I52" i="4" s="1"/>
  <c r="I51" i="22"/>
  <c r="I51" i="4" s="1"/>
  <c r="I50" i="22"/>
  <c r="I50" i="4" s="1"/>
  <c r="M27" i="22" a="1"/>
  <c r="M27" i="22" s="1"/>
  <c r="L27" i="22" s="1"/>
  <c r="B27" i="22"/>
  <c r="A27" i="4" s="1"/>
  <c r="M26" i="22" a="1"/>
  <c r="M26" i="22" s="1"/>
  <c r="L26" i="22" s="1"/>
  <c r="B26" i="22"/>
  <c r="A26" i="4" s="1"/>
  <c r="M25" i="22" a="1"/>
  <c r="M25" i="22" s="1"/>
  <c r="L25" i="22" s="1"/>
  <c r="B25" i="22"/>
  <c r="A25" i="4" s="1"/>
  <c r="M24" i="22" a="1"/>
  <c r="M24" i="22" s="1"/>
  <c r="L24" i="22" s="1"/>
  <c r="B24" i="22"/>
  <c r="A24" i="4" s="1"/>
  <c r="M23" i="22" a="1"/>
  <c r="M23" i="22" s="1"/>
  <c r="L23" i="22" s="1"/>
  <c r="B23" i="22"/>
  <c r="A23" i="4" s="1"/>
  <c r="M28" i="22" a="1"/>
  <c r="M28" i="22" s="1"/>
  <c r="L28" i="22" s="1"/>
  <c r="B28" i="22"/>
  <c r="A28" i="4" s="1"/>
  <c r="M6" i="22" a="1"/>
  <c r="M6" i="22" s="1"/>
  <c r="L6" i="22" s="1"/>
  <c r="M7" i="22" a="1"/>
  <c r="M7" i="22" s="1"/>
  <c r="L7" i="22" s="1"/>
  <c r="M8" i="22" a="1"/>
  <c r="M8" i="22" s="1"/>
  <c r="L8" i="22" s="1"/>
  <c r="M9" i="22" a="1"/>
  <c r="M9" i="22" s="1"/>
  <c r="L9" i="22" s="1"/>
  <c r="M10" i="22" a="1"/>
  <c r="M10" i="22" s="1"/>
  <c r="L10" i="22" s="1"/>
  <c r="M11" i="22" a="1"/>
  <c r="M11" i="22" s="1"/>
  <c r="L11" i="22" s="1"/>
  <c r="M12" i="22" a="1"/>
  <c r="M12" i="22" s="1"/>
  <c r="L12" i="22" s="1"/>
  <c r="M13" i="22" a="1"/>
  <c r="M13" i="22" s="1"/>
  <c r="L13" i="22" s="1"/>
  <c r="M14" i="22" a="1"/>
  <c r="M14" i="22" s="1"/>
  <c r="L14" i="22" s="1"/>
  <c r="M15" i="22" a="1"/>
  <c r="M15" i="22" s="1"/>
  <c r="L15" i="22" s="1"/>
  <c r="M16" i="22" a="1"/>
  <c r="M16" i="22" s="1"/>
  <c r="L16" i="22" s="1"/>
  <c r="M17" i="22" a="1"/>
  <c r="M17" i="22" s="1"/>
  <c r="L17" i="22" s="1"/>
  <c r="M18" i="22" a="1"/>
  <c r="M18" i="22" s="1"/>
  <c r="L18" i="22" s="1"/>
  <c r="M19" i="22" a="1"/>
  <c r="M19" i="22" s="1"/>
  <c r="L19" i="22" s="1"/>
  <c r="M20" i="22" a="1"/>
  <c r="M20" i="22" s="1"/>
  <c r="L20" i="22" s="1"/>
  <c r="M21" i="22" a="1"/>
  <c r="M21" i="22" s="1"/>
  <c r="L21" i="22" s="1"/>
  <c r="M22" i="22" a="1"/>
  <c r="M22" i="22" s="1"/>
  <c r="L22" i="22" s="1"/>
  <c r="M29" i="22" a="1"/>
  <c r="M29" i="22" s="1"/>
  <c r="L29" i="22" s="1"/>
  <c r="M30" i="22" a="1"/>
  <c r="M30" i="22" s="1"/>
  <c r="L30" i="22" s="1"/>
  <c r="M31" i="22" a="1"/>
  <c r="M31" i="22" s="1"/>
  <c r="L31" i="22" s="1"/>
  <c r="M32" i="22" a="1"/>
  <c r="M32" i="22" s="1"/>
  <c r="L32" i="22" s="1"/>
  <c r="M33" i="22" a="1"/>
  <c r="M33" i="22" s="1"/>
  <c r="L33" i="22" s="1"/>
  <c r="M34" i="22" a="1"/>
  <c r="M34" i="22" s="1"/>
  <c r="L34" i="22" s="1"/>
  <c r="M35" i="22" a="1"/>
  <c r="M35" i="22" s="1"/>
  <c r="L35" i="22" s="1"/>
  <c r="M37" i="22" a="1"/>
  <c r="M37" i="22" s="1"/>
  <c r="L37" i="22" s="1"/>
  <c r="M38" i="22" a="1"/>
  <c r="M38" i="22" s="1"/>
  <c r="L38" i="22" s="1"/>
  <c r="M39" i="22" a="1"/>
  <c r="M39" i="22" s="1"/>
  <c r="L39" i="22" s="1"/>
  <c r="M5" i="22" a="1"/>
  <c r="M5" i="22" s="1"/>
  <c r="L5" i="22" s="1"/>
  <c r="C5" i="4"/>
  <c r="B20" i="22"/>
  <c r="A20" i="4" s="1"/>
  <c r="B13" i="22"/>
  <c r="A13" i="4" s="1"/>
  <c r="B12" i="22"/>
  <c r="A12" i="4" s="1"/>
  <c r="B11" i="22"/>
  <c r="A11" i="4" s="1"/>
  <c r="J92" i="4" l="1"/>
  <c r="J46" i="4"/>
  <c r="J45" i="4"/>
  <c r="J94" i="4"/>
  <c r="J93" i="4"/>
  <c r="J48" i="4"/>
  <c r="B81" i="22"/>
  <c r="A81" i="4" s="1"/>
  <c r="I68" i="22"/>
  <c r="I68" i="4" s="1"/>
  <c r="A68" i="22"/>
  <c r="B68" i="22" s="1"/>
  <c r="A68" i="4" s="1"/>
  <c r="A69" i="22"/>
  <c r="B69" i="22" s="1"/>
  <c r="A69" i="4" s="1"/>
  <c r="A70" i="22"/>
  <c r="B70" i="22" s="1"/>
  <c r="A70" i="4" s="1"/>
  <c r="I77" i="22"/>
  <c r="I77" i="4" s="1"/>
  <c r="A79" i="22"/>
  <c r="B79" i="22" s="1"/>
  <c r="A79" i="4" s="1"/>
  <c r="I79" i="22"/>
  <c r="I79" i="4" s="1"/>
  <c r="I69" i="22"/>
  <c r="I69" i="4" s="1"/>
  <c r="A71" i="22"/>
  <c r="B71" i="22" s="1"/>
  <c r="A71" i="4" s="1"/>
  <c r="I70" i="22"/>
  <c r="I70" i="4" s="1"/>
  <c r="I71" i="22"/>
  <c r="I71" i="4" s="1"/>
  <c r="B72" i="22"/>
  <c r="A72" i="4" s="1"/>
  <c r="A73" i="22"/>
  <c r="B73" i="22" s="1"/>
  <c r="A73" i="4" s="1"/>
  <c r="I72" i="22"/>
  <c r="I72" i="4" s="1"/>
  <c r="A74" i="22"/>
  <c r="I73" i="22"/>
  <c r="I73" i="4" s="1"/>
  <c r="A75" i="22"/>
  <c r="B75" i="22" s="1"/>
  <c r="A75" i="4" s="1"/>
  <c r="I78" i="22"/>
  <c r="I78" i="4" s="1"/>
  <c r="I74" i="22"/>
  <c r="I74" i="4" s="1"/>
  <c r="A76" i="22"/>
  <c r="B76" i="22" s="1"/>
  <c r="A76" i="4" s="1"/>
  <c r="I75" i="22"/>
  <c r="I75" i="4" s="1"/>
  <c r="A77" i="22"/>
  <c r="B77" i="22" s="1"/>
  <c r="A77" i="4" s="1"/>
  <c r="I76" i="22"/>
  <c r="I76" i="4" s="1"/>
  <c r="A78" i="22"/>
  <c r="B78" i="22" s="1"/>
  <c r="A78" i="4" s="1"/>
  <c r="B59" i="22"/>
  <c r="A59" i="4" s="1"/>
  <c r="B57" i="22"/>
  <c r="A57" i="4" s="1"/>
  <c r="B50" i="22"/>
  <c r="A50" i="4" s="1"/>
  <c r="B62" i="22"/>
  <c r="A62" i="4" s="1"/>
  <c r="B51" i="22"/>
  <c r="A51" i="4" s="1"/>
  <c r="B52" i="22"/>
  <c r="A52" i="4" s="1"/>
  <c r="M50" i="22" l="1" a="1"/>
  <c r="M70" i="22"/>
  <c r="M83" i="22"/>
  <c r="M76" i="22"/>
  <c r="M71" i="22"/>
  <c r="M61" i="22"/>
  <c r="M54" i="22"/>
  <c r="M52" i="22"/>
  <c r="M53" i="22"/>
  <c r="M84" i="22"/>
  <c r="M75" i="22"/>
  <c r="M67" i="22"/>
  <c r="M56" i="22"/>
  <c r="M88" i="22"/>
  <c r="L88" i="22" s="1"/>
  <c r="M80" i="22"/>
  <c r="M65" i="22"/>
  <c r="M74" i="22"/>
  <c r="M66" i="22"/>
  <c r="M86" i="22"/>
  <c r="L86" i="22" s="1"/>
  <c r="M59" i="22"/>
  <c r="M63" i="22"/>
  <c r="M55" i="22"/>
  <c r="M73" i="22"/>
  <c r="M87" i="22"/>
  <c r="L87" i="22" s="1"/>
  <c r="M69" i="22"/>
  <c r="M82" i="22"/>
  <c r="M72" i="22"/>
  <c r="M50" i="22"/>
  <c r="M68" i="22"/>
  <c r="M62" i="22"/>
  <c r="M85" i="22"/>
  <c r="L85" i="22" s="1"/>
  <c r="M51" i="22"/>
  <c r="M81" i="22"/>
  <c r="M78" i="22"/>
  <c r="M64" i="22"/>
  <c r="M57" i="22"/>
  <c r="M58" i="22"/>
  <c r="M60" i="22"/>
  <c r="M79" i="22"/>
  <c r="M77" i="22"/>
  <c r="B74" i="22"/>
  <c r="A74" i="4" l="1"/>
  <c r="L56" i="22"/>
  <c r="L68" i="22"/>
  <c r="L80" i="22"/>
  <c r="L72" i="22"/>
  <c r="L51" i="22"/>
  <c r="L52" i="22"/>
  <c r="L57" i="22"/>
  <c r="L69" i="22"/>
  <c r="L81" i="22"/>
  <c r="L60" i="22"/>
  <c r="L64" i="22"/>
  <c r="L79" i="22"/>
  <c r="L58" i="22"/>
  <c r="L70" i="22"/>
  <c r="L82" i="22"/>
  <c r="L53" i="22"/>
  <c r="L54" i="22"/>
  <c r="L59" i="22"/>
  <c r="L71" i="22"/>
  <c r="L83" i="22"/>
  <c r="L84" i="22"/>
  <c r="L63" i="22"/>
  <c r="L66" i="22"/>
  <c r="L61" i="22"/>
  <c r="L73" i="22"/>
  <c r="L75" i="22"/>
  <c r="L76" i="22"/>
  <c r="L65" i="22"/>
  <c r="L50" i="22"/>
  <c r="L62" i="22"/>
  <c r="L74" i="22"/>
  <c r="L55" i="22"/>
  <c r="L78" i="22"/>
  <c r="L77" i="22"/>
  <c r="L67" i="22"/>
  <c r="B40" i="22" l="1"/>
  <c r="B39" i="22"/>
  <c r="B38" i="22"/>
  <c r="B37" i="22"/>
  <c r="B7" i="22"/>
  <c r="A7" i="4" s="1"/>
  <c r="D5" i="4"/>
  <c r="B19" i="22"/>
  <c r="A19" i="4" s="1"/>
  <c r="B29" i="22"/>
  <c r="B34" i="22"/>
  <c r="B33" i="22"/>
  <c r="B32" i="22"/>
  <c r="B31" i="22"/>
  <c r="B30" i="22"/>
  <c r="B22" i="22"/>
  <c r="A22" i="4" s="1"/>
  <c r="B10" i="22"/>
  <c r="B18" i="22"/>
  <c r="B6" i="22"/>
  <c r="B16" i="22"/>
  <c r="B14" i="22"/>
  <c r="B35" i="22"/>
  <c r="B8" i="22"/>
  <c r="B9" i="22"/>
  <c r="B15" i="22"/>
  <c r="B5" i="22"/>
  <c r="B21" i="22"/>
  <c r="J2" i="4"/>
  <c r="I5" i="4"/>
  <c r="G5" i="4"/>
  <c r="J5" i="4" s="1"/>
  <c r="E5" i="4"/>
  <c r="B5" i="4"/>
  <c r="A16" i="4" l="1"/>
  <c r="A6" i="4"/>
  <c r="A37" i="4"/>
  <c r="A18" i="4"/>
  <c r="A32" i="4"/>
  <c r="A34" i="4"/>
  <c r="A14" i="4"/>
  <c r="A10" i="4"/>
  <c r="A38" i="4"/>
  <c r="A39" i="4"/>
  <c r="A31" i="4"/>
  <c r="A15" i="4"/>
  <c r="A9" i="4"/>
  <c r="A33" i="4"/>
  <c r="A8" i="4"/>
  <c r="A35" i="4"/>
  <c r="A21" i="4"/>
  <c r="A30" i="4"/>
  <c r="A40" i="4"/>
  <c r="A29" i="4"/>
  <c r="A5" i="4"/>
  <c r="J2247" i="4" l="1"/>
  <c r="J2246" i="4"/>
  <c r="J2245" i="4"/>
  <c r="J2244" i="4"/>
  <c r="J2243" i="4"/>
  <c r="J2242" i="4"/>
  <c r="J2241" i="4"/>
  <c r="J2641" i="4" l="1"/>
  <c r="J2640" i="4"/>
  <c r="J2639" i="4"/>
  <c r="J2638" i="4"/>
  <c r="J2637" i="4"/>
  <c r="J2636" i="4"/>
  <c r="J2635" i="4"/>
  <c r="J2634" i="4"/>
  <c r="J2633" i="4"/>
  <c r="J2632" i="4"/>
  <c r="J2631" i="4"/>
  <c r="J2630" i="4"/>
  <c r="J2629" i="4"/>
  <c r="J2628" i="4"/>
  <c r="J2627" i="4"/>
  <c r="J2626" i="4"/>
  <c r="J2625" i="4"/>
  <c r="J2624" i="4"/>
  <c r="J2623" i="4"/>
  <c r="J2622" i="4"/>
  <c r="J2621" i="4"/>
  <c r="J2620" i="4"/>
  <c r="J2619" i="4"/>
  <c r="J2618" i="4"/>
  <c r="J2617" i="4"/>
  <c r="J2616" i="4"/>
  <c r="J2615" i="4"/>
  <c r="J2614" i="4"/>
  <c r="J2613" i="4"/>
  <c r="J2612" i="4"/>
  <c r="J2611" i="4"/>
  <c r="J2610" i="4"/>
  <c r="J2609" i="4"/>
  <c r="J2608" i="4"/>
  <c r="J2607" i="4"/>
  <c r="J2606" i="4"/>
  <c r="J2605" i="4"/>
  <c r="J2604" i="4"/>
  <c r="J2603" i="4"/>
  <c r="J2602" i="4"/>
  <c r="J2601" i="4"/>
  <c r="J2600" i="4"/>
  <c r="J2599" i="4"/>
  <c r="J2598" i="4"/>
  <c r="J2597" i="4"/>
  <c r="J2596" i="4"/>
  <c r="J2595" i="4"/>
  <c r="J2594" i="4"/>
  <c r="J2593" i="4"/>
  <c r="J2592" i="4"/>
  <c r="J2591" i="4"/>
  <c r="J2590" i="4"/>
  <c r="J2589" i="4"/>
  <c r="J2588" i="4"/>
  <c r="J2587" i="4"/>
  <c r="J2586" i="4"/>
  <c r="J2585" i="4"/>
  <c r="J2584" i="4"/>
  <c r="J2583" i="4"/>
  <c r="J2582" i="4"/>
  <c r="J2581" i="4"/>
  <c r="J2580" i="4"/>
  <c r="J2579" i="4"/>
  <c r="J2578" i="4"/>
  <c r="J2577" i="4"/>
  <c r="J2576" i="4"/>
  <c r="J2575" i="4"/>
  <c r="J2574" i="4"/>
  <c r="J2573" i="4"/>
  <c r="J2572" i="4"/>
  <c r="J2571" i="4"/>
  <c r="J2570" i="4"/>
  <c r="J2569" i="4"/>
  <c r="J2568" i="4"/>
  <c r="J2567" i="4"/>
  <c r="J2566" i="4"/>
  <c r="J2565" i="4"/>
  <c r="J2564" i="4"/>
  <c r="J2563" i="4"/>
  <c r="J2562" i="4"/>
  <c r="J2561" i="4"/>
  <c r="J2560" i="4"/>
  <c r="J2559" i="4"/>
  <c r="J2558" i="4"/>
  <c r="J2557" i="4"/>
  <c r="J2556" i="4"/>
  <c r="J2555" i="4"/>
  <c r="J2554" i="4"/>
  <c r="J2553" i="4"/>
  <c r="J2552" i="4"/>
  <c r="J2551" i="4"/>
  <c r="J2550" i="4"/>
  <c r="J2549" i="4"/>
  <c r="J2548" i="4"/>
  <c r="J2547" i="4"/>
  <c r="J2546" i="4"/>
  <c r="J2545" i="4"/>
  <c r="J2544" i="4"/>
  <c r="J2543" i="4"/>
  <c r="J2542" i="4"/>
  <c r="J2541" i="4"/>
  <c r="J2540" i="4"/>
  <c r="J2539" i="4"/>
  <c r="J2538" i="4"/>
  <c r="J2537" i="4"/>
  <c r="J2536" i="4"/>
  <c r="J2535" i="4"/>
  <c r="J2534" i="4"/>
  <c r="J2533" i="4"/>
  <c r="J2532" i="4"/>
  <c r="J2531" i="4"/>
  <c r="J2530" i="4"/>
  <c r="J2529" i="4"/>
  <c r="J2528" i="4"/>
  <c r="J2527" i="4"/>
  <c r="J2526" i="4"/>
  <c r="J2525" i="4"/>
  <c r="J2524" i="4"/>
  <c r="J2523" i="4"/>
  <c r="J2522" i="4"/>
  <c r="J2521" i="4"/>
  <c r="J2520" i="4"/>
  <c r="J2519" i="4"/>
  <c r="J2518" i="4"/>
  <c r="J2517" i="4"/>
  <c r="J2516" i="4"/>
  <c r="J2515" i="4"/>
  <c r="J2514" i="4"/>
  <c r="J2513" i="4"/>
  <c r="J2512" i="4"/>
  <c r="J2511" i="4"/>
  <c r="J2510" i="4"/>
  <c r="J2509" i="4"/>
  <c r="J2508" i="4"/>
  <c r="J2507" i="4"/>
  <c r="J2506" i="4"/>
  <c r="J2505" i="4"/>
  <c r="J2504" i="4"/>
  <c r="J2503" i="4"/>
  <c r="J2502" i="4"/>
  <c r="J2501" i="4"/>
  <c r="J2500" i="4"/>
  <c r="J2499" i="4"/>
  <c r="J2498" i="4"/>
  <c r="J2497" i="4"/>
  <c r="J2496" i="4"/>
  <c r="J2495" i="4"/>
  <c r="J2494" i="4"/>
  <c r="J2493" i="4"/>
  <c r="J2492" i="4"/>
  <c r="J2491" i="4"/>
  <c r="J2490" i="4"/>
  <c r="J2489" i="4"/>
  <c r="J2488" i="4"/>
  <c r="J2487" i="4"/>
  <c r="J2486" i="4"/>
  <c r="J2485" i="4"/>
  <c r="J2484" i="4"/>
  <c r="J2483" i="4"/>
  <c r="J2482" i="4"/>
  <c r="J2481" i="4"/>
  <c r="J2480" i="4"/>
  <c r="J2479" i="4"/>
  <c r="J2478" i="4"/>
  <c r="J2477" i="4"/>
  <c r="J2476" i="4"/>
  <c r="J2475" i="4"/>
  <c r="J2474" i="4"/>
  <c r="J2473" i="4"/>
  <c r="J2472" i="4"/>
  <c r="J2471" i="4"/>
  <c r="J2470" i="4"/>
  <c r="J2469" i="4"/>
  <c r="J2468" i="4"/>
  <c r="J2467" i="4"/>
  <c r="J2466" i="4"/>
  <c r="J2465" i="4"/>
  <c r="J2464" i="4"/>
  <c r="J2463" i="4"/>
  <c r="J2462" i="4"/>
  <c r="J2461" i="4"/>
  <c r="J2460" i="4"/>
  <c r="J2459" i="4"/>
  <c r="J2458" i="4"/>
  <c r="J2457" i="4"/>
  <c r="J2456" i="4"/>
  <c r="J2455" i="4"/>
  <c r="J2454" i="4"/>
  <c r="J2453" i="4"/>
  <c r="J2452" i="4"/>
  <c r="J2451" i="4"/>
  <c r="J2450" i="4"/>
  <c r="J2449" i="4"/>
  <c r="J2448" i="4"/>
  <c r="J2447" i="4"/>
  <c r="J2446" i="4"/>
  <c r="J2445" i="4"/>
  <c r="J2444" i="4"/>
  <c r="J2443" i="4"/>
  <c r="J2442" i="4"/>
  <c r="J2441" i="4"/>
  <c r="J2440" i="4"/>
  <c r="J2439" i="4"/>
  <c r="J2438" i="4"/>
  <c r="J2437" i="4"/>
  <c r="J2436" i="4"/>
  <c r="J2435" i="4"/>
  <c r="J2434" i="4"/>
  <c r="J2433" i="4"/>
  <c r="J2432" i="4"/>
  <c r="J2431" i="4"/>
  <c r="J2430" i="4"/>
  <c r="J2429" i="4"/>
  <c r="J2428" i="4"/>
  <c r="J2427" i="4"/>
  <c r="J2426" i="4"/>
  <c r="J2425" i="4"/>
  <c r="J2424" i="4"/>
  <c r="J2423" i="4"/>
  <c r="J2422" i="4"/>
  <c r="J2421" i="4"/>
  <c r="J2420" i="4"/>
  <c r="J2419" i="4"/>
  <c r="J2418" i="4"/>
  <c r="J2417" i="4"/>
  <c r="J2416" i="4"/>
  <c r="J2415" i="4"/>
  <c r="J2414" i="4"/>
  <c r="J2413" i="4"/>
  <c r="J2412" i="4"/>
  <c r="J2411" i="4"/>
  <c r="J2410" i="4"/>
  <c r="J2409" i="4"/>
  <c r="J2408" i="4"/>
  <c r="J2407" i="4"/>
  <c r="J2406" i="4"/>
  <c r="J2405" i="4"/>
  <c r="J2404" i="4"/>
  <c r="J2403" i="4"/>
  <c r="J2402" i="4"/>
  <c r="J2401" i="4"/>
  <c r="J2400" i="4"/>
  <c r="J2399" i="4"/>
  <c r="J2398" i="4"/>
  <c r="J2397" i="4"/>
  <c r="J2396" i="4"/>
  <c r="J2395" i="4"/>
  <c r="J2394" i="4"/>
  <c r="J2393" i="4"/>
  <c r="J2392" i="4"/>
  <c r="J2391" i="4"/>
  <c r="J2390" i="4"/>
  <c r="J2389" i="4"/>
  <c r="J2388" i="4"/>
  <c r="J2387" i="4"/>
  <c r="J2386" i="4"/>
  <c r="J2385" i="4"/>
  <c r="J2384" i="4"/>
  <c r="J2383" i="4"/>
  <c r="J2382" i="4"/>
  <c r="J2381" i="4"/>
  <c r="J2380" i="4"/>
  <c r="J2379" i="4"/>
  <c r="J2378" i="4"/>
  <c r="J2377" i="4"/>
  <c r="J2376" i="4"/>
  <c r="J2375" i="4"/>
  <c r="J2374" i="4"/>
  <c r="J2373" i="4"/>
  <c r="J2372" i="4"/>
  <c r="J2371" i="4"/>
  <c r="J2370" i="4"/>
  <c r="J2369" i="4"/>
  <c r="J2368" i="4"/>
  <c r="J2367" i="4"/>
  <c r="J2366" i="4"/>
  <c r="J2365" i="4"/>
  <c r="J2364" i="4"/>
  <c r="J2363" i="4"/>
  <c r="J2362" i="4"/>
  <c r="J2361" i="4"/>
  <c r="J2360" i="4"/>
  <c r="J2359" i="4"/>
  <c r="J2358" i="4"/>
  <c r="J2357" i="4"/>
  <c r="J2356" i="4"/>
  <c r="J2355" i="4"/>
  <c r="J2354" i="4"/>
  <c r="J2353" i="4"/>
  <c r="J2352" i="4"/>
  <c r="J2351" i="4"/>
  <c r="J2350" i="4"/>
  <c r="J2349" i="4"/>
  <c r="J2348" i="4"/>
  <c r="J2347" i="4"/>
  <c r="J2346" i="4"/>
  <c r="J2345" i="4"/>
  <c r="J2344" i="4"/>
  <c r="J2343" i="4"/>
  <c r="J2342" i="4"/>
  <c r="J2341" i="4"/>
  <c r="J2340" i="4"/>
  <c r="J2339" i="4"/>
  <c r="J2338" i="4"/>
  <c r="J2337" i="4"/>
  <c r="J2336" i="4"/>
  <c r="J2335" i="4"/>
  <c r="J2334" i="4"/>
  <c r="J2333" i="4"/>
  <c r="J2332" i="4"/>
  <c r="J2331" i="4"/>
  <c r="J2330" i="4"/>
  <c r="J2329" i="4"/>
  <c r="J2328" i="4"/>
  <c r="J2327" i="4"/>
  <c r="J2326" i="4"/>
  <c r="J2325" i="4"/>
  <c r="J2324" i="4"/>
  <c r="J2323" i="4"/>
  <c r="J2322" i="4"/>
  <c r="J2321" i="4"/>
  <c r="J2320" i="4"/>
  <c r="J2319" i="4"/>
  <c r="J2318" i="4"/>
  <c r="J2317" i="4"/>
  <c r="J2316" i="4"/>
  <c r="J2315" i="4"/>
  <c r="J2314" i="4"/>
  <c r="J2313" i="4"/>
  <c r="J2312" i="4"/>
  <c r="J2311" i="4"/>
  <c r="J2310" i="4"/>
  <c r="J2309" i="4"/>
  <c r="J2308" i="4"/>
  <c r="J2307" i="4"/>
  <c r="J2306" i="4"/>
  <c r="J2305" i="4"/>
  <c r="J2304" i="4"/>
  <c r="J2303" i="4"/>
  <c r="J2302" i="4"/>
  <c r="J2301" i="4"/>
  <c r="J2300" i="4"/>
  <c r="J2299" i="4"/>
  <c r="J2298" i="4"/>
  <c r="J2297" i="4"/>
  <c r="J2296" i="4"/>
  <c r="J2295" i="4"/>
  <c r="J2294" i="4"/>
  <c r="J2293" i="4"/>
  <c r="J2292" i="4"/>
  <c r="J2291" i="4"/>
  <c r="J2290" i="4"/>
  <c r="J2289" i="4"/>
  <c r="J2288" i="4"/>
  <c r="J2287" i="4"/>
  <c r="J2286" i="4"/>
  <c r="J2285" i="4"/>
  <c r="J2284" i="4"/>
  <c r="J2283" i="4"/>
  <c r="J2282" i="4"/>
  <c r="J2281" i="4"/>
  <c r="J2280" i="4"/>
  <c r="J2279" i="4"/>
  <c r="J2278" i="4"/>
  <c r="J2277" i="4"/>
  <c r="J2276" i="4"/>
  <c r="J2275" i="4"/>
  <c r="J2274" i="4"/>
  <c r="J2273" i="4"/>
  <c r="J2272" i="4"/>
  <c r="J2271" i="4"/>
  <c r="J2270" i="4"/>
  <c r="J2269" i="4"/>
  <c r="J2268" i="4"/>
  <c r="J2267" i="4"/>
  <c r="J2266" i="4"/>
  <c r="J2265" i="4"/>
  <c r="J2264" i="4"/>
  <c r="J2263" i="4"/>
  <c r="J2262" i="4"/>
  <c r="J2261" i="4"/>
  <c r="J2260" i="4"/>
  <c r="J2259" i="4"/>
  <c r="J2258" i="4"/>
  <c r="J2257" i="4"/>
  <c r="J2256" i="4"/>
  <c r="J2255" i="4"/>
  <c r="J2254" i="4"/>
  <c r="J2253" i="4"/>
  <c r="J2252" i="4"/>
  <c r="J2251" i="4"/>
  <c r="J2250" i="4"/>
  <c r="J2249" i="4"/>
  <c r="J224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s.h" type="6" refreshedVersion="0" background="1" saveData="1">
    <textPr fileType="mac" sourceFile="Macintosh HD:Users:jacomostert:Documents:WP43S:gitlab:wp43s:src:wp43s:items.h" delimited="0" decimal="," thousands=" " tab="0" space="1" consecutive="1">
      <textFields count="5">
        <textField/>
        <textField position="7"/>
        <textField position="8"/>
        <textField position="38"/>
        <textField position="42"/>
      </textFields>
    </textPr>
  </connection>
</connections>
</file>

<file path=xl/sharedStrings.xml><?xml version="1.0" encoding="utf-8"?>
<sst xmlns="http://schemas.openxmlformats.org/spreadsheetml/2006/main" count="557" uniqueCount="163">
  <si>
    <t>ITM_DRG</t>
  </si>
  <si>
    <t>Comment</t>
  </si>
  <si>
    <t>PC Key Code</t>
  </si>
  <si>
    <t>CM_NORMAL</t>
  </si>
  <si>
    <t>Calculator Mode</t>
  </si>
  <si>
    <t>Function to run</t>
  </si>
  <si>
    <t>Exit If NIM</t>
  </si>
  <si>
    <t>ExitIfNim</t>
  </si>
  <si>
    <t>ITM_1ONX</t>
  </si>
  <si>
    <t>ITM_SQUAREROOTX</t>
  </si>
  <si>
    <t>C47</t>
  </si>
  <si>
    <t>PC Keyboard codes:</t>
  </si>
  <si>
    <t>https://docs.oracle.com/cd/E67482_01/oscar/pdf/45/OnlineHelp_45/helpOnPS2keyCodes.html</t>
  </si>
  <si>
    <t>ITM_SIGMAPLUS</t>
  </si>
  <si>
    <t>ITM_cos</t>
  </si>
  <si>
    <t>ITM_LN</t>
  </si>
  <si>
    <t>ITM_LOG10</t>
  </si>
  <si>
    <t>ITM_SQUARE</t>
  </si>
  <si>
    <t>ITM_sin</t>
  </si>
  <si>
    <t>ITM_tan</t>
  </si>
  <si>
    <t>ITM_XexY</t>
  </si>
  <si>
    <t>ITM_XEQ</t>
  </si>
  <si>
    <t>ITM_YX</t>
  </si>
  <si>
    <t>[=]&gt;D,R,G</t>
  </si>
  <si>
    <t>[a]ccumulate</t>
  </si>
  <si>
    <t>[c]osine</t>
  </si>
  <si>
    <t>[l]n</t>
  </si>
  <si>
    <t>l[o]g</t>
  </si>
  <si>
    <t>s[q]rt</t>
  </si>
  <si>
    <t>[s]ine</t>
  </si>
  <si>
    <t>[t]angent</t>
  </si>
  <si>
    <t>in[v]erse</t>
  </si>
  <si>
    <t>s[w]ap</t>
  </si>
  <si>
    <t>[x]eq</t>
  </si>
  <si>
    <t>[y]^x</t>
  </si>
  <si>
    <t>=</t>
  </si>
  <si>
    <t>a</t>
  </si>
  <si>
    <t>c</t>
  </si>
  <si>
    <t>l</t>
  </si>
  <si>
    <t>o</t>
  </si>
  <si>
    <t>p</t>
  </si>
  <si>
    <t>q</t>
  </si>
  <si>
    <t>s</t>
  </si>
  <si>
    <t>t</t>
  </si>
  <si>
    <t>v</t>
  </si>
  <si>
    <t>w</t>
  </si>
  <si>
    <t>x</t>
  </si>
  <si>
    <t>y</t>
  </si>
  <si>
    <t>R47</t>
  </si>
  <si>
    <t>ITM_arccos</t>
  </si>
  <si>
    <t>ITM_arcsin</t>
  </si>
  <si>
    <t>ITM_arctan</t>
  </si>
  <si>
    <t>arc[C]osine</t>
  </si>
  <si>
    <t>arc[S]ine</t>
  </si>
  <si>
    <t>arc[T]angent</t>
  </si>
  <si>
    <t>C</t>
  </si>
  <si>
    <t>S</t>
  </si>
  <si>
    <t>T</t>
  </si>
  <si>
    <t>L</t>
  </si>
  <si>
    <t>ITM_EXP</t>
  </si>
  <si>
    <t>O</t>
  </si>
  <si>
    <t>ITM_10x</t>
  </si>
  <si>
    <t>anti[L]n e^x</t>
  </si>
  <si>
    <t>P</t>
  </si>
  <si>
    <t>Y</t>
  </si>
  <si>
    <t>ITM_XTHROOT</t>
  </si>
  <si>
    <t>xth root of [Y]</t>
  </si>
  <si>
    <t>X</t>
  </si>
  <si>
    <t>comple[X]</t>
  </si>
  <si>
    <t>ITM_toREC2</t>
  </si>
  <si>
    <t>ITM_toPOL2</t>
  </si>
  <si>
    <t>-MNU_MODE</t>
  </si>
  <si>
    <t>D</t>
  </si>
  <si>
    <t>-MNU_DISP</t>
  </si>
  <si>
    <t>-MNU_STK</t>
  </si>
  <si>
    <t>n</t>
  </si>
  <si>
    <t>ITM_CHS</t>
  </si>
  <si>
    <t>CHS [n]egative</t>
  </si>
  <si>
    <t>d</t>
  </si>
  <si>
    <t>EXP</t>
  </si>
  <si>
    <t>-MNU_EXP</t>
  </si>
  <si>
    <t>KEY_COMPLEX</t>
  </si>
  <si>
    <t>-&gt;P</t>
  </si>
  <si>
    <t>-&gt;R</t>
  </si>
  <si>
    <t>K</t>
  </si>
  <si>
    <t>Q</t>
  </si>
  <si>
    <t>s[Q]uare</t>
  </si>
  <si>
    <t>ITM_STO</t>
  </si>
  <si>
    <t>[m]emory</t>
  </si>
  <si>
    <t>m</t>
  </si>
  <si>
    <t>ITM_RCL</t>
  </si>
  <si>
    <t>[r]cl</t>
  </si>
  <si>
    <t>r</t>
  </si>
  <si>
    <t>key</t>
  </si>
  <si>
    <t>Std</t>
  </si>
  <si>
    <t>ITM_ENTER</t>
  </si>
  <si>
    <t>ENTER</t>
  </si>
  <si>
    <t>ITM_EXPONENT</t>
  </si>
  <si>
    <t>[e]xponent</t>
  </si>
  <si>
    <t>e</t>
  </si>
  <si>
    <t>[d]own</t>
  </si>
  <si>
    <t>antil[O]g 10^x</t>
  </si>
  <si>
    <t>!ExitIfNim</t>
  </si>
  <si>
    <t>I</t>
  </si>
  <si>
    <t>D[I]SP</t>
  </si>
  <si>
    <t>i</t>
  </si>
  <si>
    <t>Duplicate calc</t>
  </si>
  <si>
    <t>Duplicate</t>
  </si>
  <si>
    <t>Free42</t>
  </si>
  <si>
    <t>V</t>
  </si>
  <si>
    <t>in[V]erse</t>
  </si>
  <si>
    <t>M</t>
  </si>
  <si>
    <t>J</t>
  </si>
  <si>
    <t>ITM_op_j</t>
  </si>
  <si>
    <t>[M]ODE</t>
  </si>
  <si>
    <t>ST[K]</t>
  </si>
  <si>
    <t>R</t>
  </si>
  <si>
    <t>f</t>
  </si>
  <si>
    <t>g</t>
  </si>
  <si>
    <t>ITM_CONSTpi</t>
  </si>
  <si>
    <t>ITM_Rdown</t>
  </si>
  <si>
    <t>ITM_SHIFTf</t>
  </si>
  <si>
    <t>ITM_SHIFTg</t>
  </si>
  <si>
    <t>Calculator
C47/R47/Std</t>
  </si>
  <si>
    <t>if(shortCutCommand(w, event_keyval, 61, allowCondition, exitIfNim, 9999, KK, CM_NORMAL, ITM_DRG ))        {return true;} else        //nn = comm</t>
  </si>
  <si>
    <t>ITM_Rup</t>
  </si>
  <si>
    <t>Up [D]</t>
  </si>
  <si>
    <t>-MNU_PREF</t>
  </si>
  <si>
    <t>PREF [M]</t>
  </si>
  <si>
    <t>F</t>
  </si>
  <si>
    <t>-MNU_PREFIX</t>
  </si>
  <si>
    <t>PRE[F]IX</t>
  </si>
  <si>
    <t>pi</t>
  </si>
  <si>
    <r>
      <t xml:space="preserve">Key n to run (from 0-37)
Key overrides function
</t>
    </r>
    <r>
      <rPr>
        <sz val="12"/>
        <rFont val="Calibri (Body)"/>
      </rPr>
      <t>Key overrides ExitIfNim ??</t>
    </r>
    <r>
      <rPr>
        <sz val="12"/>
        <rFont val="Calibri"/>
        <family val="2"/>
        <scheme val="minor"/>
      </rPr>
      <t xml:space="preserve">
Negative is off</t>
    </r>
  </si>
  <si>
    <t>On Linux, now k does not activate STK, terminal shows: Keyboard Key code: event-&gt;keyval=107 even_keyval=107 (SHIFT_State=-)(ShiftF=0)----- skipping to rest of key detections</t>
  </si>
  <si>
    <t>q and to a lesser extent Q seem to bounce on Windows, but it must be the sim itself (I tried Word, the q does not bounce)</t>
  </si>
  <si>
    <t>X for XEQ on R47 is not ok with double click, errors: No such label found</t>
  </si>
  <si>
    <t>X for XEQ on C47 is ok with double click, it activates alpha (AIM)</t>
  </si>
  <si>
    <t>C47: I think everything works except for the I = [DISP]</t>
  </si>
  <si>
    <t>R47 DISP OK.</t>
  </si>
  <si>
    <t>Linux R47 only misses xx (double click XEQ), same error: No such label found. No DISP issue.</t>
  </si>
  <si>
    <t>On Linux it still works, if I press x another time, XEQ 'F' then XEQ 'FF' etc. until XEQ 'FFFFFF' then No such function, maybe this will put you on the right track</t>
  </si>
  <si>
    <t>k</t>
  </si>
  <si>
    <t>%</t>
  </si>
  <si>
    <t>!</t>
  </si>
  <si>
    <t>U</t>
  </si>
  <si>
    <t>ITM_PC</t>
  </si>
  <si>
    <t>ITM_XFACT</t>
  </si>
  <si>
    <t>ITM_USERMODE</t>
  </si>
  <si>
    <t>[%]</t>
  </si>
  <si>
    <t>x[!]</t>
  </si>
  <si>
    <t>[U]SER</t>
  </si>
  <si>
    <t>'</t>
  </si>
  <si>
    <t>G</t>
  </si>
  <si>
    <t>ITM_AIM</t>
  </si>
  <si>
    <t>alpha [']</t>
  </si>
  <si>
    <t>ITM_GTO</t>
  </si>
  <si>
    <t>[g]TO</t>
  </si>
  <si>
    <t>Disable condition</t>
  </si>
  <si>
    <t>tam.mode</t>
  </si>
  <si>
    <t>ITM_alpha</t>
  </si>
  <si>
    <t>tam.mode!=10009</t>
  </si>
  <si>
    <t xml:space="preserve"> during 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</si>
</sst>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Menlo Regular"/>
    </font>
    <font>
      <sz val="8"/>
      <color theme="5"/>
      <name val="Menlo Regula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2"/>
      <name val="Calibri (Body)"/>
    </font>
    <font>
      <sz val="16"/>
      <color rgb="FF000000"/>
      <name val="Inherit"/>
    </font>
    <font>
      <sz val="16"/>
      <color theme="1"/>
      <name val="Helvetica Neue"/>
      <family val="2"/>
    </font>
    <font>
      <sz val="16"/>
      <color rgb="FF00B050"/>
      <name val="Inherit"/>
    </font>
    <font>
      <sz val="16"/>
      <color rgb="FF00B050"/>
      <name val="Inherit"/>
    </font>
    <font>
      <sz val="16"/>
      <color rgb="FF00B050"/>
      <name val="Helvetica Neue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437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left"/>
    </xf>
    <xf numFmtId="0" fontId="6" fillId="6" borderId="0" xfId="0" quotePrefix="1" applyFont="1" applyFill="1" applyAlignment="1">
      <alignment horizontal="left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6" fillId="13" borderId="0" xfId="0" applyFont="1" applyFill="1" applyAlignment="1">
      <alignment horizontal="center"/>
    </xf>
    <xf numFmtId="0" fontId="6" fillId="10" borderId="0" xfId="0" quotePrefix="1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7" fillId="0" borderId="0" xfId="437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left" wrapText="1"/>
    </xf>
    <xf numFmtId="0" fontId="6" fillId="11" borderId="0" xfId="0" applyFont="1" applyFill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 applyAlignment="1">
      <alignment horizontal="left"/>
    </xf>
    <xf numFmtId="0" fontId="6" fillId="7" borderId="0" xfId="0" quotePrefix="1" applyFont="1" applyFill="1" applyAlignment="1">
      <alignment horizontal="left"/>
    </xf>
    <xf numFmtId="0" fontId="6" fillId="8" borderId="0" xfId="0" applyFont="1" applyFill="1" applyAlignment="1">
      <alignment horizontal="center"/>
    </xf>
    <xf numFmtId="0" fontId="6" fillId="8" borderId="0" xfId="0" quotePrefix="1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3" borderId="0" xfId="0" applyFont="1" applyFill="1"/>
    <xf numFmtId="0" fontId="9" fillId="3" borderId="0" xfId="0" applyFont="1" applyFill="1"/>
    <xf numFmtId="0" fontId="6" fillId="0" borderId="0" xfId="0" quotePrefix="1" applyFont="1" applyAlignment="1">
      <alignment horizontal="center"/>
    </xf>
    <xf numFmtId="0" fontId="6" fillId="14" borderId="0" xfId="0" applyFont="1" applyFill="1" applyAlignment="1">
      <alignment horizontal="center"/>
    </xf>
    <xf numFmtId="0" fontId="6" fillId="14" borderId="0" xfId="0" applyFont="1" applyFill="1" applyAlignment="1">
      <alignment horizontal="left"/>
    </xf>
    <xf numFmtId="0" fontId="6" fillId="14" borderId="0" xfId="0" quotePrefix="1" applyFont="1" applyFill="1" applyAlignment="1">
      <alignment horizontal="left"/>
    </xf>
    <xf numFmtId="0" fontId="6" fillId="14" borderId="0" xfId="0" quotePrefix="1" applyFont="1" applyFill="1" applyAlignment="1">
      <alignment horizontal="center"/>
    </xf>
  </cellXfs>
  <cellStyles count="437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/>
    <cellStyle name="Normal" xfId="0" builtinId="0"/>
  </cellStyles>
  <dxfs count="1">
    <dxf>
      <font>
        <b/>
        <i val="0"/>
        <color rgb="FFFF0000"/>
      </font>
    </dxf>
  </dxfs>
  <tableStyles count="0" defaultTableStyle="TableStyleMedium9" defaultPivotStyle="PivotStyleMedium4"/>
  <colors>
    <mruColors>
      <color rgb="FFD7D7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oracle.com/cd/E67482_01/oscar/pdf/45/OnlineHelp_45/helpOnPS2keyCod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FE35-A90B-3343-BA83-F7F50B48781F}">
  <dimension ref="A1:M124"/>
  <sheetViews>
    <sheetView tabSelected="1" topLeftCell="A24" zoomScale="111" workbookViewId="0">
      <selection activeCell="G4" sqref="G4"/>
    </sheetView>
  </sheetViews>
  <sheetFormatPr baseColWidth="10" defaultRowHeight="16"/>
  <cols>
    <col min="1" max="3" width="10.83203125" style="10"/>
    <col min="4" max="4" width="9.33203125" style="10" bestFit="1" customWidth="1"/>
    <col min="5" max="6" width="16.6640625" style="10" customWidth="1"/>
    <col min="7" max="7" width="23.1640625" style="20" customWidth="1"/>
    <col min="8" max="8" width="23.5" style="20" bestFit="1" customWidth="1"/>
    <col min="9" max="9" width="41" style="20" customWidth="1"/>
    <col min="10" max="16384" width="10.83203125" style="21"/>
  </cols>
  <sheetData>
    <row r="1" spans="1:13">
      <c r="B1" s="10" t="s">
        <v>11</v>
      </c>
      <c r="D1" s="19" t="s">
        <v>12</v>
      </c>
    </row>
    <row r="3" spans="1:13">
      <c r="B3" s="10">
        <v>5</v>
      </c>
      <c r="C3" s="10">
        <v>10</v>
      </c>
      <c r="E3" s="10">
        <v>10</v>
      </c>
      <c r="F3" s="10">
        <v>17</v>
      </c>
      <c r="G3" s="10">
        <v>20</v>
      </c>
      <c r="H3" s="10">
        <v>4</v>
      </c>
      <c r="I3" s="10">
        <v>30</v>
      </c>
    </row>
    <row r="4" spans="1:13" ht="68">
      <c r="B4" s="22" t="s">
        <v>2</v>
      </c>
      <c r="C4" s="22" t="s">
        <v>6</v>
      </c>
      <c r="D4" s="23" t="s">
        <v>123</v>
      </c>
      <c r="E4" s="22" t="s">
        <v>4</v>
      </c>
      <c r="F4" s="22" t="s">
        <v>158</v>
      </c>
      <c r="G4" s="24" t="s">
        <v>5</v>
      </c>
      <c r="H4" s="25" t="s">
        <v>133</v>
      </c>
      <c r="I4" s="24" t="s">
        <v>1</v>
      </c>
      <c r="K4" s="21" t="s">
        <v>108</v>
      </c>
      <c r="L4" s="21" t="s">
        <v>107</v>
      </c>
      <c r="M4" s="21" t="s">
        <v>106</v>
      </c>
    </row>
    <row r="5" spans="1:13" s="20" customFormat="1">
      <c r="A5" s="16" t="s">
        <v>36</v>
      </c>
      <c r="B5" s="7">
        <f t="shared" ref="B5:B16" si="0">CODE(A5)</f>
        <v>97</v>
      </c>
      <c r="C5" s="7" t="s">
        <v>7</v>
      </c>
      <c r="D5" s="7" t="s">
        <v>10</v>
      </c>
      <c r="E5" s="7" t="s">
        <v>3</v>
      </c>
      <c r="F5" s="7" t="s">
        <v>159</v>
      </c>
      <c r="G5" s="8" t="s">
        <v>13</v>
      </c>
      <c r="H5" s="8">
        <v>0</v>
      </c>
      <c r="I5" s="8" t="s">
        <v>24</v>
      </c>
      <c r="J5" s="20">
        <v>1</v>
      </c>
      <c r="K5" s="20">
        <v>0</v>
      </c>
      <c r="L5" s="26" t="str">
        <f>IF(M5,"DUPLICATE","")</f>
        <v/>
      </c>
      <c r="M5" s="20" t="b">
        <f t="array" ref="M5">OR(EXACT(A5, $A6:$A$49))</f>
        <v>0</v>
      </c>
    </row>
    <row r="6" spans="1:13" s="20" customFormat="1">
      <c r="A6" s="16" t="s">
        <v>44</v>
      </c>
      <c r="B6" s="7">
        <f t="shared" si="0"/>
        <v>118</v>
      </c>
      <c r="C6" s="7" t="s">
        <v>7</v>
      </c>
      <c r="D6" s="7" t="s">
        <v>10</v>
      </c>
      <c r="E6" s="7" t="s">
        <v>3</v>
      </c>
      <c r="F6" s="7" t="s">
        <v>159</v>
      </c>
      <c r="G6" s="8" t="s">
        <v>8</v>
      </c>
      <c r="H6" s="8">
        <v>1</v>
      </c>
      <c r="I6" s="8" t="s">
        <v>31</v>
      </c>
      <c r="J6" s="20">
        <v>1</v>
      </c>
      <c r="K6" s="20">
        <v>1</v>
      </c>
      <c r="L6" s="26" t="str">
        <f t="shared" ref="L6:L85" si="1">IF(M6,"DUPLICATE","")</f>
        <v/>
      </c>
      <c r="M6" s="20" t="b">
        <f t="array" ref="M6">OR(EXACT(A6, $A7:$A$49))</f>
        <v>0</v>
      </c>
    </row>
    <row r="7" spans="1:13" s="20" customFormat="1">
      <c r="A7" s="16" t="s">
        <v>41</v>
      </c>
      <c r="B7" s="7">
        <f t="shared" si="0"/>
        <v>113</v>
      </c>
      <c r="C7" s="7" t="s">
        <v>7</v>
      </c>
      <c r="D7" s="7" t="s">
        <v>10</v>
      </c>
      <c r="E7" s="7" t="s">
        <v>3</v>
      </c>
      <c r="F7" s="7" t="s">
        <v>159</v>
      </c>
      <c r="G7" s="8" t="s">
        <v>9</v>
      </c>
      <c r="H7" s="8">
        <v>2</v>
      </c>
      <c r="I7" s="8" t="s">
        <v>28</v>
      </c>
      <c r="J7" s="20">
        <v>3</v>
      </c>
      <c r="K7" s="20">
        <v>2</v>
      </c>
      <c r="L7" s="26" t="str">
        <f t="shared" si="1"/>
        <v/>
      </c>
      <c r="M7" s="20" t="b">
        <f t="array" ref="M7">OR(EXACT(A7, $A8:$A$49))</f>
        <v>0</v>
      </c>
    </row>
    <row r="8" spans="1:13" s="20" customFormat="1">
      <c r="A8" s="16" t="s">
        <v>39</v>
      </c>
      <c r="B8" s="7">
        <f t="shared" si="0"/>
        <v>111</v>
      </c>
      <c r="C8" s="7" t="s">
        <v>7</v>
      </c>
      <c r="D8" s="7" t="s">
        <v>10</v>
      </c>
      <c r="E8" s="7" t="s">
        <v>3</v>
      </c>
      <c r="F8" s="7" t="s">
        <v>159</v>
      </c>
      <c r="G8" s="8" t="s">
        <v>16</v>
      </c>
      <c r="H8" s="8">
        <v>3</v>
      </c>
      <c r="I8" s="8" t="s">
        <v>27</v>
      </c>
      <c r="J8" s="20">
        <v>3</v>
      </c>
      <c r="K8" s="20">
        <v>3</v>
      </c>
      <c r="L8" s="26" t="str">
        <f t="shared" si="1"/>
        <v/>
      </c>
      <c r="M8" s="20" t="b">
        <f t="array" ref="M8">OR(EXACT(A8, $A9:$A$49))</f>
        <v>0</v>
      </c>
    </row>
    <row r="9" spans="1:13" s="20" customFormat="1">
      <c r="A9" s="16" t="s">
        <v>38</v>
      </c>
      <c r="B9" s="7">
        <f t="shared" si="0"/>
        <v>108</v>
      </c>
      <c r="C9" s="7" t="s">
        <v>7</v>
      </c>
      <c r="D9" s="7" t="s">
        <v>10</v>
      </c>
      <c r="E9" s="7" t="s">
        <v>3</v>
      </c>
      <c r="F9" s="7" t="s">
        <v>159</v>
      </c>
      <c r="G9" s="8" t="s">
        <v>15</v>
      </c>
      <c r="H9" s="8">
        <v>4</v>
      </c>
      <c r="I9" s="8" t="s">
        <v>26</v>
      </c>
      <c r="J9" s="20">
        <v>3</v>
      </c>
      <c r="K9" s="20">
        <v>4</v>
      </c>
      <c r="L9" s="26" t="str">
        <f t="shared" si="1"/>
        <v/>
      </c>
      <c r="M9" s="20" t="b">
        <f t="array" ref="M9">OR(EXACT(A9, $A10:$A$49))</f>
        <v>0</v>
      </c>
    </row>
    <row r="10" spans="1:13" s="20" customFormat="1">
      <c r="A10" s="16" t="s">
        <v>46</v>
      </c>
      <c r="B10" s="7">
        <f t="shared" si="0"/>
        <v>120</v>
      </c>
      <c r="C10" s="7" t="s">
        <v>102</v>
      </c>
      <c r="D10" s="7" t="s">
        <v>10</v>
      </c>
      <c r="E10" s="7" t="s">
        <v>3</v>
      </c>
      <c r="F10" s="7" t="b">
        <v>0</v>
      </c>
      <c r="G10" s="8" t="s">
        <v>21</v>
      </c>
      <c r="H10" s="8">
        <v>5</v>
      </c>
      <c r="I10" s="8" t="s">
        <v>33</v>
      </c>
      <c r="J10" s="20">
        <v>0</v>
      </c>
      <c r="K10" s="20">
        <v>5</v>
      </c>
      <c r="L10" s="26" t="str">
        <f t="shared" si="1"/>
        <v/>
      </c>
      <c r="M10" s="20" t="b">
        <f t="array" ref="M10">OR(EXACT(A10, $A11:$A$49))</f>
        <v>0</v>
      </c>
    </row>
    <row r="11" spans="1:13" s="20" customFormat="1">
      <c r="A11" s="16" t="s">
        <v>89</v>
      </c>
      <c r="B11" s="7">
        <f t="shared" si="0"/>
        <v>109</v>
      </c>
      <c r="C11" s="7" t="s">
        <v>7</v>
      </c>
      <c r="D11" s="7" t="s">
        <v>10</v>
      </c>
      <c r="E11" s="7" t="s">
        <v>3</v>
      </c>
      <c r="F11" s="7" t="s">
        <v>159</v>
      </c>
      <c r="G11" s="8" t="s">
        <v>87</v>
      </c>
      <c r="H11" s="8">
        <v>6</v>
      </c>
      <c r="I11" s="8" t="s">
        <v>88</v>
      </c>
      <c r="J11" s="20">
        <v>0</v>
      </c>
      <c r="K11" s="20">
        <v>6</v>
      </c>
      <c r="L11" s="26" t="str">
        <f t="shared" si="1"/>
        <v/>
      </c>
      <c r="M11" s="20" t="b">
        <f t="array" ref="M11">OR(EXACT(A11, $A12:$A$49))</f>
        <v>0</v>
      </c>
    </row>
    <row r="12" spans="1:13" s="20" customFormat="1">
      <c r="A12" s="16" t="s">
        <v>92</v>
      </c>
      <c r="B12" s="7">
        <f t="shared" si="0"/>
        <v>114</v>
      </c>
      <c r="C12" s="7" t="s">
        <v>7</v>
      </c>
      <c r="D12" s="7" t="s">
        <v>10</v>
      </c>
      <c r="E12" s="7" t="s">
        <v>3</v>
      </c>
      <c r="F12" s="7" t="s">
        <v>159</v>
      </c>
      <c r="G12" s="8" t="s">
        <v>90</v>
      </c>
      <c r="H12" s="8">
        <v>7</v>
      </c>
      <c r="I12" s="8" t="s">
        <v>91</v>
      </c>
      <c r="J12" s="20">
        <v>0</v>
      </c>
      <c r="K12" s="20">
        <v>7</v>
      </c>
      <c r="L12" s="26" t="str">
        <f t="shared" si="1"/>
        <v/>
      </c>
      <c r="M12" s="20" t="b">
        <f t="array" ref="M12">OR(EXACT(A12, $A13:$A$49))</f>
        <v>0</v>
      </c>
    </row>
    <row r="13" spans="1:13" s="20" customFormat="1">
      <c r="A13" s="16" t="s">
        <v>78</v>
      </c>
      <c r="B13" s="7">
        <f t="shared" si="0"/>
        <v>100</v>
      </c>
      <c r="C13" s="7" t="s">
        <v>7</v>
      </c>
      <c r="D13" s="7" t="s">
        <v>10</v>
      </c>
      <c r="E13" s="7" t="s">
        <v>3</v>
      </c>
      <c r="F13" s="7" t="s">
        <v>159</v>
      </c>
      <c r="G13" s="8" t="s">
        <v>120</v>
      </c>
      <c r="H13" s="8">
        <v>8</v>
      </c>
      <c r="I13" s="8" t="s">
        <v>100</v>
      </c>
      <c r="J13" s="20">
        <v>0</v>
      </c>
      <c r="K13" s="20">
        <v>8</v>
      </c>
      <c r="L13" s="26" t="str">
        <f t="shared" si="1"/>
        <v/>
      </c>
      <c r="M13" s="20" t="b">
        <f t="array" ref="M13">OR(EXACT(A13, $A14:$A$49))</f>
        <v>0</v>
      </c>
    </row>
    <row r="14" spans="1:13" s="20" customFormat="1">
      <c r="A14" s="16" t="s">
        <v>42</v>
      </c>
      <c r="B14" s="7">
        <f t="shared" si="0"/>
        <v>115</v>
      </c>
      <c r="C14" s="7" t="s">
        <v>7</v>
      </c>
      <c r="D14" s="7" t="s">
        <v>10</v>
      </c>
      <c r="E14" s="7" t="s">
        <v>3</v>
      </c>
      <c r="F14" s="7" t="s">
        <v>159</v>
      </c>
      <c r="G14" s="8" t="s">
        <v>18</v>
      </c>
      <c r="H14" s="8">
        <v>9</v>
      </c>
      <c r="I14" s="8" t="s">
        <v>29</v>
      </c>
      <c r="J14" s="20">
        <v>2</v>
      </c>
      <c r="K14" s="20">
        <v>9</v>
      </c>
      <c r="L14" s="26" t="str">
        <f t="shared" si="1"/>
        <v/>
      </c>
      <c r="M14" s="20" t="b">
        <f t="array" ref="M14">OR(EXACT(A14, $A15:$A$49))</f>
        <v>0</v>
      </c>
    </row>
    <row r="15" spans="1:13" s="20" customFormat="1">
      <c r="A15" s="16" t="s">
        <v>37</v>
      </c>
      <c r="B15" s="7">
        <f t="shared" si="0"/>
        <v>99</v>
      </c>
      <c r="C15" s="7" t="s">
        <v>7</v>
      </c>
      <c r="D15" s="7" t="s">
        <v>10</v>
      </c>
      <c r="E15" s="7" t="s">
        <v>3</v>
      </c>
      <c r="F15" s="7" t="s">
        <v>159</v>
      </c>
      <c r="G15" s="8" t="s">
        <v>14</v>
      </c>
      <c r="H15" s="8">
        <v>10</v>
      </c>
      <c r="I15" s="8" t="s">
        <v>25</v>
      </c>
      <c r="J15" s="20">
        <v>2</v>
      </c>
      <c r="K15" s="20">
        <v>10</v>
      </c>
      <c r="L15" s="26" t="str">
        <f t="shared" si="1"/>
        <v/>
      </c>
      <c r="M15" s="20" t="b">
        <f t="array" ref="M15">OR(EXACT(A15, $A16:$A$49))</f>
        <v>0</v>
      </c>
    </row>
    <row r="16" spans="1:13" s="20" customFormat="1">
      <c r="A16" s="16" t="s">
        <v>43</v>
      </c>
      <c r="B16" s="7">
        <f t="shared" si="0"/>
        <v>116</v>
      </c>
      <c r="C16" s="7" t="s">
        <v>7</v>
      </c>
      <c r="D16" s="7" t="s">
        <v>10</v>
      </c>
      <c r="E16" s="7" t="s">
        <v>3</v>
      </c>
      <c r="F16" s="7" t="s">
        <v>159</v>
      </c>
      <c r="G16" s="8" t="s">
        <v>19</v>
      </c>
      <c r="H16" s="8">
        <v>11</v>
      </c>
      <c r="I16" s="8" t="s">
        <v>30</v>
      </c>
      <c r="J16" s="20">
        <v>2</v>
      </c>
      <c r="K16" s="20">
        <v>11</v>
      </c>
      <c r="L16" s="26" t="str">
        <f t="shared" si="1"/>
        <v/>
      </c>
      <c r="M16" s="20" t="b">
        <f t="array" ref="M16">OR(EXACT(A16, $A17:$A$49))</f>
        <v>0</v>
      </c>
    </row>
    <row r="17" spans="1:13" s="20" customFormat="1">
      <c r="A17" s="16" t="s">
        <v>96</v>
      </c>
      <c r="B17" s="7">
        <v>65421</v>
      </c>
      <c r="C17" s="7" t="s">
        <v>102</v>
      </c>
      <c r="D17" s="7" t="s">
        <v>94</v>
      </c>
      <c r="E17" s="7" t="s">
        <v>3</v>
      </c>
      <c r="F17" s="7" t="b">
        <v>0</v>
      </c>
      <c r="G17" s="8" t="s">
        <v>95</v>
      </c>
      <c r="H17" s="8">
        <v>12</v>
      </c>
      <c r="I17" s="8" t="s">
        <v>93</v>
      </c>
      <c r="J17" s="20">
        <v>0</v>
      </c>
      <c r="K17" s="20">
        <v>12</v>
      </c>
      <c r="L17" s="26" t="str">
        <f t="shared" si="1"/>
        <v/>
      </c>
      <c r="M17" s="20" t="b">
        <f t="array" ref="M17">OR(EXACT(A17, $A18:$A$49))</f>
        <v>0</v>
      </c>
    </row>
    <row r="18" spans="1:13" s="20" customFormat="1">
      <c r="A18" s="16" t="s">
        <v>45</v>
      </c>
      <c r="B18" s="7">
        <f t="shared" ref="B18:B47" si="2">CODE(A18)</f>
        <v>119</v>
      </c>
      <c r="C18" s="7" t="s">
        <v>102</v>
      </c>
      <c r="D18" s="7" t="s">
        <v>94</v>
      </c>
      <c r="E18" s="7" t="s">
        <v>3</v>
      </c>
      <c r="F18" s="7" t="s">
        <v>159</v>
      </c>
      <c r="G18" s="8" t="s">
        <v>20</v>
      </c>
      <c r="H18" s="8">
        <v>13</v>
      </c>
      <c r="I18" s="8" t="s">
        <v>32</v>
      </c>
      <c r="J18" s="20">
        <v>0</v>
      </c>
      <c r="K18" s="20">
        <v>13</v>
      </c>
      <c r="L18" s="26" t="str">
        <f t="shared" si="1"/>
        <v/>
      </c>
      <c r="M18" s="20" t="b">
        <f t="array" ref="M18">OR(EXACT(A18, $A19:$A$49))</f>
        <v>0</v>
      </c>
    </row>
    <row r="19" spans="1:13" s="20" customFormat="1">
      <c r="A19" s="16" t="s">
        <v>75</v>
      </c>
      <c r="B19" s="7">
        <f t="shared" si="2"/>
        <v>110</v>
      </c>
      <c r="C19" s="7" t="s">
        <v>102</v>
      </c>
      <c r="D19" s="7" t="s">
        <v>94</v>
      </c>
      <c r="E19" s="7" t="s">
        <v>3</v>
      </c>
      <c r="F19" s="7" t="s">
        <v>159</v>
      </c>
      <c r="G19" s="8" t="s">
        <v>76</v>
      </c>
      <c r="H19" s="8">
        <v>14</v>
      </c>
      <c r="I19" s="9" t="s">
        <v>77</v>
      </c>
      <c r="J19" s="20">
        <v>0</v>
      </c>
      <c r="K19" s="20">
        <v>14</v>
      </c>
      <c r="L19" s="26" t="str">
        <f t="shared" si="1"/>
        <v/>
      </c>
      <c r="M19" s="20" t="b">
        <f t="array" ref="M19">OR(EXACT(A19, $A20:$A$49))</f>
        <v>0</v>
      </c>
    </row>
    <row r="20" spans="1:13" s="20" customFormat="1">
      <c r="A20" s="16" t="s">
        <v>99</v>
      </c>
      <c r="B20" s="7">
        <f t="shared" si="2"/>
        <v>101</v>
      </c>
      <c r="C20" s="7" t="s">
        <v>102</v>
      </c>
      <c r="D20" s="7" t="s">
        <v>94</v>
      </c>
      <c r="E20" s="7" t="s">
        <v>3</v>
      </c>
      <c r="F20" s="7" t="s">
        <v>159</v>
      </c>
      <c r="G20" s="8" t="s">
        <v>97</v>
      </c>
      <c r="H20" s="8">
        <v>15</v>
      </c>
      <c r="I20" s="8" t="s">
        <v>98</v>
      </c>
      <c r="J20" s="20">
        <v>0</v>
      </c>
      <c r="K20" s="20">
        <v>15</v>
      </c>
      <c r="L20" s="26" t="str">
        <f t="shared" si="1"/>
        <v/>
      </c>
      <c r="M20" s="20" t="b">
        <f t="array" ref="M20">OR(EXACT(A20, $A21:$A$49))</f>
        <v>0</v>
      </c>
    </row>
    <row r="21" spans="1:13" s="20" customFormat="1">
      <c r="A21" s="10" t="s">
        <v>35</v>
      </c>
      <c r="B21" s="27">
        <f t="shared" si="2"/>
        <v>61</v>
      </c>
      <c r="C21" s="27" t="s">
        <v>7</v>
      </c>
      <c r="D21" s="27" t="s">
        <v>10</v>
      </c>
      <c r="E21" s="27" t="s">
        <v>3</v>
      </c>
      <c r="F21" s="27" t="s">
        <v>159</v>
      </c>
      <c r="G21" s="28" t="s">
        <v>0</v>
      </c>
      <c r="H21" s="28">
        <v>-1</v>
      </c>
      <c r="I21" s="28" t="s">
        <v>23</v>
      </c>
      <c r="J21" s="20">
        <v>1</v>
      </c>
      <c r="L21" s="26" t="str">
        <f t="shared" si="1"/>
        <v/>
      </c>
      <c r="M21" s="20" t="b">
        <f t="array" ref="M21">OR(EXACT(A21, $A22:$A$49))</f>
        <v>0</v>
      </c>
    </row>
    <row r="22" spans="1:13" s="20" customFormat="1">
      <c r="A22" s="10" t="s">
        <v>64</v>
      </c>
      <c r="B22" s="27">
        <f t="shared" si="2"/>
        <v>89</v>
      </c>
      <c r="C22" s="27" t="s">
        <v>7</v>
      </c>
      <c r="D22" s="27" t="s">
        <v>10</v>
      </c>
      <c r="E22" s="27" t="s">
        <v>3</v>
      </c>
      <c r="F22" s="27" t="s">
        <v>159</v>
      </c>
      <c r="G22" s="28" t="s">
        <v>22</v>
      </c>
      <c r="H22" s="28">
        <v>-1</v>
      </c>
      <c r="I22" s="28" t="s">
        <v>34</v>
      </c>
      <c r="J22" s="20">
        <v>1</v>
      </c>
      <c r="L22" s="26" t="str">
        <f t="shared" si="1"/>
        <v/>
      </c>
      <c r="M22" s="20" t="b">
        <f t="array" ref="M22">OR(EXACT(A22, $A23:$A$49))</f>
        <v>0</v>
      </c>
    </row>
    <row r="23" spans="1:13" s="20" customFormat="1">
      <c r="A23" s="10" t="s">
        <v>105</v>
      </c>
      <c r="B23" s="27">
        <f t="shared" si="2"/>
        <v>105</v>
      </c>
      <c r="C23" s="27" t="s">
        <v>7</v>
      </c>
      <c r="D23" s="27" t="s">
        <v>10</v>
      </c>
      <c r="E23" s="27" t="s">
        <v>3</v>
      </c>
      <c r="F23" s="27" t="s">
        <v>159</v>
      </c>
      <c r="G23" s="28" t="s">
        <v>113</v>
      </c>
      <c r="H23" s="28">
        <v>-1</v>
      </c>
      <c r="I23" s="29" t="s">
        <v>105</v>
      </c>
      <c r="J23" s="20">
        <v>4</v>
      </c>
      <c r="L23" s="26" t="str">
        <f t="shared" si="1"/>
        <v/>
      </c>
      <c r="M23" s="20" t="b">
        <f t="array" ref="M23">OR(EXACT(A23, $A30:$A$49))</f>
        <v>0</v>
      </c>
    </row>
    <row r="24" spans="1:13" s="20" customFormat="1">
      <c r="A24" s="10" t="s">
        <v>67</v>
      </c>
      <c r="B24" s="27">
        <f t="shared" si="2"/>
        <v>88</v>
      </c>
      <c r="C24" s="27" t="s">
        <v>7</v>
      </c>
      <c r="D24" s="27" t="s">
        <v>10</v>
      </c>
      <c r="E24" s="27" t="s">
        <v>3</v>
      </c>
      <c r="F24" s="27" t="s">
        <v>159</v>
      </c>
      <c r="G24" s="28" t="s">
        <v>81</v>
      </c>
      <c r="H24" s="28">
        <v>-1</v>
      </c>
      <c r="I24" s="28" t="s">
        <v>68</v>
      </c>
      <c r="J24" s="20">
        <v>4</v>
      </c>
      <c r="L24" s="26" t="str">
        <f t="shared" si="1"/>
        <v/>
      </c>
      <c r="M24" s="20" t="b">
        <f t="array" ref="M24">OR(EXACT(A24, $A28:$A$49))</f>
        <v>0</v>
      </c>
    </row>
    <row r="25" spans="1:13" s="20" customFormat="1">
      <c r="A25" s="10" t="s">
        <v>116</v>
      </c>
      <c r="B25" s="27">
        <f t="shared" si="2"/>
        <v>82</v>
      </c>
      <c r="C25" s="27" t="s">
        <v>7</v>
      </c>
      <c r="D25" s="27" t="s">
        <v>10</v>
      </c>
      <c r="E25" s="27" t="s">
        <v>3</v>
      </c>
      <c r="F25" s="27" t="s">
        <v>159</v>
      </c>
      <c r="G25" s="28" t="s">
        <v>69</v>
      </c>
      <c r="H25" s="28">
        <v>-1</v>
      </c>
      <c r="I25" s="29" t="s">
        <v>83</v>
      </c>
      <c r="J25" s="20">
        <v>4</v>
      </c>
      <c r="L25" s="26" t="str">
        <f t="shared" si="1"/>
        <v/>
      </c>
      <c r="M25" s="20" t="b">
        <f t="array" ref="M25">OR(EXACT(A25, $A28:$A$49))</f>
        <v>0</v>
      </c>
    </row>
    <row r="26" spans="1:13" s="20" customFormat="1">
      <c r="A26" s="10" t="s">
        <v>63</v>
      </c>
      <c r="B26" s="27">
        <f t="shared" si="2"/>
        <v>80</v>
      </c>
      <c r="C26" s="27" t="s">
        <v>7</v>
      </c>
      <c r="D26" s="27" t="s">
        <v>10</v>
      </c>
      <c r="E26" s="27" t="s">
        <v>3</v>
      </c>
      <c r="F26" s="27" t="s">
        <v>159</v>
      </c>
      <c r="G26" s="28" t="s">
        <v>70</v>
      </c>
      <c r="H26" s="28">
        <v>-1</v>
      </c>
      <c r="I26" s="29" t="s">
        <v>82</v>
      </c>
      <c r="J26" s="20">
        <v>4</v>
      </c>
      <c r="L26" s="26" t="str">
        <f t="shared" si="1"/>
        <v/>
      </c>
      <c r="M26" s="20" t="b">
        <f t="array" ref="M26">OR(EXACT(A26, $A31:$A$49))</f>
        <v>0</v>
      </c>
    </row>
    <row r="27" spans="1:13" s="20" customFormat="1">
      <c r="A27" s="10" t="s">
        <v>40</v>
      </c>
      <c r="B27" s="27">
        <f t="shared" si="2"/>
        <v>112</v>
      </c>
      <c r="C27" s="27" t="s">
        <v>7</v>
      </c>
      <c r="D27" s="27" t="s">
        <v>10</v>
      </c>
      <c r="E27" s="27" t="s">
        <v>3</v>
      </c>
      <c r="F27" s="27" t="s">
        <v>159</v>
      </c>
      <c r="G27" s="28" t="s">
        <v>119</v>
      </c>
      <c r="H27" s="28">
        <v>-1</v>
      </c>
      <c r="I27" s="28" t="s">
        <v>132</v>
      </c>
      <c r="J27" s="20">
        <v>1</v>
      </c>
      <c r="L27" s="26" t="str">
        <f t="shared" si="1"/>
        <v/>
      </c>
      <c r="M27" s="20" t="b">
        <f t="array" ref="M27">OR(EXACT(A27, $A28:$A$49))</f>
        <v>0</v>
      </c>
    </row>
    <row r="28" spans="1:13" s="20" customFormat="1">
      <c r="A28" s="10" t="s">
        <v>109</v>
      </c>
      <c r="B28" s="13">
        <f t="shared" si="2"/>
        <v>86</v>
      </c>
      <c r="C28" s="13" t="s">
        <v>7</v>
      </c>
      <c r="D28" s="13" t="s">
        <v>10</v>
      </c>
      <c r="E28" s="13" t="s">
        <v>3</v>
      </c>
      <c r="F28" s="13" t="s">
        <v>159</v>
      </c>
      <c r="G28" s="14" t="s">
        <v>8</v>
      </c>
      <c r="H28" s="14">
        <v>-1</v>
      </c>
      <c r="I28" s="14" t="s">
        <v>110</v>
      </c>
      <c r="J28" s="20">
        <v>1</v>
      </c>
      <c r="L28" s="26" t="str">
        <f t="shared" si="1"/>
        <v/>
      </c>
      <c r="M28" s="20" t="b">
        <f t="array" ref="M28">OR(EXACT(A28, $A29:$A$49))</f>
        <v>0</v>
      </c>
    </row>
    <row r="29" spans="1:13" s="20" customFormat="1">
      <c r="A29" s="10" t="s">
        <v>47</v>
      </c>
      <c r="B29" s="13">
        <f t="shared" si="2"/>
        <v>121</v>
      </c>
      <c r="C29" s="13" t="s">
        <v>7</v>
      </c>
      <c r="D29" s="13" t="s">
        <v>10</v>
      </c>
      <c r="E29" s="13" t="s">
        <v>3</v>
      </c>
      <c r="F29" s="13" t="s">
        <v>159</v>
      </c>
      <c r="G29" s="14" t="s">
        <v>65</v>
      </c>
      <c r="H29" s="14">
        <v>-1</v>
      </c>
      <c r="I29" s="14" t="s">
        <v>66</v>
      </c>
      <c r="J29" s="20">
        <v>2</v>
      </c>
      <c r="L29" s="26" t="str">
        <f t="shared" si="1"/>
        <v/>
      </c>
      <c r="M29" s="20" t="b">
        <f t="array" ref="M29">OR(EXACT(A29, $A30:$A$49))</f>
        <v>0</v>
      </c>
    </row>
    <row r="30" spans="1:13" s="20" customFormat="1">
      <c r="A30" s="10" t="s">
        <v>55</v>
      </c>
      <c r="B30" s="13">
        <f t="shared" si="2"/>
        <v>67</v>
      </c>
      <c r="C30" s="13" t="s">
        <v>7</v>
      </c>
      <c r="D30" s="13" t="s">
        <v>10</v>
      </c>
      <c r="E30" s="13" t="s">
        <v>3</v>
      </c>
      <c r="F30" s="13" t="s">
        <v>159</v>
      </c>
      <c r="G30" s="14" t="s">
        <v>49</v>
      </c>
      <c r="H30" s="14">
        <v>-1</v>
      </c>
      <c r="I30" s="14" t="s">
        <v>52</v>
      </c>
      <c r="J30" s="20">
        <v>2</v>
      </c>
      <c r="L30" s="26" t="str">
        <f t="shared" si="1"/>
        <v/>
      </c>
      <c r="M30" s="20" t="b">
        <f t="array" ref="M30">OR(EXACT(A30, $A31:$A$49))</f>
        <v>0</v>
      </c>
    </row>
    <row r="31" spans="1:13" s="20" customFormat="1">
      <c r="A31" s="10" t="s">
        <v>56</v>
      </c>
      <c r="B31" s="13">
        <f t="shared" si="2"/>
        <v>83</v>
      </c>
      <c r="C31" s="13" t="s">
        <v>7</v>
      </c>
      <c r="D31" s="13" t="s">
        <v>10</v>
      </c>
      <c r="E31" s="13" t="s">
        <v>3</v>
      </c>
      <c r="F31" s="13" t="s">
        <v>159</v>
      </c>
      <c r="G31" s="14" t="s">
        <v>50</v>
      </c>
      <c r="H31" s="14">
        <v>-1</v>
      </c>
      <c r="I31" s="14" t="s">
        <v>53</v>
      </c>
      <c r="J31" s="20">
        <v>2</v>
      </c>
      <c r="L31" s="26" t="str">
        <f t="shared" si="1"/>
        <v/>
      </c>
      <c r="M31" s="20" t="b">
        <f t="array" ref="M31">OR(EXACT(A31, $A32:$A$49))</f>
        <v>0</v>
      </c>
    </row>
    <row r="32" spans="1:13" s="20" customFormat="1">
      <c r="A32" s="10" t="s">
        <v>57</v>
      </c>
      <c r="B32" s="13">
        <f t="shared" si="2"/>
        <v>84</v>
      </c>
      <c r="C32" s="13" t="s">
        <v>7</v>
      </c>
      <c r="D32" s="13" t="s">
        <v>10</v>
      </c>
      <c r="E32" s="13" t="s">
        <v>3</v>
      </c>
      <c r="F32" s="13" t="s">
        <v>159</v>
      </c>
      <c r="G32" s="14" t="s">
        <v>51</v>
      </c>
      <c r="H32" s="14">
        <v>-1</v>
      </c>
      <c r="I32" s="14" t="s">
        <v>54</v>
      </c>
      <c r="J32" s="20">
        <v>2</v>
      </c>
      <c r="L32" s="26" t="str">
        <f t="shared" si="1"/>
        <v/>
      </c>
      <c r="M32" s="20" t="b">
        <f t="array" ref="M32">OR(EXACT(A32, $A33:$A$49))</f>
        <v>0</v>
      </c>
    </row>
    <row r="33" spans="1:13" s="20" customFormat="1">
      <c r="A33" s="10" t="s">
        <v>58</v>
      </c>
      <c r="B33" s="13">
        <f t="shared" si="2"/>
        <v>76</v>
      </c>
      <c r="C33" s="13" t="s">
        <v>7</v>
      </c>
      <c r="D33" s="13" t="s">
        <v>10</v>
      </c>
      <c r="E33" s="13" t="s">
        <v>3</v>
      </c>
      <c r="F33" s="13" t="s">
        <v>159</v>
      </c>
      <c r="G33" s="14" t="s">
        <v>59</v>
      </c>
      <c r="H33" s="14">
        <v>-1</v>
      </c>
      <c r="I33" s="14" t="s">
        <v>62</v>
      </c>
      <c r="J33" s="20">
        <v>3</v>
      </c>
      <c r="L33" s="26" t="str">
        <f t="shared" si="1"/>
        <v/>
      </c>
      <c r="M33" s="20" t="b">
        <f t="array" ref="M33">OR(EXACT(A33, $A34:$A$49))</f>
        <v>0</v>
      </c>
    </row>
    <row r="34" spans="1:13" s="20" customFormat="1">
      <c r="A34" s="10" t="s">
        <v>60</v>
      </c>
      <c r="B34" s="13">
        <f t="shared" si="2"/>
        <v>79</v>
      </c>
      <c r="C34" s="13" t="s">
        <v>7</v>
      </c>
      <c r="D34" s="13" t="s">
        <v>10</v>
      </c>
      <c r="E34" s="13" t="s">
        <v>3</v>
      </c>
      <c r="F34" s="13" t="s">
        <v>159</v>
      </c>
      <c r="G34" s="14" t="s">
        <v>61</v>
      </c>
      <c r="H34" s="14">
        <v>-1</v>
      </c>
      <c r="I34" s="14" t="s">
        <v>101</v>
      </c>
      <c r="J34" s="20">
        <v>3</v>
      </c>
      <c r="L34" s="26" t="str">
        <f t="shared" si="1"/>
        <v/>
      </c>
      <c r="M34" s="20" t="b">
        <f t="array" ref="M34">OR(EXACT(A34, $A35:$A$49))</f>
        <v>0</v>
      </c>
    </row>
    <row r="35" spans="1:13" s="20" customFormat="1">
      <c r="A35" s="10" t="s">
        <v>85</v>
      </c>
      <c r="B35" s="13">
        <f t="shared" si="2"/>
        <v>81</v>
      </c>
      <c r="C35" s="13" t="s">
        <v>7</v>
      </c>
      <c r="D35" s="13" t="s">
        <v>10</v>
      </c>
      <c r="E35" s="13" t="s">
        <v>3</v>
      </c>
      <c r="F35" s="13" t="s">
        <v>159</v>
      </c>
      <c r="G35" s="14" t="s">
        <v>17</v>
      </c>
      <c r="H35" s="14">
        <v>-1</v>
      </c>
      <c r="I35" s="14" t="s">
        <v>86</v>
      </c>
      <c r="J35" s="20">
        <v>3</v>
      </c>
      <c r="L35" s="26" t="str">
        <f t="shared" si="1"/>
        <v/>
      </c>
      <c r="M35" s="20" t="b">
        <f t="array" ref="M35">OR(EXACT(A35, $A37:$A$49))</f>
        <v>0</v>
      </c>
    </row>
    <row r="36" spans="1:13" s="20" customFormat="1">
      <c r="A36" s="10" t="s">
        <v>72</v>
      </c>
      <c r="B36" s="13">
        <f t="shared" si="2"/>
        <v>68</v>
      </c>
      <c r="C36" s="13" t="s">
        <v>7</v>
      </c>
      <c r="D36" s="13" t="s">
        <v>10</v>
      </c>
      <c r="E36" s="13" t="s">
        <v>3</v>
      </c>
      <c r="F36" s="13" t="s">
        <v>159</v>
      </c>
      <c r="G36" s="14" t="s">
        <v>125</v>
      </c>
      <c r="H36" s="14">
        <v>-1</v>
      </c>
      <c r="I36" s="14" t="s">
        <v>126</v>
      </c>
      <c r="J36" s="20">
        <v>0</v>
      </c>
      <c r="K36" s="20">
        <v>8</v>
      </c>
      <c r="L36" s="26" t="str">
        <f t="shared" si="1"/>
        <v/>
      </c>
      <c r="M36" s="20" t="b">
        <f t="array" ref="M36">OR(EXACT(A36, $A37:$A$49))</f>
        <v>0</v>
      </c>
    </row>
    <row r="37" spans="1:13" s="20" customFormat="1">
      <c r="A37" s="10" t="s">
        <v>103</v>
      </c>
      <c r="B37" s="30">
        <f t="shared" si="2"/>
        <v>73</v>
      </c>
      <c r="C37" s="30" t="s">
        <v>102</v>
      </c>
      <c r="D37" s="30" t="s">
        <v>10</v>
      </c>
      <c r="E37" s="30" t="s">
        <v>3</v>
      </c>
      <c r="F37" s="30" t="b">
        <v>0</v>
      </c>
      <c r="G37" s="31" t="s">
        <v>73</v>
      </c>
      <c r="H37" s="31">
        <v>-1</v>
      </c>
      <c r="I37" s="31" t="s">
        <v>104</v>
      </c>
      <c r="J37" s="20">
        <v>5</v>
      </c>
      <c r="L37" s="26" t="str">
        <f t="shared" si="1"/>
        <v/>
      </c>
      <c r="M37" s="20" t="b">
        <f t="array" ref="M37">OR(EXACT(A37, $A38:$A$49))</f>
        <v>0</v>
      </c>
    </row>
    <row r="38" spans="1:13" s="20" customFormat="1">
      <c r="A38" s="10" t="s">
        <v>112</v>
      </c>
      <c r="B38" s="30">
        <f t="shared" si="2"/>
        <v>74</v>
      </c>
      <c r="C38" s="30" t="s">
        <v>102</v>
      </c>
      <c r="D38" s="30" t="s">
        <v>10</v>
      </c>
      <c r="E38" s="30" t="s">
        <v>3</v>
      </c>
      <c r="F38" s="30" t="b">
        <v>0</v>
      </c>
      <c r="G38" s="31" t="s">
        <v>80</v>
      </c>
      <c r="H38" s="31">
        <v>-1</v>
      </c>
      <c r="I38" s="31" t="s">
        <v>79</v>
      </c>
      <c r="J38" s="20">
        <v>5</v>
      </c>
      <c r="L38" s="26" t="str">
        <f t="shared" si="1"/>
        <v/>
      </c>
      <c r="M38" s="20" t="b">
        <f t="array" ref="M38">OR(EXACT(A38, $A39:$A$49))</f>
        <v>0</v>
      </c>
    </row>
    <row r="39" spans="1:13" s="20" customFormat="1">
      <c r="A39" s="10" t="s">
        <v>84</v>
      </c>
      <c r="B39" s="30">
        <f t="shared" si="2"/>
        <v>75</v>
      </c>
      <c r="C39" s="30" t="s">
        <v>102</v>
      </c>
      <c r="D39" s="30" t="s">
        <v>10</v>
      </c>
      <c r="E39" s="30" t="s">
        <v>3</v>
      </c>
      <c r="F39" s="30" t="b">
        <v>0</v>
      </c>
      <c r="G39" s="31" t="s">
        <v>74</v>
      </c>
      <c r="H39" s="31">
        <v>-1</v>
      </c>
      <c r="I39" s="31" t="s">
        <v>115</v>
      </c>
      <c r="J39" s="20">
        <v>5</v>
      </c>
      <c r="L39" s="26" t="str">
        <f t="shared" si="1"/>
        <v/>
      </c>
      <c r="M39" s="20" t="b">
        <f t="array" ref="M39">OR(EXACT(A39, $A40:$A$49))</f>
        <v>0</v>
      </c>
    </row>
    <row r="40" spans="1:13" s="20" customFormat="1">
      <c r="A40" s="10" t="s">
        <v>111</v>
      </c>
      <c r="B40" s="30">
        <f t="shared" si="2"/>
        <v>77</v>
      </c>
      <c r="C40" s="30" t="s">
        <v>102</v>
      </c>
      <c r="D40" s="30" t="s">
        <v>10</v>
      </c>
      <c r="E40" s="30" t="s">
        <v>3</v>
      </c>
      <c r="F40" s="30" t="b">
        <v>0</v>
      </c>
      <c r="G40" s="31" t="s">
        <v>71</v>
      </c>
      <c r="H40" s="31">
        <v>-1</v>
      </c>
      <c r="I40" s="31" t="s">
        <v>114</v>
      </c>
      <c r="J40" s="20">
        <v>5</v>
      </c>
      <c r="L40" s="26" t="str">
        <f t="shared" si="1"/>
        <v/>
      </c>
      <c r="M40" s="20" t="b">
        <f t="array" ref="M40">OR(EXACT(A40, $A41:$A$49))</f>
        <v>0</v>
      </c>
    </row>
    <row r="41" spans="1:13" s="20" customFormat="1">
      <c r="A41" s="10" t="s">
        <v>129</v>
      </c>
      <c r="B41" s="30">
        <f t="shared" si="2"/>
        <v>70</v>
      </c>
      <c r="C41" s="30" t="s">
        <v>102</v>
      </c>
      <c r="D41" s="30" t="s">
        <v>10</v>
      </c>
      <c r="E41" s="30" t="s">
        <v>3</v>
      </c>
      <c r="F41" s="30" t="b">
        <v>0</v>
      </c>
      <c r="G41" s="31" t="s">
        <v>130</v>
      </c>
      <c r="H41" s="31">
        <v>-1</v>
      </c>
      <c r="I41" s="31" t="s">
        <v>131</v>
      </c>
      <c r="J41" s="20">
        <v>5</v>
      </c>
      <c r="L41" s="26" t="str">
        <f t="shared" si="1"/>
        <v/>
      </c>
      <c r="M41" s="20" t="b">
        <f t="array" ref="M41">OR(EXACT(A41, $A42:$A$49))</f>
        <v>0</v>
      </c>
    </row>
    <row r="42" spans="1:13" s="20" customFormat="1">
      <c r="A42" s="10" t="s">
        <v>143</v>
      </c>
      <c r="B42" s="13">
        <f t="shared" si="2"/>
        <v>37</v>
      </c>
      <c r="C42" s="13" t="s">
        <v>7</v>
      </c>
      <c r="D42" s="13" t="s">
        <v>10</v>
      </c>
      <c r="E42" s="13" t="s">
        <v>3</v>
      </c>
      <c r="F42" s="13" t="s">
        <v>159</v>
      </c>
      <c r="G42" s="14" t="s">
        <v>146</v>
      </c>
      <c r="H42" s="14">
        <v>-1</v>
      </c>
      <c r="I42" s="14" t="s">
        <v>149</v>
      </c>
    </row>
    <row r="43" spans="1:13" s="20" customFormat="1">
      <c r="A43" s="10" t="s">
        <v>144</v>
      </c>
      <c r="B43" s="13">
        <f t="shared" si="2"/>
        <v>33</v>
      </c>
      <c r="C43" s="13" t="s">
        <v>7</v>
      </c>
      <c r="D43" s="13" t="s">
        <v>10</v>
      </c>
      <c r="E43" s="13" t="s">
        <v>3</v>
      </c>
      <c r="F43" s="13" t="s">
        <v>159</v>
      </c>
      <c r="G43" s="14" t="s">
        <v>147</v>
      </c>
      <c r="H43" s="14">
        <v>-1</v>
      </c>
      <c r="I43" s="14" t="s">
        <v>150</v>
      </c>
    </row>
    <row r="44" spans="1:13" s="20" customFormat="1">
      <c r="A44" s="10" t="s">
        <v>145</v>
      </c>
      <c r="B44" s="13">
        <f t="shared" si="2"/>
        <v>85</v>
      </c>
      <c r="C44" s="13" t="s">
        <v>7</v>
      </c>
      <c r="D44" s="13" t="s">
        <v>10</v>
      </c>
      <c r="E44" s="13" t="s">
        <v>3</v>
      </c>
      <c r="F44" s="13" t="b">
        <v>0</v>
      </c>
      <c r="G44" s="14" t="s">
        <v>148</v>
      </c>
      <c r="H44" s="14">
        <v>-1</v>
      </c>
      <c r="I44" s="14" t="s">
        <v>151</v>
      </c>
    </row>
    <row r="45" spans="1:13" s="20" customFormat="1">
      <c r="A45" s="39" t="s">
        <v>152</v>
      </c>
      <c r="B45" s="40">
        <f t="shared" si="2"/>
        <v>39</v>
      </c>
      <c r="C45" s="40" t="s">
        <v>7</v>
      </c>
      <c r="D45" s="40" t="s">
        <v>10</v>
      </c>
      <c r="E45" s="40" t="s">
        <v>3</v>
      </c>
      <c r="F45" s="40" t="s">
        <v>159</v>
      </c>
      <c r="G45" s="41" t="s">
        <v>154</v>
      </c>
      <c r="H45" s="41">
        <v>-1</v>
      </c>
      <c r="I45" s="41" t="s">
        <v>155</v>
      </c>
    </row>
    <row r="46" spans="1:13" s="20" customFormat="1">
      <c r="A46" s="10" t="s">
        <v>153</v>
      </c>
      <c r="B46" s="40">
        <f t="shared" si="2"/>
        <v>71</v>
      </c>
      <c r="C46" s="40" t="s">
        <v>7</v>
      </c>
      <c r="D46" s="40" t="s">
        <v>10</v>
      </c>
      <c r="E46" s="40" t="s">
        <v>3</v>
      </c>
      <c r="F46" s="40" t="s">
        <v>159</v>
      </c>
      <c r="G46" s="41" t="s">
        <v>156</v>
      </c>
      <c r="H46" s="41">
        <v>-1</v>
      </c>
      <c r="I46" s="41" t="s">
        <v>157</v>
      </c>
    </row>
    <row r="47" spans="1:13" s="20" customFormat="1">
      <c r="A47" s="39" t="s">
        <v>152</v>
      </c>
      <c r="B47" s="40">
        <f t="shared" si="2"/>
        <v>39</v>
      </c>
      <c r="C47" s="40" t="s">
        <v>7</v>
      </c>
      <c r="D47" s="40" t="s">
        <v>10</v>
      </c>
      <c r="E47" s="40" t="s">
        <v>3</v>
      </c>
      <c r="F47" s="43" t="s">
        <v>161</v>
      </c>
      <c r="G47" s="41" t="s">
        <v>160</v>
      </c>
      <c r="H47" s="41">
        <v>-1</v>
      </c>
      <c r="I47" s="42" t="s">
        <v>162</v>
      </c>
    </row>
    <row r="48" spans="1:13" s="20" customFormat="1">
      <c r="A48" s="10"/>
      <c r="B48" s="10"/>
      <c r="C48" s="10"/>
      <c r="D48" s="10"/>
      <c r="E48" s="10"/>
      <c r="F48" s="10"/>
    </row>
    <row r="49" spans="1:13" s="20" customFormat="1">
      <c r="A49" s="10"/>
      <c r="B49" s="10"/>
      <c r="C49" s="10"/>
      <c r="D49" s="10"/>
      <c r="E49" s="10"/>
      <c r="F49" s="10"/>
    </row>
    <row r="50" spans="1:13" s="20" customFormat="1">
      <c r="A50" s="16" t="str">
        <f t="shared" ref="A50:A59" si="3">INDEX($A$5:$A$40,MATCH(G50,$G$5:$G$40,0))</f>
        <v>Q</v>
      </c>
      <c r="B50" s="7">
        <f>CODE(A50)</f>
        <v>81</v>
      </c>
      <c r="C50" s="11" t="s">
        <v>7</v>
      </c>
      <c r="D50" s="11" t="s">
        <v>48</v>
      </c>
      <c r="E50" s="11" t="s">
        <v>3</v>
      </c>
      <c r="F50" s="11" t="s">
        <v>159</v>
      </c>
      <c r="G50" s="15" t="s">
        <v>17</v>
      </c>
      <c r="H50" s="15">
        <v>0</v>
      </c>
      <c r="I50" s="15" t="str">
        <f t="shared" ref="I50:I59" si="4">INDEX($I$5:$I$40,MATCH(G50,$G$5:$G$40,0))</f>
        <v>s[Q]uare</v>
      </c>
      <c r="L50" s="26" t="str">
        <f t="shared" si="1"/>
        <v/>
      </c>
      <c r="M50" s="20" t="b">
        <f t="array" ref="M50:M88">OR(EXACT(A50, $A51:$A$88))</f>
        <v>0</v>
      </c>
    </row>
    <row r="51" spans="1:13" s="20" customFormat="1">
      <c r="A51" s="16" t="str">
        <f t="shared" si="3"/>
        <v>q</v>
      </c>
      <c r="B51" s="7">
        <f t="shared" ref="B51:B84" si="5">CODE(A51)</f>
        <v>113</v>
      </c>
      <c r="C51" s="11" t="s">
        <v>7</v>
      </c>
      <c r="D51" s="11" t="s">
        <v>48</v>
      </c>
      <c r="E51" s="11" t="s">
        <v>3</v>
      </c>
      <c r="F51" s="11" t="s">
        <v>159</v>
      </c>
      <c r="G51" s="15" t="s">
        <v>9</v>
      </c>
      <c r="H51" s="15">
        <v>1</v>
      </c>
      <c r="I51" s="15" t="str">
        <f t="shared" si="4"/>
        <v>s[q]rt</v>
      </c>
      <c r="L51" s="26" t="str">
        <f t="shared" si="1"/>
        <v/>
      </c>
      <c r="M51" s="20" t="b">
        <v>0</v>
      </c>
    </row>
    <row r="52" spans="1:13" s="20" customFormat="1">
      <c r="A52" s="16" t="str">
        <f t="shared" si="3"/>
        <v>v</v>
      </c>
      <c r="B52" s="7">
        <f t="shared" si="5"/>
        <v>118</v>
      </c>
      <c r="C52" s="11" t="s">
        <v>7</v>
      </c>
      <c r="D52" s="11" t="s">
        <v>48</v>
      </c>
      <c r="E52" s="11" t="s">
        <v>3</v>
      </c>
      <c r="F52" s="11" t="s">
        <v>159</v>
      </c>
      <c r="G52" s="15" t="s">
        <v>8</v>
      </c>
      <c r="H52" s="15">
        <v>2</v>
      </c>
      <c r="I52" s="15" t="str">
        <f t="shared" si="4"/>
        <v>in[v]erse</v>
      </c>
      <c r="L52" s="26" t="str">
        <f t="shared" si="1"/>
        <v/>
      </c>
      <c r="M52" s="20" t="b">
        <v>0</v>
      </c>
    </row>
    <row r="53" spans="1:13" s="20" customFormat="1">
      <c r="A53" s="16" t="s">
        <v>47</v>
      </c>
      <c r="B53" s="7">
        <f t="shared" si="5"/>
        <v>121</v>
      </c>
      <c r="C53" s="11" t="s">
        <v>7</v>
      </c>
      <c r="D53" s="11" t="s">
        <v>48</v>
      </c>
      <c r="E53" s="11" t="s">
        <v>3</v>
      </c>
      <c r="F53" s="11" t="s">
        <v>159</v>
      </c>
      <c r="G53" s="15" t="s">
        <v>22</v>
      </c>
      <c r="H53" s="15">
        <v>3</v>
      </c>
      <c r="I53" s="15" t="str">
        <f t="shared" si="4"/>
        <v>[y]^x</v>
      </c>
      <c r="L53" s="26" t="str">
        <f t="shared" si="1"/>
        <v/>
      </c>
      <c r="M53" s="20" t="b">
        <v>0</v>
      </c>
    </row>
    <row r="54" spans="1:13" s="20" customFormat="1">
      <c r="A54" s="16" t="str">
        <f t="shared" si="3"/>
        <v>o</v>
      </c>
      <c r="B54" s="7">
        <f t="shared" si="5"/>
        <v>111</v>
      </c>
      <c r="C54" s="11" t="s">
        <v>7</v>
      </c>
      <c r="D54" s="11" t="s">
        <v>48</v>
      </c>
      <c r="E54" s="11" t="s">
        <v>3</v>
      </c>
      <c r="F54" s="11" t="s">
        <v>159</v>
      </c>
      <c r="G54" s="15" t="s">
        <v>16</v>
      </c>
      <c r="H54" s="15">
        <v>4</v>
      </c>
      <c r="I54" s="15" t="str">
        <f t="shared" si="4"/>
        <v>l[o]g</v>
      </c>
      <c r="L54" s="26" t="str">
        <f t="shared" si="1"/>
        <v/>
      </c>
      <c r="M54" s="20" t="b">
        <v>0</v>
      </c>
    </row>
    <row r="55" spans="1:13" s="20" customFormat="1">
      <c r="A55" s="16" t="str">
        <f t="shared" si="3"/>
        <v>l</v>
      </c>
      <c r="B55" s="7">
        <f t="shared" si="5"/>
        <v>108</v>
      </c>
      <c r="C55" s="11" t="s">
        <v>7</v>
      </c>
      <c r="D55" s="11" t="s">
        <v>48</v>
      </c>
      <c r="E55" s="11" t="s">
        <v>3</v>
      </c>
      <c r="F55" s="11" t="s">
        <v>159</v>
      </c>
      <c r="G55" s="15" t="s">
        <v>15</v>
      </c>
      <c r="H55" s="15">
        <v>5</v>
      </c>
      <c r="I55" s="15" t="str">
        <f t="shared" si="4"/>
        <v>[l]n</v>
      </c>
      <c r="L55" s="26" t="str">
        <f t="shared" si="1"/>
        <v/>
      </c>
      <c r="M55" s="20" t="b">
        <v>0</v>
      </c>
    </row>
    <row r="56" spans="1:13" s="20" customFormat="1">
      <c r="A56" s="16" t="str">
        <f t="shared" si="3"/>
        <v>m</v>
      </c>
      <c r="B56" s="7">
        <f t="shared" si="5"/>
        <v>109</v>
      </c>
      <c r="C56" s="11" t="s">
        <v>7</v>
      </c>
      <c r="D56" s="11" t="s">
        <v>48</v>
      </c>
      <c r="E56" s="11" t="s">
        <v>3</v>
      </c>
      <c r="F56" s="11" t="s">
        <v>159</v>
      </c>
      <c r="G56" s="15" t="s">
        <v>87</v>
      </c>
      <c r="H56" s="15">
        <v>6</v>
      </c>
      <c r="I56" s="15" t="str">
        <f t="shared" si="4"/>
        <v>[m]emory</v>
      </c>
      <c r="L56" s="26" t="str">
        <f t="shared" si="1"/>
        <v/>
      </c>
      <c r="M56" s="20" t="b">
        <v>0</v>
      </c>
    </row>
    <row r="57" spans="1:13" s="20" customFormat="1">
      <c r="A57" s="16" t="str">
        <f t="shared" si="3"/>
        <v>r</v>
      </c>
      <c r="B57" s="7">
        <f t="shared" si="5"/>
        <v>114</v>
      </c>
      <c r="C57" s="11" t="s">
        <v>7</v>
      </c>
      <c r="D57" s="11" t="s">
        <v>48</v>
      </c>
      <c r="E57" s="11" t="s">
        <v>3</v>
      </c>
      <c r="F57" s="11" t="s">
        <v>159</v>
      </c>
      <c r="G57" s="15" t="s">
        <v>90</v>
      </c>
      <c r="H57" s="15">
        <v>7</v>
      </c>
      <c r="I57" s="15" t="str">
        <f t="shared" si="4"/>
        <v>[r]cl</v>
      </c>
      <c r="L57" s="26" t="str">
        <f t="shared" si="1"/>
        <v/>
      </c>
      <c r="M57" s="20" t="b">
        <v>0</v>
      </c>
    </row>
    <row r="58" spans="1:13" s="20" customFormat="1">
      <c r="A58" s="16" t="str">
        <f t="shared" si="3"/>
        <v>d</v>
      </c>
      <c r="B58" s="7">
        <f t="shared" si="5"/>
        <v>100</v>
      </c>
      <c r="C58" s="11" t="s">
        <v>7</v>
      </c>
      <c r="D58" s="11" t="s">
        <v>48</v>
      </c>
      <c r="E58" s="11" t="s">
        <v>3</v>
      </c>
      <c r="F58" s="11" t="s">
        <v>159</v>
      </c>
      <c r="G58" s="15" t="s">
        <v>120</v>
      </c>
      <c r="H58" s="15">
        <v>8</v>
      </c>
      <c r="I58" s="15" t="str">
        <f t="shared" si="4"/>
        <v>[d]own</v>
      </c>
      <c r="L58" s="26" t="str">
        <f t="shared" si="1"/>
        <v/>
      </c>
      <c r="M58" s="20" t="b">
        <v>0</v>
      </c>
    </row>
    <row r="59" spans="1:13" s="20" customFormat="1">
      <c r="A59" s="16" t="str">
        <f t="shared" si="3"/>
        <v>=</v>
      </c>
      <c r="B59" s="7">
        <f t="shared" si="5"/>
        <v>61</v>
      </c>
      <c r="C59" s="11" t="s">
        <v>7</v>
      </c>
      <c r="D59" s="11" t="s">
        <v>48</v>
      </c>
      <c r="E59" s="11" t="s">
        <v>3</v>
      </c>
      <c r="F59" s="11" t="s">
        <v>159</v>
      </c>
      <c r="G59" s="15" t="s">
        <v>0</v>
      </c>
      <c r="H59" s="32">
        <v>-1</v>
      </c>
      <c r="I59" s="15" t="str">
        <f t="shared" si="4"/>
        <v>[=]&gt;D,R,G</v>
      </c>
      <c r="L59" s="26" t="str">
        <f t="shared" si="1"/>
        <v/>
      </c>
      <c r="M59" s="20" t="b">
        <v>0</v>
      </c>
    </row>
    <row r="60" spans="1:13" s="20" customFormat="1">
      <c r="A60" s="12" t="s">
        <v>117</v>
      </c>
      <c r="B60" s="7">
        <f t="shared" si="5"/>
        <v>102</v>
      </c>
      <c r="C60" s="7" t="s">
        <v>102</v>
      </c>
      <c r="D60" s="7" t="s">
        <v>94</v>
      </c>
      <c r="E60" s="11" t="s">
        <v>3</v>
      </c>
      <c r="F60" s="11" t="s">
        <v>159</v>
      </c>
      <c r="G60" s="18" t="s">
        <v>121</v>
      </c>
      <c r="H60" s="15">
        <v>10</v>
      </c>
      <c r="I60" s="18" t="s">
        <v>117</v>
      </c>
      <c r="L60" s="26" t="str">
        <f t="shared" si="1"/>
        <v/>
      </c>
      <c r="M60" s="20" t="b">
        <v>0</v>
      </c>
    </row>
    <row r="61" spans="1:13" s="20" customFormat="1">
      <c r="A61" s="12" t="s">
        <v>118</v>
      </c>
      <c r="B61" s="7">
        <f t="shared" si="5"/>
        <v>103</v>
      </c>
      <c r="C61" s="7" t="s">
        <v>102</v>
      </c>
      <c r="D61" s="7" t="s">
        <v>94</v>
      </c>
      <c r="E61" s="11" t="s">
        <v>3</v>
      </c>
      <c r="F61" s="11" t="s">
        <v>159</v>
      </c>
      <c r="G61" s="18" t="s">
        <v>122</v>
      </c>
      <c r="H61" s="15">
        <v>11</v>
      </c>
      <c r="I61" s="18" t="s">
        <v>118</v>
      </c>
      <c r="L61" s="26" t="str">
        <f t="shared" si="1"/>
        <v/>
      </c>
      <c r="M61" s="20" t="b">
        <v>0</v>
      </c>
    </row>
    <row r="62" spans="1:13" s="20" customFormat="1">
      <c r="A62" s="16" t="str">
        <f t="shared" ref="A62:A80" si="6">INDEX($A$5:$A$40,MATCH(G62,$G$5:$G$40,0))</f>
        <v>ENTER</v>
      </c>
      <c r="B62" s="7">
        <f t="shared" si="5"/>
        <v>69</v>
      </c>
      <c r="C62" s="7" t="s">
        <v>102</v>
      </c>
      <c r="D62" s="7" t="s">
        <v>94</v>
      </c>
      <c r="E62" s="11" t="s">
        <v>3</v>
      </c>
      <c r="F62" s="11" t="b">
        <v>0</v>
      </c>
      <c r="G62" s="15" t="s">
        <v>95</v>
      </c>
      <c r="H62" s="15">
        <v>12</v>
      </c>
      <c r="I62" s="15" t="str">
        <f t="shared" ref="I62:I80" si="7">INDEX($I$5:$I$40,MATCH(G62,$G$5:$G$40,0))</f>
        <v>key</v>
      </c>
      <c r="L62" s="26" t="str">
        <f t="shared" si="1"/>
        <v/>
      </c>
      <c r="M62" s="20" t="b">
        <v>0</v>
      </c>
    </row>
    <row r="63" spans="1:13" s="20" customFormat="1">
      <c r="A63" s="16" t="str">
        <f t="shared" si="6"/>
        <v>w</v>
      </c>
      <c r="B63" s="7">
        <f t="shared" si="5"/>
        <v>119</v>
      </c>
      <c r="C63" s="7" t="s">
        <v>102</v>
      </c>
      <c r="D63" s="7" t="s">
        <v>94</v>
      </c>
      <c r="E63" s="11" t="s">
        <v>3</v>
      </c>
      <c r="F63" s="11" t="s">
        <v>159</v>
      </c>
      <c r="G63" s="15" t="s">
        <v>20</v>
      </c>
      <c r="H63" s="15">
        <v>13</v>
      </c>
      <c r="I63" s="15" t="str">
        <f t="shared" si="7"/>
        <v>s[w]ap</v>
      </c>
      <c r="L63" s="26" t="str">
        <f t="shared" si="1"/>
        <v/>
      </c>
      <c r="M63" s="20" t="b">
        <v>0</v>
      </c>
    </row>
    <row r="64" spans="1:13" s="20" customFormat="1">
      <c r="A64" s="16" t="str">
        <f t="shared" si="6"/>
        <v>n</v>
      </c>
      <c r="B64" s="7">
        <f t="shared" si="5"/>
        <v>110</v>
      </c>
      <c r="C64" s="7" t="s">
        <v>102</v>
      </c>
      <c r="D64" s="7" t="s">
        <v>94</v>
      </c>
      <c r="E64" s="11" t="s">
        <v>3</v>
      </c>
      <c r="F64" s="11" t="s">
        <v>159</v>
      </c>
      <c r="G64" s="15" t="s">
        <v>76</v>
      </c>
      <c r="H64" s="15">
        <v>14</v>
      </c>
      <c r="I64" s="15" t="str">
        <f t="shared" si="7"/>
        <v>CHS [n]egative</v>
      </c>
      <c r="L64" s="26" t="str">
        <f t="shared" si="1"/>
        <v/>
      </c>
      <c r="M64" s="20" t="b">
        <v>0</v>
      </c>
    </row>
    <row r="65" spans="1:13" s="20" customFormat="1">
      <c r="A65" s="16" t="str">
        <f t="shared" si="6"/>
        <v>e</v>
      </c>
      <c r="B65" s="7">
        <f t="shared" si="5"/>
        <v>101</v>
      </c>
      <c r="C65" s="7" t="s">
        <v>102</v>
      </c>
      <c r="D65" s="7" t="s">
        <v>94</v>
      </c>
      <c r="E65" s="11" t="s">
        <v>3</v>
      </c>
      <c r="F65" s="11" t="s">
        <v>159</v>
      </c>
      <c r="G65" s="15" t="s">
        <v>97</v>
      </c>
      <c r="H65" s="15">
        <v>15</v>
      </c>
      <c r="I65" s="15" t="str">
        <f t="shared" si="7"/>
        <v>[e]xponent</v>
      </c>
      <c r="L65" s="26" t="str">
        <f t="shared" si="1"/>
        <v/>
      </c>
      <c r="M65" s="20" t="b">
        <v>0</v>
      </c>
    </row>
    <row r="66" spans="1:13" s="20" customFormat="1">
      <c r="A66" s="16" t="str">
        <f t="shared" si="6"/>
        <v>a</v>
      </c>
      <c r="B66" s="7">
        <f t="shared" si="5"/>
        <v>97</v>
      </c>
      <c r="C66" s="11" t="s">
        <v>7</v>
      </c>
      <c r="D66" s="11" t="s">
        <v>48</v>
      </c>
      <c r="E66" s="11" t="s">
        <v>3</v>
      </c>
      <c r="F66" s="11" t="s">
        <v>159</v>
      </c>
      <c r="G66" s="15" t="s">
        <v>13</v>
      </c>
      <c r="H66" s="32">
        <v>-1</v>
      </c>
      <c r="I66" s="15" t="str">
        <f t="shared" si="7"/>
        <v>[a]ccumulate</v>
      </c>
      <c r="L66" s="26" t="str">
        <f t="shared" si="1"/>
        <v/>
      </c>
      <c r="M66" s="20" t="b">
        <v>0</v>
      </c>
    </row>
    <row r="67" spans="1:13" s="20" customFormat="1">
      <c r="A67" s="16" t="str">
        <f t="shared" si="6"/>
        <v>x</v>
      </c>
      <c r="B67" s="7">
        <f t="shared" si="5"/>
        <v>120</v>
      </c>
      <c r="C67" s="7" t="s">
        <v>102</v>
      </c>
      <c r="D67" s="11" t="s">
        <v>48</v>
      </c>
      <c r="E67" s="11" t="s">
        <v>3</v>
      </c>
      <c r="F67" s="11" t="b">
        <v>0</v>
      </c>
      <c r="G67" s="15" t="s">
        <v>21</v>
      </c>
      <c r="H67" s="15">
        <v>17</v>
      </c>
      <c r="I67" s="15" t="str">
        <f t="shared" si="7"/>
        <v>[x]eq</v>
      </c>
      <c r="L67" s="26" t="str">
        <f t="shared" si="1"/>
        <v/>
      </c>
      <c r="M67" s="20" t="b">
        <v>0</v>
      </c>
    </row>
    <row r="68" spans="1:13" s="20" customFormat="1">
      <c r="A68" s="16" t="str">
        <f t="shared" si="6"/>
        <v>i</v>
      </c>
      <c r="B68" s="7">
        <f t="shared" si="5"/>
        <v>105</v>
      </c>
      <c r="C68" s="11" t="s">
        <v>7</v>
      </c>
      <c r="D68" s="11" t="s">
        <v>48</v>
      </c>
      <c r="E68" s="11" t="s">
        <v>3</v>
      </c>
      <c r="F68" s="11" t="s">
        <v>159</v>
      </c>
      <c r="G68" s="15" t="s">
        <v>113</v>
      </c>
      <c r="H68" s="32">
        <v>-1</v>
      </c>
      <c r="I68" s="15" t="str">
        <f t="shared" si="7"/>
        <v>i</v>
      </c>
      <c r="L68" s="26" t="str">
        <f t="shared" si="1"/>
        <v/>
      </c>
      <c r="M68" s="20" t="b">
        <v>0</v>
      </c>
    </row>
    <row r="69" spans="1:13" s="20" customFormat="1">
      <c r="A69" s="16" t="str">
        <f t="shared" si="6"/>
        <v>X</v>
      </c>
      <c r="B69" s="7">
        <f t="shared" si="5"/>
        <v>88</v>
      </c>
      <c r="C69" s="11" t="s">
        <v>7</v>
      </c>
      <c r="D69" s="11" t="s">
        <v>48</v>
      </c>
      <c r="E69" s="11" t="s">
        <v>3</v>
      </c>
      <c r="F69" s="11" t="s">
        <v>159</v>
      </c>
      <c r="G69" s="15" t="s">
        <v>81</v>
      </c>
      <c r="H69" s="32">
        <v>-1</v>
      </c>
      <c r="I69" s="15" t="str">
        <f t="shared" si="7"/>
        <v>comple[X]</v>
      </c>
      <c r="L69" s="26" t="str">
        <f t="shared" si="1"/>
        <v/>
      </c>
      <c r="M69" s="20" t="b">
        <v>0</v>
      </c>
    </row>
    <row r="70" spans="1:13" s="20" customFormat="1">
      <c r="A70" s="16" t="str">
        <f t="shared" si="6"/>
        <v>R</v>
      </c>
      <c r="B70" s="7">
        <f t="shared" si="5"/>
        <v>82</v>
      </c>
      <c r="C70" s="11" t="s">
        <v>7</v>
      </c>
      <c r="D70" s="11" t="s">
        <v>48</v>
      </c>
      <c r="E70" s="11" t="s">
        <v>3</v>
      </c>
      <c r="F70" s="11" t="s">
        <v>159</v>
      </c>
      <c r="G70" s="15" t="s">
        <v>69</v>
      </c>
      <c r="H70" s="32">
        <v>-1</v>
      </c>
      <c r="I70" s="15" t="str">
        <f t="shared" si="7"/>
        <v>-&gt;R</v>
      </c>
      <c r="L70" s="26" t="str">
        <f t="shared" si="1"/>
        <v/>
      </c>
      <c r="M70" s="20" t="b">
        <v>0</v>
      </c>
    </row>
    <row r="71" spans="1:13" s="20" customFormat="1">
      <c r="A71" s="16" t="str">
        <f t="shared" si="6"/>
        <v>P</v>
      </c>
      <c r="B71" s="7">
        <f t="shared" si="5"/>
        <v>80</v>
      </c>
      <c r="C71" s="11" t="s">
        <v>7</v>
      </c>
      <c r="D71" s="11" t="s">
        <v>48</v>
      </c>
      <c r="E71" s="11" t="s">
        <v>3</v>
      </c>
      <c r="F71" s="11" t="s">
        <v>159</v>
      </c>
      <c r="G71" s="15" t="s">
        <v>70</v>
      </c>
      <c r="H71" s="32">
        <v>-1</v>
      </c>
      <c r="I71" s="15" t="str">
        <f t="shared" si="7"/>
        <v>-&gt;P</v>
      </c>
      <c r="L71" s="26" t="str">
        <f t="shared" si="1"/>
        <v/>
      </c>
      <c r="M71" s="20" t="b">
        <v>0</v>
      </c>
    </row>
    <row r="72" spans="1:13" s="20" customFormat="1">
      <c r="A72" s="16" t="s">
        <v>64</v>
      </c>
      <c r="B72" s="7">
        <f t="shared" si="5"/>
        <v>89</v>
      </c>
      <c r="C72" s="11" t="s">
        <v>7</v>
      </c>
      <c r="D72" s="11" t="s">
        <v>48</v>
      </c>
      <c r="E72" s="11" t="s">
        <v>3</v>
      </c>
      <c r="F72" s="11" t="s">
        <v>159</v>
      </c>
      <c r="G72" s="15" t="s">
        <v>65</v>
      </c>
      <c r="H72" s="32">
        <v>-1</v>
      </c>
      <c r="I72" s="15" t="str">
        <f t="shared" si="7"/>
        <v>xth root of [Y]</v>
      </c>
      <c r="L72" s="26" t="str">
        <f t="shared" si="1"/>
        <v/>
      </c>
      <c r="M72" s="20" t="b">
        <v>0</v>
      </c>
    </row>
    <row r="73" spans="1:13" s="20" customFormat="1">
      <c r="A73" s="16" t="str">
        <f t="shared" si="6"/>
        <v>C</v>
      </c>
      <c r="B73" s="7">
        <f t="shared" si="5"/>
        <v>67</v>
      </c>
      <c r="C73" s="11" t="s">
        <v>7</v>
      </c>
      <c r="D73" s="11" t="s">
        <v>48</v>
      </c>
      <c r="E73" s="11" t="s">
        <v>3</v>
      </c>
      <c r="F73" s="11" t="s">
        <v>159</v>
      </c>
      <c r="G73" s="15" t="s">
        <v>49</v>
      </c>
      <c r="H73" s="32">
        <v>-1</v>
      </c>
      <c r="I73" s="15" t="str">
        <f t="shared" si="7"/>
        <v>arc[C]osine</v>
      </c>
      <c r="L73" s="26" t="str">
        <f t="shared" si="1"/>
        <v/>
      </c>
      <c r="M73" s="20" t="b">
        <v>0</v>
      </c>
    </row>
    <row r="74" spans="1:13" s="20" customFormat="1">
      <c r="A74" s="16" t="str">
        <f t="shared" si="6"/>
        <v>S</v>
      </c>
      <c r="B74" s="7">
        <f t="shared" si="5"/>
        <v>83</v>
      </c>
      <c r="C74" s="11" t="s">
        <v>7</v>
      </c>
      <c r="D74" s="11" t="s">
        <v>48</v>
      </c>
      <c r="E74" s="11" t="s">
        <v>3</v>
      </c>
      <c r="F74" s="11" t="s">
        <v>159</v>
      </c>
      <c r="G74" s="15" t="s">
        <v>50</v>
      </c>
      <c r="H74" s="32">
        <v>-1</v>
      </c>
      <c r="I74" s="15" t="str">
        <f t="shared" si="7"/>
        <v>arc[S]ine</v>
      </c>
      <c r="L74" s="26" t="str">
        <f t="shared" si="1"/>
        <v/>
      </c>
      <c r="M74" s="20" t="b">
        <v>0</v>
      </c>
    </row>
    <row r="75" spans="1:13" s="20" customFormat="1">
      <c r="A75" s="16" t="str">
        <f t="shared" si="6"/>
        <v>T</v>
      </c>
      <c r="B75" s="7">
        <f t="shared" si="5"/>
        <v>84</v>
      </c>
      <c r="C75" s="11" t="s">
        <v>7</v>
      </c>
      <c r="D75" s="11" t="s">
        <v>48</v>
      </c>
      <c r="E75" s="11" t="s">
        <v>3</v>
      </c>
      <c r="F75" s="11" t="s">
        <v>159</v>
      </c>
      <c r="G75" s="15" t="s">
        <v>51</v>
      </c>
      <c r="H75" s="32">
        <v>-1</v>
      </c>
      <c r="I75" s="15" t="str">
        <f t="shared" si="7"/>
        <v>arc[T]angent</v>
      </c>
      <c r="L75" s="26" t="str">
        <f t="shared" si="1"/>
        <v/>
      </c>
      <c r="M75" s="20" t="b">
        <v>0</v>
      </c>
    </row>
    <row r="76" spans="1:13" s="20" customFormat="1">
      <c r="A76" s="16" t="str">
        <f t="shared" si="6"/>
        <v>L</v>
      </c>
      <c r="B76" s="7">
        <f t="shared" si="5"/>
        <v>76</v>
      </c>
      <c r="C76" s="11" t="s">
        <v>7</v>
      </c>
      <c r="D76" s="11" t="s">
        <v>48</v>
      </c>
      <c r="E76" s="11" t="s">
        <v>3</v>
      </c>
      <c r="F76" s="11" t="s">
        <v>159</v>
      </c>
      <c r="G76" s="15" t="s">
        <v>59</v>
      </c>
      <c r="H76" s="32">
        <v>-1</v>
      </c>
      <c r="I76" s="15" t="str">
        <f t="shared" si="7"/>
        <v>anti[L]n e^x</v>
      </c>
      <c r="L76" s="26" t="str">
        <f t="shared" si="1"/>
        <v/>
      </c>
      <c r="M76" s="20" t="b">
        <v>0</v>
      </c>
    </row>
    <row r="77" spans="1:13" s="20" customFormat="1">
      <c r="A77" s="16" t="str">
        <f t="shared" si="6"/>
        <v>O</v>
      </c>
      <c r="B77" s="7">
        <f t="shared" si="5"/>
        <v>79</v>
      </c>
      <c r="C77" s="11" t="s">
        <v>7</v>
      </c>
      <c r="D77" s="11" t="s">
        <v>48</v>
      </c>
      <c r="E77" s="11" t="s">
        <v>3</v>
      </c>
      <c r="F77" s="11" t="s">
        <v>159</v>
      </c>
      <c r="G77" s="15" t="s">
        <v>61</v>
      </c>
      <c r="H77" s="32">
        <v>-1</v>
      </c>
      <c r="I77" s="15" t="str">
        <f t="shared" si="7"/>
        <v>antil[O]g 10^x</v>
      </c>
      <c r="L77" s="26" t="str">
        <f t="shared" si="1"/>
        <v/>
      </c>
      <c r="M77" s="20" t="b">
        <v>0</v>
      </c>
    </row>
    <row r="78" spans="1:13" s="20" customFormat="1">
      <c r="A78" s="16" t="str">
        <f t="shared" si="6"/>
        <v>I</v>
      </c>
      <c r="B78" s="7">
        <f t="shared" si="5"/>
        <v>73</v>
      </c>
      <c r="C78" s="11" t="s">
        <v>7</v>
      </c>
      <c r="D78" s="11" t="s">
        <v>48</v>
      </c>
      <c r="E78" s="11" t="s">
        <v>3</v>
      </c>
      <c r="F78" s="11" t="b">
        <v>0</v>
      </c>
      <c r="G78" s="15" t="s">
        <v>73</v>
      </c>
      <c r="H78" s="32">
        <v>-1</v>
      </c>
      <c r="I78" s="15" t="str">
        <f t="shared" si="7"/>
        <v>D[I]SP</v>
      </c>
      <c r="L78" s="26" t="str">
        <f t="shared" si="1"/>
        <v/>
      </c>
      <c r="M78" s="20" t="b">
        <v>0</v>
      </c>
    </row>
    <row r="79" spans="1:13" s="20" customFormat="1">
      <c r="A79" s="16" t="str">
        <f t="shared" si="6"/>
        <v>J</v>
      </c>
      <c r="B79" s="7">
        <f t="shared" si="5"/>
        <v>74</v>
      </c>
      <c r="C79" s="11" t="s">
        <v>7</v>
      </c>
      <c r="D79" s="11" t="s">
        <v>48</v>
      </c>
      <c r="E79" s="11" t="s">
        <v>3</v>
      </c>
      <c r="F79" s="11" t="b">
        <v>0</v>
      </c>
      <c r="G79" s="15" t="s">
        <v>80</v>
      </c>
      <c r="H79" s="32">
        <v>-1</v>
      </c>
      <c r="I79" s="15" t="str">
        <f t="shared" si="7"/>
        <v>EXP</v>
      </c>
      <c r="L79" s="26" t="str">
        <f t="shared" si="1"/>
        <v/>
      </c>
      <c r="M79" s="20" t="b">
        <v>0</v>
      </c>
    </row>
    <row r="80" spans="1:13" s="20" customFormat="1">
      <c r="A80" s="16" t="str">
        <f t="shared" si="6"/>
        <v>K</v>
      </c>
      <c r="B80" s="7">
        <f t="shared" si="5"/>
        <v>75</v>
      </c>
      <c r="C80" s="11" t="s">
        <v>7</v>
      </c>
      <c r="D80" s="11" t="s">
        <v>48</v>
      </c>
      <c r="E80" s="11" t="s">
        <v>3</v>
      </c>
      <c r="F80" s="11" t="b">
        <v>0</v>
      </c>
      <c r="G80" s="15" t="s">
        <v>74</v>
      </c>
      <c r="H80" s="32">
        <v>-1</v>
      </c>
      <c r="I80" s="15" t="str">
        <f t="shared" si="7"/>
        <v>ST[K]</v>
      </c>
      <c r="L80" s="26" t="str">
        <f t="shared" si="1"/>
        <v/>
      </c>
      <c r="M80" s="20" t="b">
        <v>0</v>
      </c>
    </row>
    <row r="81" spans="1:13" s="20" customFormat="1">
      <c r="A81" s="12" t="s">
        <v>111</v>
      </c>
      <c r="B81" s="7">
        <f t="shared" si="5"/>
        <v>77</v>
      </c>
      <c r="C81" s="11" t="s">
        <v>7</v>
      </c>
      <c r="D81" s="11" t="s">
        <v>48</v>
      </c>
      <c r="E81" s="11" t="s">
        <v>3</v>
      </c>
      <c r="F81" s="11" t="b">
        <v>0</v>
      </c>
      <c r="G81" s="17" t="s">
        <v>127</v>
      </c>
      <c r="H81" s="32">
        <v>-1</v>
      </c>
      <c r="I81" s="18" t="s">
        <v>128</v>
      </c>
      <c r="L81" s="26" t="str">
        <f t="shared" si="1"/>
        <v/>
      </c>
      <c r="M81" s="20" t="b">
        <v>0</v>
      </c>
    </row>
    <row r="82" spans="1:13" s="20" customFormat="1">
      <c r="A82" s="16" t="str">
        <f>INDEX($A$5:$A$40,MATCH(G82,$G$5:$G$40,0))</f>
        <v>s</v>
      </c>
      <c r="B82" s="7">
        <f t="shared" si="5"/>
        <v>115</v>
      </c>
      <c r="C82" s="11" t="s">
        <v>7</v>
      </c>
      <c r="D82" s="11" t="s">
        <v>48</v>
      </c>
      <c r="E82" s="11" t="s">
        <v>3</v>
      </c>
      <c r="F82" s="11" t="s">
        <v>159</v>
      </c>
      <c r="G82" s="15" t="s">
        <v>18</v>
      </c>
      <c r="H82" s="32">
        <v>-1</v>
      </c>
      <c r="I82" s="15" t="str">
        <f>INDEX($I$5:$I$40,MATCH(G82,$G$5:$G$40,0))</f>
        <v>[s]ine</v>
      </c>
      <c r="L82" s="26" t="str">
        <f t="shared" si="1"/>
        <v/>
      </c>
      <c r="M82" s="20" t="b">
        <v>0</v>
      </c>
    </row>
    <row r="83" spans="1:13" s="20" customFormat="1">
      <c r="A83" s="16" t="str">
        <f>INDEX($A$5:$A$40,MATCH(G83,$G$5:$G$40,0))</f>
        <v>c</v>
      </c>
      <c r="B83" s="7">
        <f t="shared" si="5"/>
        <v>99</v>
      </c>
      <c r="C83" s="11" t="s">
        <v>7</v>
      </c>
      <c r="D83" s="11" t="s">
        <v>48</v>
      </c>
      <c r="E83" s="11" t="s">
        <v>3</v>
      </c>
      <c r="F83" s="11" t="s">
        <v>159</v>
      </c>
      <c r="G83" s="15" t="s">
        <v>14</v>
      </c>
      <c r="H83" s="32">
        <v>-1</v>
      </c>
      <c r="I83" s="15" t="str">
        <f>INDEX($I$5:$I$40,MATCH(G83,$G$5:$G$40,0))</f>
        <v>[c]osine</v>
      </c>
      <c r="L83" s="26" t="str">
        <f t="shared" si="1"/>
        <v/>
      </c>
      <c r="M83" s="20" t="b">
        <v>0</v>
      </c>
    </row>
    <row r="84" spans="1:13" s="20" customFormat="1">
      <c r="A84" s="16" t="str">
        <f>INDEX($A$5:$A$40,MATCH(G84,$G$5:$G$40,0))</f>
        <v>t</v>
      </c>
      <c r="B84" s="7">
        <f t="shared" si="5"/>
        <v>116</v>
      </c>
      <c r="C84" s="11" t="s">
        <v>7</v>
      </c>
      <c r="D84" s="11" t="s">
        <v>48</v>
      </c>
      <c r="E84" s="11" t="s">
        <v>3</v>
      </c>
      <c r="F84" s="11" t="s">
        <v>159</v>
      </c>
      <c r="G84" s="15" t="s">
        <v>19</v>
      </c>
      <c r="H84" s="32">
        <v>-1</v>
      </c>
      <c r="I84" s="15" t="str">
        <f>INDEX($I$5:$I$40,MATCH(G84,$G$5:$G$40,0))</f>
        <v>[t]angent</v>
      </c>
      <c r="L84" s="26" t="str">
        <f t="shared" si="1"/>
        <v/>
      </c>
      <c r="M84" s="20" t="b">
        <v>0</v>
      </c>
    </row>
    <row r="85" spans="1:13" s="20" customFormat="1">
      <c r="A85" s="16" t="s">
        <v>72</v>
      </c>
      <c r="B85" s="7">
        <f>CODE(A85)</f>
        <v>68</v>
      </c>
      <c r="C85" s="11" t="s">
        <v>7</v>
      </c>
      <c r="D85" s="11" t="s">
        <v>48</v>
      </c>
      <c r="E85" s="11" t="s">
        <v>3</v>
      </c>
      <c r="F85" s="11" t="s">
        <v>159</v>
      </c>
      <c r="G85" s="15" t="s">
        <v>125</v>
      </c>
      <c r="H85" s="32">
        <v>-1</v>
      </c>
      <c r="I85" s="15" t="str">
        <f>INDEX($I$5:$I$40,MATCH(G85,$G$5:$G$40,0))</f>
        <v>Up [D]</v>
      </c>
      <c r="L85" s="26" t="str">
        <f t="shared" si="1"/>
        <v/>
      </c>
      <c r="M85" s="20" t="b">
        <v>0</v>
      </c>
    </row>
    <row r="86" spans="1:13" s="20" customFormat="1">
      <c r="A86" s="16" t="s">
        <v>129</v>
      </c>
      <c r="B86" s="7">
        <f>CODE(A86)</f>
        <v>70</v>
      </c>
      <c r="C86" s="11" t="s">
        <v>7</v>
      </c>
      <c r="D86" s="11" t="s">
        <v>48</v>
      </c>
      <c r="E86" s="11" t="s">
        <v>3</v>
      </c>
      <c r="F86" s="11" t="b">
        <v>0</v>
      </c>
      <c r="G86" s="15" t="s">
        <v>130</v>
      </c>
      <c r="H86" s="32">
        <v>-1</v>
      </c>
      <c r="I86" s="15" t="str">
        <f>INDEX($I$5:$I$41,MATCH(G86,$G$5:$G$41,0))</f>
        <v>PRE[F]IX</v>
      </c>
      <c r="L86" s="26" t="str">
        <f t="shared" ref="L86:L87" si="8">IF(M86,"DUPLICATE","")</f>
        <v/>
      </c>
      <c r="M86" s="20" t="b">
        <v>0</v>
      </c>
    </row>
    <row r="87" spans="1:13" s="20" customFormat="1">
      <c r="A87" s="16" t="s">
        <v>40</v>
      </c>
      <c r="B87" s="7">
        <f>CODE(A87)</f>
        <v>112</v>
      </c>
      <c r="C87" s="11" t="s">
        <v>7</v>
      </c>
      <c r="D87" s="11" t="s">
        <v>48</v>
      </c>
      <c r="E87" s="11" t="s">
        <v>3</v>
      </c>
      <c r="F87" s="11" t="s">
        <v>159</v>
      </c>
      <c r="G87" s="15" t="s">
        <v>119</v>
      </c>
      <c r="H87" s="32">
        <v>-1</v>
      </c>
      <c r="I87" s="15" t="str">
        <f>INDEX($I$5:$I$40,MATCH(G87,$G$5:$G$40,0))</f>
        <v>pi</v>
      </c>
      <c r="L87" s="26" t="str">
        <f t="shared" si="8"/>
        <v/>
      </c>
      <c r="M87" s="20" t="b">
        <v>0</v>
      </c>
    </row>
    <row r="88" spans="1:13" s="20" customFormat="1">
      <c r="A88" s="16" t="s">
        <v>109</v>
      </c>
      <c r="B88" s="7">
        <f t="shared" ref="B88:B94" si="9">CODE(A88)</f>
        <v>86</v>
      </c>
      <c r="C88" s="11" t="s">
        <v>7</v>
      </c>
      <c r="D88" s="11" t="s">
        <v>48</v>
      </c>
      <c r="E88" s="11" t="s">
        <v>3</v>
      </c>
      <c r="F88" s="11" t="s">
        <v>159</v>
      </c>
      <c r="G88" s="15" t="s">
        <v>8</v>
      </c>
      <c r="H88" s="32">
        <v>-1</v>
      </c>
      <c r="I88" s="15" t="str">
        <f>INDEX($I$5:$I$40,MATCH(G88,$G$5:$G$40,0))</f>
        <v>in[v]erse</v>
      </c>
      <c r="L88" s="26" t="str">
        <f t="shared" ref="L88" si="10">IF(M88,"DUPLICATE","")</f>
        <v/>
      </c>
      <c r="M88" s="20" t="b">
        <v>0</v>
      </c>
    </row>
    <row r="89" spans="1:13" s="20" customFormat="1">
      <c r="A89" s="16" t="s">
        <v>143</v>
      </c>
      <c r="B89" s="7">
        <f t="shared" si="9"/>
        <v>37</v>
      </c>
      <c r="C89" s="11" t="s">
        <v>7</v>
      </c>
      <c r="D89" s="11" t="s">
        <v>48</v>
      </c>
      <c r="E89" s="11" t="s">
        <v>3</v>
      </c>
      <c r="F89" s="11" t="s">
        <v>159</v>
      </c>
      <c r="G89" s="15" t="s">
        <v>146</v>
      </c>
      <c r="H89" s="32">
        <v>-1</v>
      </c>
      <c r="I89" s="15" t="s">
        <v>149</v>
      </c>
    </row>
    <row r="90" spans="1:13" s="20" customFormat="1">
      <c r="A90" s="16" t="s">
        <v>144</v>
      </c>
      <c r="B90" s="7">
        <f t="shared" si="9"/>
        <v>33</v>
      </c>
      <c r="C90" s="11" t="s">
        <v>7</v>
      </c>
      <c r="D90" s="11" t="s">
        <v>48</v>
      </c>
      <c r="E90" s="11" t="s">
        <v>3</v>
      </c>
      <c r="F90" s="11" t="s">
        <v>159</v>
      </c>
      <c r="G90" s="15" t="s">
        <v>147</v>
      </c>
      <c r="H90" s="32">
        <v>-1</v>
      </c>
      <c r="I90" s="15" t="s">
        <v>150</v>
      </c>
    </row>
    <row r="91" spans="1:13" s="20" customFormat="1">
      <c r="A91" s="16" t="s">
        <v>145</v>
      </c>
      <c r="B91" s="7">
        <f t="shared" si="9"/>
        <v>85</v>
      </c>
      <c r="C91" s="11" t="s">
        <v>7</v>
      </c>
      <c r="D91" s="11" t="s">
        <v>48</v>
      </c>
      <c r="E91" s="11" t="s">
        <v>3</v>
      </c>
      <c r="F91" s="11" t="b">
        <v>0</v>
      </c>
      <c r="G91" s="15" t="s">
        <v>148</v>
      </c>
      <c r="H91" s="32">
        <v>-1</v>
      </c>
      <c r="I91" s="15" t="s">
        <v>151</v>
      </c>
    </row>
    <row r="92" spans="1:13" s="20" customFormat="1">
      <c r="A92" s="39" t="s">
        <v>152</v>
      </c>
      <c r="B92" s="40">
        <f t="shared" si="9"/>
        <v>39</v>
      </c>
      <c r="C92" s="40" t="s">
        <v>7</v>
      </c>
      <c r="D92" s="40" t="s">
        <v>48</v>
      </c>
      <c r="E92" s="40" t="s">
        <v>3</v>
      </c>
      <c r="F92" s="40" t="s">
        <v>159</v>
      </c>
      <c r="G92" s="41" t="s">
        <v>154</v>
      </c>
      <c r="H92" s="41">
        <v>-1</v>
      </c>
      <c r="I92" s="41" t="s">
        <v>155</v>
      </c>
    </row>
    <row r="93" spans="1:13" s="20" customFormat="1">
      <c r="A93" s="10" t="s">
        <v>153</v>
      </c>
      <c r="B93" s="40">
        <f t="shared" si="9"/>
        <v>71</v>
      </c>
      <c r="C93" s="40" t="s">
        <v>7</v>
      </c>
      <c r="D93" s="40" t="s">
        <v>48</v>
      </c>
      <c r="E93" s="40" t="s">
        <v>3</v>
      </c>
      <c r="F93" s="40" t="s">
        <v>159</v>
      </c>
      <c r="G93" s="41" t="s">
        <v>156</v>
      </c>
      <c r="H93" s="41">
        <v>-1</v>
      </c>
      <c r="I93" s="41" t="s">
        <v>157</v>
      </c>
    </row>
    <row r="94" spans="1:13" s="20" customFormat="1">
      <c r="A94" s="39" t="s">
        <v>152</v>
      </c>
      <c r="B94" s="40">
        <f t="shared" si="9"/>
        <v>39</v>
      </c>
      <c r="C94" s="40" t="s">
        <v>7</v>
      </c>
      <c r="D94" s="40" t="s">
        <v>48</v>
      </c>
      <c r="E94" s="40" t="s">
        <v>3</v>
      </c>
      <c r="F94" s="40" t="s">
        <v>161</v>
      </c>
      <c r="G94" s="41" t="s">
        <v>160</v>
      </c>
      <c r="H94" s="41">
        <v>-1</v>
      </c>
      <c r="I94" s="42" t="s">
        <v>162</v>
      </c>
    </row>
    <row r="95" spans="1:13" s="20" customFormat="1">
      <c r="A95" s="10"/>
      <c r="B95" s="10"/>
      <c r="C95" s="10"/>
      <c r="D95" s="10"/>
      <c r="E95" s="10"/>
      <c r="F95" s="10"/>
    </row>
    <row r="96" spans="1:13" s="20" customFormat="1">
      <c r="A96" s="10"/>
      <c r="B96" s="10"/>
      <c r="C96" s="10"/>
      <c r="D96" s="10"/>
      <c r="E96" s="10"/>
      <c r="F96" s="10"/>
    </row>
    <row r="97" spans="1:9" s="20" customFormat="1">
      <c r="A97" s="10"/>
      <c r="B97" s="13"/>
      <c r="C97" s="13"/>
      <c r="D97" s="13"/>
      <c r="E97" s="13"/>
      <c r="F97" s="13"/>
      <c r="G97" s="14"/>
      <c r="H97" s="14"/>
      <c r="I97" s="14"/>
    </row>
    <row r="98" spans="1:9" s="20" customFormat="1">
      <c r="A98" s="10"/>
      <c r="B98" s="10"/>
      <c r="C98" s="10"/>
      <c r="D98" s="10"/>
      <c r="E98" s="10"/>
      <c r="F98" s="10"/>
    </row>
    <row r="99" spans="1:9" s="20" customFormat="1">
      <c r="A99" s="10"/>
      <c r="B99" s="10"/>
      <c r="C99" s="10"/>
      <c r="D99" s="10"/>
      <c r="E99" s="10"/>
      <c r="F99" s="10"/>
    </row>
    <row r="100" spans="1:9" s="20" customFormat="1">
      <c r="A100" s="10"/>
      <c r="B100" s="10"/>
      <c r="C100" s="10"/>
      <c r="D100" s="10"/>
      <c r="E100" s="10"/>
      <c r="F100" s="10"/>
    </row>
    <row r="101" spans="1:9" s="20" customFormat="1">
      <c r="A101" s="10"/>
      <c r="B101" s="10"/>
      <c r="C101" s="10"/>
      <c r="D101" s="10"/>
      <c r="E101" s="10"/>
      <c r="F101" s="10"/>
    </row>
    <row r="102" spans="1:9" s="20" customFormat="1">
      <c r="A102" s="10"/>
      <c r="B102" s="10"/>
      <c r="C102" s="10"/>
      <c r="D102" s="10"/>
      <c r="E102" s="10"/>
      <c r="F102" s="10"/>
    </row>
    <row r="103" spans="1:9" s="20" customFormat="1">
      <c r="A103" s="10"/>
      <c r="B103" s="10"/>
      <c r="C103" s="10"/>
      <c r="D103" s="10"/>
      <c r="E103" s="10"/>
      <c r="F103" s="10"/>
    </row>
    <row r="104" spans="1:9" s="20" customFormat="1">
      <c r="A104" s="10"/>
      <c r="B104" s="10"/>
      <c r="C104" s="10"/>
      <c r="D104" s="10"/>
      <c r="E104" s="10"/>
      <c r="F104" s="10"/>
    </row>
    <row r="105" spans="1:9" s="20" customFormat="1">
      <c r="A105" s="10"/>
      <c r="B105" s="10"/>
      <c r="C105" s="10"/>
      <c r="D105" s="10"/>
      <c r="E105" s="10"/>
      <c r="F105" s="10"/>
    </row>
    <row r="106" spans="1:9" s="20" customFormat="1">
      <c r="A106" s="10"/>
      <c r="B106" s="10"/>
      <c r="C106" s="10"/>
      <c r="D106" s="10"/>
      <c r="E106" s="10"/>
      <c r="F106" s="10"/>
    </row>
    <row r="107" spans="1:9" s="20" customFormat="1">
      <c r="A107" s="10"/>
      <c r="B107" s="10"/>
      <c r="C107" s="10"/>
      <c r="D107" s="10"/>
      <c r="E107" s="10"/>
      <c r="F107" s="10"/>
    </row>
    <row r="108" spans="1:9" s="20" customFormat="1">
      <c r="A108" s="10"/>
      <c r="B108" s="10"/>
      <c r="C108" s="10"/>
      <c r="D108" s="10"/>
      <c r="E108" s="10"/>
      <c r="F108" s="10"/>
    </row>
    <row r="109" spans="1:9" s="20" customFormat="1">
      <c r="A109" s="10"/>
      <c r="B109" s="10"/>
      <c r="C109" s="10"/>
      <c r="D109" s="10"/>
      <c r="E109" s="10"/>
      <c r="F109" s="10"/>
    </row>
    <row r="110" spans="1:9" s="20" customFormat="1">
      <c r="A110" s="10"/>
      <c r="B110" s="10"/>
      <c r="C110" s="10"/>
      <c r="D110" s="10"/>
      <c r="E110" s="10"/>
      <c r="F110" s="10"/>
    </row>
    <row r="111" spans="1:9" s="20" customFormat="1">
      <c r="A111" s="10"/>
      <c r="B111" s="10"/>
      <c r="C111" s="10"/>
      <c r="D111" s="10"/>
      <c r="E111" s="10"/>
      <c r="F111" s="10"/>
    </row>
    <row r="112" spans="1:9" s="20" customFormat="1">
      <c r="A112" s="10"/>
      <c r="B112" s="10"/>
      <c r="C112" s="10"/>
      <c r="D112" s="10"/>
      <c r="E112" s="10"/>
      <c r="F112" s="10"/>
    </row>
    <row r="113" spans="1:6" s="20" customFormat="1">
      <c r="A113" s="10"/>
      <c r="B113" s="10"/>
      <c r="C113" s="10"/>
      <c r="D113" s="10"/>
      <c r="E113" s="10"/>
      <c r="F113" s="10"/>
    </row>
    <row r="114" spans="1:6" s="20" customFormat="1">
      <c r="A114" s="10"/>
      <c r="B114" s="10"/>
      <c r="C114" s="10"/>
      <c r="D114" s="10"/>
      <c r="E114" s="10"/>
      <c r="F114" s="10"/>
    </row>
    <row r="115" spans="1:6" s="20" customFormat="1">
      <c r="A115" s="10"/>
      <c r="B115" s="10"/>
      <c r="C115" s="10"/>
      <c r="D115" s="10"/>
      <c r="E115" s="10"/>
      <c r="F115" s="10"/>
    </row>
    <row r="116" spans="1:6" s="20" customFormat="1">
      <c r="A116" s="10"/>
      <c r="B116" s="10"/>
      <c r="C116" s="10"/>
      <c r="D116" s="10"/>
      <c r="E116" s="10"/>
      <c r="F116" s="10"/>
    </row>
    <row r="117" spans="1:6" s="20" customFormat="1">
      <c r="A117" s="10"/>
      <c r="B117" s="10"/>
      <c r="C117" s="10"/>
      <c r="D117" s="10"/>
      <c r="E117" s="10"/>
      <c r="F117" s="10"/>
    </row>
    <row r="118" spans="1:6" s="20" customFormat="1">
      <c r="A118" s="10"/>
      <c r="B118" s="10"/>
      <c r="C118" s="10"/>
      <c r="D118" s="10"/>
      <c r="E118" s="10"/>
      <c r="F118" s="10"/>
    </row>
    <row r="119" spans="1:6" s="20" customFormat="1">
      <c r="A119" s="10"/>
      <c r="B119" s="10"/>
      <c r="C119" s="10"/>
      <c r="D119" s="10"/>
      <c r="E119" s="10"/>
      <c r="F119" s="10"/>
    </row>
    <row r="120" spans="1:6" s="20" customFormat="1">
      <c r="A120" s="10"/>
      <c r="B120" s="10"/>
      <c r="C120" s="10"/>
      <c r="D120" s="10"/>
      <c r="E120" s="10"/>
      <c r="F120" s="10"/>
    </row>
    <row r="121" spans="1:6" s="20" customFormat="1">
      <c r="A121" s="10"/>
      <c r="B121" s="10"/>
      <c r="C121" s="10"/>
      <c r="D121" s="10"/>
      <c r="E121" s="10"/>
      <c r="F121" s="10"/>
    </row>
    <row r="122" spans="1:6" s="20" customFormat="1">
      <c r="A122" s="10"/>
      <c r="B122" s="10"/>
      <c r="C122" s="10"/>
      <c r="D122" s="10"/>
      <c r="E122" s="10"/>
      <c r="F122" s="10"/>
    </row>
    <row r="123" spans="1:6" s="20" customFormat="1">
      <c r="A123" s="10"/>
      <c r="B123" s="10"/>
      <c r="C123" s="10"/>
      <c r="D123" s="10"/>
      <c r="E123" s="10"/>
      <c r="F123" s="10"/>
    </row>
    <row r="124" spans="1:6" s="20" customFormat="1">
      <c r="A124" s="10"/>
      <c r="B124" s="10"/>
      <c r="C124" s="10"/>
      <c r="D124" s="10"/>
      <c r="E124" s="10"/>
      <c r="F124" s="10"/>
    </row>
  </sheetData>
  <autoFilter ref="B4:L30" xr:uid="{9A19FE35-A90B-3343-BA83-F7F50B48781F}"/>
  <sortState xmlns:xlrd2="http://schemas.microsoft.com/office/spreadsheetml/2017/richdata2" ref="A5:L40">
    <sortCondition ref="K5:K40"/>
    <sortCondition ref="J5:J40"/>
  </sortState>
  <phoneticPr fontId="5" type="noConversion"/>
  <conditionalFormatting sqref="C1:C1048576">
    <cfRule type="containsText" dxfId="0" priority="1" operator="containsText" text="!">
      <formula>NOT(ISERROR(SEARCH("!",C1)))</formula>
    </cfRule>
  </conditionalFormatting>
  <hyperlinks>
    <hyperlink ref="D1" r:id="rId1" xr:uid="{132F4920-1B75-1845-8F5C-F64DE0D37601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41"/>
  <sheetViews>
    <sheetView topLeftCell="G1" zoomScale="118" workbookViewId="0">
      <selection activeCell="J5" sqref="J5:J95"/>
    </sheetView>
  </sheetViews>
  <sheetFormatPr baseColWidth="10" defaultColWidth="10.83203125" defaultRowHeight="16"/>
  <cols>
    <col min="1" max="1" width="4.1640625" bestFit="1" customWidth="1"/>
    <col min="2" max="2" width="9.33203125" bestFit="1" customWidth="1"/>
    <col min="3" max="3" width="25" style="5" bestFit="1" customWidth="1"/>
    <col min="4" max="4" width="15.33203125" bestFit="1" customWidth="1"/>
    <col min="5" max="5" width="12.83203125" bestFit="1" customWidth="1"/>
    <col min="6" max="6" width="12.83203125" customWidth="1"/>
    <col min="7" max="7" width="20.83203125" bestFit="1" customWidth="1"/>
    <col min="8" max="8" width="20.83203125" customWidth="1"/>
    <col min="9" max="9" width="23.33203125" bestFit="1" customWidth="1"/>
    <col min="10" max="10" width="154.83203125" style="1" bestFit="1" customWidth="1"/>
    <col min="11" max="11" width="10.83203125" customWidth="1"/>
    <col min="12" max="17" width="3.1640625" customWidth="1"/>
  </cols>
  <sheetData>
    <row r="1" spans="1:10">
      <c r="J1" s="4" t="s">
        <v>124</v>
      </c>
    </row>
    <row r="2" spans="1:10">
      <c r="J2" s="3" t="str">
        <f>SUBSTITUTE(SUBSTITUTE(SUBSTITUTE(SUBSTITUTE(SUBSTITUTE(SUBSTITUTE($J$1,"61",A2),"CM_NORMAL",E2),"ITM_DRG",G2),"nn = comm",I2),"exitIfNim",B2),"allowCondition",D2)</f>
        <v>if(shortCutCommand(w, event_keyval, , , , 9999, KK, ,  ))        {return true;} else        //</v>
      </c>
    </row>
    <row r="3" spans="1:10">
      <c r="J3" s="2"/>
    </row>
    <row r="4" spans="1:10">
      <c r="C4" s="5">
        <v>29</v>
      </c>
      <c r="J4" s="2"/>
    </row>
    <row r="5" spans="1:10">
      <c r="A5" s="6" t="str">
        <f>REPT(" ",Sheet2!$B$3-LEN(Sheet2!B5))&amp;Sheet2!B5</f>
        <v xml:space="preserve">   97</v>
      </c>
      <c r="B5" s="6" t="str">
        <f>REPT(" ",Sheet2!$C$3-LEN(Sheet2!C5))&amp;Sheet2!C5</f>
        <v xml:space="preserve"> ExitIfNim</v>
      </c>
      <c r="C5" s="5" t="str">
        <f>IF(Sheet2!D5="Std","FALSE","shortcutProfile == USER_"&amp;Sheet2!D5)</f>
        <v>shortcutProfile == USER_C47</v>
      </c>
      <c r="D5" s="6" t="str">
        <f t="shared" ref="D5" si="0">REPT( " ",$C$4-LEN(C5) ) &amp;C5</f>
        <v xml:space="preserve">  shortcutProfile == USER_C47</v>
      </c>
      <c r="E5" s="6" t="str">
        <f>REPT(" ",Sheet2!$E$3-LEN(Sheet2!E5))&amp;Sheet2!E5</f>
        <v xml:space="preserve"> CM_NORMAL</v>
      </c>
      <c r="F5" s="6" t="str">
        <f>REPT(" ",Sheet2!$E$3-LEN(Sheet2!F5))&amp;Sheet2!F5</f>
        <v xml:space="preserve">  tam.mode</v>
      </c>
      <c r="G5" s="6" t="str">
        <f>REPT(" ",Sheet2!$G$3-LEN(Sheet2!G5))&amp;Sheet2!G5</f>
        <v xml:space="preserve">       ITM_SIGMAPLUS</v>
      </c>
      <c r="H5" s="6" t="str">
        <f>REPT(" ",Sheet2!$H$3-LEN(TEXT(Sheet2!H5,"00")))&amp;""""&amp;TEXT(Sheet2!H5,"00")&amp;""""</f>
        <v xml:space="preserve">  "00"</v>
      </c>
      <c r="I5" s="6" t="str">
        <f>REPT(" ",Sheet2!$I$3-LEN(Sheet2!I5))&amp;Sheet2!I5</f>
        <v xml:space="preserve">                  [a]ccumulate</v>
      </c>
      <c r="J5" s="3" t="str">
        <f>IF(Sheet2!B5="","",SUBSTITUTE(SUBSTITUTE(SUBSTITUTE(SUBSTITUTE(SUBSTITUTE(SUBSTITUTE(SUBSTITUTE(SUBSTITUTE($J$1,"61",A5),"CM_NORMAL",E5),"ITM_DRG",G5),"nn = comm",I5),"exitIfNim",B5),"allowCondition",D5),"KK",H5),"9999",F5))</f>
        <v>if(shortCutCommand(w, event_keyval,    97,   shortcutProfile == USER_C47,  ExitIfNim,   tam.mode,   "00",  CM_NORMAL,        ITM_SIGMAPLUS ))        {return true;} else        //                  [a]ccumulate</v>
      </c>
    </row>
    <row r="6" spans="1:10">
      <c r="A6" s="6" t="str">
        <f>REPT(" ",Sheet2!$B$3-LEN(Sheet2!B6))&amp;Sheet2!B6</f>
        <v xml:space="preserve">  118</v>
      </c>
      <c r="B6" s="6" t="str">
        <f>REPT(" ",Sheet2!$C$3-LEN(Sheet2!C6))&amp;Sheet2!C6</f>
        <v xml:space="preserve"> ExitIfNim</v>
      </c>
      <c r="C6" s="5" t="str">
        <f>IF(Sheet2!D6="Std","FALSE","shortcutProfile == USER_"&amp;Sheet2!D6)</f>
        <v>shortcutProfile == USER_C47</v>
      </c>
      <c r="D6" s="6" t="str">
        <f t="shared" ref="D6:D69" si="1">REPT( " ",$C$4-LEN(C6) ) &amp;C6</f>
        <v xml:space="preserve">  shortcutProfile == USER_C47</v>
      </c>
      <c r="E6" s="6" t="str">
        <f>REPT(" ",Sheet2!$E$3-LEN(Sheet2!E6))&amp;Sheet2!E6</f>
        <v xml:space="preserve"> CM_NORMAL</v>
      </c>
      <c r="F6" s="6" t="str">
        <f>REPT(" ",Sheet2!$E$3-LEN(Sheet2!F6))&amp;Sheet2!F6</f>
        <v xml:space="preserve">  tam.mode</v>
      </c>
      <c r="G6" s="6" t="str">
        <f>REPT(" ",Sheet2!$G$3-LEN(Sheet2!G6))&amp;Sheet2!G6</f>
        <v xml:space="preserve">            ITM_1ONX</v>
      </c>
      <c r="H6" s="6" t="str">
        <f>REPT(" ",Sheet2!$H$3-LEN(TEXT(Sheet2!H6,"00")))&amp;""""&amp;TEXT(Sheet2!H6,"00")&amp;""""</f>
        <v xml:space="preserve">  "01"</v>
      </c>
      <c r="I6" s="6" t="str">
        <f>REPT(" ",Sheet2!$I$3-LEN(Sheet2!I6))&amp;Sheet2!I6</f>
        <v xml:space="preserve">                     in[v]erse</v>
      </c>
      <c r="J6" s="3" t="str">
        <f>IF(Sheet2!B6="","",SUBSTITUTE(SUBSTITUTE(SUBSTITUTE(SUBSTITUTE(SUBSTITUTE(SUBSTITUTE(SUBSTITUTE(SUBSTITUTE($J$1,"61",A6),"CM_NORMAL",E6),"ITM_DRG",G6),"nn = comm",I6),"exitIfNim",B6),"allowCondition",D6),"KK",H6),"9999",F6))</f>
        <v>if(shortCutCommand(w, event_keyval,   118,   shortcutProfile == USER_C47,  ExitIfNim,   tam.mode,   "01",  CM_NORMAL,             ITM_1ONX ))        {return true;} else        //                     in[v]erse</v>
      </c>
    </row>
    <row r="7" spans="1:10">
      <c r="A7" s="6" t="str">
        <f>REPT(" ",Sheet2!$B$3-LEN(Sheet2!B7))&amp;Sheet2!B7</f>
        <v xml:space="preserve">  113</v>
      </c>
      <c r="B7" s="6" t="str">
        <f>REPT(" ",Sheet2!$C$3-LEN(Sheet2!C7))&amp;Sheet2!C7</f>
        <v xml:space="preserve"> ExitIfNim</v>
      </c>
      <c r="C7" s="5" t="str">
        <f>IF(Sheet2!D7="Std","FALSE","shortcutProfile == USER_"&amp;Sheet2!D7)</f>
        <v>shortcutProfile == USER_C47</v>
      </c>
      <c r="D7" s="6" t="str">
        <f t="shared" si="1"/>
        <v xml:space="preserve">  shortcutProfile == USER_C47</v>
      </c>
      <c r="E7" s="6" t="str">
        <f>REPT(" ",Sheet2!$E$3-LEN(Sheet2!E7))&amp;Sheet2!E7</f>
        <v xml:space="preserve"> CM_NORMAL</v>
      </c>
      <c r="F7" s="6" t="str">
        <f>REPT(" ",Sheet2!$E$3-LEN(Sheet2!F7))&amp;Sheet2!F7</f>
        <v xml:space="preserve">  tam.mode</v>
      </c>
      <c r="G7" s="6" t="str">
        <f>REPT(" ",Sheet2!$G$3-LEN(Sheet2!G7))&amp;Sheet2!G7</f>
        <v xml:space="preserve">     ITM_SQUAREROOTX</v>
      </c>
      <c r="H7" s="6" t="str">
        <f>REPT(" ",Sheet2!$H$3-LEN(TEXT(Sheet2!H7,"00")))&amp;""""&amp;TEXT(Sheet2!H7,"00")&amp;""""</f>
        <v xml:space="preserve">  "02"</v>
      </c>
      <c r="I7" s="6" t="str">
        <f>REPT(" ",Sheet2!$I$3-LEN(Sheet2!I7))&amp;Sheet2!I7</f>
        <v xml:space="preserve">                        s[q]rt</v>
      </c>
      <c r="J7" s="3" t="str">
        <f>IF(Sheet2!B7="","",SUBSTITUTE(SUBSTITUTE(SUBSTITUTE(SUBSTITUTE(SUBSTITUTE(SUBSTITUTE(SUBSTITUTE(SUBSTITUTE($J$1,"61",A7),"CM_NORMAL",E7),"ITM_DRG",G7),"nn = comm",I7),"exitIfNim",B7),"allowCondition",D7),"KK",H7),"9999",F7))</f>
        <v>if(shortCutCommand(w, event_keyval,   113,   shortcutProfile == USER_C47,  ExitIfNim,   tam.mode,   "02",  CM_NORMAL,      ITM_SQUAREROOTX ))        {return true;} else        //                        s[q]rt</v>
      </c>
    </row>
    <row r="8" spans="1:10">
      <c r="A8" s="6" t="str">
        <f>REPT(" ",Sheet2!$B$3-LEN(Sheet2!B8))&amp;Sheet2!B8</f>
        <v xml:space="preserve">  111</v>
      </c>
      <c r="B8" s="6" t="str">
        <f>REPT(" ",Sheet2!$C$3-LEN(Sheet2!C8))&amp;Sheet2!C8</f>
        <v xml:space="preserve"> ExitIfNim</v>
      </c>
      <c r="C8" s="5" t="str">
        <f>IF(Sheet2!D8="Std","FALSE","shortcutProfile == USER_"&amp;Sheet2!D8)</f>
        <v>shortcutProfile == USER_C47</v>
      </c>
      <c r="D8" s="6" t="str">
        <f t="shared" si="1"/>
        <v xml:space="preserve">  shortcutProfile == USER_C47</v>
      </c>
      <c r="E8" s="6" t="str">
        <f>REPT(" ",Sheet2!$E$3-LEN(Sheet2!E8))&amp;Sheet2!E8</f>
        <v xml:space="preserve"> CM_NORMAL</v>
      </c>
      <c r="F8" s="6" t="str">
        <f>REPT(" ",Sheet2!$E$3-LEN(Sheet2!F8))&amp;Sheet2!F8</f>
        <v xml:space="preserve">  tam.mode</v>
      </c>
      <c r="G8" s="6" t="str">
        <f>REPT(" ",Sheet2!$G$3-LEN(Sheet2!G8))&amp;Sheet2!G8</f>
        <v xml:space="preserve">           ITM_LOG10</v>
      </c>
      <c r="H8" s="6" t="str">
        <f>REPT(" ",Sheet2!$H$3-LEN(TEXT(Sheet2!H8,"00")))&amp;""""&amp;TEXT(Sheet2!H8,"00")&amp;""""</f>
        <v xml:space="preserve">  "03"</v>
      </c>
      <c r="I8" s="6" t="str">
        <f>REPT(" ",Sheet2!$I$3-LEN(Sheet2!I8))&amp;Sheet2!I8</f>
        <v xml:space="preserve">                         l[o]g</v>
      </c>
      <c r="J8" s="3" t="str">
        <f>IF(Sheet2!B8="","",SUBSTITUTE(SUBSTITUTE(SUBSTITUTE(SUBSTITUTE(SUBSTITUTE(SUBSTITUTE(SUBSTITUTE(SUBSTITUTE($J$1,"61",A8),"CM_NORMAL",E8),"ITM_DRG",G8),"nn = comm",I8),"exitIfNim",B8),"allowCondition",D8),"KK",H8),"9999",F8))</f>
        <v>if(shortCutCommand(w, event_keyval,   111,   shortcutProfile == USER_C47,  ExitIfNim,   tam.mode,   "03",  CM_NORMAL,            ITM_LOG10 ))        {return true;} else        //                         l[o]g</v>
      </c>
    </row>
    <row r="9" spans="1:10">
      <c r="A9" s="6" t="str">
        <f>REPT(" ",Sheet2!$B$3-LEN(Sheet2!B9))&amp;Sheet2!B9</f>
        <v xml:space="preserve">  108</v>
      </c>
      <c r="B9" s="6" t="str">
        <f>REPT(" ",Sheet2!$C$3-LEN(Sheet2!C9))&amp;Sheet2!C9</f>
        <v xml:space="preserve"> ExitIfNim</v>
      </c>
      <c r="C9" s="5" t="str">
        <f>IF(Sheet2!D9="Std","FALSE","shortcutProfile == USER_"&amp;Sheet2!D9)</f>
        <v>shortcutProfile == USER_C47</v>
      </c>
      <c r="D9" s="6" t="str">
        <f t="shared" si="1"/>
        <v xml:space="preserve">  shortcutProfile == USER_C47</v>
      </c>
      <c r="E9" s="6" t="str">
        <f>REPT(" ",Sheet2!$E$3-LEN(Sheet2!E9))&amp;Sheet2!E9</f>
        <v xml:space="preserve"> CM_NORMAL</v>
      </c>
      <c r="F9" s="6" t="str">
        <f>REPT(" ",Sheet2!$E$3-LEN(Sheet2!F9))&amp;Sheet2!F9</f>
        <v xml:space="preserve">  tam.mode</v>
      </c>
      <c r="G9" s="6" t="str">
        <f>REPT(" ",Sheet2!$G$3-LEN(Sheet2!G9))&amp;Sheet2!G9</f>
        <v xml:space="preserve">              ITM_LN</v>
      </c>
      <c r="H9" s="6" t="str">
        <f>REPT(" ",Sheet2!$H$3-LEN(TEXT(Sheet2!H9,"00")))&amp;""""&amp;TEXT(Sheet2!H9,"00")&amp;""""</f>
        <v xml:space="preserve">  "04"</v>
      </c>
      <c r="I9" s="6" t="str">
        <f>REPT(" ",Sheet2!$I$3-LEN(Sheet2!I9))&amp;Sheet2!I9</f>
        <v xml:space="preserve">                          [l]n</v>
      </c>
      <c r="J9" s="3" t="str">
        <f>IF(Sheet2!B9="","",SUBSTITUTE(SUBSTITUTE(SUBSTITUTE(SUBSTITUTE(SUBSTITUTE(SUBSTITUTE(SUBSTITUTE(SUBSTITUTE($J$1,"61",A9),"CM_NORMAL",E9),"ITM_DRG",G9),"nn = comm",I9),"exitIfNim",B9),"allowCondition",D9),"KK",H9),"9999",F9))</f>
        <v>if(shortCutCommand(w, event_keyval,   108,   shortcutProfile == USER_C47,  ExitIfNim,   tam.mode,   "04",  CM_NORMAL,               ITM_LN ))        {return true;} else        //                          [l]n</v>
      </c>
    </row>
    <row r="10" spans="1:10">
      <c r="A10" s="6" t="str">
        <f>REPT(" ",Sheet2!$B$3-LEN(Sheet2!B10))&amp;Sheet2!B10</f>
        <v xml:space="preserve">  120</v>
      </c>
      <c r="B10" s="6" t="str">
        <f>REPT(" ",Sheet2!$C$3-LEN(Sheet2!C10))&amp;Sheet2!C10</f>
        <v>!ExitIfNim</v>
      </c>
      <c r="C10" s="5" t="str">
        <f>IF(Sheet2!D10="Std","FALSE","shortcutProfile == USER_"&amp;Sheet2!D10)</f>
        <v>shortcutProfile == USER_C47</v>
      </c>
      <c r="D10" s="6" t="str">
        <f t="shared" si="1"/>
        <v xml:space="preserve">  shortcutProfile == USER_C47</v>
      </c>
      <c r="E10" s="6" t="str">
        <f>REPT(" ",Sheet2!$E$3-LEN(Sheet2!E10))&amp;Sheet2!E10</f>
        <v xml:space="preserve"> CM_NORMAL</v>
      </c>
      <c r="F10" s="6" t="str">
        <f>REPT(" ",Sheet2!$E$3-LEN(Sheet2!F10))&amp;Sheet2!F10</f>
        <v xml:space="preserve">     FALSE</v>
      </c>
      <c r="G10" s="6" t="str">
        <f>REPT(" ",Sheet2!$G$3-LEN(Sheet2!G10))&amp;Sheet2!G10</f>
        <v xml:space="preserve">             ITM_XEQ</v>
      </c>
      <c r="H10" s="6" t="str">
        <f>REPT(" ",Sheet2!$H$3-LEN(TEXT(Sheet2!H10,"00")))&amp;""""&amp;TEXT(Sheet2!H10,"00")&amp;""""</f>
        <v xml:space="preserve">  "05"</v>
      </c>
      <c r="I10" s="6" t="str">
        <f>REPT(" ",Sheet2!$I$3-LEN(Sheet2!I10))&amp;Sheet2!I10</f>
        <v xml:space="preserve">                         [x]eq</v>
      </c>
      <c r="J10" s="3" t="str">
        <f>IF(Sheet2!B10="","",SUBSTITUTE(SUBSTITUTE(SUBSTITUTE(SUBSTITUTE(SUBSTITUTE(SUBSTITUTE(SUBSTITUTE(SUBSTITUTE($J$1,"61",A10),"CM_NORMAL",E10),"ITM_DRG",G10),"nn = comm",I10),"exitIfNim",B10),"allowCondition",D10),"KK",H10),"9999",F10))</f>
        <v>if(shortCutCommand(w, event_keyval,   120,   shortcutProfile == USER_C47, !ExitIfNim,      FALSE,   "05",  CM_NORMAL,              ITM_XEQ ))        {return true;} else        //                         [x]eq</v>
      </c>
    </row>
    <row r="11" spans="1:10">
      <c r="A11" s="6" t="str">
        <f>REPT(" ",Sheet2!$B$3-LEN(Sheet2!B11))&amp;Sheet2!B11</f>
        <v xml:space="preserve">  109</v>
      </c>
      <c r="B11" s="6" t="str">
        <f>REPT(" ",Sheet2!$C$3-LEN(Sheet2!C11))&amp;Sheet2!C11</f>
        <v xml:space="preserve"> ExitIfNim</v>
      </c>
      <c r="C11" s="5" t="str">
        <f>IF(Sheet2!D11="Std","FALSE","shortcutProfile == USER_"&amp;Sheet2!D11)</f>
        <v>shortcutProfile == USER_C47</v>
      </c>
      <c r="D11" s="6" t="str">
        <f t="shared" si="1"/>
        <v xml:space="preserve">  shortcutProfile == USER_C47</v>
      </c>
      <c r="E11" s="6" t="str">
        <f>REPT(" ",Sheet2!$E$3-LEN(Sheet2!E11))&amp;Sheet2!E11</f>
        <v xml:space="preserve"> CM_NORMAL</v>
      </c>
      <c r="F11" s="6" t="str">
        <f>REPT(" ",Sheet2!$E$3-LEN(Sheet2!F11))&amp;Sheet2!F11</f>
        <v xml:space="preserve">  tam.mode</v>
      </c>
      <c r="G11" s="6" t="str">
        <f>REPT(" ",Sheet2!$G$3-LEN(Sheet2!G11))&amp;Sheet2!G11</f>
        <v xml:space="preserve">             ITM_STO</v>
      </c>
      <c r="H11" s="6" t="str">
        <f>REPT(" ",Sheet2!$H$3-LEN(TEXT(Sheet2!H11,"00")))&amp;""""&amp;TEXT(Sheet2!H11,"00")&amp;""""</f>
        <v xml:space="preserve">  "06"</v>
      </c>
      <c r="I11" s="6" t="str">
        <f>REPT(" ",Sheet2!$I$3-LEN(Sheet2!I11))&amp;Sheet2!I11</f>
        <v xml:space="preserve">                      [m]emory</v>
      </c>
      <c r="J11" s="3" t="str">
        <f>IF(Sheet2!B11="","",SUBSTITUTE(SUBSTITUTE(SUBSTITUTE(SUBSTITUTE(SUBSTITUTE(SUBSTITUTE(SUBSTITUTE(SUBSTITUTE($J$1,"61",A11),"CM_NORMAL",E11),"ITM_DRG",G11),"nn = comm",I11),"exitIfNim",B11),"allowCondition",D11),"KK",H11),"9999",F11))</f>
        <v>if(shortCutCommand(w, event_keyval,   109,   shortcutProfile == USER_C47,  ExitIfNim,   tam.mode,   "06",  CM_NORMAL,              ITM_STO ))        {return true;} else        //                      [m]emory</v>
      </c>
    </row>
    <row r="12" spans="1:10">
      <c r="A12" s="6" t="str">
        <f>REPT(" ",Sheet2!$B$3-LEN(Sheet2!B12))&amp;Sheet2!B12</f>
        <v xml:space="preserve">  114</v>
      </c>
      <c r="B12" s="6" t="str">
        <f>REPT(" ",Sheet2!$C$3-LEN(Sheet2!C12))&amp;Sheet2!C12</f>
        <v xml:space="preserve"> ExitIfNim</v>
      </c>
      <c r="C12" s="5" t="str">
        <f>IF(Sheet2!D12="Std","FALSE","shortcutProfile == USER_"&amp;Sheet2!D12)</f>
        <v>shortcutProfile == USER_C47</v>
      </c>
      <c r="D12" s="6" t="str">
        <f t="shared" si="1"/>
        <v xml:space="preserve">  shortcutProfile == USER_C47</v>
      </c>
      <c r="E12" s="6" t="str">
        <f>REPT(" ",Sheet2!$E$3-LEN(Sheet2!E12))&amp;Sheet2!E12</f>
        <v xml:space="preserve"> CM_NORMAL</v>
      </c>
      <c r="F12" s="6" t="str">
        <f>REPT(" ",Sheet2!$E$3-LEN(Sheet2!F12))&amp;Sheet2!F12</f>
        <v xml:space="preserve">  tam.mode</v>
      </c>
      <c r="G12" s="6" t="str">
        <f>REPT(" ",Sheet2!$G$3-LEN(Sheet2!G12))&amp;Sheet2!G12</f>
        <v xml:space="preserve">             ITM_RCL</v>
      </c>
      <c r="H12" s="6" t="str">
        <f>REPT(" ",Sheet2!$H$3-LEN(TEXT(Sheet2!H12,"00")))&amp;""""&amp;TEXT(Sheet2!H12,"00")&amp;""""</f>
        <v xml:space="preserve">  "07"</v>
      </c>
      <c r="I12" s="6" t="str">
        <f>REPT(" ",Sheet2!$I$3-LEN(Sheet2!I12))&amp;Sheet2!I12</f>
        <v xml:space="preserve">                         [r]cl</v>
      </c>
      <c r="J12" s="3" t="str">
        <f>IF(Sheet2!B12="","",SUBSTITUTE(SUBSTITUTE(SUBSTITUTE(SUBSTITUTE(SUBSTITUTE(SUBSTITUTE(SUBSTITUTE(SUBSTITUTE($J$1,"61",A12),"CM_NORMAL",E12),"ITM_DRG",G12),"nn = comm",I12),"exitIfNim",B12),"allowCondition",D12),"KK",H12),"9999",F12))</f>
        <v>if(shortCutCommand(w, event_keyval,   114,   shortcutProfile == USER_C47,  ExitIfNim,   tam.mode,   "07",  CM_NORMAL,              ITM_RCL ))        {return true;} else        //                         [r]cl</v>
      </c>
    </row>
    <row r="13" spans="1:10">
      <c r="A13" s="6" t="str">
        <f>REPT(" ",Sheet2!$B$3-LEN(Sheet2!B13))&amp;Sheet2!B13</f>
        <v xml:space="preserve">  100</v>
      </c>
      <c r="B13" s="6" t="str">
        <f>REPT(" ",Sheet2!$C$3-LEN(Sheet2!C13))&amp;Sheet2!C13</f>
        <v xml:space="preserve"> ExitIfNim</v>
      </c>
      <c r="C13" s="5" t="str">
        <f>IF(Sheet2!D13="Std","FALSE","shortcutProfile == USER_"&amp;Sheet2!D13)</f>
        <v>shortcutProfile == USER_C47</v>
      </c>
      <c r="D13" s="6" t="str">
        <f t="shared" si="1"/>
        <v xml:space="preserve">  shortcutProfile == USER_C47</v>
      </c>
      <c r="E13" s="6" t="str">
        <f>REPT(" ",Sheet2!$E$3-LEN(Sheet2!E13))&amp;Sheet2!E13</f>
        <v xml:space="preserve"> CM_NORMAL</v>
      </c>
      <c r="F13" s="6" t="str">
        <f>REPT(" ",Sheet2!$E$3-LEN(Sheet2!F13))&amp;Sheet2!F13</f>
        <v xml:space="preserve">  tam.mode</v>
      </c>
      <c r="G13" s="6" t="str">
        <f>REPT(" ",Sheet2!$G$3-LEN(Sheet2!G13))&amp;Sheet2!G13</f>
        <v xml:space="preserve">           ITM_Rdown</v>
      </c>
      <c r="H13" s="6" t="str">
        <f>REPT(" ",Sheet2!$H$3-LEN(TEXT(Sheet2!H13,"00")))&amp;""""&amp;TEXT(Sheet2!H13,"00")&amp;""""</f>
        <v xml:space="preserve">  "08"</v>
      </c>
      <c r="I13" s="6" t="str">
        <f>REPT(" ",Sheet2!$I$3-LEN(Sheet2!I13))&amp;Sheet2!I13</f>
        <v xml:space="preserve">                        [d]own</v>
      </c>
      <c r="J13" s="3" t="str">
        <f>IF(Sheet2!B13="","",SUBSTITUTE(SUBSTITUTE(SUBSTITUTE(SUBSTITUTE(SUBSTITUTE(SUBSTITUTE(SUBSTITUTE(SUBSTITUTE($J$1,"61",A13),"CM_NORMAL",E13),"ITM_DRG",G13),"nn = comm",I13),"exitIfNim",B13),"allowCondition",D13),"KK",H13),"9999",F13))</f>
        <v>if(shortCutCommand(w, event_keyval,   100,   shortcutProfile == USER_C47,  ExitIfNim,   tam.mode,   "08",  CM_NORMAL,            ITM_Rdown ))        {return true;} else        //                        [d]own</v>
      </c>
    </row>
    <row r="14" spans="1:10">
      <c r="A14" s="6" t="str">
        <f>REPT(" ",Sheet2!$B$3-LEN(Sheet2!B14))&amp;Sheet2!B14</f>
        <v xml:space="preserve">  115</v>
      </c>
      <c r="B14" s="6" t="str">
        <f>REPT(" ",Sheet2!$C$3-LEN(Sheet2!C14))&amp;Sheet2!C14</f>
        <v xml:space="preserve"> ExitIfNim</v>
      </c>
      <c r="C14" s="5" t="str">
        <f>IF(Sheet2!D14="Std","FALSE","shortcutProfile == USER_"&amp;Sheet2!D14)</f>
        <v>shortcutProfile == USER_C47</v>
      </c>
      <c r="D14" s="6" t="str">
        <f t="shared" si="1"/>
        <v xml:space="preserve">  shortcutProfile == USER_C47</v>
      </c>
      <c r="E14" s="6" t="str">
        <f>REPT(" ",Sheet2!$E$3-LEN(Sheet2!E14))&amp;Sheet2!E14</f>
        <v xml:space="preserve"> CM_NORMAL</v>
      </c>
      <c r="F14" s="6" t="str">
        <f>REPT(" ",Sheet2!$E$3-LEN(Sheet2!F14))&amp;Sheet2!F14</f>
        <v xml:space="preserve">  tam.mode</v>
      </c>
      <c r="G14" s="6" t="str">
        <f>REPT(" ",Sheet2!$G$3-LEN(Sheet2!G14))&amp;Sheet2!G14</f>
        <v xml:space="preserve">             ITM_sin</v>
      </c>
      <c r="H14" s="6" t="str">
        <f>REPT(" ",Sheet2!$H$3-LEN(TEXT(Sheet2!H14,"00")))&amp;""""&amp;TEXT(Sheet2!H14,"00")&amp;""""</f>
        <v xml:space="preserve">  "09"</v>
      </c>
      <c r="I14" s="6" t="str">
        <f>REPT(" ",Sheet2!$I$3-LEN(Sheet2!I14))&amp;Sheet2!I14</f>
        <v xml:space="preserve">                        [s]ine</v>
      </c>
      <c r="J14" s="3" t="str">
        <f>IF(Sheet2!B14="","",SUBSTITUTE(SUBSTITUTE(SUBSTITUTE(SUBSTITUTE(SUBSTITUTE(SUBSTITUTE(SUBSTITUTE(SUBSTITUTE($J$1,"61",A14),"CM_NORMAL",E14),"ITM_DRG",G14),"nn = comm",I14),"exitIfNim",B14),"allowCondition",D14),"KK",H14),"9999",F14))</f>
        <v>if(shortCutCommand(w, event_keyval,   115,   shortcutProfile == USER_C47,  ExitIfNim,   tam.mode,   "09",  CM_NORMAL,              ITM_sin ))        {return true;} else        //                        [s]ine</v>
      </c>
    </row>
    <row r="15" spans="1:10">
      <c r="A15" s="6" t="str">
        <f>REPT(" ",Sheet2!$B$3-LEN(Sheet2!B15))&amp;Sheet2!B15</f>
        <v xml:space="preserve">   99</v>
      </c>
      <c r="B15" s="6" t="str">
        <f>REPT(" ",Sheet2!$C$3-LEN(Sheet2!C15))&amp;Sheet2!C15</f>
        <v xml:space="preserve"> ExitIfNim</v>
      </c>
      <c r="C15" s="5" t="str">
        <f>IF(Sheet2!D15="Std","FALSE","shortcutProfile == USER_"&amp;Sheet2!D15)</f>
        <v>shortcutProfile == USER_C47</v>
      </c>
      <c r="D15" s="6" t="str">
        <f t="shared" si="1"/>
        <v xml:space="preserve">  shortcutProfile == USER_C47</v>
      </c>
      <c r="E15" s="6" t="str">
        <f>REPT(" ",Sheet2!$E$3-LEN(Sheet2!E15))&amp;Sheet2!E15</f>
        <v xml:space="preserve"> CM_NORMAL</v>
      </c>
      <c r="F15" s="6" t="str">
        <f>REPT(" ",Sheet2!$E$3-LEN(Sheet2!F15))&amp;Sheet2!F15</f>
        <v xml:space="preserve">  tam.mode</v>
      </c>
      <c r="G15" s="6" t="str">
        <f>REPT(" ",Sheet2!$G$3-LEN(Sheet2!G15))&amp;Sheet2!G15</f>
        <v xml:space="preserve">             ITM_cos</v>
      </c>
      <c r="H15" s="6" t="str">
        <f>REPT(" ",Sheet2!$H$3-LEN(TEXT(Sheet2!H15,"00")))&amp;""""&amp;TEXT(Sheet2!H15,"00")&amp;""""</f>
        <v xml:space="preserve">  "10"</v>
      </c>
      <c r="I15" s="6" t="str">
        <f>REPT(" ",Sheet2!$I$3-LEN(Sheet2!I15))&amp;Sheet2!I15</f>
        <v xml:space="preserve">                      [c]osine</v>
      </c>
      <c r="J15" s="3" t="str">
        <f>IF(Sheet2!B15="","",SUBSTITUTE(SUBSTITUTE(SUBSTITUTE(SUBSTITUTE(SUBSTITUTE(SUBSTITUTE(SUBSTITUTE(SUBSTITUTE($J$1,"61",A15),"CM_NORMAL",E15),"ITM_DRG",G15),"nn = comm",I15),"exitIfNim",B15),"allowCondition",D15),"KK",H15),"9999",F15))</f>
        <v>if(shortCutCommand(w, event_keyval,    99,   shortcutProfile == USER_C47,  ExitIfNim,   tam.mode,   "10",  CM_NORMAL,              ITM_cos ))        {return true;} else        //                      [c]osine</v>
      </c>
    </row>
    <row r="16" spans="1:10">
      <c r="A16" s="6" t="str">
        <f>REPT(" ",Sheet2!$B$3-LEN(Sheet2!B16))&amp;Sheet2!B16</f>
        <v xml:space="preserve">  116</v>
      </c>
      <c r="B16" s="6" t="str">
        <f>REPT(" ",Sheet2!$C$3-LEN(Sheet2!C16))&amp;Sheet2!C16</f>
        <v xml:space="preserve"> ExitIfNim</v>
      </c>
      <c r="C16" s="5" t="str">
        <f>IF(Sheet2!D16="Std","FALSE","shortcutProfile == USER_"&amp;Sheet2!D16)</f>
        <v>shortcutProfile == USER_C47</v>
      </c>
      <c r="D16" s="6" t="str">
        <f t="shared" si="1"/>
        <v xml:space="preserve">  shortcutProfile == USER_C47</v>
      </c>
      <c r="E16" s="6" t="str">
        <f>REPT(" ",Sheet2!$E$3-LEN(Sheet2!E16))&amp;Sheet2!E16</f>
        <v xml:space="preserve"> CM_NORMAL</v>
      </c>
      <c r="F16" s="6" t="str">
        <f>REPT(" ",Sheet2!$E$3-LEN(Sheet2!F16))&amp;Sheet2!F16</f>
        <v xml:space="preserve">  tam.mode</v>
      </c>
      <c r="G16" s="6" t="str">
        <f>REPT(" ",Sheet2!$G$3-LEN(Sheet2!G16))&amp;Sheet2!G16</f>
        <v xml:space="preserve">             ITM_tan</v>
      </c>
      <c r="H16" s="6" t="str">
        <f>REPT(" ",Sheet2!$H$3-LEN(TEXT(Sheet2!H16,"00")))&amp;""""&amp;TEXT(Sheet2!H16,"00")&amp;""""</f>
        <v xml:space="preserve">  "11"</v>
      </c>
      <c r="I16" s="6" t="str">
        <f>REPT(" ",Sheet2!$I$3-LEN(Sheet2!I16))&amp;Sheet2!I16</f>
        <v xml:space="preserve">                     [t]angent</v>
      </c>
      <c r="J16" s="3" t="str">
        <f>IF(Sheet2!B16="","",SUBSTITUTE(SUBSTITUTE(SUBSTITUTE(SUBSTITUTE(SUBSTITUTE(SUBSTITUTE(SUBSTITUTE(SUBSTITUTE($J$1,"61",A16),"CM_NORMAL",E16),"ITM_DRG",G16),"nn = comm",I16),"exitIfNim",B16),"allowCondition",D16),"KK",H16),"9999",F16))</f>
        <v>if(shortCutCommand(w, event_keyval,   116,   shortcutProfile == USER_C47,  ExitIfNim,   tam.mode,   "11",  CM_NORMAL,              ITM_tan ))        {return true;} else        //                     [t]angent</v>
      </c>
    </row>
    <row r="17" spans="1:10">
      <c r="A17" s="6" t="str">
        <f>REPT(" ",Sheet2!$B$3-LEN(Sheet2!B17))&amp;Sheet2!B17</f>
        <v>65421</v>
      </c>
      <c r="B17" s="6" t="str">
        <f>REPT(" ",Sheet2!$C$3-LEN(Sheet2!C17))&amp;Sheet2!C17</f>
        <v>!ExitIfNim</v>
      </c>
      <c r="C17" s="5" t="str">
        <f>IF(Sheet2!D17="Std","FALSE","shortcutProfile == USER_"&amp;Sheet2!D17)</f>
        <v>FALSE</v>
      </c>
      <c r="D17" s="6" t="str">
        <f t="shared" si="1"/>
        <v xml:space="preserve">                        FALSE</v>
      </c>
      <c r="E17" s="6" t="str">
        <f>REPT(" ",Sheet2!$E$3-LEN(Sheet2!E17))&amp;Sheet2!E17</f>
        <v xml:space="preserve"> CM_NORMAL</v>
      </c>
      <c r="F17" s="6" t="str">
        <f>REPT(" ",Sheet2!$E$3-LEN(Sheet2!F17))&amp;Sheet2!F17</f>
        <v xml:space="preserve">     FALSE</v>
      </c>
      <c r="G17" s="6" t="str">
        <f>REPT(" ",Sheet2!$G$3-LEN(Sheet2!G17))&amp;Sheet2!G17</f>
        <v xml:space="preserve">           ITM_ENTER</v>
      </c>
      <c r="H17" s="6" t="str">
        <f>REPT(" ",Sheet2!$H$3-LEN(TEXT(Sheet2!H17,"00")))&amp;""""&amp;TEXT(Sheet2!H17,"00")&amp;""""</f>
        <v xml:space="preserve">  "12"</v>
      </c>
      <c r="I17" s="6" t="str">
        <f>REPT(" ",Sheet2!$I$3-LEN(Sheet2!I17))&amp;Sheet2!I17</f>
        <v xml:space="preserve">                           key</v>
      </c>
      <c r="J17" s="3" t="str">
        <f>IF(Sheet2!B17="","",SUBSTITUTE(SUBSTITUTE(SUBSTITUTE(SUBSTITUTE(SUBSTITUTE(SUBSTITUTE(SUBSTITUTE(SUBSTITUTE($J$1,"61",A17),"CM_NORMAL",E17),"ITM_DRG",G17),"nn = comm",I17),"exitIfNim",B17),"allowCondition",D17),"KK",H17),"9999",F17))</f>
        <v>if(shortCutCommand(w, event_keyval, 65421,                         FALSE, !ExitIfNim,      FALSE,   "12",  CM_NORMAL,            ITM_ENTER ))        {return true;} else        //                           key</v>
      </c>
    </row>
    <row r="18" spans="1:10">
      <c r="A18" s="6" t="str">
        <f>REPT(" ",Sheet2!$B$3-LEN(Sheet2!B18))&amp;Sheet2!B18</f>
        <v xml:space="preserve">  119</v>
      </c>
      <c r="B18" s="6" t="str">
        <f>REPT(" ",Sheet2!$C$3-LEN(Sheet2!C18))&amp;Sheet2!C18</f>
        <v>!ExitIfNim</v>
      </c>
      <c r="C18" s="5" t="str">
        <f>IF(Sheet2!D18="Std","FALSE","shortcutProfile == USER_"&amp;Sheet2!D18)</f>
        <v>FALSE</v>
      </c>
      <c r="D18" s="6" t="str">
        <f t="shared" si="1"/>
        <v xml:space="preserve">                        FALSE</v>
      </c>
      <c r="E18" s="6" t="str">
        <f>REPT(" ",Sheet2!$E$3-LEN(Sheet2!E18))&amp;Sheet2!E18</f>
        <v xml:space="preserve"> CM_NORMAL</v>
      </c>
      <c r="F18" s="6" t="str">
        <f>REPT(" ",Sheet2!$E$3-LEN(Sheet2!F18))&amp;Sheet2!F18</f>
        <v xml:space="preserve">  tam.mode</v>
      </c>
      <c r="G18" s="6" t="str">
        <f>REPT(" ",Sheet2!$G$3-LEN(Sheet2!G18))&amp;Sheet2!G18</f>
        <v xml:space="preserve">            ITM_XexY</v>
      </c>
      <c r="H18" s="6" t="str">
        <f>REPT(" ",Sheet2!$H$3-LEN(TEXT(Sheet2!H18,"00")))&amp;""""&amp;TEXT(Sheet2!H18,"00")&amp;""""</f>
        <v xml:space="preserve">  "13"</v>
      </c>
      <c r="I18" s="6" t="str">
        <f>REPT(" ",Sheet2!$I$3-LEN(Sheet2!I18))&amp;Sheet2!I18</f>
        <v xml:space="preserve">                        s[w]ap</v>
      </c>
      <c r="J18" s="3" t="str">
        <f>IF(Sheet2!B18="","",SUBSTITUTE(SUBSTITUTE(SUBSTITUTE(SUBSTITUTE(SUBSTITUTE(SUBSTITUTE(SUBSTITUTE(SUBSTITUTE($J$1,"61",A18),"CM_NORMAL",E18),"ITM_DRG",G18),"nn = comm",I18),"exitIfNim",B18),"allowCondition",D18),"KK",H18),"9999",F18))</f>
        <v>if(shortCutCommand(w, event_keyval,   119,                         FALSE, !ExitIfNim,   tam.mode,   "13",  CM_NORMAL,             ITM_XexY ))        {return true;} else        //                        s[w]ap</v>
      </c>
    </row>
    <row r="19" spans="1:10">
      <c r="A19" s="6" t="str">
        <f>REPT(" ",Sheet2!$B$3-LEN(Sheet2!B19))&amp;Sheet2!B19</f>
        <v xml:space="preserve">  110</v>
      </c>
      <c r="B19" s="6" t="str">
        <f>REPT(" ",Sheet2!$C$3-LEN(Sheet2!C19))&amp;Sheet2!C19</f>
        <v>!ExitIfNim</v>
      </c>
      <c r="C19" s="5" t="str">
        <f>IF(Sheet2!D19="Std","FALSE","shortcutProfile == USER_"&amp;Sheet2!D19)</f>
        <v>FALSE</v>
      </c>
      <c r="D19" s="6" t="str">
        <f t="shared" si="1"/>
        <v xml:space="preserve">                        FALSE</v>
      </c>
      <c r="E19" s="6" t="str">
        <f>REPT(" ",Sheet2!$E$3-LEN(Sheet2!E19))&amp;Sheet2!E19</f>
        <v xml:space="preserve"> CM_NORMAL</v>
      </c>
      <c r="F19" s="6" t="str">
        <f>REPT(" ",Sheet2!$E$3-LEN(Sheet2!F19))&amp;Sheet2!F19</f>
        <v xml:space="preserve">  tam.mode</v>
      </c>
      <c r="G19" s="6" t="str">
        <f>REPT(" ",Sheet2!$G$3-LEN(Sheet2!G19))&amp;Sheet2!G19</f>
        <v xml:space="preserve">             ITM_CHS</v>
      </c>
      <c r="H19" s="6" t="str">
        <f>REPT(" ",Sheet2!$H$3-LEN(TEXT(Sheet2!H19,"00")))&amp;""""&amp;TEXT(Sheet2!H19,"00")&amp;""""</f>
        <v xml:space="preserve">  "14"</v>
      </c>
      <c r="I19" s="6" t="str">
        <f>REPT(" ",Sheet2!$I$3-LEN(Sheet2!I19))&amp;Sheet2!I19</f>
        <v xml:space="preserve">                CHS [n]egative</v>
      </c>
      <c r="J19" s="3" t="str">
        <f>IF(Sheet2!B19="","",SUBSTITUTE(SUBSTITUTE(SUBSTITUTE(SUBSTITUTE(SUBSTITUTE(SUBSTITUTE(SUBSTITUTE(SUBSTITUTE($J$1,"61",A19),"CM_NORMAL",E19),"ITM_DRG",G19),"nn = comm",I19),"exitIfNim",B19),"allowCondition",D19),"KK",H19),"9999",F19))</f>
        <v>if(shortCutCommand(w, event_keyval,   110,                         FALSE, !ExitIfNim,   tam.mode,   "14",  CM_NORMAL,              ITM_CHS ))        {return true;} else        //                CHS [n]egative</v>
      </c>
    </row>
    <row r="20" spans="1:10">
      <c r="A20" s="6" t="str">
        <f>REPT(" ",Sheet2!$B$3-LEN(Sheet2!B20))&amp;Sheet2!B20</f>
        <v xml:space="preserve">  101</v>
      </c>
      <c r="B20" s="6" t="str">
        <f>REPT(" ",Sheet2!$C$3-LEN(Sheet2!C20))&amp;Sheet2!C20</f>
        <v>!ExitIfNim</v>
      </c>
      <c r="C20" s="5" t="str">
        <f>IF(Sheet2!D20="Std","FALSE","shortcutProfile == USER_"&amp;Sheet2!D20)</f>
        <v>FALSE</v>
      </c>
      <c r="D20" s="6" t="str">
        <f t="shared" si="1"/>
        <v xml:space="preserve">                        FALSE</v>
      </c>
      <c r="E20" s="6" t="str">
        <f>REPT(" ",Sheet2!$E$3-LEN(Sheet2!E20))&amp;Sheet2!E20</f>
        <v xml:space="preserve"> CM_NORMAL</v>
      </c>
      <c r="F20" s="6" t="str">
        <f>REPT(" ",Sheet2!$E$3-LEN(Sheet2!F20))&amp;Sheet2!F20</f>
        <v xml:space="preserve">  tam.mode</v>
      </c>
      <c r="G20" s="6" t="str">
        <f>REPT(" ",Sheet2!$G$3-LEN(Sheet2!G20))&amp;Sheet2!G20</f>
        <v xml:space="preserve">        ITM_EXPONENT</v>
      </c>
      <c r="H20" s="6" t="str">
        <f>REPT(" ",Sheet2!$H$3-LEN(TEXT(Sheet2!H20,"00")))&amp;""""&amp;TEXT(Sheet2!H20,"00")&amp;""""</f>
        <v xml:space="preserve">  "15"</v>
      </c>
      <c r="I20" s="6" t="str">
        <f>REPT(" ",Sheet2!$I$3-LEN(Sheet2!I20))&amp;Sheet2!I20</f>
        <v xml:space="preserve">                    [e]xponent</v>
      </c>
      <c r="J20" s="3" t="str">
        <f>IF(Sheet2!B20="","",SUBSTITUTE(SUBSTITUTE(SUBSTITUTE(SUBSTITUTE(SUBSTITUTE(SUBSTITUTE(SUBSTITUTE(SUBSTITUTE($J$1,"61",A20),"CM_NORMAL",E20),"ITM_DRG",G20),"nn = comm",I20),"exitIfNim",B20),"allowCondition",D20),"KK",H20),"9999",F20))</f>
        <v>if(shortCutCommand(w, event_keyval,   101,                         FALSE, !ExitIfNim,   tam.mode,   "15",  CM_NORMAL,         ITM_EXPONENT ))        {return true;} else        //                    [e]xponent</v>
      </c>
    </row>
    <row r="21" spans="1:10">
      <c r="A21" s="6" t="str">
        <f>REPT(" ",Sheet2!$B$3-LEN(Sheet2!B21))&amp;Sheet2!B21</f>
        <v xml:space="preserve">   61</v>
      </c>
      <c r="B21" s="6" t="str">
        <f>REPT(" ",Sheet2!$C$3-LEN(Sheet2!C21))&amp;Sheet2!C21</f>
        <v xml:space="preserve"> ExitIfNim</v>
      </c>
      <c r="C21" s="5" t="str">
        <f>IF(Sheet2!D21="Std","FALSE","shortcutProfile == USER_"&amp;Sheet2!D21)</f>
        <v>shortcutProfile == USER_C47</v>
      </c>
      <c r="D21" s="6" t="str">
        <f t="shared" si="1"/>
        <v xml:space="preserve">  shortcutProfile == USER_C47</v>
      </c>
      <c r="E21" s="6" t="str">
        <f>REPT(" ",Sheet2!$E$3-LEN(Sheet2!E21))&amp;Sheet2!E21</f>
        <v xml:space="preserve"> CM_NORMAL</v>
      </c>
      <c r="F21" s="6" t="str">
        <f>REPT(" ",Sheet2!$E$3-LEN(Sheet2!F21))&amp;Sheet2!F21</f>
        <v xml:space="preserve">  tam.mode</v>
      </c>
      <c r="G21" s="6" t="str">
        <f>REPT(" ",Sheet2!$G$3-LEN(Sheet2!G21))&amp;Sheet2!G21</f>
        <v xml:space="preserve">             ITM_DRG</v>
      </c>
      <c r="H21" s="6" t="str">
        <f>REPT(" ",Sheet2!$H$3-LEN(TEXT(Sheet2!H21,"00")))&amp;""""&amp;TEXT(Sheet2!H21,"00")&amp;""""</f>
        <v xml:space="preserve"> "-01"</v>
      </c>
      <c r="I21" s="6" t="str">
        <f>REPT(" ",Sheet2!$I$3-LEN(Sheet2!I21))&amp;Sheet2!I21</f>
        <v xml:space="preserve">                     [=]&gt;D,R,G</v>
      </c>
      <c r="J21" s="3" t="str">
        <f>IF(Sheet2!B21="","",SUBSTITUTE(SUBSTITUTE(SUBSTITUTE(SUBSTITUTE(SUBSTITUTE(SUBSTITUTE(SUBSTITUTE(SUBSTITUTE($J$1,"61",A21),"CM_NORMAL",E21),"ITM_DRG",G21),"nn = comm",I21),"exitIfNim",B21),"allowCondition",D21),"KK",H21),"9999",F21))</f>
        <v>if(shortCutCommand(w, event_keyval,    61,   shortcutProfile == USER_C47,  ExitIfNim,   tam.mode,  "-01",  CM_NORMAL,              ITM_DRG ))        {return true;} else        //                     [=]&gt;D,R,G</v>
      </c>
    </row>
    <row r="22" spans="1:10">
      <c r="A22" s="6" t="str">
        <f>REPT(" ",Sheet2!$B$3-LEN(Sheet2!B22))&amp;Sheet2!B22</f>
        <v xml:space="preserve">   89</v>
      </c>
      <c r="B22" s="6" t="str">
        <f>REPT(" ",Sheet2!$C$3-LEN(Sheet2!C22))&amp;Sheet2!C22</f>
        <v xml:space="preserve"> ExitIfNim</v>
      </c>
      <c r="C22" s="5" t="str">
        <f>IF(Sheet2!D22="Std","FALSE","shortcutProfile == USER_"&amp;Sheet2!D22)</f>
        <v>shortcutProfile == USER_C47</v>
      </c>
      <c r="D22" s="6" t="str">
        <f t="shared" si="1"/>
        <v xml:space="preserve">  shortcutProfile == USER_C47</v>
      </c>
      <c r="E22" s="6" t="str">
        <f>REPT(" ",Sheet2!$E$3-LEN(Sheet2!E22))&amp;Sheet2!E22</f>
        <v xml:space="preserve"> CM_NORMAL</v>
      </c>
      <c r="F22" s="6" t="str">
        <f>REPT(" ",Sheet2!$E$3-LEN(Sheet2!F22))&amp;Sheet2!F22</f>
        <v xml:space="preserve">  tam.mode</v>
      </c>
      <c r="G22" s="6" t="str">
        <f>REPT(" ",Sheet2!$G$3-LEN(Sheet2!G22))&amp;Sheet2!G22</f>
        <v xml:space="preserve">              ITM_YX</v>
      </c>
      <c r="H22" s="6" t="str">
        <f>REPT(" ",Sheet2!$H$3-LEN(TEXT(Sheet2!H22,"00")))&amp;""""&amp;TEXT(Sheet2!H22,"00")&amp;""""</f>
        <v xml:space="preserve"> "-01"</v>
      </c>
      <c r="I22" s="6" t="str">
        <f>REPT(" ",Sheet2!$I$3-LEN(Sheet2!I22))&amp;Sheet2!I22</f>
        <v xml:space="preserve">                         [y]^x</v>
      </c>
      <c r="J22" s="3" t="str">
        <f>IF(Sheet2!B22="","",SUBSTITUTE(SUBSTITUTE(SUBSTITUTE(SUBSTITUTE(SUBSTITUTE(SUBSTITUTE(SUBSTITUTE(SUBSTITUTE($J$1,"61",A22),"CM_NORMAL",E22),"ITM_DRG",G22),"nn = comm",I22),"exitIfNim",B22),"allowCondition",D22),"KK",H22),"9999",F22))</f>
        <v>if(shortCutCommand(w, event_keyval,    89,   shortcutProfile == USER_C47,  ExitIfNim,   tam.mode,  "-01",  CM_NORMAL,               ITM_YX ))        {return true;} else        //                         [y]^x</v>
      </c>
    </row>
    <row r="23" spans="1:10">
      <c r="A23" s="6" t="str">
        <f>REPT(" ",Sheet2!$B$3-LEN(Sheet2!B23))&amp;Sheet2!B23</f>
        <v xml:space="preserve">  105</v>
      </c>
      <c r="B23" s="6" t="str">
        <f>REPT(" ",Sheet2!$C$3-LEN(Sheet2!C23))&amp;Sheet2!C23</f>
        <v xml:space="preserve"> ExitIfNim</v>
      </c>
      <c r="C23" s="5" t="str">
        <f>IF(Sheet2!D23="Std","FALSE","shortcutProfile == USER_"&amp;Sheet2!D23)</f>
        <v>shortcutProfile == USER_C47</v>
      </c>
      <c r="D23" s="6" t="str">
        <f t="shared" si="1"/>
        <v xml:space="preserve">  shortcutProfile == USER_C47</v>
      </c>
      <c r="E23" s="6" t="str">
        <f>REPT(" ",Sheet2!$E$3-LEN(Sheet2!E23))&amp;Sheet2!E23</f>
        <v xml:space="preserve"> CM_NORMAL</v>
      </c>
      <c r="F23" s="6" t="str">
        <f>REPT(" ",Sheet2!$E$3-LEN(Sheet2!F23))&amp;Sheet2!F23</f>
        <v xml:space="preserve">  tam.mode</v>
      </c>
      <c r="G23" s="6" t="str">
        <f>REPT(" ",Sheet2!$G$3-LEN(Sheet2!G23))&amp;Sheet2!G23</f>
        <v xml:space="preserve">            ITM_op_j</v>
      </c>
      <c r="H23" s="6" t="str">
        <f>REPT(" ",Sheet2!$H$3-LEN(TEXT(Sheet2!H23,"00")))&amp;""""&amp;TEXT(Sheet2!H23,"00")&amp;""""</f>
        <v xml:space="preserve"> "-01"</v>
      </c>
      <c r="I23" s="6" t="str">
        <f>REPT(" ",Sheet2!$I$3-LEN(Sheet2!I23))&amp;Sheet2!I23</f>
        <v xml:space="preserve">                             i</v>
      </c>
      <c r="J23" s="3" t="str">
        <f>IF(Sheet2!B23="","",SUBSTITUTE(SUBSTITUTE(SUBSTITUTE(SUBSTITUTE(SUBSTITUTE(SUBSTITUTE(SUBSTITUTE(SUBSTITUTE($J$1,"61",A23),"CM_NORMAL",E23),"ITM_DRG",G23),"nn = comm",I23),"exitIfNim",B23),"allowCondition",D23),"KK",H23),"9999",F23))</f>
        <v>if(shortCutCommand(w, event_keyval,   105,   shortcutProfile == USER_C47,  ExitIfNim,   tam.mode,  "-01",  CM_NORMAL,             ITM_op_j ))        {return true;} else        //                             i</v>
      </c>
    </row>
    <row r="24" spans="1:10">
      <c r="A24" s="6" t="str">
        <f>REPT(" ",Sheet2!$B$3-LEN(Sheet2!B24))&amp;Sheet2!B24</f>
        <v xml:space="preserve">   88</v>
      </c>
      <c r="B24" s="6" t="str">
        <f>REPT(" ",Sheet2!$C$3-LEN(Sheet2!C24))&amp;Sheet2!C24</f>
        <v xml:space="preserve"> ExitIfNim</v>
      </c>
      <c r="C24" s="5" t="str">
        <f>IF(Sheet2!D24="Std","FALSE","shortcutProfile == USER_"&amp;Sheet2!D24)</f>
        <v>shortcutProfile == USER_C47</v>
      </c>
      <c r="D24" s="6" t="str">
        <f t="shared" si="1"/>
        <v xml:space="preserve">  shortcutProfile == USER_C47</v>
      </c>
      <c r="E24" s="6" t="str">
        <f>REPT(" ",Sheet2!$E$3-LEN(Sheet2!E24))&amp;Sheet2!E24</f>
        <v xml:space="preserve"> CM_NORMAL</v>
      </c>
      <c r="F24" s="6" t="str">
        <f>REPT(" ",Sheet2!$E$3-LEN(Sheet2!F24))&amp;Sheet2!F24</f>
        <v xml:space="preserve">  tam.mode</v>
      </c>
      <c r="G24" s="6" t="str">
        <f>REPT(" ",Sheet2!$G$3-LEN(Sheet2!G24))&amp;Sheet2!G24</f>
        <v xml:space="preserve">         KEY_COMPLEX</v>
      </c>
      <c r="H24" s="6" t="str">
        <f>REPT(" ",Sheet2!$H$3-LEN(TEXT(Sheet2!H24,"00")))&amp;""""&amp;TEXT(Sheet2!H24,"00")&amp;""""</f>
        <v xml:space="preserve"> "-01"</v>
      </c>
      <c r="I24" s="6" t="str">
        <f>REPT(" ",Sheet2!$I$3-LEN(Sheet2!I24))&amp;Sheet2!I24</f>
        <v xml:space="preserve">                     comple[X]</v>
      </c>
      <c r="J24" s="3" t="str">
        <f>IF(Sheet2!B24="","",SUBSTITUTE(SUBSTITUTE(SUBSTITUTE(SUBSTITUTE(SUBSTITUTE(SUBSTITUTE(SUBSTITUTE(SUBSTITUTE($J$1,"61",A24),"CM_NORMAL",E24),"ITM_DRG",G24),"nn = comm",I24),"exitIfNim",B24),"allowCondition",D24),"KK",H24),"9999",F24))</f>
        <v>if(shortCutCommand(w, event_keyval,    88,   shortcutProfile == USER_C47,  ExitIfNim,   tam.mode,  "-01",  CM_NORMAL,          KEY_COMPLEX ))        {return true;} else        //                     comple[X]</v>
      </c>
    </row>
    <row r="25" spans="1:10">
      <c r="A25" s="6" t="str">
        <f>REPT(" ",Sheet2!$B$3-LEN(Sheet2!B25))&amp;Sheet2!B25</f>
        <v xml:space="preserve">   82</v>
      </c>
      <c r="B25" s="6" t="str">
        <f>REPT(" ",Sheet2!$C$3-LEN(Sheet2!C25))&amp;Sheet2!C25</f>
        <v xml:space="preserve"> ExitIfNim</v>
      </c>
      <c r="C25" s="5" t="str">
        <f>IF(Sheet2!D25="Std","FALSE","shortcutProfile == USER_"&amp;Sheet2!D25)</f>
        <v>shortcutProfile == USER_C47</v>
      </c>
      <c r="D25" s="6" t="str">
        <f t="shared" si="1"/>
        <v xml:space="preserve">  shortcutProfile == USER_C47</v>
      </c>
      <c r="E25" s="6" t="str">
        <f>REPT(" ",Sheet2!$E$3-LEN(Sheet2!E25))&amp;Sheet2!E25</f>
        <v xml:space="preserve"> CM_NORMAL</v>
      </c>
      <c r="F25" s="6" t="str">
        <f>REPT(" ",Sheet2!$E$3-LEN(Sheet2!F25))&amp;Sheet2!F25</f>
        <v xml:space="preserve">  tam.mode</v>
      </c>
      <c r="G25" s="6" t="str">
        <f>REPT(" ",Sheet2!$G$3-LEN(Sheet2!G25))&amp;Sheet2!G25</f>
        <v xml:space="preserve">          ITM_toREC2</v>
      </c>
      <c r="H25" s="6" t="str">
        <f>REPT(" ",Sheet2!$H$3-LEN(TEXT(Sheet2!H25,"00")))&amp;""""&amp;TEXT(Sheet2!H25,"00")&amp;""""</f>
        <v xml:space="preserve"> "-01"</v>
      </c>
      <c r="I25" s="6" t="str">
        <f>REPT(" ",Sheet2!$I$3-LEN(Sheet2!I25))&amp;Sheet2!I25</f>
        <v xml:space="preserve">                           -&gt;R</v>
      </c>
      <c r="J25" s="3" t="str">
        <f>IF(Sheet2!B25="","",SUBSTITUTE(SUBSTITUTE(SUBSTITUTE(SUBSTITUTE(SUBSTITUTE(SUBSTITUTE(SUBSTITUTE(SUBSTITUTE($J$1,"61",A25),"CM_NORMAL",E25),"ITM_DRG",G25),"nn = comm",I25),"exitIfNim",B25),"allowCondition",D25),"KK",H25),"9999",F25))</f>
        <v>if(shortCutCommand(w, event_keyval,    82,   shortcutProfile == USER_C47,  ExitIfNim,   tam.mode,  "-01",  CM_NORMAL,           ITM_toREC2 ))        {return true;} else        //                           -&gt;R</v>
      </c>
    </row>
    <row r="26" spans="1:10">
      <c r="A26" s="6" t="str">
        <f>REPT(" ",Sheet2!$B$3-LEN(Sheet2!B26))&amp;Sheet2!B26</f>
        <v xml:space="preserve">   80</v>
      </c>
      <c r="B26" s="6" t="str">
        <f>REPT(" ",Sheet2!$C$3-LEN(Sheet2!C26))&amp;Sheet2!C26</f>
        <v xml:space="preserve"> ExitIfNim</v>
      </c>
      <c r="C26" s="5" t="str">
        <f>IF(Sheet2!D26="Std","FALSE","shortcutProfile == USER_"&amp;Sheet2!D26)</f>
        <v>shortcutProfile == USER_C47</v>
      </c>
      <c r="D26" s="6" t="str">
        <f t="shared" si="1"/>
        <v xml:space="preserve">  shortcutProfile == USER_C47</v>
      </c>
      <c r="E26" s="6" t="str">
        <f>REPT(" ",Sheet2!$E$3-LEN(Sheet2!E26))&amp;Sheet2!E26</f>
        <v xml:space="preserve"> CM_NORMAL</v>
      </c>
      <c r="F26" s="6" t="str">
        <f>REPT(" ",Sheet2!$E$3-LEN(Sheet2!F26))&amp;Sheet2!F26</f>
        <v xml:space="preserve">  tam.mode</v>
      </c>
      <c r="G26" s="6" t="str">
        <f>REPT(" ",Sheet2!$G$3-LEN(Sheet2!G26))&amp;Sheet2!G26</f>
        <v xml:space="preserve">          ITM_toPOL2</v>
      </c>
      <c r="H26" s="6" t="str">
        <f>REPT(" ",Sheet2!$H$3-LEN(TEXT(Sheet2!H26,"00")))&amp;""""&amp;TEXT(Sheet2!H26,"00")&amp;""""</f>
        <v xml:space="preserve"> "-01"</v>
      </c>
      <c r="I26" s="6" t="str">
        <f>REPT(" ",Sheet2!$I$3-LEN(Sheet2!I26))&amp;Sheet2!I26</f>
        <v xml:space="preserve">                           -&gt;P</v>
      </c>
      <c r="J26" s="3" t="str">
        <f>IF(Sheet2!B26="","",SUBSTITUTE(SUBSTITUTE(SUBSTITUTE(SUBSTITUTE(SUBSTITUTE(SUBSTITUTE(SUBSTITUTE(SUBSTITUTE($J$1,"61",A26),"CM_NORMAL",E26),"ITM_DRG",G26),"nn = comm",I26),"exitIfNim",B26),"allowCondition",D26),"KK",H26),"9999",F26))</f>
        <v>if(shortCutCommand(w, event_keyval,    80,   shortcutProfile == USER_C47,  ExitIfNim,   tam.mode,  "-01",  CM_NORMAL,           ITM_toPOL2 ))        {return true;} else        //                           -&gt;P</v>
      </c>
    </row>
    <row r="27" spans="1:10">
      <c r="A27" s="6" t="str">
        <f>REPT(" ",Sheet2!$B$3-LEN(Sheet2!B27))&amp;Sheet2!B27</f>
        <v xml:space="preserve">  112</v>
      </c>
      <c r="B27" s="6" t="str">
        <f>REPT(" ",Sheet2!$C$3-LEN(Sheet2!C27))&amp;Sheet2!C27</f>
        <v xml:space="preserve"> ExitIfNim</v>
      </c>
      <c r="C27" s="5" t="str">
        <f>IF(Sheet2!D27="Std","FALSE","shortcutProfile == USER_"&amp;Sheet2!D27)</f>
        <v>shortcutProfile == USER_C47</v>
      </c>
      <c r="D27" s="6" t="str">
        <f t="shared" si="1"/>
        <v xml:space="preserve">  shortcutProfile == USER_C47</v>
      </c>
      <c r="E27" s="6" t="str">
        <f>REPT(" ",Sheet2!$E$3-LEN(Sheet2!E27))&amp;Sheet2!E27</f>
        <v xml:space="preserve"> CM_NORMAL</v>
      </c>
      <c r="F27" s="6" t="str">
        <f>REPT(" ",Sheet2!$E$3-LEN(Sheet2!F27))&amp;Sheet2!F27</f>
        <v xml:space="preserve">  tam.mode</v>
      </c>
      <c r="G27" s="6" t="str">
        <f>REPT(" ",Sheet2!$G$3-LEN(Sheet2!G27))&amp;Sheet2!G27</f>
        <v xml:space="preserve">         ITM_CONSTpi</v>
      </c>
      <c r="H27" s="6" t="str">
        <f>REPT(" ",Sheet2!$H$3-LEN(TEXT(Sheet2!H27,"00")))&amp;""""&amp;TEXT(Sheet2!H27,"00")&amp;""""</f>
        <v xml:space="preserve"> "-01"</v>
      </c>
      <c r="I27" s="6" t="str">
        <f>REPT(" ",Sheet2!$I$3-LEN(Sheet2!I27))&amp;Sheet2!I27</f>
        <v xml:space="preserve">                            pi</v>
      </c>
      <c r="J27" s="3" t="str">
        <f>IF(Sheet2!B27="","",SUBSTITUTE(SUBSTITUTE(SUBSTITUTE(SUBSTITUTE(SUBSTITUTE(SUBSTITUTE(SUBSTITUTE(SUBSTITUTE($J$1,"61",A27),"CM_NORMAL",E27),"ITM_DRG",G27),"nn = comm",I27),"exitIfNim",B27),"allowCondition",D27),"KK",H27),"9999",F27))</f>
        <v>if(shortCutCommand(w, event_keyval,   112,   shortcutProfile == USER_C47,  ExitIfNim,   tam.mode,  "-01",  CM_NORMAL,          ITM_CONSTpi ))        {return true;} else        //                            pi</v>
      </c>
    </row>
    <row r="28" spans="1:10">
      <c r="A28" s="6" t="str">
        <f>REPT(" ",Sheet2!$B$3-LEN(Sheet2!B28))&amp;Sheet2!B28</f>
        <v xml:space="preserve">   86</v>
      </c>
      <c r="B28" s="6" t="str">
        <f>REPT(" ",Sheet2!$C$3-LEN(Sheet2!C28))&amp;Sheet2!C28</f>
        <v xml:space="preserve"> ExitIfNim</v>
      </c>
      <c r="C28" s="5" t="str">
        <f>IF(Sheet2!D28="Std","FALSE","shortcutProfile == USER_"&amp;Sheet2!D28)</f>
        <v>shortcutProfile == USER_C47</v>
      </c>
      <c r="D28" s="6" t="str">
        <f t="shared" si="1"/>
        <v xml:space="preserve">  shortcutProfile == USER_C47</v>
      </c>
      <c r="E28" s="6" t="str">
        <f>REPT(" ",Sheet2!$E$3-LEN(Sheet2!E28))&amp;Sheet2!E28</f>
        <v xml:space="preserve"> CM_NORMAL</v>
      </c>
      <c r="F28" s="6" t="str">
        <f>REPT(" ",Sheet2!$E$3-LEN(Sheet2!F28))&amp;Sheet2!F28</f>
        <v xml:space="preserve">  tam.mode</v>
      </c>
      <c r="G28" s="6" t="str">
        <f>REPT(" ",Sheet2!$G$3-LEN(Sheet2!G28))&amp;Sheet2!G28</f>
        <v xml:space="preserve">            ITM_1ONX</v>
      </c>
      <c r="H28" s="6" t="str">
        <f>REPT(" ",Sheet2!$H$3-LEN(TEXT(Sheet2!H28,"00")))&amp;""""&amp;TEXT(Sheet2!H28,"00")&amp;""""</f>
        <v xml:space="preserve"> "-01"</v>
      </c>
      <c r="I28" s="6" t="str">
        <f>REPT(" ",Sheet2!$I$3-LEN(Sheet2!I28))&amp;Sheet2!I28</f>
        <v xml:space="preserve">                     in[V]erse</v>
      </c>
      <c r="J28" s="3" t="str">
        <f>IF(Sheet2!B28="","",SUBSTITUTE(SUBSTITUTE(SUBSTITUTE(SUBSTITUTE(SUBSTITUTE(SUBSTITUTE(SUBSTITUTE(SUBSTITUTE($J$1,"61",A28),"CM_NORMAL",E28),"ITM_DRG",G28),"nn = comm",I28),"exitIfNim",B28),"allowCondition",D28),"KK",H28),"9999",F28))</f>
        <v>if(shortCutCommand(w, event_keyval,    86,   shortcutProfile == USER_C47,  ExitIfNim,   tam.mode,  "-01",  CM_NORMAL,             ITM_1ONX ))        {return true;} else        //                     in[V]erse</v>
      </c>
    </row>
    <row r="29" spans="1:10">
      <c r="A29" s="6" t="str">
        <f>REPT(" ",Sheet2!$B$3-LEN(Sheet2!B29))&amp;Sheet2!B29</f>
        <v xml:space="preserve">  121</v>
      </c>
      <c r="B29" s="6" t="str">
        <f>REPT(" ",Sheet2!$C$3-LEN(Sheet2!C29))&amp;Sheet2!C29</f>
        <v xml:space="preserve"> ExitIfNim</v>
      </c>
      <c r="C29" s="5" t="str">
        <f>IF(Sheet2!D29="Std","FALSE","shortcutProfile == USER_"&amp;Sheet2!D29)</f>
        <v>shortcutProfile == USER_C47</v>
      </c>
      <c r="D29" s="6" t="str">
        <f t="shared" si="1"/>
        <v xml:space="preserve">  shortcutProfile == USER_C47</v>
      </c>
      <c r="E29" s="6" t="str">
        <f>REPT(" ",Sheet2!$E$3-LEN(Sheet2!E29))&amp;Sheet2!E29</f>
        <v xml:space="preserve"> CM_NORMAL</v>
      </c>
      <c r="F29" s="6" t="str">
        <f>REPT(" ",Sheet2!$E$3-LEN(Sheet2!F29))&amp;Sheet2!F29</f>
        <v xml:space="preserve">  tam.mode</v>
      </c>
      <c r="G29" s="6" t="str">
        <f>REPT(" ",Sheet2!$G$3-LEN(Sheet2!G29))&amp;Sheet2!G29</f>
        <v xml:space="preserve">         ITM_XTHROOT</v>
      </c>
      <c r="H29" s="6" t="str">
        <f>REPT(" ",Sheet2!$H$3-LEN(TEXT(Sheet2!H29,"00")))&amp;""""&amp;TEXT(Sheet2!H29,"00")&amp;""""</f>
        <v xml:space="preserve"> "-01"</v>
      </c>
      <c r="I29" s="6" t="str">
        <f>REPT(" ",Sheet2!$I$3-LEN(Sheet2!I29))&amp;Sheet2!I29</f>
        <v xml:space="preserve">               xth root of [Y]</v>
      </c>
      <c r="J29" s="3" t="str">
        <f>IF(Sheet2!B29="","",SUBSTITUTE(SUBSTITUTE(SUBSTITUTE(SUBSTITUTE(SUBSTITUTE(SUBSTITUTE(SUBSTITUTE(SUBSTITUTE($J$1,"61",A29),"CM_NORMAL",E29),"ITM_DRG",G29),"nn = comm",I29),"exitIfNim",B29),"allowCondition",D29),"KK",H29),"9999",F29))</f>
        <v>if(shortCutCommand(w, event_keyval,   121,   shortcutProfile == USER_C47,  ExitIfNim,   tam.mode,  "-01",  CM_NORMAL,          ITM_XTHROOT ))        {return true;} else        //               xth root of [Y]</v>
      </c>
    </row>
    <row r="30" spans="1:10">
      <c r="A30" s="6" t="str">
        <f>REPT(" ",Sheet2!$B$3-LEN(Sheet2!B30))&amp;Sheet2!B30</f>
        <v xml:space="preserve">   67</v>
      </c>
      <c r="B30" s="6" t="str">
        <f>REPT(" ",Sheet2!$C$3-LEN(Sheet2!C30))&amp;Sheet2!C30</f>
        <v xml:space="preserve"> ExitIfNim</v>
      </c>
      <c r="C30" s="5" t="str">
        <f>IF(Sheet2!D30="Std","FALSE","shortcutProfile == USER_"&amp;Sheet2!D30)</f>
        <v>shortcutProfile == USER_C47</v>
      </c>
      <c r="D30" s="6" t="str">
        <f t="shared" si="1"/>
        <v xml:space="preserve">  shortcutProfile == USER_C47</v>
      </c>
      <c r="E30" s="6" t="str">
        <f>REPT(" ",Sheet2!$E$3-LEN(Sheet2!E30))&amp;Sheet2!E30</f>
        <v xml:space="preserve"> CM_NORMAL</v>
      </c>
      <c r="F30" s="6" t="str">
        <f>REPT(" ",Sheet2!$E$3-LEN(Sheet2!F30))&amp;Sheet2!F30</f>
        <v xml:space="preserve">  tam.mode</v>
      </c>
      <c r="G30" s="6" t="str">
        <f>REPT(" ",Sheet2!$G$3-LEN(Sheet2!G30))&amp;Sheet2!G30</f>
        <v xml:space="preserve">          ITM_arccos</v>
      </c>
      <c r="H30" s="6" t="str">
        <f>REPT(" ",Sheet2!$H$3-LEN(TEXT(Sheet2!H30,"00")))&amp;""""&amp;TEXT(Sheet2!H30,"00")&amp;""""</f>
        <v xml:space="preserve"> "-01"</v>
      </c>
      <c r="I30" s="6" t="str">
        <f>REPT(" ",Sheet2!$I$3-LEN(Sheet2!I30))&amp;Sheet2!I30</f>
        <v xml:space="preserve">                   arc[C]osine</v>
      </c>
      <c r="J30" s="3" t="str">
        <f>IF(Sheet2!B30="","",SUBSTITUTE(SUBSTITUTE(SUBSTITUTE(SUBSTITUTE(SUBSTITUTE(SUBSTITUTE(SUBSTITUTE(SUBSTITUTE($J$1,"61",A30),"CM_NORMAL",E30),"ITM_DRG",G30),"nn = comm",I30),"exitIfNim",B30),"allowCondition",D30),"KK",H30),"9999",F30))</f>
        <v>if(shortCutCommand(w, event_keyval,    67,   shortcutProfile == USER_C47,  ExitIfNim,   tam.mode,  "-01",  CM_NORMAL,           ITM_arccos ))        {return true;} else        //                   arc[C]osine</v>
      </c>
    </row>
    <row r="31" spans="1:10">
      <c r="A31" s="6" t="str">
        <f>REPT(" ",Sheet2!$B$3-LEN(Sheet2!B31))&amp;Sheet2!B31</f>
        <v xml:space="preserve">   83</v>
      </c>
      <c r="B31" s="6" t="str">
        <f>REPT(" ",Sheet2!$C$3-LEN(Sheet2!C31))&amp;Sheet2!C31</f>
        <v xml:space="preserve"> ExitIfNim</v>
      </c>
      <c r="C31" s="5" t="str">
        <f>IF(Sheet2!D31="Std","FALSE","shortcutProfile == USER_"&amp;Sheet2!D31)</f>
        <v>shortcutProfile == USER_C47</v>
      </c>
      <c r="D31" s="6" t="str">
        <f t="shared" si="1"/>
        <v xml:space="preserve">  shortcutProfile == USER_C47</v>
      </c>
      <c r="E31" s="6" t="str">
        <f>REPT(" ",Sheet2!$E$3-LEN(Sheet2!E31))&amp;Sheet2!E31</f>
        <v xml:space="preserve"> CM_NORMAL</v>
      </c>
      <c r="F31" s="6" t="str">
        <f>REPT(" ",Sheet2!$E$3-LEN(Sheet2!F31))&amp;Sheet2!F31</f>
        <v xml:space="preserve">  tam.mode</v>
      </c>
      <c r="G31" s="6" t="str">
        <f>REPT(" ",Sheet2!$G$3-LEN(Sheet2!G31))&amp;Sheet2!G31</f>
        <v xml:space="preserve">          ITM_arcsin</v>
      </c>
      <c r="H31" s="6" t="str">
        <f>REPT(" ",Sheet2!$H$3-LEN(TEXT(Sheet2!H31,"00")))&amp;""""&amp;TEXT(Sheet2!H31,"00")&amp;""""</f>
        <v xml:space="preserve"> "-01"</v>
      </c>
      <c r="I31" s="6" t="str">
        <f>REPT(" ",Sheet2!$I$3-LEN(Sheet2!I31))&amp;Sheet2!I31</f>
        <v xml:space="preserve">                     arc[S]ine</v>
      </c>
      <c r="J31" s="3" t="str">
        <f>IF(Sheet2!B31="","",SUBSTITUTE(SUBSTITUTE(SUBSTITUTE(SUBSTITUTE(SUBSTITUTE(SUBSTITUTE(SUBSTITUTE(SUBSTITUTE($J$1,"61",A31),"CM_NORMAL",E31),"ITM_DRG",G31),"nn = comm",I31),"exitIfNim",B31),"allowCondition",D31),"KK",H31),"9999",F31))</f>
        <v>if(shortCutCommand(w, event_keyval,    83,   shortcutProfile == USER_C47,  ExitIfNim,   tam.mode,  "-01",  CM_NORMAL,           ITM_arcsin ))        {return true;} else        //                     arc[S]ine</v>
      </c>
    </row>
    <row r="32" spans="1:10">
      <c r="A32" s="6" t="str">
        <f>REPT(" ",Sheet2!$B$3-LEN(Sheet2!B32))&amp;Sheet2!B32</f>
        <v xml:space="preserve">   84</v>
      </c>
      <c r="B32" s="6" t="str">
        <f>REPT(" ",Sheet2!$C$3-LEN(Sheet2!C32))&amp;Sheet2!C32</f>
        <v xml:space="preserve"> ExitIfNim</v>
      </c>
      <c r="C32" s="5" t="str">
        <f>IF(Sheet2!D32="Std","FALSE","shortcutProfile == USER_"&amp;Sheet2!D32)</f>
        <v>shortcutProfile == USER_C47</v>
      </c>
      <c r="D32" s="6" t="str">
        <f t="shared" si="1"/>
        <v xml:space="preserve">  shortcutProfile == USER_C47</v>
      </c>
      <c r="E32" s="6" t="str">
        <f>REPT(" ",Sheet2!$E$3-LEN(Sheet2!E32))&amp;Sheet2!E32</f>
        <v xml:space="preserve"> CM_NORMAL</v>
      </c>
      <c r="F32" s="6" t="str">
        <f>REPT(" ",Sheet2!$E$3-LEN(Sheet2!F32))&amp;Sheet2!F32</f>
        <v xml:space="preserve">  tam.mode</v>
      </c>
      <c r="G32" s="6" t="str">
        <f>REPT(" ",Sheet2!$G$3-LEN(Sheet2!G32))&amp;Sheet2!G32</f>
        <v xml:space="preserve">          ITM_arctan</v>
      </c>
      <c r="H32" s="6" t="str">
        <f>REPT(" ",Sheet2!$H$3-LEN(TEXT(Sheet2!H32,"00")))&amp;""""&amp;TEXT(Sheet2!H32,"00")&amp;""""</f>
        <v xml:space="preserve"> "-01"</v>
      </c>
      <c r="I32" s="6" t="str">
        <f>REPT(" ",Sheet2!$I$3-LEN(Sheet2!I32))&amp;Sheet2!I32</f>
        <v xml:space="preserve">                  arc[T]angent</v>
      </c>
      <c r="J32" s="3" t="str">
        <f>IF(Sheet2!B32="","",SUBSTITUTE(SUBSTITUTE(SUBSTITUTE(SUBSTITUTE(SUBSTITUTE(SUBSTITUTE(SUBSTITUTE(SUBSTITUTE($J$1,"61",A32),"CM_NORMAL",E32),"ITM_DRG",G32),"nn = comm",I32),"exitIfNim",B32),"allowCondition",D32),"KK",H32),"9999",F32))</f>
        <v>if(shortCutCommand(w, event_keyval,    84,   shortcutProfile == USER_C47,  ExitIfNim,   tam.mode,  "-01",  CM_NORMAL,           ITM_arctan ))        {return true;} else        //                  arc[T]angent</v>
      </c>
    </row>
    <row r="33" spans="1:10">
      <c r="A33" s="6" t="str">
        <f>REPT(" ",Sheet2!$B$3-LEN(Sheet2!B33))&amp;Sheet2!B33</f>
        <v xml:space="preserve">   76</v>
      </c>
      <c r="B33" s="6" t="str">
        <f>REPT(" ",Sheet2!$C$3-LEN(Sheet2!C33))&amp;Sheet2!C33</f>
        <v xml:space="preserve"> ExitIfNim</v>
      </c>
      <c r="C33" s="5" t="str">
        <f>IF(Sheet2!D33="Std","FALSE","shortcutProfile == USER_"&amp;Sheet2!D33)</f>
        <v>shortcutProfile == USER_C47</v>
      </c>
      <c r="D33" s="6" t="str">
        <f t="shared" si="1"/>
        <v xml:space="preserve">  shortcutProfile == USER_C47</v>
      </c>
      <c r="E33" s="6" t="str">
        <f>REPT(" ",Sheet2!$E$3-LEN(Sheet2!E33))&amp;Sheet2!E33</f>
        <v xml:space="preserve"> CM_NORMAL</v>
      </c>
      <c r="F33" s="6" t="str">
        <f>REPT(" ",Sheet2!$E$3-LEN(Sheet2!F33))&amp;Sheet2!F33</f>
        <v xml:space="preserve">  tam.mode</v>
      </c>
      <c r="G33" s="6" t="str">
        <f>REPT(" ",Sheet2!$G$3-LEN(Sheet2!G33))&amp;Sheet2!G33</f>
        <v xml:space="preserve">             ITM_EXP</v>
      </c>
      <c r="H33" s="6" t="str">
        <f>REPT(" ",Sheet2!$H$3-LEN(TEXT(Sheet2!H33,"00")))&amp;""""&amp;TEXT(Sheet2!H33,"00")&amp;""""</f>
        <v xml:space="preserve"> "-01"</v>
      </c>
      <c r="I33" s="6" t="str">
        <f>REPT(" ",Sheet2!$I$3-LEN(Sheet2!I33))&amp;Sheet2!I33</f>
        <v xml:space="preserve">                  anti[L]n e^x</v>
      </c>
      <c r="J33" s="3" t="str">
        <f>IF(Sheet2!B33="","",SUBSTITUTE(SUBSTITUTE(SUBSTITUTE(SUBSTITUTE(SUBSTITUTE(SUBSTITUTE(SUBSTITUTE(SUBSTITUTE($J$1,"61",A33),"CM_NORMAL",E33),"ITM_DRG",G33),"nn = comm",I33),"exitIfNim",B33),"allowCondition",D33),"KK",H33),"9999",F33))</f>
        <v>if(shortCutCommand(w, event_keyval,    76,   shortcutProfile == USER_C47,  ExitIfNim,   tam.mode,  "-01",  CM_NORMAL,              ITM_EXP ))        {return true;} else        //                  anti[L]n e^x</v>
      </c>
    </row>
    <row r="34" spans="1:10">
      <c r="A34" s="6" t="str">
        <f>REPT(" ",Sheet2!$B$3-LEN(Sheet2!B34))&amp;Sheet2!B34</f>
        <v xml:space="preserve">   79</v>
      </c>
      <c r="B34" s="6" t="str">
        <f>REPT(" ",Sheet2!$C$3-LEN(Sheet2!C34))&amp;Sheet2!C34</f>
        <v xml:space="preserve"> ExitIfNim</v>
      </c>
      <c r="C34" s="5" t="str">
        <f>IF(Sheet2!D34="Std","FALSE","shortcutProfile == USER_"&amp;Sheet2!D34)</f>
        <v>shortcutProfile == USER_C47</v>
      </c>
      <c r="D34" s="6" t="str">
        <f t="shared" si="1"/>
        <v xml:space="preserve">  shortcutProfile == USER_C47</v>
      </c>
      <c r="E34" s="6" t="str">
        <f>REPT(" ",Sheet2!$E$3-LEN(Sheet2!E34))&amp;Sheet2!E34</f>
        <v xml:space="preserve"> CM_NORMAL</v>
      </c>
      <c r="F34" s="6" t="str">
        <f>REPT(" ",Sheet2!$E$3-LEN(Sheet2!F34))&amp;Sheet2!F34</f>
        <v xml:space="preserve">  tam.mode</v>
      </c>
      <c r="G34" s="6" t="str">
        <f>REPT(" ",Sheet2!$G$3-LEN(Sheet2!G34))&amp;Sheet2!G34</f>
        <v xml:space="preserve">             ITM_10x</v>
      </c>
      <c r="H34" s="6" t="str">
        <f>REPT(" ",Sheet2!$H$3-LEN(TEXT(Sheet2!H34,"00")))&amp;""""&amp;TEXT(Sheet2!H34,"00")&amp;""""</f>
        <v xml:space="preserve"> "-01"</v>
      </c>
      <c r="I34" s="6" t="str">
        <f>REPT(" ",Sheet2!$I$3-LEN(Sheet2!I34))&amp;Sheet2!I34</f>
        <v xml:space="preserve">                antil[O]g 10^x</v>
      </c>
      <c r="J34" s="3" t="str">
        <f>IF(Sheet2!B34="","",SUBSTITUTE(SUBSTITUTE(SUBSTITUTE(SUBSTITUTE(SUBSTITUTE(SUBSTITUTE(SUBSTITUTE(SUBSTITUTE($J$1,"61",A34),"CM_NORMAL",E34),"ITM_DRG",G34),"nn = comm",I34),"exitIfNim",B34),"allowCondition",D34),"KK",H34),"9999",F34))</f>
        <v>if(shortCutCommand(w, event_keyval,    79,   shortcutProfile == USER_C47,  ExitIfNim,   tam.mode,  "-01",  CM_NORMAL,              ITM_10x ))        {return true;} else        //                antil[O]g 10^x</v>
      </c>
    </row>
    <row r="35" spans="1:10">
      <c r="A35" s="6" t="str">
        <f>REPT(" ",Sheet2!$B$3-LEN(Sheet2!B35))&amp;Sheet2!B35</f>
        <v xml:space="preserve">   81</v>
      </c>
      <c r="B35" s="6" t="str">
        <f>REPT(" ",Sheet2!$C$3-LEN(Sheet2!C35))&amp;Sheet2!C35</f>
        <v xml:space="preserve"> ExitIfNim</v>
      </c>
      <c r="C35" s="5" t="str">
        <f>IF(Sheet2!D35="Std","FALSE","shortcutProfile == USER_"&amp;Sheet2!D35)</f>
        <v>shortcutProfile == USER_C47</v>
      </c>
      <c r="D35" s="6" t="str">
        <f t="shared" si="1"/>
        <v xml:space="preserve">  shortcutProfile == USER_C47</v>
      </c>
      <c r="E35" s="6" t="str">
        <f>REPT(" ",Sheet2!$E$3-LEN(Sheet2!E35))&amp;Sheet2!E35</f>
        <v xml:space="preserve"> CM_NORMAL</v>
      </c>
      <c r="F35" s="6" t="str">
        <f>REPT(" ",Sheet2!$E$3-LEN(Sheet2!F35))&amp;Sheet2!F35</f>
        <v xml:space="preserve">  tam.mode</v>
      </c>
      <c r="G35" s="6" t="str">
        <f>REPT(" ",Sheet2!$G$3-LEN(Sheet2!G35))&amp;Sheet2!G35</f>
        <v xml:space="preserve">          ITM_SQUARE</v>
      </c>
      <c r="H35" s="6" t="str">
        <f>REPT(" ",Sheet2!$H$3-LEN(TEXT(Sheet2!H35,"00")))&amp;""""&amp;TEXT(Sheet2!H35,"00")&amp;""""</f>
        <v xml:space="preserve"> "-01"</v>
      </c>
      <c r="I35" s="6" t="str">
        <f>REPT(" ",Sheet2!$I$3-LEN(Sheet2!I35))&amp;Sheet2!I35</f>
        <v xml:space="preserve">                      s[Q]uare</v>
      </c>
      <c r="J35" s="3" t="str">
        <f>IF(Sheet2!B35="","",SUBSTITUTE(SUBSTITUTE(SUBSTITUTE(SUBSTITUTE(SUBSTITUTE(SUBSTITUTE(SUBSTITUTE(SUBSTITUTE($J$1,"61",A35),"CM_NORMAL",E35),"ITM_DRG",G35),"nn = comm",I35),"exitIfNim",B35),"allowCondition",D35),"KK",H35),"9999",F35))</f>
        <v>if(shortCutCommand(w, event_keyval,    81,   shortcutProfile == USER_C47,  ExitIfNim,   tam.mode,  "-01",  CM_NORMAL,           ITM_SQUARE ))        {return true;} else        //                      s[Q]uare</v>
      </c>
    </row>
    <row r="36" spans="1:10">
      <c r="A36" s="6" t="str">
        <f>REPT(" ",Sheet2!$B$3-LEN(Sheet2!B36))&amp;Sheet2!B36</f>
        <v xml:space="preserve">   68</v>
      </c>
      <c r="B36" s="6" t="str">
        <f>REPT(" ",Sheet2!$C$3-LEN(Sheet2!C36))&amp;Sheet2!C36</f>
        <v xml:space="preserve"> ExitIfNim</v>
      </c>
      <c r="C36" s="5" t="str">
        <f>IF(Sheet2!D36="Std","FALSE","shortcutProfile == USER_"&amp;Sheet2!D36)</f>
        <v>shortcutProfile == USER_C47</v>
      </c>
      <c r="D36" s="6" t="str">
        <f t="shared" si="1"/>
        <v xml:space="preserve">  shortcutProfile == USER_C47</v>
      </c>
      <c r="E36" s="6" t="str">
        <f>REPT(" ",Sheet2!$E$3-LEN(Sheet2!E36))&amp;Sheet2!E36</f>
        <v xml:space="preserve"> CM_NORMAL</v>
      </c>
      <c r="F36" s="6" t="str">
        <f>REPT(" ",Sheet2!$E$3-LEN(Sheet2!F36))&amp;Sheet2!F36</f>
        <v xml:space="preserve">  tam.mode</v>
      </c>
      <c r="G36" s="6" t="str">
        <f>REPT(" ",Sheet2!$G$3-LEN(Sheet2!G36))&amp;Sheet2!G36</f>
        <v xml:space="preserve">             ITM_Rup</v>
      </c>
      <c r="H36" s="6" t="str">
        <f>REPT(" ",Sheet2!$H$3-LEN(TEXT(Sheet2!H36,"00")))&amp;""""&amp;TEXT(Sheet2!H36,"00")&amp;""""</f>
        <v xml:space="preserve"> "-01"</v>
      </c>
      <c r="I36" s="6" t="str">
        <f>REPT(" ",Sheet2!$I$3-LEN(Sheet2!I36))&amp;Sheet2!I36</f>
        <v xml:space="preserve">                        Up [D]</v>
      </c>
      <c r="J36" s="3" t="str">
        <f>IF(Sheet2!B36="","",SUBSTITUTE(SUBSTITUTE(SUBSTITUTE(SUBSTITUTE(SUBSTITUTE(SUBSTITUTE(SUBSTITUTE(SUBSTITUTE($J$1,"61",A36),"CM_NORMAL",E36),"ITM_DRG",G36),"nn = comm",I36),"exitIfNim",B36),"allowCondition",D36),"KK",H36),"9999",F36))</f>
        <v>if(shortCutCommand(w, event_keyval,    68,   shortcutProfile == USER_C47,  ExitIfNim,   tam.mode,  "-01",  CM_NORMAL,              ITM_Rup ))        {return true;} else        //                        Up [D]</v>
      </c>
    </row>
    <row r="37" spans="1:10">
      <c r="A37" s="6" t="str">
        <f>REPT(" ",Sheet2!$B$3-LEN(Sheet2!B37))&amp;Sheet2!B37</f>
        <v xml:space="preserve">   73</v>
      </c>
      <c r="B37" s="6" t="str">
        <f>REPT(" ",Sheet2!$C$3-LEN(Sheet2!C37))&amp;Sheet2!C37</f>
        <v>!ExitIfNim</v>
      </c>
      <c r="C37" s="5" t="str">
        <f>IF(Sheet2!D37="Std","FALSE","shortcutProfile == USER_"&amp;Sheet2!D37)</f>
        <v>shortcutProfile == USER_C47</v>
      </c>
      <c r="D37" s="6" t="str">
        <f t="shared" si="1"/>
        <v xml:space="preserve">  shortcutProfile == USER_C47</v>
      </c>
      <c r="E37" s="6" t="str">
        <f>REPT(" ",Sheet2!$E$3-LEN(Sheet2!E37))&amp;Sheet2!E37</f>
        <v xml:space="preserve"> CM_NORMAL</v>
      </c>
      <c r="F37" s="6" t="str">
        <f>REPT(" ",Sheet2!$E$3-LEN(Sheet2!F37))&amp;Sheet2!F37</f>
        <v xml:space="preserve">     FALSE</v>
      </c>
      <c r="G37" s="6" t="str">
        <f>REPT(" ",Sheet2!$G$3-LEN(Sheet2!G37))&amp;Sheet2!G37</f>
        <v xml:space="preserve">           -MNU_DISP</v>
      </c>
      <c r="H37" s="6" t="str">
        <f>REPT(" ",Sheet2!$H$3-LEN(TEXT(Sheet2!H37,"00")))&amp;""""&amp;TEXT(Sheet2!H37,"00")&amp;""""</f>
        <v xml:space="preserve"> "-01"</v>
      </c>
      <c r="I37" s="6" t="str">
        <f>REPT(" ",Sheet2!$I$3-LEN(Sheet2!I37))&amp;Sheet2!I37</f>
        <v xml:space="preserve">                        D[I]SP</v>
      </c>
      <c r="J37" s="3" t="str">
        <f>IF(Sheet2!B37="","",SUBSTITUTE(SUBSTITUTE(SUBSTITUTE(SUBSTITUTE(SUBSTITUTE(SUBSTITUTE(SUBSTITUTE(SUBSTITUTE($J$1,"61",A37),"CM_NORMAL",E37),"ITM_DRG",G37),"nn = comm",I37),"exitIfNim",B37),"allowCondition",D37),"KK",H37),"9999",F37))</f>
        <v>if(shortCutCommand(w, event_keyval,    73,   shortcutProfile == USER_C47, !ExitIfNim,      FALSE,  "-01",  CM_NORMAL,            -MNU_DISP ))        {return true;} else        //                        D[I]SP</v>
      </c>
    </row>
    <row r="38" spans="1:10">
      <c r="A38" s="6" t="str">
        <f>REPT(" ",Sheet2!$B$3-LEN(Sheet2!B38))&amp;Sheet2!B38</f>
        <v xml:space="preserve">   74</v>
      </c>
      <c r="B38" s="6" t="str">
        <f>REPT(" ",Sheet2!$C$3-LEN(Sheet2!C38))&amp;Sheet2!C38</f>
        <v>!ExitIfNim</v>
      </c>
      <c r="C38" s="5" t="str">
        <f>IF(Sheet2!D38="Std","FALSE","shortcutProfile == USER_"&amp;Sheet2!D38)</f>
        <v>shortcutProfile == USER_C47</v>
      </c>
      <c r="D38" s="6" t="str">
        <f t="shared" si="1"/>
        <v xml:space="preserve">  shortcutProfile == USER_C47</v>
      </c>
      <c r="E38" s="6" t="str">
        <f>REPT(" ",Sheet2!$E$3-LEN(Sheet2!E38))&amp;Sheet2!E38</f>
        <v xml:space="preserve"> CM_NORMAL</v>
      </c>
      <c r="F38" s="6" t="str">
        <f>REPT(" ",Sheet2!$E$3-LEN(Sheet2!F38))&amp;Sheet2!F38</f>
        <v xml:space="preserve">     FALSE</v>
      </c>
      <c r="G38" s="6" t="str">
        <f>REPT(" ",Sheet2!$G$3-LEN(Sheet2!G38))&amp;Sheet2!G38</f>
        <v xml:space="preserve">            -MNU_EXP</v>
      </c>
      <c r="H38" s="6" t="str">
        <f>REPT(" ",Sheet2!$H$3-LEN(TEXT(Sheet2!H38,"00")))&amp;""""&amp;TEXT(Sheet2!H38,"00")&amp;""""</f>
        <v xml:space="preserve"> "-01"</v>
      </c>
      <c r="I38" s="6" t="str">
        <f>REPT(" ",Sheet2!$I$3-LEN(Sheet2!I38))&amp;Sheet2!I38</f>
        <v xml:space="preserve">                           EXP</v>
      </c>
      <c r="J38" s="3" t="str">
        <f>IF(Sheet2!B38="","",SUBSTITUTE(SUBSTITUTE(SUBSTITUTE(SUBSTITUTE(SUBSTITUTE(SUBSTITUTE(SUBSTITUTE(SUBSTITUTE($J$1,"61",A38),"CM_NORMAL",E38),"ITM_DRG",G38),"nn = comm",I38),"exitIfNim",B38),"allowCondition",D38),"KK",H38),"9999",F38))</f>
        <v>if(shortCutCommand(w, event_keyval,    74,   shortcutProfile == USER_C47, !ExitIfNim,      FALSE,  "-01",  CM_NORMAL,             -MNU_EXP ))        {return true;} else        //                           EXP</v>
      </c>
    </row>
    <row r="39" spans="1:10">
      <c r="A39" s="6" t="str">
        <f>REPT(" ",Sheet2!$B$3-LEN(Sheet2!B39))&amp;Sheet2!B39</f>
        <v xml:space="preserve">   75</v>
      </c>
      <c r="B39" s="6" t="str">
        <f>REPT(" ",Sheet2!$C$3-LEN(Sheet2!C39))&amp;Sheet2!C39</f>
        <v>!ExitIfNim</v>
      </c>
      <c r="C39" s="5" t="str">
        <f>IF(Sheet2!D39="Std","FALSE","shortcutProfile == USER_"&amp;Sheet2!D39)</f>
        <v>shortcutProfile == USER_C47</v>
      </c>
      <c r="D39" s="6" t="str">
        <f t="shared" si="1"/>
        <v xml:space="preserve">  shortcutProfile == USER_C47</v>
      </c>
      <c r="E39" s="6" t="str">
        <f>REPT(" ",Sheet2!$E$3-LEN(Sheet2!E39))&amp;Sheet2!E39</f>
        <v xml:space="preserve"> CM_NORMAL</v>
      </c>
      <c r="F39" s="6" t="str">
        <f>REPT(" ",Sheet2!$E$3-LEN(Sheet2!F39))&amp;Sheet2!F39</f>
        <v xml:space="preserve">     FALSE</v>
      </c>
      <c r="G39" s="6" t="str">
        <f>REPT(" ",Sheet2!$G$3-LEN(Sheet2!G39))&amp;Sheet2!G39</f>
        <v xml:space="preserve">            -MNU_STK</v>
      </c>
      <c r="H39" s="6" t="str">
        <f>REPT(" ",Sheet2!$H$3-LEN(TEXT(Sheet2!H39,"00")))&amp;""""&amp;TEXT(Sheet2!H39,"00")&amp;""""</f>
        <v xml:space="preserve"> "-01"</v>
      </c>
      <c r="I39" s="6" t="str">
        <f>REPT(" ",Sheet2!$I$3-LEN(Sheet2!I39))&amp;Sheet2!I39</f>
        <v xml:space="preserve">                         ST[K]</v>
      </c>
      <c r="J39" s="3" t="str">
        <f>IF(Sheet2!B39="","",SUBSTITUTE(SUBSTITUTE(SUBSTITUTE(SUBSTITUTE(SUBSTITUTE(SUBSTITUTE(SUBSTITUTE(SUBSTITUTE($J$1,"61",A39),"CM_NORMAL",E39),"ITM_DRG",G39),"nn = comm",I39),"exitIfNim",B39),"allowCondition",D39),"KK",H39),"9999",F39))</f>
        <v>if(shortCutCommand(w, event_keyval,    75,   shortcutProfile == USER_C47, !ExitIfNim,      FALSE,  "-01",  CM_NORMAL,             -MNU_STK ))        {return true;} else        //                         ST[K]</v>
      </c>
    </row>
    <row r="40" spans="1:10">
      <c r="A40" s="6" t="str">
        <f>REPT(" ",Sheet2!$B$3-LEN(Sheet2!B40))&amp;Sheet2!B40</f>
        <v xml:space="preserve">   77</v>
      </c>
      <c r="B40" s="6" t="str">
        <f>REPT(" ",Sheet2!$C$3-LEN(Sheet2!C40))&amp;Sheet2!C40</f>
        <v>!ExitIfNim</v>
      </c>
      <c r="C40" s="5" t="str">
        <f>IF(Sheet2!D40="Std","FALSE","shortcutProfile == USER_"&amp;Sheet2!D40)</f>
        <v>shortcutProfile == USER_C47</v>
      </c>
      <c r="D40" s="6" t="str">
        <f t="shared" si="1"/>
        <v xml:space="preserve">  shortcutProfile == USER_C47</v>
      </c>
      <c r="E40" s="6" t="str">
        <f>REPT(" ",Sheet2!$E$3-LEN(Sheet2!E40))&amp;Sheet2!E40</f>
        <v xml:space="preserve"> CM_NORMAL</v>
      </c>
      <c r="F40" s="6" t="str">
        <f>REPT(" ",Sheet2!$E$3-LEN(Sheet2!F40))&amp;Sheet2!F40</f>
        <v xml:space="preserve">     FALSE</v>
      </c>
      <c r="G40" s="6" t="str">
        <f>REPT(" ",Sheet2!$G$3-LEN(Sheet2!G40))&amp;Sheet2!G40</f>
        <v xml:space="preserve">           -MNU_MODE</v>
      </c>
      <c r="H40" s="6" t="str">
        <f>REPT(" ",Sheet2!$H$3-LEN(TEXT(Sheet2!H40,"00")))&amp;""""&amp;TEXT(Sheet2!H40,"00")&amp;""""</f>
        <v xml:space="preserve"> "-01"</v>
      </c>
      <c r="I40" s="6" t="str">
        <f>REPT(" ",Sheet2!$I$3-LEN(Sheet2!I40))&amp;Sheet2!I40</f>
        <v xml:space="preserve">                        [M]ODE</v>
      </c>
      <c r="J40" s="3" t="str">
        <f>IF(Sheet2!B40="","",SUBSTITUTE(SUBSTITUTE(SUBSTITUTE(SUBSTITUTE(SUBSTITUTE(SUBSTITUTE(SUBSTITUTE(SUBSTITUTE($J$1,"61",A40),"CM_NORMAL",E40),"ITM_DRG",G40),"nn = comm",I40),"exitIfNim",B40),"allowCondition",D40),"KK",H40),"9999",F40))</f>
        <v>if(shortCutCommand(w, event_keyval,    77,   shortcutProfile == USER_C47, !ExitIfNim,      FALSE,  "-01",  CM_NORMAL,            -MNU_MODE ))        {return true;} else        //                        [M]ODE</v>
      </c>
    </row>
    <row r="41" spans="1:10">
      <c r="A41" s="6" t="str">
        <f>REPT(" ",Sheet2!$B$3-LEN(Sheet2!B41))&amp;Sheet2!B41</f>
        <v xml:space="preserve">   70</v>
      </c>
      <c r="B41" s="6" t="str">
        <f>REPT(" ",Sheet2!$C$3-LEN(Sheet2!C41))&amp;Sheet2!C41</f>
        <v>!ExitIfNim</v>
      </c>
      <c r="C41" s="5" t="str">
        <f>IF(Sheet2!D41="Std","FALSE","shortcutProfile == USER_"&amp;Sheet2!D41)</f>
        <v>shortcutProfile == USER_C47</v>
      </c>
      <c r="D41" s="6" t="str">
        <f t="shared" si="1"/>
        <v xml:space="preserve">  shortcutProfile == USER_C47</v>
      </c>
      <c r="E41" s="6" t="str">
        <f>REPT(" ",Sheet2!$E$3-LEN(Sheet2!E41))&amp;Sheet2!E41</f>
        <v xml:space="preserve"> CM_NORMAL</v>
      </c>
      <c r="F41" s="6" t="str">
        <f>REPT(" ",Sheet2!$E$3-LEN(Sheet2!F41))&amp;Sheet2!F41</f>
        <v xml:space="preserve">     FALSE</v>
      </c>
      <c r="G41" s="6" t="str">
        <f>REPT(" ",Sheet2!$G$3-LEN(Sheet2!G41))&amp;Sheet2!G41</f>
        <v xml:space="preserve">         -MNU_PREFIX</v>
      </c>
      <c r="H41" s="6" t="str">
        <f>REPT(" ",Sheet2!$H$3-LEN(TEXT(Sheet2!H41,"00")))&amp;""""&amp;TEXT(Sheet2!H41,"00")&amp;""""</f>
        <v xml:space="preserve"> "-01"</v>
      </c>
      <c r="I41" s="6" t="str">
        <f>REPT(" ",Sheet2!$I$3-LEN(Sheet2!I41))&amp;Sheet2!I41</f>
        <v xml:space="preserve">                      PRE[F]IX</v>
      </c>
      <c r="J41" s="3" t="str">
        <f>IF(Sheet2!B41="","",SUBSTITUTE(SUBSTITUTE(SUBSTITUTE(SUBSTITUTE(SUBSTITUTE(SUBSTITUTE(SUBSTITUTE(SUBSTITUTE($J$1,"61",A41),"CM_NORMAL",E41),"ITM_DRG",G41),"nn = comm",I41),"exitIfNim",B41),"allowCondition",D41),"KK",H41),"9999",F41))</f>
        <v>if(shortCutCommand(w, event_keyval,    70,   shortcutProfile == USER_C47, !ExitIfNim,      FALSE,  "-01",  CM_NORMAL,          -MNU_PREFIX ))        {return true;} else        //                      PRE[F]IX</v>
      </c>
    </row>
    <row r="42" spans="1:10">
      <c r="A42" s="6" t="str">
        <f>REPT(" ",Sheet2!$B$3-LEN(Sheet2!B42))&amp;Sheet2!B42</f>
        <v xml:space="preserve">   37</v>
      </c>
      <c r="B42" s="6" t="str">
        <f>REPT(" ",Sheet2!$C$3-LEN(Sheet2!C42))&amp;Sheet2!C42</f>
        <v xml:space="preserve"> ExitIfNim</v>
      </c>
      <c r="C42" s="5" t="str">
        <f>IF(Sheet2!D42="Std","FALSE","shortcutProfile == USER_"&amp;Sheet2!D42)</f>
        <v>shortcutProfile == USER_C47</v>
      </c>
      <c r="D42" s="6" t="str">
        <f t="shared" si="1"/>
        <v xml:space="preserve">  shortcutProfile == USER_C47</v>
      </c>
      <c r="E42" s="6" t="str">
        <f>REPT(" ",Sheet2!$E$3-LEN(Sheet2!E42))&amp;Sheet2!E42</f>
        <v xml:space="preserve"> CM_NORMAL</v>
      </c>
      <c r="F42" s="6" t="str">
        <f>REPT(" ",Sheet2!$E$3-LEN(Sheet2!F42))&amp;Sheet2!F42</f>
        <v xml:space="preserve">  tam.mode</v>
      </c>
      <c r="G42" s="6" t="str">
        <f>REPT(" ",Sheet2!$G$3-LEN(Sheet2!G42))&amp;Sheet2!G42</f>
        <v xml:space="preserve">              ITM_PC</v>
      </c>
      <c r="H42" s="6" t="str">
        <f>REPT(" ",Sheet2!$H$3-LEN(TEXT(Sheet2!H42,"00")))&amp;""""&amp;TEXT(Sheet2!H42,"00")&amp;""""</f>
        <v xml:space="preserve"> "-01"</v>
      </c>
      <c r="I42" s="6" t="str">
        <f>REPT(" ",Sheet2!$I$3-LEN(Sheet2!I42))&amp;Sheet2!I42</f>
        <v xml:space="preserve">                           [%]</v>
      </c>
      <c r="J42" s="3" t="str">
        <f>IF(Sheet2!B42="","",SUBSTITUTE(SUBSTITUTE(SUBSTITUTE(SUBSTITUTE(SUBSTITUTE(SUBSTITUTE(SUBSTITUTE(SUBSTITUTE($J$1,"61",A42),"CM_NORMAL",E42),"ITM_DRG",G42),"nn = comm",I42),"exitIfNim",B42),"allowCondition",D42),"KK",H42),"9999",F42))</f>
        <v>if(shortCutCommand(w, event_keyval,    37,   shortcutProfile == USER_C47,  ExitIfNim,   tam.mode,  "-01",  CM_NORMAL,               ITM_PC ))        {return true;} else        //                           [%]</v>
      </c>
    </row>
    <row r="43" spans="1:10">
      <c r="A43" s="6" t="str">
        <f>REPT(" ",Sheet2!$B$3-LEN(Sheet2!B43))&amp;Sheet2!B43</f>
        <v xml:space="preserve">   33</v>
      </c>
      <c r="B43" s="6" t="str">
        <f>REPT(" ",Sheet2!$C$3-LEN(Sheet2!C43))&amp;Sheet2!C43</f>
        <v xml:space="preserve"> ExitIfNim</v>
      </c>
      <c r="C43" s="5" t="str">
        <f>IF(Sheet2!D43="Std","FALSE","shortcutProfile == USER_"&amp;Sheet2!D43)</f>
        <v>shortcutProfile == USER_C47</v>
      </c>
      <c r="D43" s="6" t="str">
        <f t="shared" si="1"/>
        <v xml:space="preserve">  shortcutProfile == USER_C47</v>
      </c>
      <c r="E43" s="6" t="str">
        <f>REPT(" ",Sheet2!$E$3-LEN(Sheet2!E43))&amp;Sheet2!E43</f>
        <v xml:space="preserve"> CM_NORMAL</v>
      </c>
      <c r="F43" s="6" t="str">
        <f>REPT(" ",Sheet2!$E$3-LEN(Sheet2!F43))&amp;Sheet2!F43</f>
        <v xml:space="preserve">  tam.mode</v>
      </c>
      <c r="G43" s="6" t="str">
        <f>REPT(" ",Sheet2!$G$3-LEN(Sheet2!G43))&amp;Sheet2!G43</f>
        <v xml:space="preserve">           ITM_XFACT</v>
      </c>
      <c r="H43" s="6" t="str">
        <f>REPT(" ",Sheet2!$H$3-LEN(TEXT(Sheet2!H43,"00")))&amp;""""&amp;TEXT(Sheet2!H43,"00")&amp;""""</f>
        <v xml:space="preserve"> "-01"</v>
      </c>
      <c r="I43" s="6" t="str">
        <f>REPT(" ",Sheet2!$I$3-LEN(Sheet2!I43))&amp;Sheet2!I43</f>
        <v xml:space="preserve">                          x[!]</v>
      </c>
      <c r="J43" s="3" t="str">
        <f>IF(Sheet2!B43="","",SUBSTITUTE(SUBSTITUTE(SUBSTITUTE(SUBSTITUTE(SUBSTITUTE(SUBSTITUTE(SUBSTITUTE(SUBSTITUTE($J$1,"61",A43),"CM_NORMAL",E43),"ITM_DRG",G43),"nn = comm",I43),"exitIfNim",B43),"allowCondition",D43),"KK",H43),"9999",F43))</f>
        <v>if(shortCutCommand(w, event_keyval,    33,   shortcutProfile == USER_C47,  ExitIfNim,   tam.mode,  "-01",  CM_NORMAL,            ITM_XFACT ))        {return true;} else        //                          x[!]</v>
      </c>
    </row>
    <row r="44" spans="1:10">
      <c r="A44" s="6" t="str">
        <f>REPT(" ",Sheet2!$B$3-LEN(Sheet2!B44))&amp;Sheet2!B44</f>
        <v xml:space="preserve">   85</v>
      </c>
      <c r="B44" s="6" t="str">
        <f>REPT(" ",Sheet2!$C$3-LEN(Sheet2!C44))&amp;Sheet2!C44</f>
        <v xml:space="preserve"> ExitIfNim</v>
      </c>
      <c r="C44" s="5" t="str">
        <f>IF(Sheet2!D44="Std","FALSE","shortcutProfile == USER_"&amp;Sheet2!D44)</f>
        <v>shortcutProfile == USER_C47</v>
      </c>
      <c r="D44" s="6" t="str">
        <f t="shared" si="1"/>
        <v xml:space="preserve">  shortcutProfile == USER_C47</v>
      </c>
      <c r="E44" s="6" t="str">
        <f>REPT(" ",Sheet2!$E$3-LEN(Sheet2!E44))&amp;Sheet2!E44</f>
        <v xml:space="preserve"> CM_NORMAL</v>
      </c>
      <c r="F44" s="6" t="str">
        <f>REPT(" ",Sheet2!$E$3-LEN(Sheet2!F44))&amp;Sheet2!F44</f>
        <v xml:space="preserve">     FALSE</v>
      </c>
      <c r="G44" s="6" t="str">
        <f>REPT(" ",Sheet2!$G$3-LEN(Sheet2!G44))&amp;Sheet2!G44</f>
        <v xml:space="preserve">        ITM_USERMODE</v>
      </c>
      <c r="H44" s="6" t="str">
        <f>REPT(" ",Sheet2!$H$3-LEN(TEXT(Sheet2!H44,"00")))&amp;""""&amp;TEXT(Sheet2!H44,"00")&amp;""""</f>
        <v xml:space="preserve"> "-01"</v>
      </c>
      <c r="I44" s="6" t="str">
        <f>REPT(" ",Sheet2!$I$3-LEN(Sheet2!I44))&amp;Sheet2!I44</f>
        <v xml:space="preserve">                        [U]SER</v>
      </c>
      <c r="J44" s="3" t="str">
        <f>IF(Sheet2!B44="","",SUBSTITUTE(SUBSTITUTE(SUBSTITUTE(SUBSTITUTE(SUBSTITUTE(SUBSTITUTE(SUBSTITUTE(SUBSTITUTE($J$1,"61",A44),"CM_NORMAL",E44),"ITM_DRG",G44),"nn = comm",I44),"exitIfNim",B44),"allowCondition",D44),"KK",H44),"9999",F44))</f>
        <v>if(shortCutCommand(w, event_keyval,    85,   shortcutProfile == USER_C47,  ExitIfNim,      FALSE,  "-01",  CM_NORMAL,         ITM_USERMODE ))        {return true;} else        //                        [U]SER</v>
      </c>
    </row>
    <row r="45" spans="1:10">
      <c r="A45" s="6" t="str">
        <f>REPT(" ",Sheet2!$B$3-LEN(Sheet2!B45))&amp;Sheet2!B45</f>
        <v xml:space="preserve">   39</v>
      </c>
      <c r="B45" s="6" t="str">
        <f>REPT(" ",Sheet2!$C$3-LEN(Sheet2!C45))&amp;Sheet2!C45</f>
        <v xml:space="preserve"> ExitIfNim</v>
      </c>
      <c r="C45" s="5" t="str">
        <f>IF(Sheet2!D45="Std","FALSE","shortcutProfile == USER_"&amp;Sheet2!D45)</f>
        <v>shortcutProfile == USER_C47</v>
      </c>
      <c r="D45" s="6" t="str">
        <f t="shared" si="1"/>
        <v xml:space="preserve">  shortcutProfile == USER_C47</v>
      </c>
      <c r="E45" s="6" t="str">
        <f>REPT(" ",Sheet2!$E$3-LEN(Sheet2!E45))&amp;Sheet2!E45</f>
        <v xml:space="preserve"> CM_NORMAL</v>
      </c>
      <c r="F45" s="6" t="str">
        <f>REPT(" ",Sheet2!$E$3-LEN(Sheet2!F45))&amp;Sheet2!F45</f>
        <v xml:space="preserve">  tam.mode</v>
      </c>
      <c r="G45" s="6" t="str">
        <f>REPT(" ",Sheet2!$G$3-LEN(Sheet2!G45))&amp;Sheet2!G45</f>
        <v xml:space="preserve">             ITM_AIM</v>
      </c>
      <c r="H45" s="6" t="str">
        <f>REPT(" ",Sheet2!$H$3-LEN(TEXT(Sheet2!H45,"00")))&amp;""""&amp;TEXT(Sheet2!H45,"00")&amp;""""</f>
        <v xml:space="preserve"> "-01"</v>
      </c>
      <c r="I45" s="6" t="str">
        <f>REPT(" ",Sheet2!$I$3-LEN(Sheet2!I45))&amp;Sheet2!I45</f>
        <v xml:space="preserve">                     alpha [']</v>
      </c>
      <c r="J45" s="3" t="str">
        <f>IF(Sheet2!B45="","",SUBSTITUTE(SUBSTITUTE(SUBSTITUTE(SUBSTITUTE(SUBSTITUTE(SUBSTITUTE(SUBSTITUTE(SUBSTITUTE($J$1,"61",A45),"CM_NORMAL",E45),"ITM_DRG",G45),"nn = comm",I45),"exitIfNim",B45),"allowCondition",D45),"KK",H45),"9999",F45))</f>
        <v>if(shortCutCommand(w, event_keyval,    39,   shortcutProfile == USER_C47,  ExitIfNim,   tam.mode,  "-01",  CM_NORMAL,              ITM_AIM ))        {return true;} else        //                     alpha [']</v>
      </c>
    </row>
    <row r="46" spans="1:10">
      <c r="A46" s="6" t="str">
        <f>REPT(" ",Sheet2!$B$3-LEN(Sheet2!B46))&amp;Sheet2!B46</f>
        <v xml:space="preserve">   71</v>
      </c>
      <c r="B46" s="6" t="str">
        <f>REPT(" ",Sheet2!$C$3-LEN(Sheet2!C46))&amp;Sheet2!C46</f>
        <v xml:space="preserve"> ExitIfNim</v>
      </c>
      <c r="C46" s="5" t="str">
        <f>IF(Sheet2!D46="Std","FALSE","shortcutProfile == USER_"&amp;Sheet2!D46)</f>
        <v>shortcutProfile == USER_C47</v>
      </c>
      <c r="D46" s="6" t="str">
        <f t="shared" si="1"/>
        <v xml:space="preserve">  shortcutProfile == USER_C47</v>
      </c>
      <c r="E46" s="6" t="str">
        <f>REPT(" ",Sheet2!$E$3-LEN(Sheet2!E46))&amp;Sheet2!E46</f>
        <v xml:space="preserve"> CM_NORMAL</v>
      </c>
      <c r="F46" s="6" t="str">
        <f>REPT(" ",Sheet2!$E$3-LEN(Sheet2!F46))&amp;Sheet2!F46</f>
        <v xml:space="preserve">  tam.mode</v>
      </c>
      <c r="G46" s="6" t="str">
        <f>REPT(" ",Sheet2!$G$3-LEN(Sheet2!G46))&amp;Sheet2!G46</f>
        <v xml:space="preserve">             ITM_GTO</v>
      </c>
      <c r="H46" s="6" t="str">
        <f>REPT(" ",Sheet2!$H$3-LEN(TEXT(Sheet2!H46,"00")))&amp;""""&amp;TEXT(Sheet2!H46,"00")&amp;""""</f>
        <v xml:space="preserve"> "-01"</v>
      </c>
      <c r="I46" s="6" t="str">
        <f>REPT(" ",Sheet2!$I$3-LEN(Sheet2!I46))&amp;Sheet2!I46</f>
        <v xml:space="preserve">                         [g]TO</v>
      </c>
      <c r="J46" s="3" t="str">
        <f>IF(Sheet2!B46="","",SUBSTITUTE(SUBSTITUTE(SUBSTITUTE(SUBSTITUTE(SUBSTITUTE(SUBSTITUTE(SUBSTITUTE(SUBSTITUTE($J$1,"61",A46),"CM_NORMAL",E46),"ITM_DRG",G46),"nn = comm",I46),"exitIfNim",B46),"allowCondition",D46),"KK",H46),"9999",F46))</f>
        <v>if(shortCutCommand(w, event_keyval,    71,   shortcutProfile == USER_C47,  ExitIfNim,   tam.mode,  "-01",  CM_NORMAL,              ITM_GTO ))        {return true;} else        //                         [g]TO</v>
      </c>
    </row>
    <row r="47" spans="1:10">
      <c r="A47" s="6" t="str">
        <f>REPT(" ",Sheet2!$B$3-LEN(Sheet2!B47))&amp;Sheet2!B47</f>
        <v xml:space="preserve">   39</v>
      </c>
      <c r="B47" s="6" t="str">
        <f>REPT(" ",Sheet2!$C$3-LEN(Sheet2!C47))&amp;Sheet2!C47</f>
        <v xml:space="preserve"> ExitIfNim</v>
      </c>
      <c r="C47" s="5" t="str">
        <f>IF(Sheet2!D47="Std","FALSE","shortcutProfile == USER_"&amp;Sheet2!D47)</f>
        <v>shortcutProfile == USER_C47</v>
      </c>
      <c r="D47" s="6" t="str">
        <f t="shared" si="1"/>
        <v xml:space="preserve">  shortcutProfile == USER_C47</v>
      </c>
      <c r="E47" s="6" t="str">
        <f>REPT(" ",Sheet2!$E$3-LEN(Sheet2!E47))&amp;Sheet2!E47</f>
        <v xml:space="preserve"> CM_NORMAL</v>
      </c>
      <c r="F47" s="6" t="str">
        <f>REPT(" ",Sheet2!$F$3-LEN(Sheet2!F47))&amp;Sheet2!F47</f>
        <v xml:space="preserve">  tam.mode!=10009</v>
      </c>
      <c r="G47" s="6" t="str">
        <f>REPT(" ",Sheet2!$G$3-LEN(Sheet2!G47))&amp;Sheet2!G47</f>
        <v xml:space="preserve">           ITM_alpha</v>
      </c>
      <c r="H47" s="6" t="str">
        <f>REPT(" ",Sheet2!$H$3-LEN(TEXT(Sheet2!H47,"00")))&amp;""""&amp;TEXT(Sheet2!H47,"00")&amp;""""</f>
        <v xml:space="preserve"> "-01"</v>
      </c>
      <c r="I47" s="6" t="str">
        <f>REPT(" ",Sheet2!$I$3-LEN(Sheet2!I47))&amp;Sheet2!I47</f>
        <v xml:space="preserve">                    during TAM</v>
      </c>
      <c r="J47" s="3" t="str">
        <f>IF(Sheet2!B47="","",SUBSTITUTE(SUBSTITUTE(SUBSTITUTE(SUBSTITUTE(SUBSTITUTE(SUBSTITUTE(SUBSTITUTE(SUBSTITUTE($J$1,"61",A47),"CM_NORMAL",E47),"ITM_DRG",G47),"nn = comm",I47),"exitIfNim",B47),"allowCondition",D47),"KK",H47),"9999",F47))</f>
        <v>if(shortCutCommand(w, event_keyval,    39,   shortcutProfile == USER_C47,  ExitIfNim,   tam.mode!=10009,  "-01",  CM_NORMAL,            ITM_alpha ))        {return true;} else        //                    during TAM</v>
      </c>
    </row>
    <row r="48" spans="1:10">
      <c r="A48" s="6" t="str">
        <f>REPT(" ",Sheet2!$B$3-LEN(Sheet2!B48))&amp;Sheet2!B48</f>
        <v xml:space="preserve">     </v>
      </c>
      <c r="B48" s="6" t="str">
        <f>REPT(" ",Sheet2!$C$3-LEN(Sheet2!C48))&amp;Sheet2!C48</f>
        <v xml:space="preserve">          </v>
      </c>
      <c r="C48" s="5" t="str">
        <f>IF(Sheet2!D48="Std","FALSE","shortcutProfile == USER_"&amp;Sheet2!D48)</f>
        <v>shortcutProfile == USER_</v>
      </c>
      <c r="D48" s="6" t="str">
        <f t="shared" si="1"/>
        <v xml:space="preserve">     shortcutProfile == USER_</v>
      </c>
      <c r="E48" s="6" t="str">
        <f>REPT(" ",Sheet2!$E$3-LEN(Sheet2!E48))&amp;Sheet2!E48</f>
        <v xml:space="preserve">          </v>
      </c>
      <c r="F48" s="6" t="str">
        <f>REPT(" ",Sheet2!$E$3-LEN(Sheet2!F48))&amp;Sheet2!F48</f>
        <v xml:space="preserve">          </v>
      </c>
      <c r="G48" s="6" t="str">
        <f>REPT(" ",Sheet2!$G$3-LEN(Sheet2!G48))&amp;Sheet2!G48</f>
        <v xml:space="preserve">                    </v>
      </c>
      <c r="H48" s="6" t="str">
        <f>REPT(" ",Sheet2!$H$3-LEN(TEXT(Sheet2!H48,"00")))&amp;""""&amp;TEXT(Sheet2!H48,"00")&amp;""""</f>
        <v xml:space="preserve">  "00"</v>
      </c>
      <c r="I48" s="6" t="str">
        <f>REPT(" ",Sheet2!$I$3-LEN(Sheet2!I48))&amp;Sheet2!I48</f>
        <v xml:space="preserve">                              </v>
      </c>
      <c r="J48" s="3" t="str">
        <f>IF(Sheet2!B48="","",SUBSTITUTE(SUBSTITUTE(SUBSTITUTE(SUBSTITUTE(SUBSTITUTE(SUBSTITUTE(SUBSTITUTE(SUBSTITUTE($J$1,"61",A48),"CM_NORMAL",E48),"ITM_DRG",G48),"nn = comm",I48),"exitIfNim",B48),"allowCondition",D48),"KK",H48),"9999",F48))</f>
        <v/>
      </c>
    </row>
    <row r="49" spans="1:10">
      <c r="A49" s="6" t="str">
        <f>REPT(" ",Sheet2!$B$3-LEN(Sheet2!B49))&amp;Sheet2!B49</f>
        <v xml:space="preserve">     </v>
      </c>
      <c r="B49" s="6" t="str">
        <f>REPT(" ",Sheet2!$C$3-LEN(Sheet2!C49))&amp;Sheet2!C49</f>
        <v xml:space="preserve">          </v>
      </c>
      <c r="C49" s="5" t="str">
        <f>IF(Sheet2!D49="Std","FALSE","shortcutProfile == USER_"&amp;Sheet2!D49)</f>
        <v>shortcutProfile == USER_</v>
      </c>
      <c r="D49" s="6" t="str">
        <f t="shared" si="1"/>
        <v xml:space="preserve">     shortcutProfile == USER_</v>
      </c>
      <c r="E49" s="6" t="str">
        <f>REPT(" ",Sheet2!$E$3-LEN(Sheet2!E49))&amp;Sheet2!E49</f>
        <v xml:space="preserve">          </v>
      </c>
      <c r="F49" s="6" t="str">
        <f>REPT(" ",Sheet2!$E$3-LEN(Sheet2!F49))&amp;Sheet2!F49</f>
        <v xml:space="preserve">          </v>
      </c>
      <c r="G49" s="6" t="str">
        <f>REPT(" ",Sheet2!$G$3-LEN(Sheet2!G49))&amp;Sheet2!G49</f>
        <v xml:space="preserve">                    </v>
      </c>
      <c r="H49" s="6" t="str">
        <f>REPT(" ",Sheet2!$H$3-LEN(TEXT(Sheet2!H49,"00")))&amp;""""&amp;TEXT(Sheet2!H49,"00")&amp;""""</f>
        <v xml:space="preserve">  "00"</v>
      </c>
      <c r="I49" s="6" t="str">
        <f>REPT(" ",Sheet2!$I$3-LEN(Sheet2!I49))&amp;Sheet2!I49</f>
        <v xml:space="preserve">                              </v>
      </c>
      <c r="J49" s="3" t="str">
        <f>IF(Sheet2!B49="","",SUBSTITUTE(SUBSTITUTE(SUBSTITUTE(SUBSTITUTE(SUBSTITUTE(SUBSTITUTE(SUBSTITUTE(SUBSTITUTE($J$1,"61",A49),"CM_NORMAL",E49),"ITM_DRG",G49),"nn = comm",I49),"exitIfNim",B49),"allowCondition",D49),"KK",H49),"9999",F49))</f>
        <v/>
      </c>
    </row>
    <row r="50" spans="1:10">
      <c r="A50" s="6" t="str">
        <f>REPT(" ",Sheet2!$B$3-LEN(Sheet2!B50))&amp;Sheet2!B50</f>
        <v xml:space="preserve">   81</v>
      </c>
      <c r="B50" s="6" t="str">
        <f>REPT(" ",Sheet2!$C$3-LEN(Sheet2!C50))&amp;Sheet2!C50</f>
        <v xml:space="preserve"> ExitIfNim</v>
      </c>
      <c r="C50" s="5" t="str">
        <f>IF(Sheet2!D50="Std","FALSE","shortcutProfile == USER_"&amp;Sheet2!D50)</f>
        <v>shortcutProfile == USER_R47</v>
      </c>
      <c r="D50" s="6" t="str">
        <f t="shared" si="1"/>
        <v xml:space="preserve">  shortcutProfile == USER_R47</v>
      </c>
      <c r="E50" s="6" t="str">
        <f>REPT(" ",Sheet2!$E$3-LEN(Sheet2!E50))&amp;Sheet2!E50</f>
        <v xml:space="preserve"> CM_NORMAL</v>
      </c>
      <c r="F50" s="6" t="str">
        <f>REPT(" ",Sheet2!$E$3-LEN(Sheet2!F50))&amp;Sheet2!F50</f>
        <v xml:space="preserve">  tam.mode</v>
      </c>
      <c r="G50" s="6" t="str">
        <f>REPT(" ",Sheet2!$G$3-LEN(Sheet2!G50))&amp;Sheet2!G50</f>
        <v xml:space="preserve">          ITM_SQUARE</v>
      </c>
      <c r="H50" s="6" t="str">
        <f>REPT(" ",Sheet2!$H$3-LEN(TEXT(Sheet2!H50,"00")))&amp;""""&amp;TEXT(Sheet2!H50,"00")&amp;""""</f>
        <v xml:space="preserve">  "00"</v>
      </c>
      <c r="I50" s="6" t="str">
        <f>REPT(" ",Sheet2!$I$3-LEN(Sheet2!I50))&amp;Sheet2!I50</f>
        <v xml:space="preserve">                      s[Q]uare</v>
      </c>
      <c r="J50" s="3" t="str">
        <f>IF(Sheet2!B50="","",SUBSTITUTE(SUBSTITUTE(SUBSTITUTE(SUBSTITUTE(SUBSTITUTE(SUBSTITUTE(SUBSTITUTE(SUBSTITUTE($J$1,"61",A50),"CM_NORMAL",E50),"ITM_DRG",G50),"nn = comm",I50),"exitIfNim",B50),"allowCondition",D50),"KK",H50),"9999",F50))</f>
        <v>if(shortCutCommand(w, event_keyval,    81,   shortcutProfile == USER_R47,  ExitIfNim,   tam.mode,   "00",  CM_NORMAL,           ITM_SQUARE ))        {return true;} else        //                      s[Q]uare</v>
      </c>
    </row>
    <row r="51" spans="1:10">
      <c r="A51" s="6" t="str">
        <f>REPT(" ",Sheet2!$B$3-LEN(Sheet2!B51))&amp;Sheet2!B51</f>
        <v xml:space="preserve">  113</v>
      </c>
      <c r="B51" s="6" t="str">
        <f>REPT(" ",Sheet2!$C$3-LEN(Sheet2!C51))&amp;Sheet2!C51</f>
        <v xml:space="preserve"> ExitIfNim</v>
      </c>
      <c r="C51" s="5" t="str">
        <f>IF(Sheet2!D51="Std","FALSE","shortcutProfile == USER_"&amp;Sheet2!D51)</f>
        <v>shortcutProfile == USER_R47</v>
      </c>
      <c r="D51" s="6" t="str">
        <f t="shared" si="1"/>
        <v xml:space="preserve">  shortcutProfile == USER_R47</v>
      </c>
      <c r="E51" s="6" t="str">
        <f>REPT(" ",Sheet2!$E$3-LEN(Sheet2!E51))&amp;Sheet2!E51</f>
        <v xml:space="preserve"> CM_NORMAL</v>
      </c>
      <c r="F51" s="6" t="str">
        <f>REPT(" ",Sheet2!$E$3-LEN(Sheet2!F51))&amp;Sheet2!F51</f>
        <v xml:space="preserve">  tam.mode</v>
      </c>
      <c r="G51" s="6" t="str">
        <f>REPT(" ",Sheet2!$G$3-LEN(Sheet2!G51))&amp;Sheet2!G51</f>
        <v xml:space="preserve">     ITM_SQUAREROOTX</v>
      </c>
      <c r="H51" s="6" t="str">
        <f>REPT(" ",Sheet2!$H$3-LEN(TEXT(Sheet2!H51,"00")))&amp;""""&amp;TEXT(Sheet2!H51,"00")&amp;""""</f>
        <v xml:space="preserve">  "01"</v>
      </c>
      <c r="I51" s="6" t="str">
        <f>REPT(" ",Sheet2!$I$3-LEN(Sheet2!I51))&amp;Sheet2!I51</f>
        <v xml:space="preserve">                        s[q]rt</v>
      </c>
      <c r="J51" s="3" t="str">
        <f>IF(Sheet2!B51="","",SUBSTITUTE(SUBSTITUTE(SUBSTITUTE(SUBSTITUTE(SUBSTITUTE(SUBSTITUTE(SUBSTITUTE(SUBSTITUTE($J$1,"61",A51),"CM_NORMAL",E51),"ITM_DRG",G51),"nn = comm",I51),"exitIfNim",B51),"allowCondition",D51),"KK",H51),"9999",F51))</f>
        <v>if(shortCutCommand(w, event_keyval,   113,   shortcutProfile == USER_R47,  ExitIfNim,   tam.mode,   "01",  CM_NORMAL,      ITM_SQUAREROOTX ))        {return true;} else        //                        s[q]rt</v>
      </c>
    </row>
    <row r="52" spans="1:10">
      <c r="A52" s="6" t="str">
        <f>REPT(" ",Sheet2!$B$3-LEN(Sheet2!B52))&amp;Sheet2!B52</f>
        <v xml:space="preserve">  118</v>
      </c>
      <c r="B52" s="6" t="str">
        <f>REPT(" ",Sheet2!$C$3-LEN(Sheet2!C52))&amp;Sheet2!C52</f>
        <v xml:space="preserve"> ExitIfNim</v>
      </c>
      <c r="C52" s="5" t="str">
        <f>IF(Sheet2!D52="Std","FALSE","shortcutProfile == USER_"&amp;Sheet2!D52)</f>
        <v>shortcutProfile == USER_R47</v>
      </c>
      <c r="D52" s="6" t="str">
        <f t="shared" si="1"/>
        <v xml:space="preserve">  shortcutProfile == USER_R47</v>
      </c>
      <c r="E52" s="6" t="str">
        <f>REPT(" ",Sheet2!$E$3-LEN(Sheet2!E52))&amp;Sheet2!E52</f>
        <v xml:space="preserve"> CM_NORMAL</v>
      </c>
      <c r="F52" s="6" t="str">
        <f>REPT(" ",Sheet2!$E$3-LEN(Sheet2!F52))&amp;Sheet2!F52</f>
        <v xml:space="preserve">  tam.mode</v>
      </c>
      <c r="G52" s="6" t="str">
        <f>REPT(" ",Sheet2!$G$3-LEN(Sheet2!G52))&amp;Sheet2!G52</f>
        <v xml:space="preserve">            ITM_1ONX</v>
      </c>
      <c r="H52" s="6" t="str">
        <f>REPT(" ",Sheet2!$H$3-LEN(TEXT(Sheet2!H52,"00")))&amp;""""&amp;TEXT(Sheet2!H52,"00")&amp;""""</f>
        <v xml:space="preserve">  "02"</v>
      </c>
      <c r="I52" s="6" t="str">
        <f>REPT(" ",Sheet2!$I$3-LEN(Sheet2!I52))&amp;Sheet2!I52</f>
        <v xml:space="preserve">                     in[v]erse</v>
      </c>
      <c r="J52" s="3" t="str">
        <f>IF(Sheet2!B52="","",SUBSTITUTE(SUBSTITUTE(SUBSTITUTE(SUBSTITUTE(SUBSTITUTE(SUBSTITUTE(SUBSTITUTE(SUBSTITUTE($J$1,"61",A52),"CM_NORMAL",E52),"ITM_DRG",G52),"nn = comm",I52),"exitIfNim",B52),"allowCondition",D52),"KK",H52),"9999",F52))</f>
        <v>if(shortCutCommand(w, event_keyval,   118,   shortcutProfile == USER_R47,  ExitIfNim,   tam.mode,   "02",  CM_NORMAL,             ITM_1ONX ))        {return true;} else        //                     in[v]erse</v>
      </c>
    </row>
    <row r="53" spans="1:10">
      <c r="A53" s="6" t="str">
        <f>REPT(" ",Sheet2!$B$3-LEN(Sheet2!B53))&amp;Sheet2!B53</f>
        <v xml:space="preserve">  121</v>
      </c>
      <c r="B53" s="6" t="str">
        <f>REPT(" ",Sheet2!$C$3-LEN(Sheet2!C53))&amp;Sheet2!C53</f>
        <v xml:space="preserve"> ExitIfNim</v>
      </c>
      <c r="C53" s="5" t="str">
        <f>IF(Sheet2!D53="Std","FALSE","shortcutProfile == USER_"&amp;Sheet2!D53)</f>
        <v>shortcutProfile == USER_R47</v>
      </c>
      <c r="D53" s="6" t="str">
        <f t="shared" si="1"/>
        <v xml:space="preserve">  shortcutProfile == USER_R47</v>
      </c>
      <c r="E53" s="6" t="str">
        <f>REPT(" ",Sheet2!$E$3-LEN(Sheet2!E53))&amp;Sheet2!E53</f>
        <v xml:space="preserve"> CM_NORMAL</v>
      </c>
      <c r="F53" s="6" t="str">
        <f>REPT(" ",Sheet2!$E$3-LEN(Sheet2!F53))&amp;Sheet2!F53</f>
        <v xml:space="preserve">  tam.mode</v>
      </c>
      <c r="G53" s="6" t="str">
        <f>REPT(" ",Sheet2!$G$3-LEN(Sheet2!G53))&amp;Sheet2!G53</f>
        <v xml:space="preserve">              ITM_YX</v>
      </c>
      <c r="H53" s="6" t="str">
        <f>REPT(" ",Sheet2!$H$3-LEN(TEXT(Sheet2!H53,"00")))&amp;""""&amp;TEXT(Sheet2!H53,"00")&amp;""""</f>
        <v xml:space="preserve">  "03"</v>
      </c>
      <c r="I53" s="6" t="str">
        <f>REPT(" ",Sheet2!$I$3-LEN(Sheet2!I53))&amp;Sheet2!I53</f>
        <v xml:space="preserve">                         [y]^x</v>
      </c>
      <c r="J53" s="3" t="str">
        <f>IF(Sheet2!B53="","",SUBSTITUTE(SUBSTITUTE(SUBSTITUTE(SUBSTITUTE(SUBSTITUTE(SUBSTITUTE(SUBSTITUTE(SUBSTITUTE($J$1,"61",A53),"CM_NORMAL",E53),"ITM_DRG",G53),"nn = comm",I53),"exitIfNim",B53),"allowCondition",D53),"KK",H53),"9999",F53))</f>
        <v>if(shortCutCommand(w, event_keyval,   121,   shortcutProfile == USER_R47,  ExitIfNim,   tam.mode,   "03",  CM_NORMAL,               ITM_YX ))        {return true;} else        //                         [y]^x</v>
      </c>
    </row>
    <row r="54" spans="1:10">
      <c r="A54" s="6" t="str">
        <f>REPT(" ",Sheet2!$B$3-LEN(Sheet2!B54))&amp;Sheet2!B54</f>
        <v xml:space="preserve">  111</v>
      </c>
      <c r="B54" s="6" t="str">
        <f>REPT(" ",Sheet2!$C$3-LEN(Sheet2!C54))&amp;Sheet2!C54</f>
        <v xml:space="preserve"> ExitIfNim</v>
      </c>
      <c r="C54" s="5" t="str">
        <f>IF(Sheet2!D54="Std","FALSE","shortcutProfile == USER_"&amp;Sheet2!D54)</f>
        <v>shortcutProfile == USER_R47</v>
      </c>
      <c r="D54" s="6" t="str">
        <f t="shared" si="1"/>
        <v xml:space="preserve">  shortcutProfile == USER_R47</v>
      </c>
      <c r="E54" s="6" t="str">
        <f>REPT(" ",Sheet2!$E$3-LEN(Sheet2!E54))&amp;Sheet2!E54</f>
        <v xml:space="preserve"> CM_NORMAL</v>
      </c>
      <c r="F54" s="6" t="str">
        <f>REPT(" ",Sheet2!$E$3-LEN(Sheet2!F54))&amp;Sheet2!F54</f>
        <v xml:space="preserve">  tam.mode</v>
      </c>
      <c r="G54" s="6" t="str">
        <f>REPT(" ",Sheet2!$G$3-LEN(Sheet2!G54))&amp;Sheet2!G54</f>
        <v xml:space="preserve">           ITM_LOG10</v>
      </c>
      <c r="H54" s="6" t="str">
        <f>REPT(" ",Sheet2!$H$3-LEN(TEXT(Sheet2!H54,"00")))&amp;""""&amp;TEXT(Sheet2!H54,"00")&amp;""""</f>
        <v xml:space="preserve">  "04"</v>
      </c>
      <c r="I54" s="6" t="str">
        <f>REPT(" ",Sheet2!$I$3-LEN(Sheet2!I54))&amp;Sheet2!I54</f>
        <v xml:space="preserve">                         l[o]g</v>
      </c>
      <c r="J54" s="3" t="str">
        <f>IF(Sheet2!B54="","",SUBSTITUTE(SUBSTITUTE(SUBSTITUTE(SUBSTITUTE(SUBSTITUTE(SUBSTITUTE(SUBSTITUTE(SUBSTITUTE($J$1,"61",A54),"CM_NORMAL",E54),"ITM_DRG",G54),"nn = comm",I54),"exitIfNim",B54),"allowCondition",D54),"KK",H54),"9999",F54))</f>
        <v>if(shortCutCommand(w, event_keyval,   111,   shortcutProfile == USER_R47,  ExitIfNim,   tam.mode,   "04",  CM_NORMAL,            ITM_LOG10 ))        {return true;} else        //                         l[o]g</v>
      </c>
    </row>
    <row r="55" spans="1:10">
      <c r="A55" s="6" t="str">
        <f>REPT(" ",Sheet2!$B$3-LEN(Sheet2!B55))&amp;Sheet2!B55</f>
        <v xml:space="preserve">  108</v>
      </c>
      <c r="B55" s="6" t="str">
        <f>REPT(" ",Sheet2!$C$3-LEN(Sheet2!C55))&amp;Sheet2!C55</f>
        <v xml:space="preserve"> ExitIfNim</v>
      </c>
      <c r="C55" s="5" t="str">
        <f>IF(Sheet2!D55="Std","FALSE","shortcutProfile == USER_"&amp;Sheet2!D55)</f>
        <v>shortcutProfile == USER_R47</v>
      </c>
      <c r="D55" s="6" t="str">
        <f t="shared" si="1"/>
        <v xml:space="preserve">  shortcutProfile == USER_R47</v>
      </c>
      <c r="E55" s="6" t="str">
        <f>REPT(" ",Sheet2!$E$3-LEN(Sheet2!E55))&amp;Sheet2!E55</f>
        <v xml:space="preserve"> CM_NORMAL</v>
      </c>
      <c r="F55" s="6" t="str">
        <f>REPT(" ",Sheet2!$E$3-LEN(Sheet2!F55))&amp;Sheet2!F55</f>
        <v xml:space="preserve">  tam.mode</v>
      </c>
      <c r="G55" s="6" t="str">
        <f>REPT(" ",Sheet2!$G$3-LEN(Sheet2!G55))&amp;Sheet2!G55</f>
        <v xml:space="preserve">              ITM_LN</v>
      </c>
      <c r="H55" s="6" t="str">
        <f>REPT(" ",Sheet2!$H$3-LEN(TEXT(Sheet2!H55,"00")))&amp;""""&amp;TEXT(Sheet2!H55,"00")&amp;""""</f>
        <v xml:space="preserve">  "05"</v>
      </c>
      <c r="I55" s="6" t="str">
        <f>REPT(" ",Sheet2!$I$3-LEN(Sheet2!I55))&amp;Sheet2!I55</f>
        <v xml:space="preserve">                          [l]n</v>
      </c>
      <c r="J55" s="3" t="str">
        <f>IF(Sheet2!B55="","",SUBSTITUTE(SUBSTITUTE(SUBSTITUTE(SUBSTITUTE(SUBSTITUTE(SUBSTITUTE(SUBSTITUTE(SUBSTITUTE($J$1,"61",A55),"CM_NORMAL",E55),"ITM_DRG",G55),"nn = comm",I55),"exitIfNim",B55),"allowCondition",D55),"KK",H55),"9999",F55))</f>
        <v>if(shortCutCommand(w, event_keyval,   108,   shortcutProfile == USER_R47,  ExitIfNim,   tam.mode,   "05",  CM_NORMAL,               ITM_LN ))        {return true;} else        //                          [l]n</v>
      </c>
    </row>
    <row r="56" spans="1:10">
      <c r="A56" s="6" t="str">
        <f>REPT(" ",Sheet2!$B$3-LEN(Sheet2!B56))&amp;Sheet2!B56</f>
        <v xml:space="preserve">  109</v>
      </c>
      <c r="B56" s="6" t="str">
        <f>REPT(" ",Sheet2!$C$3-LEN(Sheet2!C56))&amp;Sheet2!C56</f>
        <v xml:space="preserve"> ExitIfNim</v>
      </c>
      <c r="C56" s="5" t="str">
        <f>IF(Sheet2!D56="Std","FALSE","shortcutProfile == USER_"&amp;Sheet2!D56)</f>
        <v>shortcutProfile == USER_R47</v>
      </c>
      <c r="D56" s="6" t="str">
        <f t="shared" si="1"/>
        <v xml:space="preserve">  shortcutProfile == USER_R47</v>
      </c>
      <c r="E56" s="6" t="str">
        <f>REPT(" ",Sheet2!$E$3-LEN(Sheet2!E56))&amp;Sheet2!E56</f>
        <v xml:space="preserve"> CM_NORMAL</v>
      </c>
      <c r="F56" s="6" t="str">
        <f>REPT(" ",Sheet2!$E$3-LEN(Sheet2!F56))&amp;Sheet2!F56</f>
        <v xml:space="preserve">  tam.mode</v>
      </c>
      <c r="G56" s="6" t="str">
        <f>REPT(" ",Sheet2!$G$3-LEN(Sheet2!G56))&amp;Sheet2!G56</f>
        <v xml:space="preserve">             ITM_STO</v>
      </c>
      <c r="H56" s="6" t="str">
        <f>REPT(" ",Sheet2!$H$3-LEN(TEXT(Sheet2!H56,"00")))&amp;""""&amp;TEXT(Sheet2!H56,"00")&amp;""""</f>
        <v xml:space="preserve">  "06"</v>
      </c>
      <c r="I56" s="6" t="str">
        <f>REPT(" ",Sheet2!$I$3-LEN(Sheet2!I56))&amp;Sheet2!I56</f>
        <v xml:space="preserve">                      [m]emory</v>
      </c>
      <c r="J56" s="3" t="str">
        <f>IF(Sheet2!B56="","",SUBSTITUTE(SUBSTITUTE(SUBSTITUTE(SUBSTITUTE(SUBSTITUTE(SUBSTITUTE(SUBSTITUTE(SUBSTITUTE($J$1,"61",A56),"CM_NORMAL",E56),"ITM_DRG",G56),"nn = comm",I56),"exitIfNim",B56),"allowCondition",D56),"KK",H56),"9999",F56))</f>
        <v>if(shortCutCommand(w, event_keyval,   109,   shortcutProfile == USER_R47,  ExitIfNim,   tam.mode,   "06",  CM_NORMAL,              ITM_STO ))        {return true;} else        //                      [m]emory</v>
      </c>
    </row>
    <row r="57" spans="1:10">
      <c r="A57" s="6" t="str">
        <f>REPT(" ",Sheet2!$B$3-LEN(Sheet2!B57))&amp;Sheet2!B57</f>
        <v xml:space="preserve">  114</v>
      </c>
      <c r="B57" s="6" t="str">
        <f>REPT(" ",Sheet2!$C$3-LEN(Sheet2!C57))&amp;Sheet2!C57</f>
        <v xml:space="preserve"> ExitIfNim</v>
      </c>
      <c r="C57" s="5" t="str">
        <f>IF(Sheet2!D57="Std","FALSE","shortcutProfile == USER_"&amp;Sheet2!D57)</f>
        <v>shortcutProfile == USER_R47</v>
      </c>
      <c r="D57" s="6" t="str">
        <f t="shared" si="1"/>
        <v xml:space="preserve">  shortcutProfile == USER_R47</v>
      </c>
      <c r="E57" s="6" t="str">
        <f>REPT(" ",Sheet2!$E$3-LEN(Sheet2!E57))&amp;Sheet2!E57</f>
        <v xml:space="preserve"> CM_NORMAL</v>
      </c>
      <c r="F57" s="6" t="str">
        <f>REPT(" ",Sheet2!$E$3-LEN(Sheet2!F57))&amp;Sheet2!F57</f>
        <v xml:space="preserve">  tam.mode</v>
      </c>
      <c r="G57" s="6" t="str">
        <f>REPT(" ",Sheet2!$G$3-LEN(Sheet2!G57))&amp;Sheet2!G57</f>
        <v xml:space="preserve">             ITM_RCL</v>
      </c>
      <c r="H57" s="6" t="str">
        <f>REPT(" ",Sheet2!$H$3-LEN(TEXT(Sheet2!H57,"00")))&amp;""""&amp;TEXT(Sheet2!H57,"00")&amp;""""</f>
        <v xml:space="preserve">  "07"</v>
      </c>
      <c r="I57" s="6" t="str">
        <f>REPT(" ",Sheet2!$I$3-LEN(Sheet2!I57))&amp;Sheet2!I57</f>
        <v xml:space="preserve">                         [r]cl</v>
      </c>
      <c r="J57" s="3" t="str">
        <f>IF(Sheet2!B57="","",SUBSTITUTE(SUBSTITUTE(SUBSTITUTE(SUBSTITUTE(SUBSTITUTE(SUBSTITUTE(SUBSTITUTE(SUBSTITUTE($J$1,"61",A57),"CM_NORMAL",E57),"ITM_DRG",G57),"nn = comm",I57),"exitIfNim",B57),"allowCondition",D57),"KK",H57),"9999",F57))</f>
        <v>if(shortCutCommand(w, event_keyval,   114,   shortcutProfile == USER_R47,  ExitIfNim,   tam.mode,   "07",  CM_NORMAL,              ITM_RCL ))        {return true;} else        //                         [r]cl</v>
      </c>
    </row>
    <row r="58" spans="1:10">
      <c r="A58" s="6" t="str">
        <f>REPT(" ",Sheet2!$B$3-LEN(Sheet2!B58))&amp;Sheet2!B58</f>
        <v xml:space="preserve">  100</v>
      </c>
      <c r="B58" s="6" t="str">
        <f>REPT(" ",Sheet2!$C$3-LEN(Sheet2!C58))&amp;Sheet2!C58</f>
        <v xml:space="preserve"> ExitIfNim</v>
      </c>
      <c r="C58" s="5" t="str">
        <f>IF(Sheet2!D58="Std","FALSE","shortcutProfile == USER_"&amp;Sheet2!D58)</f>
        <v>shortcutProfile == USER_R47</v>
      </c>
      <c r="D58" s="6" t="str">
        <f t="shared" si="1"/>
        <v xml:space="preserve">  shortcutProfile == USER_R47</v>
      </c>
      <c r="E58" s="6" t="str">
        <f>REPT(" ",Sheet2!$E$3-LEN(Sheet2!E58))&amp;Sheet2!E58</f>
        <v xml:space="preserve"> CM_NORMAL</v>
      </c>
      <c r="F58" s="6" t="str">
        <f>REPT(" ",Sheet2!$E$3-LEN(Sheet2!F58))&amp;Sheet2!F58</f>
        <v xml:space="preserve">  tam.mode</v>
      </c>
      <c r="G58" s="6" t="str">
        <f>REPT(" ",Sheet2!$G$3-LEN(Sheet2!G58))&amp;Sheet2!G58</f>
        <v xml:space="preserve">           ITM_Rdown</v>
      </c>
      <c r="H58" s="6" t="str">
        <f>REPT(" ",Sheet2!$H$3-LEN(TEXT(Sheet2!H58,"00")))&amp;""""&amp;TEXT(Sheet2!H58,"00")&amp;""""</f>
        <v xml:space="preserve">  "08"</v>
      </c>
      <c r="I58" s="6" t="str">
        <f>REPT(" ",Sheet2!$I$3-LEN(Sheet2!I58))&amp;Sheet2!I58</f>
        <v xml:space="preserve">                        [d]own</v>
      </c>
      <c r="J58" s="3" t="str">
        <f>IF(Sheet2!B58="","",SUBSTITUTE(SUBSTITUTE(SUBSTITUTE(SUBSTITUTE(SUBSTITUTE(SUBSTITUTE(SUBSTITUTE(SUBSTITUTE($J$1,"61",A58),"CM_NORMAL",E58),"ITM_DRG",G58),"nn = comm",I58),"exitIfNim",B58),"allowCondition",D58),"KK",H58),"9999",F58))</f>
        <v>if(shortCutCommand(w, event_keyval,   100,   shortcutProfile == USER_R47,  ExitIfNim,   tam.mode,   "08",  CM_NORMAL,            ITM_Rdown ))        {return true;} else        //                        [d]own</v>
      </c>
    </row>
    <row r="59" spans="1:10">
      <c r="A59" s="6" t="str">
        <f>REPT(" ",Sheet2!$B$3-LEN(Sheet2!B59))&amp;Sheet2!B59</f>
        <v xml:space="preserve">   61</v>
      </c>
      <c r="B59" s="6" t="str">
        <f>REPT(" ",Sheet2!$C$3-LEN(Sheet2!C59))&amp;Sheet2!C59</f>
        <v xml:space="preserve"> ExitIfNim</v>
      </c>
      <c r="C59" s="5" t="str">
        <f>IF(Sheet2!D59="Std","FALSE","shortcutProfile == USER_"&amp;Sheet2!D59)</f>
        <v>shortcutProfile == USER_R47</v>
      </c>
      <c r="D59" s="6" t="str">
        <f t="shared" si="1"/>
        <v xml:space="preserve">  shortcutProfile == USER_R47</v>
      </c>
      <c r="E59" s="6" t="str">
        <f>REPT(" ",Sheet2!$E$3-LEN(Sheet2!E59))&amp;Sheet2!E59</f>
        <v xml:space="preserve"> CM_NORMAL</v>
      </c>
      <c r="F59" s="6" t="str">
        <f>REPT(" ",Sheet2!$E$3-LEN(Sheet2!F59))&amp;Sheet2!F59</f>
        <v xml:space="preserve">  tam.mode</v>
      </c>
      <c r="G59" s="6" t="str">
        <f>REPT(" ",Sheet2!$G$3-LEN(Sheet2!G59))&amp;Sheet2!G59</f>
        <v xml:space="preserve">             ITM_DRG</v>
      </c>
      <c r="H59" s="6" t="str">
        <f>REPT(" ",Sheet2!$H$3-LEN(TEXT(Sheet2!H59,"00")))&amp;""""&amp;TEXT(Sheet2!H59,"00")&amp;""""</f>
        <v xml:space="preserve"> "-01"</v>
      </c>
      <c r="I59" s="6" t="str">
        <f>REPT(" ",Sheet2!$I$3-LEN(Sheet2!I59))&amp;Sheet2!I59</f>
        <v xml:space="preserve">                     [=]&gt;D,R,G</v>
      </c>
      <c r="J59" s="3" t="str">
        <f>IF(Sheet2!B59="","",SUBSTITUTE(SUBSTITUTE(SUBSTITUTE(SUBSTITUTE(SUBSTITUTE(SUBSTITUTE(SUBSTITUTE(SUBSTITUTE($J$1,"61",A59),"CM_NORMAL",E59),"ITM_DRG",G59),"nn = comm",I59),"exitIfNim",B59),"allowCondition",D59),"KK",H59),"9999",F59))</f>
        <v>if(shortCutCommand(w, event_keyval,    61,   shortcutProfile == USER_R47,  ExitIfNim,   tam.mode,  "-01",  CM_NORMAL,              ITM_DRG ))        {return true;} else        //                     [=]&gt;D,R,G</v>
      </c>
    </row>
    <row r="60" spans="1:10">
      <c r="A60" s="6" t="str">
        <f>REPT(" ",Sheet2!$B$3-LEN(Sheet2!B60))&amp;Sheet2!B60</f>
        <v xml:space="preserve">  102</v>
      </c>
      <c r="B60" s="6" t="str">
        <f>REPT(" ",Sheet2!$C$3-LEN(Sheet2!C60))&amp;Sheet2!C60</f>
        <v>!ExitIfNim</v>
      </c>
      <c r="C60" s="5" t="str">
        <f>IF(Sheet2!D60="Std","FALSE","shortcutProfile == USER_"&amp;Sheet2!D60)</f>
        <v>FALSE</v>
      </c>
      <c r="D60" s="6" t="str">
        <f t="shared" si="1"/>
        <v xml:space="preserve">                        FALSE</v>
      </c>
      <c r="E60" s="6" t="str">
        <f>REPT(" ",Sheet2!$E$3-LEN(Sheet2!E60))&amp;Sheet2!E60</f>
        <v xml:space="preserve"> CM_NORMAL</v>
      </c>
      <c r="F60" s="6" t="str">
        <f>REPT(" ",Sheet2!$E$3-LEN(Sheet2!F60))&amp;Sheet2!F60</f>
        <v xml:space="preserve">  tam.mode</v>
      </c>
      <c r="G60" s="6" t="str">
        <f>REPT(" ",Sheet2!$G$3-LEN(Sheet2!G60))&amp;Sheet2!G60</f>
        <v xml:space="preserve">          ITM_SHIFTf</v>
      </c>
      <c r="H60" s="6" t="str">
        <f>REPT(" ",Sheet2!$H$3-LEN(TEXT(Sheet2!H60,"00")))&amp;""""&amp;TEXT(Sheet2!H60,"00")&amp;""""</f>
        <v xml:space="preserve">  "10"</v>
      </c>
      <c r="I60" s="6" t="str">
        <f>REPT(" ",Sheet2!$I$3-LEN(Sheet2!I60))&amp;Sheet2!I60</f>
        <v xml:space="preserve">                             f</v>
      </c>
      <c r="J60" s="3" t="str">
        <f>IF(Sheet2!B60="","",SUBSTITUTE(SUBSTITUTE(SUBSTITUTE(SUBSTITUTE(SUBSTITUTE(SUBSTITUTE(SUBSTITUTE(SUBSTITUTE($J$1,"61",A60),"CM_NORMAL",E60),"ITM_DRG",G60),"nn = comm",I60),"exitIfNim",B60),"allowCondition",D60),"KK",H60),"9999",F60))</f>
        <v>if(shortCutCommand(w, event_keyval,   102,                         FALSE, !ExitIfNim,   tam.mode,   "10",  CM_NORMAL,           ITM_SHIFTf ))        {return true;} else        //                             f</v>
      </c>
    </row>
    <row r="61" spans="1:10">
      <c r="A61" s="6" t="str">
        <f>REPT(" ",Sheet2!$B$3-LEN(Sheet2!B61))&amp;Sheet2!B61</f>
        <v xml:space="preserve">  103</v>
      </c>
      <c r="B61" s="6" t="str">
        <f>REPT(" ",Sheet2!$C$3-LEN(Sheet2!C61))&amp;Sheet2!C61</f>
        <v>!ExitIfNim</v>
      </c>
      <c r="C61" s="5" t="str">
        <f>IF(Sheet2!D61="Std","FALSE","shortcutProfile == USER_"&amp;Sheet2!D61)</f>
        <v>FALSE</v>
      </c>
      <c r="D61" s="6" t="str">
        <f t="shared" si="1"/>
        <v xml:space="preserve">                        FALSE</v>
      </c>
      <c r="E61" s="6" t="str">
        <f>REPT(" ",Sheet2!$E$3-LEN(Sheet2!E61))&amp;Sheet2!E61</f>
        <v xml:space="preserve"> CM_NORMAL</v>
      </c>
      <c r="F61" s="6" t="str">
        <f>REPT(" ",Sheet2!$E$3-LEN(Sheet2!F61))&amp;Sheet2!F61</f>
        <v xml:space="preserve">  tam.mode</v>
      </c>
      <c r="G61" s="6" t="str">
        <f>REPT(" ",Sheet2!$G$3-LEN(Sheet2!G61))&amp;Sheet2!G61</f>
        <v xml:space="preserve">          ITM_SHIFTg</v>
      </c>
      <c r="H61" s="6" t="str">
        <f>REPT(" ",Sheet2!$H$3-LEN(TEXT(Sheet2!H61,"00")))&amp;""""&amp;TEXT(Sheet2!H61,"00")&amp;""""</f>
        <v xml:space="preserve">  "11"</v>
      </c>
      <c r="I61" s="6" t="str">
        <f>REPT(" ",Sheet2!$I$3-LEN(Sheet2!I61))&amp;Sheet2!I61</f>
        <v xml:space="preserve">                             g</v>
      </c>
      <c r="J61" s="3" t="str">
        <f>IF(Sheet2!B61="","",SUBSTITUTE(SUBSTITUTE(SUBSTITUTE(SUBSTITUTE(SUBSTITUTE(SUBSTITUTE(SUBSTITUTE(SUBSTITUTE($J$1,"61",A61),"CM_NORMAL",E61),"ITM_DRG",G61),"nn = comm",I61),"exitIfNim",B61),"allowCondition",D61),"KK",H61),"9999",F61))</f>
        <v>if(shortCutCommand(w, event_keyval,   103,                         FALSE, !ExitIfNim,   tam.mode,   "11",  CM_NORMAL,           ITM_SHIFTg ))        {return true;} else        //                             g</v>
      </c>
    </row>
    <row r="62" spans="1:10">
      <c r="A62" s="6" t="str">
        <f>REPT(" ",Sheet2!$B$3-LEN(Sheet2!B62))&amp;Sheet2!B62</f>
        <v xml:space="preserve">   69</v>
      </c>
      <c r="B62" s="6" t="str">
        <f>REPT(" ",Sheet2!$C$3-LEN(Sheet2!C62))&amp;Sheet2!C62</f>
        <v>!ExitIfNim</v>
      </c>
      <c r="C62" s="5" t="str">
        <f>IF(Sheet2!D62="Std","FALSE","shortcutProfile == USER_"&amp;Sheet2!D62)</f>
        <v>FALSE</v>
      </c>
      <c r="D62" s="6" t="str">
        <f t="shared" si="1"/>
        <v xml:space="preserve">                        FALSE</v>
      </c>
      <c r="E62" s="6" t="str">
        <f>REPT(" ",Sheet2!$E$3-LEN(Sheet2!E62))&amp;Sheet2!E62</f>
        <v xml:space="preserve"> CM_NORMAL</v>
      </c>
      <c r="F62" s="6" t="str">
        <f>REPT(" ",Sheet2!$E$3-LEN(Sheet2!F62))&amp;Sheet2!F62</f>
        <v xml:space="preserve">     FALSE</v>
      </c>
      <c r="G62" s="6" t="str">
        <f>REPT(" ",Sheet2!$G$3-LEN(Sheet2!G62))&amp;Sheet2!G62</f>
        <v xml:space="preserve">           ITM_ENTER</v>
      </c>
      <c r="H62" s="6" t="str">
        <f>REPT(" ",Sheet2!$H$3-LEN(TEXT(Sheet2!H62,"00")))&amp;""""&amp;TEXT(Sheet2!H62,"00")&amp;""""</f>
        <v xml:space="preserve">  "12"</v>
      </c>
      <c r="I62" s="6" t="str">
        <f>REPT(" ",Sheet2!$I$3-LEN(Sheet2!I62))&amp;Sheet2!I62</f>
        <v xml:space="preserve">                           key</v>
      </c>
      <c r="J62" s="3" t="str">
        <f>IF(Sheet2!B62="","",SUBSTITUTE(SUBSTITUTE(SUBSTITUTE(SUBSTITUTE(SUBSTITUTE(SUBSTITUTE(SUBSTITUTE(SUBSTITUTE($J$1,"61",A62),"CM_NORMAL",E62),"ITM_DRG",G62),"nn = comm",I62),"exitIfNim",B62),"allowCondition",D62),"KK",H62),"9999",F62))</f>
        <v>if(shortCutCommand(w, event_keyval,    69,                         FALSE, !ExitIfNim,      FALSE,   "12",  CM_NORMAL,            ITM_ENTER ))        {return true;} else        //                           key</v>
      </c>
    </row>
    <row r="63" spans="1:10">
      <c r="A63" s="6" t="str">
        <f>REPT(" ",Sheet2!$B$3-LEN(Sheet2!B63))&amp;Sheet2!B63</f>
        <v xml:space="preserve">  119</v>
      </c>
      <c r="B63" s="6" t="str">
        <f>REPT(" ",Sheet2!$C$3-LEN(Sheet2!C63))&amp;Sheet2!C63</f>
        <v>!ExitIfNim</v>
      </c>
      <c r="C63" s="5" t="str">
        <f>IF(Sheet2!D63="Std","FALSE","shortcutProfile == USER_"&amp;Sheet2!D63)</f>
        <v>FALSE</v>
      </c>
      <c r="D63" s="6" t="str">
        <f t="shared" si="1"/>
        <v xml:space="preserve">                        FALSE</v>
      </c>
      <c r="E63" s="6" t="str">
        <f>REPT(" ",Sheet2!$E$3-LEN(Sheet2!E63))&amp;Sheet2!E63</f>
        <v xml:space="preserve"> CM_NORMAL</v>
      </c>
      <c r="F63" s="6" t="str">
        <f>REPT(" ",Sheet2!$E$3-LEN(Sheet2!F63))&amp;Sheet2!F63</f>
        <v xml:space="preserve">  tam.mode</v>
      </c>
      <c r="G63" s="6" t="str">
        <f>REPT(" ",Sheet2!$G$3-LEN(Sheet2!G63))&amp;Sheet2!G63</f>
        <v xml:space="preserve">            ITM_XexY</v>
      </c>
      <c r="H63" s="6" t="str">
        <f>REPT(" ",Sheet2!$H$3-LEN(TEXT(Sheet2!H63,"00")))&amp;""""&amp;TEXT(Sheet2!H63,"00")&amp;""""</f>
        <v xml:space="preserve">  "13"</v>
      </c>
      <c r="I63" s="6" t="str">
        <f>REPT(" ",Sheet2!$I$3-LEN(Sheet2!I63))&amp;Sheet2!I63</f>
        <v xml:space="preserve">                        s[w]ap</v>
      </c>
      <c r="J63" s="3" t="str">
        <f>IF(Sheet2!B63="","",SUBSTITUTE(SUBSTITUTE(SUBSTITUTE(SUBSTITUTE(SUBSTITUTE(SUBSTITUTE(SUBSTITUTE(SUBSTITUTE($J$1,"61",A63),"CM_NORMAL",E63),"ITM_DRG",G63),"nn = comm",I63),"exitIfNim",B63),"allowCondition",D63),"KK",H63),"9999",F63))</f>
        <v>if(shortCutCommand(w, event_keyval,   119,                         FALSE, !ExitIfNim,   tam.mode,   "13",  CM_NORMAL,             ITM_XexY ))        {return true;} else        //                        s[w]ap</v>
      </c>
    </row>
    <row r="64" spans="1:10">
      <c r="A64" s="6" t="str">
        <f>REPT(" ",Sheet2!$B$3-LEN(Sheet2!B64))&amp;Sheet2!B64</f>
        <v xml:space="preserve">  110</v>
      </c>
      <c r="B64" s="6" t="str">
        <f>REPT(" ",Sheet2!$C$3-LEN(Sheet2!C64))&amp;Sheet2!C64</f>
        <v>!ExitIfNim</v>
      </c>
      <c r="C64" s="5" t="str">
        <f>IF(Sheet2!D64="Std","FALSE","shortcutProfile == USER_"&amp;Sheet2!D64)</f>
        <v>FALSE</v>
      </c>
      <c r="D64" s="6" t="str">
        <f t="shared" si="1"/>
        <v xml:space="preserve">                        FALSE</v>
      </c>
      <c r="E64" s="6" t="str">
        <f>REPT(" ",Sheet2!$E$3-LEN(Sheet2!E64))&amp;Sheet2!E64</f>
        <v xml:space="preserve"> CM_NORMAL</v>
      </c>
      <c r="F64" s="6" t="str">
        <f>REPT(" ",Sheet2!$E$3-LEN(Sheet2!F64))&amp;Sheet2!F64</f>
        <v xml:space="preserve">  tam.mode</v>
      </c>
      <c r="G64" s="6" t="str">
        <f>REPT(" ",Sheet2!$G$3-LEN(Sheet2!G64))&amp;Sheet2!G64</f>
        <v xml:space="preserve">             ITM_CHS</v>
      </c>
      <c r="H64" s="6" t="str">
        <f>REPT(" ",Sheet2!$H$3-LEN(TEXT(Sheet2!H64,"00")))&amp;""""&amp;TEXT(Sheet2!H64,"00")&amp;""""</f>
        <v xml:space="preserve">  "14"</v>
      </c>
      <c r="I64" s="6" t="str">
        <f>REPT(" ",Sheet2!$I$3-LEN(Sheet2!I64))&amp;Sheet2!I64</f>
        <v xml:space="preserve">                CHS [n]egative</v>
      </c>
      <c r="J64" s="3" t="str">
        <f>IF(Sheet2!B64="","",SUBSTITUTE(SUBSTITUTE(SUBSTITUTE(SUBSTITUTE(SUBSTITUTE(SUBSTITUTE(SUBSTITUTE(SUBSTITUTE($J$1,"61",A64),"CM_NORMAL",E64),"ITM_DRG",G64),"nn = comm",I64),"exitIfNim",B64),"allowCondition",D64),"KK",H64),"9999",F64))</f>
        <v>if(shortCutCommand(w, event_keyval,   110,                         FALSE, !ExitIfNim,   tam.mode,   "14",  CM_NORMAL,              ITM_CHS ))        {return true;} else        //                CHS [n]egative</v>
      </c>
    </row>
    <row r="65" spans="1:10">
      <c r="A65" s="6" t="str">
        <f>REPT(" ",Sheet2!$B$3-LEN(Sheet2!B65))&amp;Sheet2!B65</f>
        <v xml:space="preserve">  101</v>
      </c>
      <c r="B65" s="6" t="str">
        <f>REPT(" ",Sheet2!$C$3-LEN(Sheet2!C65))&amp;Sheet2!C65</f>
        <v>!ExitIfNim</v>
      </c>
      <c r="C65" s="5" t="str">
        <f>IF(Sheet2!D65="Std","FALSE","shortcutProfile == USER_"&amp;Sheet2!D65)</f>
        <v>FALSE</v>
      </c>
      <c r="D65" s="6" t="str">
        <f t="shared" si="1"/>
        <v xml:space="preserve">                        FALSE</v>
      </c>
      <c r="E65" s="6" t="str">
        <f>REPT(" ",Sheet2!$E$3-LEN(Sheet2!E65))&amp;Sheet2!E65</f>
        <v xml:space="preserve"> CM_NORMAL</v>
      </c>
      <c r="F65" s="6" t="str">
        <f>REPT(" ",Sheet2!$E$3-LEN(Sheet2!F65))&amp;Sheet2!F65</f>
        <v xml:space="preserve">  tam.mode</v>
      </c>
      <c r="G65" s="6" t="str">
        <f>REPT(" ",Sheet2!$G$3-LEN(Sheet2!G65))&amp;Sheet2!G65</f>
        <v xml:space="preserve">        ITM_EXPONENT</v>
      </c>
      <c r="H65" s="6" t="str">
        <f>REPT(" ",Sheet2!$H$3-LEN(TEXT(Sheet2!H65,"00")))&amp;""""&amp;TEXT(Sheet2!H65,"00")&amp;""""</f>
        <v xml:space="preserve">  "15"</v>
      </c>
      <c r="I65" s="6" t="str">
        <f>REPT(" ",Sheet2!$I$3-LEN(Sheet2!I65))&amp;Sheet2!I65</f>
        <v xml:space="preserve">                    [e]xponent</v>
      </c>
      <c r="J65" s="3" t="str">
        <f>IF(Sheet2!B65="","",SUBSTITUTE(SUBSTITUTE(SUBSTITUTE(SUBSTITUTE(SUBSTITUTE(SUBSTITUTE(SUBSTITUTE(SUBSTITUTE($J$1,"61",A65),"CM_NORMAL",E65),"ITM_DRG",G65),"nn = comm",I65),"exitIfNim",B65),"allowCondition",D65),"KK",H65),"9999",F65))</f>
        <v>if(shortCutCommand(w, event_keyval,   101,                         FALSE, !ExitIfNim,   tam.mode,   "15",  CM_NORMAL,         ITM_EXPONENT ))        {return true;} else        //                    [e]xponent</v>
      </c>
    </row>
    <row r="66" spans="1:10">
      <c r="A66" s="6" t="str">
        <f>REPT(" ",Sheet2!$B$3-LEN(Sheet2!B66))&amp;Sheet2!B66</f>
        <v xml:space="preserve">   97</v>
      </c>
      <c r="B66" s="6" t="str">
        <f>REPT(" ",Sheet2!$C$3-LEN(Sheet2!C66))&amp;Sheet2!C66</f>
        <v xml:space="preserve"> ExitIfNim</v>
      </c>
      <c r="C66" s="5" t="str">
        <f>IF(Sheet2!D66="Std","FALSE","shortcutProfile == USER_"&amp;Sheet2!D66)</f>
        <v>shortcutProfile == USER_R47</v>
      </c>
      <c r="D66" s="6" t="str">
        <f t="shared" si="1"/>
        <v xml:space="preserve">  shortcutProfile == USER_R47</v>
      </c>
      <c r="E66" s="6" t="str">
        <f>REPT(" ",Sheet2!$E$3-LEN(Sheet2!E66))&amp;Sheet2!E66</f>
        <v xml:space="preserve"> CM_NORMAL</v>
      </c>
      <c r="F66" s="6" t="str">
        <f>REPT(" ",Sheet2!$E$3-LEN(Sheet2!F66))&amp;Sheet2!F66</f>
        <v xml:space="preserve">  tam.mode</v>
      </c>
      <c r="G66" s="6" t="str">
        <f>REPT(" ",Sheet2!$G$3-LEN(Sheet2!G66))&amp;Sheet2!G66</f>
        <v xml:space="preserve">       ITM_SIGMAPLUS</v>
      </c>
      <c r="H66" s="6" t="str">
        <f>REPT(" ",Sheet2!$H$3-LEN(TEXT(Sheet2!H66,"00")))&amp;""""&amp;TEXT(Sheet2!H66,"00")&amp;""""</f>
        <v xml:space="preserve"> "-01"</v>
      </c>
      <c r="I66" s="6" t="str">
        <f>REPT(" ",Sheet2!$I$3-LEN(Sheet2!I66))&amp;Sheet2!I66</f>
        <v xml:space="preserve">                  [a]ccumulate</v>
      </c>
      <c r="J66" s="3" t="str">
        <f>IF(Sheet2!B66="","",SUBSTITUTE(SUBSTITUTE(SUBSTITUTE(SUBSTITUTE(SUBSTITUTE(SUBSTITUTE(SUBSTITUTE(SUBSTITUTE($J$1,"61",A66),"CM_NORMAL",E66),"ITM_DRG",G66),"nn = comm",I66),"exitIfNim",B66),"allowCondition",D66),"KK",H66),"9999",F66))</f>
        <v>if(shortCutCommand(w, event_keyval,    97,   shortcutProfile == USER_R47,  ExitIfNim,   tam.mode,  "-01",  CM_NORMAL,        ITM_SIGMAPLUS ))        {return true;} else        //                  [a]ccumulate</v>
      </c>
    </row>
    <row r="67" spans="1:10">
      <c r="A67" s="6" t="str">
        <f>REPT(" ",Sheet2!$B$3-LEN(Sheet2!B67))&amp;Sheet2!B67</f>
        <v xml:space="preserve">  120</v>
      </c>
      <c r="B67" s="6" t="str">
        <f>REPT(" ",Sheet2!$C$3-LEN(Sheet2!C67))&amp;Sheet2!C67</f>
        <v>!ExitIfNim</v>
      </c>
      <c r="C67" s="5" t="str">
        <f>IF(Sheet2!D67="Std","FALSE","shortcutProfile == USER_"&amp;Sheet2!D67)</f>
        <v>shortcutProfile == USER_R47</v>
      </c>
      <c r="D67" s="6" t="str">
        <f t="shared" si="1"/>
        <v xml:space="preserve">  shortcutProfile == USER_R47</v>
      </c>
      <c r="E67" s="6" t="str">
        <f>REPT(" ",Sheet2!$E$3-LEN(Sheet2!E67))&amp;Sheet2!E67</f>
        <v xml:space="preserve"> CM_NORMAL</v>
      </c>
      <c r="F67" s="6" t="str">
        <f>REPT(" ",Sheet2!$E$3-LEN(Sheet2!F67))&amp;Sheet2!F67</f>
        <v xml:space="preserve">     FALSE</v>
      </c>
      <c r="G67" s="6" t="str">
        <f>REPT(" ",Sheet2!$G$3-LEN(Sheet2!G67))&amp;Sheet2!G67</f>
        <v xml:space="preserve">             ITM_XEQ</v>
      </c>
      <c r="H67" s="6" t="str">
        <f>REPT(" ",Sheet2!$H$3-LEN(TEXT(Sheet2!H67,"00")))&amp;""""&amp;TEXT(Sheet2!H67,"00")&amp;""""</f>
        <v xml:space="preserve">  "17"</v>
      </c>
      <c r="I67" s="6" t="str">
        <f>REPT(" ",Sheet2!$I$3-LEN(Sheet2!I67))&amp;Sheet2!I67</f>
        <v xml:space="preserve">                         [x]eq</v>
      </c>
      <c r="J67" s="3" t="str">
        <f>IF(Sheet2!B67="","",SUBSTITUTE(SUBSTITUTE(SUBSTITUTE(SUBSTITUTE(SUBSTITUTE(SUBSTITUTE(SUBSTITUTE(SUBSTITUTE($J$1,"61",A67),"CM_NORMAL",E67),"ITM_DRG",G67),"nn = comm",I67),"exitIfNim",B67),"allowCondition",D67),"KK",H67),"9999",F67))</f>
        <v>if(shortCutCommand(w, event_keyval,   120,   shortcutProfile == USER_R47, !ExitIfNim,      FALSE,   "17",  CM_NORMAL,              ITM_XEQ ))        {return true;} else        //                         [x]eq</v>
      </c>
    </row>
    <row r="68" spans="1:10">
      <c r="A68" s="6" t="str">
        <f>REPT(" ",Sheet2!$B$3-LEN(Sheet2!B68))&amp;Sheet2!B68</f>
        <v xml:space="preserve">  105</v>
      </c>
      <c r="B68" s="6" t="str">
        <f>REPT(" ",Sheet2!$C$3-LEN(Sheet2!C68))&amp;Sheet2!C68</f>
        <v xml:space="preserve"> ExitIfNim</v>
      </c>
      <c r="C68" s="5" t="str">
        <f>IF(Sheet2!D68="Std","FALSE","shortcutProfile == USER_"&amp;Sheet2!D68)</f>
        <v>shortcutProfile == USER_R47</v>
      </c>
      <c r="D68" s="6" t="str">
        <f t="shared" si="1"/>
        <v xml:space="preserve">  shortcutProfile == USER_R47</v>
      </c>
      <c r="E68" s="6" t="str">
        <f>REPT(" ",Sheet2!$E$3-LEN(Sheet2!E68))&amp;Sheet2!E68</f>
        <v xml:space="preserve"> CM_NORMAL</v>
      </c>
      <c r="F68" s="6" t="str">
        <f>REPT(" ",Sheet2!$E$3-LEN(Sheet2!F68))&amp;Sheet2!F68</f>
        <v xml:space="preserve">  tam.mode</v>
      </c>
      <c r="G68" s="6" t="str">
        <f>REPT(" ",Sheet2!$G$3-LEN(Sheet2!G68))&amp;Sheet2!G68</f>
        <v xml:space="preserve">            ITM_op_j</v>
      </c>
      <c r="H68" s="6" t="str">
        <f>REPT(" ",Sheet2!$H$3-LEN(TEXT(Sheet2!H68,"00")))&amp;""""&amp;TEXT(Sheet2!H68,"00")&amp;""""</f>
        <v xml:space="preserve"> "-01"</v>
      </c>
      <c r="I68" s="6" t="str">
        <f>REPT(" ",Sheet2!$I$3-LEN(Sheet2!I68))&amp;Sheet2!I68</f>
        <v xml:space="preserve">                             i</v>
      </c>
      <c r="J68" s="3" t="str">
        <f>IF(Sheet2!B68="","",SUBSTITUTE(SUBSTITUTE(SUBSTITUTE(SUBSTITUTE(SUBSTITUTE(SUBSTITUTE(SUBSTITUTE(SUBSTITUTE($J$1,"61",A68),"CM_NORMAL",E68),"ITM_DRG",G68),"nn = comm",I68),"exitIfNim",B68),"allowCondition",D68),"KK",H68),"9999",F68))</f>
        <v>if(shortCutCommand(w, event_keyval,   105,   shortcutProfile == USER_R47,  ExitIfNim,   tam.mode,  "-01",  CM_NORMAL,             ITM_op_j ))        {return true;} else        //                             i</v>
      </c>
    </row>
    <row r="69" spans="1:10">
      <c r="A69" s="6" t="str">
        <f>REPT(" ",Sheet2!$B$3-LEN(Sheet2!B69))&amp;Sheet2!B69</f>
        <v xml:space="preserve">   88</v>
      </c>
      <c r="B69" s="6" t="str">
        <f>REPT(" ",Sheet2!$C$3-LEN(Sheet2!C69))&amp;Sheet2!C69</f>
        <v xml:space="preserve"> ExitIfNim</v>
      </c>
      <c r="C69" s="5" t="str">
        <f>IF(Sheet2!D69="Std","FALSE","shortcutProfile == USER_"&amp;Sheet2!D69)</f>
        <v>shortcutProfile == USER_R47</v>
      </c>
      <c r="D69" s="6" t="str">
        <f t="shared" si="1"/>
        <v xml:space="preserve">  shortcutProfile == USER_R47</v>
      </c>
      <c r="E69" s="6" t="str">
        <f>REPT(" ",Sheet2!$E$3-LEN(Sheet2!E69))&amp;Sheet2!E69</f>
        <v xml:space="preserve"> CM_NORMAL</v>
      </c>
      <c r="F69" s="6" t="str">
        <f>REPT(" ",Sheet2!$E$3-LEN(Sheet2!F69))&amp;Sheet2!F69</f>
        <v xml:space="preserve">  tam.mode</v>
      </c>
      <c r="G69" s="6" t="str">
        <f>REPT(" ",Sheet2!$G$3-LEN(Sheet2!G69))&amp;Sheet2!G69</f>
        <v xml:space="preserve">         KEY_COMPLEX</v>
      </c>
      <c r="H69" s="6" t="str">
        <f>REPT(" ",Sheet2!$H$3-LEN(TEXT(Sheet2!H69,"00")))&amp;""""&amp;TEXT(Sheet2!H69,"00")&amp;""""</f>
        <v xml:space="preserve"> "-01"</v>
      </c>
      <c r="I69" s="6" t="str">
        <f>REPT(" ",Sheet2!$I$3-LEN(Sheet2!I69))&amp;Sheet2!I69</f>
        <v xml:space="preserve">                     comple[X]</v>
      </c>
      <c r="J69" s="3" t="str">
        <f>IF(Sheet2!B69="","",SUBSTITUTE(SUBSTITUTE(SUBSTITUTE(SUBSTITUTE(SUBSTITUTE(SUBSTITUTE(SUBSTITUTE(SUBSTITUTE($J$1,"61",A69),"CM_NORMAL",E69),"ITM_DRG",G69),"nn = comm",I69),"exitIfNim",B69),"allowCondition",D69),"KK",H69),"9999",F69))</f>
        <v>if(shortCutCommand(w, event_keyval,    88,   shortcutProfile == USER_R47,  ExitIfNim,   tam.mode,  "-01",  CM_NORMAL,          KEY_COMPLEX ))        {return true;} else        //                     comple[X]</v>
      </c>
    </row>
    <row r="70" spans="1:10">
      <c r="A70" s="6" t="str">
        <f>REPT(" ",Sheet2!$B$3-LEN(Sheet2!B70))&amp;Sheet2!B70</f>
        <v xml:space="preserve">   82</v>
      </c>
      <c r="B70" s="6" t="str">
        <f>REPT(" ",Sheet2!$C$3-LEN(Sheet2!C70))&amp;Sheet2!C70</f>
        <v xml:space="preserve"> ExitIfNim</v>
      </c>
      <c r="C70" s="5" t="str">
        <f>IF(Sheet2!D70="Std","FALSE","shortcutProfile == USER_"&amp;Sheet2!D70)</f>
        <v>shortcutProfile == USER_R47</v>
      </c>
      <c r="D70" s="6" t="str">
        <f t="shared" ref="D70:D90" si="2">REPT( " ",$C$4-LEN(C70) ) &amp;C70</f>
        <v xml:space="preserve">  shortcutProfile == USER_R47</v>
      </c>
      <c r="E70" s="6" t="str">
        <f>REPT(" ",Sheet2!$E$3-LEN(Sheet2!E70))&amp;Sheet2!E70</f>
        <v xml:space="preserve"> CM_NORMAL</v>
      </c>
      <c r="F70" s="6" t="str">
        <f>REPT(" ",Sheet2!$E$3-LEN(Sheet2!F70))&amp;Sheet2!F70</f>
        <v xml:space="preserve">  tam.mode</v>
      </c>
      <c r="G70" s="6" t="str">
        <f>REPT(" ",Sheet2!$G$3-LEN(Sheet2!G70))&amp;Sheet2!G70</f>
        <v xml:space="preserve">          ITM_toREC2</v>
      </c>
      <c r="H70" s="6" t="str">
        <f>REPT(" ",Sheet2!$H$3-LEN(TEXT(Sheet2!H70,"00")))&amp;""""&amp;TEXT(Sheet2!H70,"00")&amp;""""</f>
        <v xml:space="preserve"> "-01"</v>
      </c>
      <c r="I70" s="6" t="str">
        <f>REPT(" ",Sheet2!$I$3-LEN(Sheet2!I70))&amp;Sheet2!I70</f>
        <v xml:space="preserve">                           -&gt;R</v>
      </c>
      <c r="J70" s="3" t="str">
        <f>IF(Sheet2!B70="","",SUBSTITUTE(SUBSTITUTE(SUBSTITUTE(SUBSTITUTE(SUBSTITUTE(SUBSTITUTE(SUBSTITUTE(SUBSTITUTE($J$1,"61",A70),"CM_NORMAL",E70),"ITM_DRG",G70),"nn = comm",I70),"exitIfNim",B70),"allowCondition",D70),"KK",H70),"9999",F70))</f>
        <v>if(shortCutCommand(w, event_keyval,    82,   shortcutProfile == USER_R47,  ExitIfNim,   tam.mode,  "-01",  CM_NORMAL,           ITM_toREC2 ))        {return true;} else        //                           -&gt;R</v>
      </c>
    </row>
    <row r="71" spans="1:10">
      <c r="A71" s="6" t="str">
        <f>REPT(" ",Sheet2!$B$3-LEN(Sheet2!B71))&amp;Sheet2!B71</f>
        <v xml:space="preserve">   80</v>
      </c>
      <c r="B71" s="6" t="str">
        <f>REPT(" ",Sheet2!$C$3-LEN(Sheet2!C71))&amp;Sheet2!C71</f>
        <v xml:space="preserve"> ExitIfNim</v>
      </c>
      <c r="C71" s="5" t="str">
        <f>IF(Sheet2!D71="Std","FALSE","shortcutProfile == USER_"&amp;Sheet2!D71)</f>
        <v>shortcutProfile == USER_R47</v>
      </c>
      <c r="D71" s="6" t="str">
        <f t="shared" si="2"/>
        <v xml:space="preserve">  shortcutProfile == USER_R47</v>
      </c>
      <c r="E71" s="6" t="str">
        <f>REPT(" ",Sheet2!$E$3-LEN(Sheet2!E71))&amp;Sheet2!E71</f>
        <v xml:space="preserve"> CM_NORMAL</v>
      </c>
      <c r="F71" s="6" t="str">
        <f>REPT(" ",Sheet2!$E$3-LEN(Sheet2!F71))&amp;Sheet2!F71</f>
        <v xml:space="preserve">  tam.mode</v>
      </c>
      <c r="G71" s="6" t="str">
        <f>REPT(" ",Sheet2!$G$3-LEN(Sheet2!G71))&amp;Sheet2!G71</f>
        <v xml:space="preserve">          ITM_toPOL2</v>
      </c>
      <c r="H71" s="6" t="str">
        <f>REPT(" ",Sheet2!$H$3-LEN(TEXT(Sheet2!H71,"00")))&amp;""""&amp;TEXT(Sheet2!H71,"00")&amp;""""</f>
        <v xml:space="preserve"> "-01"</v>
      </c>
      <c r="I71" s="6" t="str">
        <f>REPT(" ",Sheet2!$I$3-LEN(Sheet2!I71))&amp;Sheet2!I71</f>
        <v xml:space="preserve">                           -&gt;P</v>
      </c>
      <c r="J71" s="3" t="str">
        <f>IF(Sheet2!B71="","",SUBSTITUTE(SUBSTITUTE(SUBSTITUTE(SUBSTITUTE(SUBSTITUTE(SUBSTITUTE(SUBSTITUTE(SUBSTITUTE($J$1,"61",A71),"CM_NORMAL",E71),"ITM_DRG",G71),"nn = comm",I71),"exitIfNim",B71),"allowCondition",D71),"KK",H71),"9999",F71))</f>
        <v>if(shortCutCommand(w, event_keyval,    80,   shortcutProfile == USER_R47,  ExitIfNim,   tam.mode,  "-01",  CM_NORMAL,           ITM_toPOL2 ))        {return true;} else        //                           -&gt;P</v>
      </c>
    </row>
    <row r="72" spans="1:10">
      <c r="A72" s="6" t="str">
        <f>REPT(" ",Sheet2!$B$3-LEN(Sheet2!B72))&amp;Sheet2!B72</f>
        <v xml:space="preserve">   89</v>
      </c>
      <c r="B72" s="6" t="str">
        <f>REPT(" ",Sheet2!$C$3-LEN(Sheet2!C72))&amp;Sheet2!C72</f>
        <v xml:space="preserve"> ExitIfNim</v>
      </c>
      <c r="C72" s="5" t="str">
        <f>IF(Sheet2!D72="Std","FALSE","shortcutProfile == USER_"&amp;Sheet2!D72)</f>
        <v>shortcutProfile == USER_R47</v>
      </c>
      <c r="D72" s="6" t="str">
        <f t="shared" si="2"/>
        <v xml:space="preserve">  shortcutProfile == USER_R47</v>
      </c>
      <c r="E72" s="6" t="str">
        <f>REPT(" ",Sheet2!$E$3-LEN(Sheet2!E72))&amp;Sheet2!E72</f>
        <v xml:space="preserve"> CM_NORMAL</v>
      </c>
      <c r="F72" s="6" t="str">
        <f>REPT(" ",Sheet2!$E$3-LEN(Sheet2!F72))&amp;Sheet2!F72</f>
        <v xml:space="preserve">  tam.mode</v>
      </c>
      <c r="G72" s="6" t="str">
        <f>REPT(" ",Sheet2!$G$3-LEN(Sheet2!G72))&amp;Sheet2!G72</f>
        <v xml:space="preserve">         ITM_XTHROOT</v>
      </c>
      <c r="H72" s="6" t="str">
        <f>REPT(" ",Sheet2!$H$3-LEN(TEXT(Sheet2!H72,"00")))&amp;""""&amp;TEXT(Sheet2!H72,"00")&amp;""""</f>
        <v xml:space="preserve"> "-01"</v>
      </c>
      <c r="I72" s="6" t="str">
        <f>REPT(" ",Sheet2!$I$3-LEN(Sheet2!I72))&amp;Sheet2!I72</f>
        <v xml:space="preserve">               xth root of [Y]</v>
      </c>
      <c r="J72" s="3" t="str">
        <f>IF(Sheet2!B72="","",SUBSTITUTE(SUBSTITUTE(SUBSTITUTE(SUBSTITUTE(SUBSTITUTE(SUBSTITUTE(SUBSTITUTE(SUBSTITUTE($J$1,"61",A72),"CM_NORMAL",E72),"ITM_DRG",G72),"nn = comm",I72),"exitIfNim",B72),"allowCondition",D72),"KK",H72),"9999",F72))</f>
        <v>if(shortCutCommand(w, event_keyval,    89,   shortcutProfile == USER_R47,  ExitIfNim,   tam.mode,  "-01",  CM_NORMAL,          ITM_XTHROOT ))        {return true;} else        //               xth root of [Y]</v>
      </c>
    </row>
    <row r="73" spans="1:10">
      <c r="A73" s="6" t="str">
        <f>REPT(" ",Sheet2!$B$3-LEN(Sheet2!B73))&amp;Sheet2!B73</f>
        <v xml:space="preserve">   67</v>
      </c>
      <c r="B73" s="6" t="str">
        <f>REPT(" ",Sheet2!$C$3-LEN(Sheet2!C73))&amp;Sheet2!C73</f>
        <v xml:space="preserve"> ExitIfNim</v>
      </c>
      <c r="C73" s="5" t="str">
        <f>IF(Sheet2!D73="Std","FALSE","shortcutProfile == USER_"&amp;Sheet2!D73)</f>
        <v>shortcutProfile == USER_R47</v>
      </c>
      <c r="D73" s="6" t="str">
        <f t="shared" si="2"/>
        <v xml:space="preserve">  shortcutProfile == USER_R47</v>
      </c>
      <c r="E73" s="6" t="str">
        <f>REPT(" ",Sheet2!$E$3-LEN(Sheet2!E73))&amp;Sheet2!E73</f>
        <v xml:space="preserve"> CM_NORMAL</v>
      </c>
      <c r="F73" s="6" t="str">
        <f>REPT(" ",Sheet2!$E$3-LEN(Sheet2!F73))&amp;Sheet2!F73</f>
        <v xml:space="preserve">  tam.mode</v>
      </c>
      <c r="G73" s="6" t="str">
        <f>REPT(" ",Sheet2!$G$3-LEN(Sheet2!G73))&amp;Sheet2!G73</f>
        <v xml:space="preserve">          ITM_arccos</v>
      </c>
      <c r="H73" s="6" t="str">
        <f>REPT(" ",Sheet2!$H$3-LEN(TEXT(Sheet2!H73,"00")))&amp;""""&amp;TEXT(Sheet2!H73,"00")&amp;""""</f>
        <v xml:space="preserve"> "-01"</v>
      </c>
      <c r="I73" s="6" t="str">
        <f>REPT(" ",Sheet2!$I$3-LEN(Sheet2!I73))&amp;Sheet2!I73</f>
        <v xml:space="preserve">                   arc[C]osine</v>
      </c>
      <c r="J73" s="3" t="str">
        <f>IF(Sheet2!B73="","",SUBSTITUTE(SUBSTITUTE(SUBSTITUTE(SUBSTITUTE(SUBSTITUTE(SUBSTITUTE(SUBSTITUTE(SUBSTITUTE($J$1,"61",A73),"CM_NORMAL",E73),"ITM_DRG",G73),"nn = comm",I73),"exitIfNim",B73),"allowCondition",D73),"KK",H73),"9999",F73))</f>
        <v>if(shortCutCommand(w, event_keyval,    67,   shortcutProfile == USER_R47,  ExitIfNim,   tam.mode,  "-01",  CM_NORMAL,           ITM_arccos ))        {return true;} else        //                   arc[C]osine</v>
      </c>
    </row>
    <row r="74" spans="1:10">
      <c r="A74" s="6" t="str">
        <f>REPT(" ",Sheet2!$B$3-LEN(Sheet2!B74))&amp;Sheet2!B74</f>
        <v xml:space="preserve">   83</v>
      </c>
      <c r="B74" s="6" t="str">
        <f>REPT(" ",Sheet2!$C$3-LEN(Sheet2!C74))&amp;Sheet2!C74</f>
        <v xml:space="preserve"> ExitIfNim</v>
      </c>
      <c r="C74" s="5" t="str">
        <f>IF(Sheet2!D74="Std","FALSE","shortcutProfile == USER_"&amp;Sheet2!D74)</f>
        <v>shortcutProfile == USER_R47</v>
      </c>
      <c r="D74" s="6" t="str">
        <f t="shared" si="2"/>
        <v xml:space="preserve">  shortcutProfile == USER_R47</v>
      </c>
      <c r="E74" s="6" t="str">
        <f>REPT(" ",Sheet2!$E$3-LEN(Sheet2!E74))&amp;Sheet2!E74</f>
        <v xml:space="preserve"> CM_NORMAL</v>
      </c>
      <c r="F74" s="6" t="str">
        <f>REPT(" ",Sheet2!$E$3-LEN(Sheet2!F74))&amp;Sheet2!F74</f>
        <v xml:space="preserve">  tam.mode</v>
      </c>
      <c r="G74" s="6" t="str">
        <f>REPT(" ",Sheet2!$G$3-LEN(Sheet2!G74))&amp;Sheet2!G74</f>
        <v xml:space="preserve">          ITM_arcsin</v>
      </c>
      <c r="H74" s="6" t="str">
        <f>REPT(" ",Sheet2!$H$3-LEN(TEXT(Sheet2!H74,"00")))&amp;""""&amp;TEXT(Sheet2!H74,"00")&amp;""""</f>
        <v xml:space="preserve"> "-01"</v>
      </c>
      <c r="I74" s="6" t="str">
        <f>REPT(" ",Sheet2!$I$3-LEN(Sheet2!I74))&amp;Sheet2!I74</f>
        <v xml:space="preserve">                     arc[S]ine</v>
      </c>
      <c r="J74" s="3" t="str">
        <f>IF(Sheet2!B74="","",SUBSTITUTE(SUBSTITUTE(SUBSTITUTE(SUBSTITUTE(SUBSTITUTE(SUBSTITUTE(SUBSTITUTE(SUBSTITUTE($J$1,"61",A74),"CM_NORMAL",E74),"ITM_DRG",G74),"nn = comm",I74),"exitIfNim",B74),"allowCondition",D74),"KK",H74),"9999",F74))</f>
        <v>if(shortCutCommand(w, event_keyval,    83,   shortcutProfile == USER_R47,  ExitIfNim,   tam.mode,  "-01",  CM_NORMAL,           ITM_arcsin ))        {return true;} else        //                     arc[S]ine</v>
      </c>
    </row>
    <row r="75" spans="1:10">
      <c r="A75" s="6" t="str">
        <f>REPT(" ",Sheet2!$B$3-LEN(Sheet2!B75))&amp;Sheet2!B75</f>
        <v xml:space="preserve">   84</v>
      </c>
      <c r="B75" s="6" t="str">
        <f>REPT(" ",Sheet2!$C$3-LEN(Sheet2!C75))&amp;Sheet2!C75</f>
        <v xml:space="preserve"> ExitIfNim</v>
      </c>
      <c r="C75" s="5" t="str">
        <f>IF(Sheet2!D75="Std","FALSE","shortcutProfile == USER_"&amp;Sheet2!D75)</f>
        <v>shortcutProfile == USER_R47</v>
      </c>
      <c r="D75" s="6" t="str">
        <f t="shared" si="2"/>
        <v xml:space="preserve">  shortcutProfile == USER_R47</v>
      </c>
      <c r="E75" s="6" t="str">
        <f>REPT(" ",Sheet2!$E$3-LEN(Sheet2!E75))&amp;Sheet2!E75</f>
        <v xml:space="preserve"> CM_NORMAL</v>
      </c>
      <c r="F75" s="6" t="str">
        <f>REPT(" ",Sheet2!$E$3-LEN(Sheet2!F75))&amp;Sheet2!F75</f>
        <v xml:space="preserve">  tam.mode</v>
      </c>
      <c r="G75" s="6" t="str">
        <f>REPT(" ",Sheet2!$G$3-LEN(Sheet2!G75))&amp;Sheet2!G75</f>
        <v xml:space="preserve">          ITM_arctan</v>
      </c>
      <c r="H75" s="6" t="str">
        <f>REPT(" ",Sheet2!$H$3-LEN(TEXT(Sheet2!H75,"00")))&amp;""""&amp;TEXT(Sheet2!H75,"00")&amp;""""</f>
        <v xml:space="preserve"> "-01"</v>
      </c>
      <c r="I75" s="6" t="str">
        <f>REPT(" ",Sheet2!$I$3-LEN(Sheet2!I75))&amp;Sheet2!I75</f>
        <v xml:space="preserve">                  arc[T]angent</v>
      </c>
      <c r="J75" s="3" t="str">
        <f>IF(Sheet2!B75="","",SUBSTITUTE(SUBSTITUTE(SUBSTITUTE(SUBSTITUTE(SUBSTITUTE(SUBSTITUTE(SUBSTITUTE(SUBSTITUTE($J$1,"61",A75),"CM_NORMAL",E75),"ITM_DRG",G75),"nn = comm",I75),"exitIfNim",B75),"allowCondition",D75),"KK",H75),"9999",F75))</f>
        <v>if(shortCutCommand(w, event_keyval,    84,   shortcutProfile == USER_R47,  ExitIfNim,   tam.mode,  "-01",  CM_NORMAL,           ITM_arctan ))        {return true;} else        //                  arc[T]angent</v>
      </c>
    </row>
    <row r="76" spans="1:10">
      <c r="A76" s="6" t="str">
        <f>REPT(" ",Sheet2!$B$3-LEN(Sheet2!B76))&amp;Sheet2!B76</f>
        <v xml:space="preserve">   76</v>
      </c>
      <c r="B76" s="6" t="str">
        <f>REPT(" ",Sheet2!$C$3-LEN(Sheet2!C76))&amp;Sheet2!C76</f>
        <v xml:space="preserve"> ExitIfNim</v>
      </c>
      <c r="C76" s="5" t="str">
        <f>IF(Sheet2!D76="Std","FALSE","shortcutProfile == USER_"&amp;Sheet2!D76)</f>
        <v>shortcutProfile == USER_R47</v>
      </c>
      <c r="D76" s="6" t="str">
        <f t="shared" si="2"/>
        <v xml:space="preserve">  shortcutProfile == USER_R47</v>
      </c>
      <c r="E76" s="6" t="str">
        <f>REPT(" ",Sheet2!$E$3-LEN(Sheet2!E76))&amp;Sheet2!E76</f>
        <v xml:space="preserve"> CM_NORMAL</v>
      </c>
      <c r="F76" s="6" t="str">
        <f>REPT(" ",Sheet2!$E$3-LEN(Sheet2!F76))&amp;Sheet2!F76</f>
        <v xml:space="preserve">  tam.mode</v>
      </c>
      <c r="G76" s="6" t="str">
        <f>REPT(" ",Sheet2!$G$3-LEN(Sheet2!G76))&amp;Sheet2!G76</f>
        <v xml:space="preserve">             ITM_EXP</v>
      </c>
      <c r="H76" s="6" t="str">
        <f>REPT(" ",Sheet2!$H$3-LEN(TEXT(Sheet2!H76,"00")))&amp;""""&amp;TEXT(Sheet2!H76,"00")&amp;""""</f>
        <v xml:space="preserve"> "-01"</v>
      </c>
      <c r="I76" s="6" t="str">
        <f>REPT(" ",Sheet2!$I$3-LEN(Sheet2!I76))&amp;Sheet2!I76</f>
        <v xml:space="preserve">                  anti[L]n e^x</v>
      </c>
      <c r="J76" s="3" t="str">
        <f>IF(Sheet2!B76="","",SUBSTITUTE(SUBSTITUTE(SUBSTITUTE(SUBSTITUTE(SUBSTITUTE(SUBSTITUTE(SUBSTITUTE(SUBSTITUTE($J$1,"61",A76),"CM_NORMAL",E76),"ITM_DRG",G76),"nn = comm",I76),"exitIfNim",B76),"allowCondition",D76),"KK",H76),"9999",F76))</f>
        <v>if(shortCutCommand(w, event_keyval,    76,   shortcutProfile == USER_R47,  ExitIfNim,   tam.mode,  "-01",  CM_NORMAL,              ITM_EXP ))        {return true;} else        //                  anti[L]n e^x</v>
      </c>
    </row>
    <row r="77" spans="1:10">
      <c r="A77" s="6" t="str">
        <f>REPT(" ",Sheet2!$B$3-LEN(Sheet2!B77))&amp;Sheet2!B77</f>
        <v xml:space="preserve">   79</v>
      </c>
      <c r="B77" s="6" t="str">
        <f>REPT(" ",Sheet2!$C$3-LEN(Sheet2!C77))&amp;Sheet2!C77</f>
        <v xml:space="preserve"> ExitIfNim</v>
      </c>
      <c r="C77" s="5" t="str">
        <f>IF(Sheet2!D77="Std","FALSE","shortcutProfile == USER_"&amp;Sheet2!D77)</f>
        <v>shortcutProfile == USER_R47</v>
      </c>
      <c r="D77" s="6" t="str">
        <f t="shared" si="2"/>
        <v xml:space="preserve">  shortcutProfile == USER_R47</v>
      </c>
      <c r="E77" s="6" t="str">
        <f>REPT(" ",Sheet2!$E$3-LEN(Sheet2!E77))&amp;Sheet2!E77</f>
        <v xml:space="preserve"> CM_NORMAL</v>
      </c>
      <c r="F77" s="6" t="str">
        <f>REPT(" ",Sheet2!$E$3-LEN(Sheet2!F77))&amp;Sheet2!F77</f>
        <v xml:space="preserve">  tam.mode</v>
      </c>
      <c r="G77" s="6" t="str">
        <f>REPT(" ",Sheet2!$G$3-LEN(Sheet2!G77))&amp;Sheet2!G77</f>
        <v xml:space="preserve">             ITM_10x</v>
      </c>
      <c r="H77" s="6" t="str">
        <f>REPT(" ",Sheet2!$H$3-LEN(TEXT(Sheet2!H77,"00")))&amp;""""&amp;TEXT(Sheet2!H77,"00")&amp;""""</f>
        <v xml:space="preserve"> "-01"</v>
      </c>
      <c r="I77" s="6" t="str">
        <f>REPT(" ",Sheet2!$I$3-LEN(Sheet2!I77))&amp;Sheet2!I77</f>
        <v xml:space="preserve">                antil[O]g 10^x</v>
      </c>
      <c r="J77" s="3" t="str">
        <f>IF(Sheet2!B77="","",SUBSTITUTE(SUBSTITUTE(SUBSTITUTE(SUBSTITUTE(SUBSTITUTE(SUBSTITUTE(SUBSTITUTE(SUBSTITUTE($J$1,"61",A77),"CM_NORMAL",E77),"ITM_DRG",G77),"nn = comm",I77),"exitIfNim",B77),"allowCondition",D77),"KK",H77),"9999",F77))</f>
        <v>if(shortCutCommand(w, event_keyval,    79,   shortcutProfile == USER_R47,  ExitIfNim,   tam.mode,  "-01",  CM_NORMAL,              ITM_10x ))        {return true;} else        //                antil[O]g 10^x</v>
      </c>
    </row>
    <row r="78" spans="1:10">
      <c r="A78" s="6" t="str">
        <f>REPT(" ",Sheet2!$B$3-LEN(Sheet2!B78))&amp;Sheet2!B78</f>
        <v xml:space="preserve">   73</v>
      </c>
      <c r="B78" s="6" t="str">
        <f>REPT(" ",Sheet2!$C$3-LEN(Sheet2!C78))&amp;Sheet2!C78</f>
        <v xml:space="preserve"> ExitIfNim</v>
      </c>
      <c r="C78" s="5" t="str">
        <f>IF(Sheet2!D78="Std","FALSE","shortcutProfile == USER_"&amp;Sheet2!D78)</f>
        <v>shortcutProfile == USER_R47</v>
      </c>
      <c r="D78" s="6" t="str">
        <f t="shared" si="2"/>
        <v xml:space="preserve">  shortcutProfile == USER_R47</v>
      </c>
      <c r="E78" s="6" t="str">
        <f>REPT(" ",Sheet2!$E$3-LEN(Sheet2!E78))&amp;Sheet2!E78</f>
        <v xml:space="preserve"> CM_NORMAL</v>
      </c>
      <c r="F78" s="6" t="str">
        <f>REPT(" ",Sheet2!$E$3-LEN(Sheet2!F78))&amp;Sheet2!F78</f>
        <v xml:space="preserve">     FALSE</v>
      </c>
      <c r="G78" s="6" t="str">
        <f>REPT(" ",Sheet2!$G$3-LEN(Sheet2!G78))&amp;Sheet2!G78</f>
        <v xml:space="preserve">           -MNU_DISP</v>
      </c>
      <c r="H78" s="6" t="str">
        <f>REPT(" ",Sheet2!$H$3-LEN(TEXT(Sheet2!H78,"00")))&amp;""""&amp;TEXT(Sheet2!H78,"00")&amp;""""</f>
        <v xml:space="preserve"> "-01"</v>
      </c>
      <c r="I78" s="6" t="str">
        <f>REPT(" ",Sheet2!$I$3-LEN(Sheet2!I78))&amp;Sheet2!I78</f>
        <v xml:space="preserve">                        D[I]SP</v>
      </c>
      <c r="J78" s="3" t="str">
        <f>IF(Sheet2!B78="","",SUBSTITUTE(SUBSTITUTE(SUBSTITUTE(SUBSTITUTE(SUBSTITUTE(SUBSTITUTE(SUBSTITUTE(SUBSTITUTE($J$1,"61",A78),"CM_NORMAL",E78),"ITM_DRG",G78),"nn = comm",I78),"exitIfNim",B78),"allowCondition",D78),"KK",H78),"9999",F78))</f>
        <v>if(shortCutCommand(w, event_keyval,    73,   shortcutProfile == USER_R47,  ExitIfNim,      FALSE,  "-01",  CM_NORMAL,            -MNU_DISP ))        {return true;} else        //                        D[I]SP</v>
      </c>
    </row>
    <row r="79" spans="1:10">
      <c r="A79" s="6" t="str">
        <f>REPT(" ",Sheet2!$B$3-LEN(Sheet2!B79))&amp;Sheet2!B79</f>
        <v xml:space="preserve">   74</v>
      </c>
      <c r="B79" s="6" t="str">
        <f>REPT(" ",Sheet2!$C$3-LEN(Sheet2!C79))&amp;Sheet2!C79</f>
        <v xml:space="preserve"> ExitIfNim</v>
      </c>
      <c r="C79" s="5" t="str">
        <f>IF(Sheet2!D79="Std","FALSE","shortcutProfile == USER_"&amp;Sheet2!D79)</f>
        <v>shortcutProfile == USER_R47</v>
      </c>
      <c r="D79" s="6" t="str">
        <f t="shared" si="2"/>
        <v xml:space="preserve">  shortcutProfile == USER_R47</v>
      </c>
      <c r="E79" s="6" t="str">
        <f>REPT(" ",Sheet2!$E$3-LEN(Sheet2!E79))&amp;Sheet2!E79</f>
        <v xml:space="preserve"> CM_NORMAL</v>
      </c>
      <c r="F79" s="6" t="str">
        <f>REPT(" ",Sheet2!$E$3-LEN(Sheet2!F79))&amp;Sheet2!F79</f>
        <v xml:space="preserve">     FALSE</v>
      </c>
      <c r="G79" s="6" t="str">
        <f>REPT(" ",Sheet2!$G$3-LEN(Sheet2!G79))&amp;Sheet2!G79</f>
        <v xml:space="preserve">            -MNU_EXP</v>
      </c>
      <c r="H79" s="6" t="str">
        <f>REPT(" ",Sheet2!$H$3-LEN(TEXT(Sheet2!H79,"00")))&amp;""""&amp;TEXT(Sheet2!H79,"00")&amp;""""</f>
        <v xml:space="preserve"> "-01"</v>
      </c>
      <c r="I79" s="6" t="str">
        <f>REPT(" ",Sheet2!$I$3-LEN(Sheet2!I79))&amp;Sheet2!I79</f>
        <v xml:space="preserve">                           EXP</v>
      </c>
      <c r="J79" s="3" t="str">
        <f>IF(Sheet2!B79="","",SUBSTITUTE(SUBSTITUTE(SUBSTITUTE(SUBSTITUTE(SUBSTITUTE(SUBSTITUTE(SUBSTITUTE(SUBSTITUTE($J$1,"61",A79),"CM_NORMAL",E79),"ITM_DRG",G79),"nn = comm",I79),"exitIfNim",B79),"allowCondition",D79),"KK",H79),"9999",F79))</f>
        <v>if(shortCutCommand(w, event_keyval,    74,   shortcutProfile == USER_R47,  ExitIfNim,      FALSE,  "-01",  CM_NORMAL,             -MNU_EXP ))        {return true;} else        //                           EXP</v>
      </c>
    </row>
    <row r="80" spans="1:10">
      <c r="A80" s="6" t="str">
        <f>REPT(" ",Sheet2!$B$3-LEN(Sheet2!B80))&amp;Sheet2!B80</f>
        <v xml:space="preserve">   75</v>
      </c>
      <c r="B80" s="6" t="str">
        <f>REPT(" ",Sheet2!$C$3-LEN(Sheet2!C80))&amp;Sheet2!C80</f>
        <v xml:space="preserve"> ExitIfNim</v>
      </c>
      <c r="C80" s="5" t="str">
        <f>IF(Sheet2!D80="Std","FALSE","shortcutProfile == USER_"&amp;Sheet2!D80)</f>
        <v>shortcutProfile == USER_R47</v>
      </c>
      <c r="D80" s="6" t="str">
        <f t="shared" si="2"/>
        <v xml:space="preserve">  shortcutProfile == USER_R47</v>
      </c>
      <c r="E80" s="6" t="str">
        <f>REPT(" ",Sheet2!$E$3-LEN(Sheet2!E80))&amp;Sheet2!E80</f>
        <v xml:space="preserve"> CM_NORMAL</v>
      </c>
      <c r="F80" s="6" t="str">
        <f>REPT(" ",Sheet2!$E$3-LEN(Sheet2!F80))&amp;Sheet2!F80</f>
        <v xml:space="preserve">     FALSE</v>
      </c>
      <c r="G80" s="6" t="str">
        <f>REPT(" ",Sheet2!$G$3-LEN(Sheet2!G80))&amp;Sheet2!G80</f>
        <v xml:space="preserve">            -MNU_STK</v>
      </c>
      <c r="H80" s="6" t="str">
        <f>REPT(" ",Sheet2!$H$3-LEN(TEXT(Sheet2!H80,"00")))&amp;""""&amp;TEXT(Sheet2!H80,"00")&amp;""""</f>
        <v xml:space="preserve"> "-01"</v>
      </c>
      <c r="I80" s="6" t="str">
        <f>REPT(" ",Sheet2!$I$3-LEN(Sheet2!I80))&amp;Sheet2!I80</f>
        <v xml:space="preserve">                         ST[K]</v>
      </c>
      <c r="J80" s="3" t="str">
        <f>IF(Sheet2!B80="","",SUBSTITUTE(SUBSTITUTE(SUBSTITUTE(SUBSTITUTE(SUBSTITUTE(SUBSTITUTE(SUBSTITUTE(SUBSTITUTE($J$1,"61",A80),"CM_NORMAL",E80),"ITM_DRG",G80),"nn = comm",I80),"exitIfNim",B80),"allowCondition",D80),"KK",H80),"9999",F80))</f>
        <v>if(shortCutCommand(w, event_keyval,    75,   shortcutProfile == USER_R47,  ExitIfNim,      FALSE,  "-01",  CM_NORMAL,             -MNU_STK ))        {return true;} else        //                         ST[K]</v>
      </c>
    </row>
    <row r="81" spans="1:10">
      <c r="A81" s="6" t="str">
        <f>REPT(" ",Sheet2!$B$3-LEN(Sheet2!B81))&amp;Sheet2!B81</f>
        <v xml:space="preserve">   77</v>
      </c>
      <c r="B81" s="6" t="str">
        <f>REPT(" ",Sheet2!$C$3-LEN(Sheet2!C81))&amp;Sheet2!C81</f>
        <v xml:space="preserve"> ExitIfNim</v>
      </c>
      <c r="C81" s="5" t="str">
        <f>IF(Sheet2!D81="Std","FALSE","shortcutProfile == USER_"&amp;Sheet2!D81)</f>
        <v>shortcutProfile == USER_R47</v>
      </c>
      <c r="D81" s="6" t="str">
        <f t="shared" si="2"/>
        <v xml:space="preserve">  shortcutProfile == USER_R47</v>
      </c>
      <c r="E81" s="6" t="str">
        <f>REPT(" ",Sheet2!$E$3-LEN(Sheet2!E81))&amp;Sheet2!E81</f>
        <v xml:space="preserve"> CM_NORMAL</v>
      </c>
      <c r="F81" s="6" t="str">
        <f>REPT(" ",Sheet2!$E$3-LEN(Sheet2!F81))&amp;Sheet2!F81</f>
        <v xml:space="preserve">     FALSE</v>
      </c>
      <c r="G81" s="6" t="str">
        <f>REPT(" ",Sheet2!$G$3-LEN(Sheet2!G81))&amp;Sheet2!G81</f>
        <v xml:space="preserve">           -MNU_PREF</v>
      </c>
      <c r="H81" s="6" t="str">
        <f>REPT(" ",Sheet2!$H$3-LEN(TEXT(Sheet2!H81,"00")))&amp;""""&amp;TEXT(Sheet2!H81,"00")&amp;""""</f>
        <v xml:space="preserve"> "-01"</v>
      </c>
      <c r="I81" s="6" t="str">
        <f>REPT(" ",Sheet2!$I$3-LEN(Sheet2!I81))&amp;Sheet2!I81</f>
        <v xml:space="preserve">                      PREF [M]</v>
      </c>
      <c r="J81" s="3" t="str">
        <f>IF(Sheet2!B81="","",SUBSTITUTE(SUBSTITUTE(SUBSTITUTE(SUBSTITUTE(SUBSTITUTE(SUBSTITUTE(SUBSTITUTE(SUBSTITUTE($J$1,"61",A81),"CM_NORMAL",E81),"ITM_DRG",G81),"nn = comm",I81),"exitIfNim",B81),"allowCondition",D81),"KK",H81),"9999",F81))</f>
        <v>if(shortCutCommand(w, event_keyval,    77,   shortcutProfile == USER_R47,  ExitIfNim,      FALSE,  "-01",  CM_NORMAL,            -MNU_PREF ))        {return true;} else        //                      PREF [M]</v>
      </c>
    </row>
    <row r="82" spans="1:10">
      <c r="A82" s="6" t="str">
        <f>REPT(" ",Sheet2!$B$3-LEN(Sheet2!B82))&amp;Sheet2!B82</f>
        <v xml:space="preserve">  115</v>
      </c>
      <c r="B82" s="6" t="str">
        <f>REPT(" ",Sheet2!$C$3-LEN(Sheet2!C82))&amp;Sheet2!C82</f>
        <v xml:space="preserve"> ExitIfNim</v>
      </c>
      <c r="C82" s="5" t="str">
        <f>IF(Sheet2!D82="Std","FALSE","shortcutProfile == USER_"&amp;Sheet2!D82)</f>
        <v>shortcutProfile == USER_R47</v>
      </c>
      <c r="D82" s="6" t="str">
        <f t="shared" si="2"/>
        <v xml:space="preserve">  shortcutProfile == USER_R47</v>
      </c>
      <c r="E82" s="6" t="str">
        <f>REPT(" ",Sheet2!$E$3-LEN(Sheet2!E82))&amp;Sheet2!E82</f>
        <v xml:space="preserve"> CM_NORMAL</v>
      </c>
      <c r="F82" s="6" t="str">
        <f>REPT(" ",Sheet2!$E$3-LEN(Sheet2!F82))&amp;Sheet2!F82</f>
        <v xml:space="preserve">  tam.mode</v>
      </c>
      <c r="G82" s="6" t="str">
        <f>REPT(" ",Sheet2!$G$3-LEN(Sheet2!G82))&amp;Sheet2!G82</f>
        <v xml:space="preserve">             ITM_sin</v>
      </c>
      <c r="H82" s="6" t="str">
        <f>REPT(" ",Sheet2!$H$3-LEN(TEXT(Sheet2!H82,"00")))&amp;""""&amp;TEXT(Sheet2!H82,"00")&amp;""""</f>
        <v xml:space="preserve"> "-01"</v>
      </c>
      <c r="I82" s="6" t="str">
        <f>REPT(" ",Sheet2!$I$3-LEN(Sheet2!I82))&amp;Sheet2!I82</f>
        <v xml:space="preserve">                        [s]ine</v>
      </c>
      <c r="J82" s="3" t="str">
        <f>IF(Sheet2!B82="","",SUBSTITUTE(SUBSTITUTE(SUBSTITUTE(SUBSTITUTE(SUBSTITUTE(SUBSTITUTE(SUBSTITUTE(SUBSTITUTE($J$1,"61",A82),"CM_NORMAL",E82),"ITM_DRG",G82),"nn = comm",I82),"exitIfNim",B82),"allowCondition",D82),"KK",H82),"9999",F82))</f>
        <v>if(shortCutCommand(w, event_keyval,   115,   shortcutProfile == USER_R47,  ExitIfNim,   tam.mode,  "-01",  CM_NORMAL,              ITM_sin ))        {return true;} else        //                        [s]ine</v>
      </c>
    </row>
    <row r="83" spans="1:10">
      <c r="A83" s="6" t="str">
        <f>REPT(" ",Sheet2!$B$3-LEN(Sheet2!B83))&amp;Sheet2!B83</f>
        <v xml:space="preserve">   99</v>
      </c>
      <c r="B83" s="6" t="str">
        <f>REPT(" ",Sheet2!$C$3-LEN(Sheet2!C83))&amp;Sheet2!C83</f>
        <v xml:space="preserve"> ExitIfNim</v>
      </c>
      <c r="C83" s="5" t="str">
        <f>IF(Sheet2!D83="Std","FALSE","shortcutProfile == USER_"&amp;Sheet2!D83)</f>
        <v>shortcutProfile == USER_R47</v>
      </c>
      <c r="D83" s="6" t="str">
        <f t="shared" si="2"/>
        <v xml:space="preserve">  shortcutProfile == USER_R47</v>
      </c>
      <c r="E83" s="6" t="str">
        <f>REPT(" ",Sheet2!$E$3-LEN(Sheet2!E83))&amp;Sheet2!E83</f>
        <v xml:space="preserve"> CM_NORMAL</v>
      </c>
      <c r="F83" s="6" t="str">
        <f>REPT(" ",Sheet2!$E$3-LEN(Sheet2!F83))&amp;Sheet2!F83</f>
        <v xml:space="preserve">  tam.mode</v>
      </c>
      <c r="G83" s="6" t="str">
        <f>REPT(" ",Sheet2!$G$3-LEN(Sheet2!G83))&amp;Sheet2!G83</f>
        <v xml:space="preserve">             ITM_cos</v>
      </c>
      <c r="H83" s="6" t="str">
        <f>REPT(" ",Sheet2!$H$3-LEN(TEXT(Sheet2!H83,"00")))&amp;""""&amp;TEXT(Sheet2!H83,"00")&amp;""""</f>
        <v xml:space="preserve"> "-01"</v>
      </c>
      <c r="I83" s="6" t="str">
        <f>REPT(" ",Sheet2!$I$3-LEN(Sheet2!I83))&amp;Sheet2!I83</f>
        <v xml:space="preserve">                      [c]osine</v>
      </c>
      <c r="J83" s="3" t="str">
        <f>IF(Sheet2!B83="","",SUBSTITUTE(SUBSTITUTE(SUBSTITUTE(SUBSTITUTE(SUBSTITUTE(SUBSTITUTE(SUBSTITUTE(SUBSTITUTE($J$1,"61",A83),"CM_NORMAL",E83),"ITM_DRG",G83),"nn = comm",I83),"exitIfNim",B83),"allowCondition",D83),"KK",H83),"9999",F83))</f>
        <v>if(shortCutCommand(w, event_keyval,    99,   shortcutProfile == USER_R47,  ExitIfNim,   tam.mode,  "-01",  CM_NORMAL,              ITM_cos ))        {return true;} else        //                      [c]osine</v>
      </c>
    </row>
    <row r="84" spans="1:10">
      <c r="A84" s="6" t="str">
        <f>REPT(" ",Sheet2!$B$3-LEN(Sheet2!B84))&amp;Sheet2!B84</f>
        <v xml:space="preserve">  116</v>
      </c>
      <c r="B84" s="6" t="str">
        <f>REPT(" ",Sheet2!$C$3-LEN(Sheet2!C84))&amp;Sheet2!C84</f>
        <v xml:space="preserve"> ExitIfNim</v>
      </c>
      <c r="C84" s="5" t="str">
        <f>IF(Sheet2!D84="Std","FALSE","shortcutProfile == USER_"&amp;Sheet2!D84)</f>
        <v>shortcutProfile == USER_R47</v>
      </c>
      <c r="D84" s="6" t="str">
        <f t="shared" si="2"/>
        <v xml:space="preserve">  shortcutProfile == USER_R47</v>
      </c>
      <c r="E84" s="6" t="str">
        <f>REPT(" ",Sheet2!$E$3-LEN(Sheet2!E84))&amp;Sheet2!E84</f>
        <v xml:space="preserve"> CM_NORMAL</v>
      </c>
      <c r="F84" s="6" t="str">
        <f>REPT(" ",Sheet2!$E$3-LEN(Sheet2!F84))&amp;Sheet2!F84</f>
        <v xml:space="preserve">  tam.mode</v>
      </c>
      <c r="G84" s="6" t="str">
        <f>REPT(" ",Sheet2!$G$3-LEN(Sheet2!G84))&amp;Sheet2!G84</f>
        <v xml:space="preserve">             ITM_tan</v>
      </c>
      <c r="H84" s="6" t="str">
        <f>REPT(" ",Sheet2!$H$3-LEN(TEXT(Sheet2!H84,"00")))&amp;""""&amp;TEXT(Sheet2!H84,"00")&amp;""""</f>
        <v xml:space="preserve"> "-01"</v>
      </c>
      <c r="I84" s="6" t="str">
        <f>REPT(" ",Sheet2!$I$3-LEN(Sheet2!I84))&amp;Sheet2!I84</f>
        <v xml:space="preserve">                     [t]angent</v>
      </c>
      <c r="J84" s="3" t="str">
        <f>IF(Sheet2!B84="","",SUBSTITUTE(SUBSTITUTE(SUBSTITUTE(SUBSTITUTE(SUBSTITUTE(SUBSTITUTE(SUBSTITUTE(SUBSTITUTE($J$1,"61",A84),"CM_NORMAL",E84),"ITM_DRG",G84),"nn = comm",I84),"exitIfNim",B84),"allowCondition",D84),"KK",H84),"9999",F84))</f>
        <v>if(shortCutCommand(w, event_keyval,   116,   shortcutProfile == USER_R47,  ExitIfNim,   tam.mode,  "-01",  CM_NORMAL,              ITM_tan ))        {return true;} else        //                     [t]angent</v>
      </c>
    </row>
    <row r="85" spans="1:10">
      <c r="A85" s="6" t="str">
        <f>REPT(" ",Sheet2!$B$3-LEN(Sheet2!B85))&amp;Sheet2!B85</f>
        <v xml:space="preserve">   68</v>
      </c>
      <c r="B85" s="6" t="str">
        <f>REPT(" ",Sheet2!$C$3-LEN(Sheet2!C85))&amp;Sheet2!C85</f>
        <v xml:space="preserve"> ExitIfNim</v>
      </c>
      <c r="C85" s="5" t="str">
        <f>IF(Sheet2!D85="Std","FALSE","shortcutProfile == USER_"&amp;Sheet2!D85)</f>
        <v>shortcutProfile == USER_R47</v>
      </c>
      <c r="D85" s="6" t="str">
        <f t="shared" si="2"/>
        <v xml:space="preserve">  shortcutProfile == USER_R47</v>
      </c>
      <c r="E85" s="6" t="str">
        <f>REPT(" ",Sheet2!$E$3-LEN(Sheet2!E85))&amp;Sheet2!E85</f>
        <v xml:space="preserve"> CM_NORMAL</v>
      </c>
      <c r="F85" s="6" t="str">
        <f>REPT(" ",Sheet2!$E$3-LEN(Sheet2!F85))&amp;Sheet2!F85</f>
        <v xml:space="preserve">  tam.mode</v>
      </c>
      <c r="G85" s="6" t="str">
        <f>REPT(" ",Sheet2!$G$3-LEN(Sheet2!G85))&amp;Sheet2!G85</f>
        <v xml:space="preserve">             ITM_Rup</v>
      </c>
      <c r="H85" s="6" t="str">
        <f>REPT(" ",Sheet2!$H$3-LEN(TEXT(Sheet2!H85,"00")))&amp;""""&amp;TEXT(Sheet2!H85,"00")&amp;""""</f>
        <v xml:space="preserve"> "-01"</v>
      </c>
      <c r="I85" s="6" t="str">
        <f>REPT(" ",Sheet2!$I$3-LEN(Sheet2!I85))&amp;Sheet2!I85</f>
        <v xml:space="preserve">                        Up [D]</v>
      </c>
      <c r="J85" s="3" t="str">
        <f>IF(Sheet2!B85="","",SUBSTITUTE(SUBSTITUTE(SUBSTITUTE(SUBSTITUTE(SUBSTITUTE(SUBSTITUTE(SUBSTITUTE(SUBSTITUTE($J$1,"61",A85),"CM_NORMAL",E85),"ITM_DRG",G85),"nn = comm",I85),"exitIfNim",B85),"allowCondition",D85),"KK",H85),"9999",F85))</f>
        <v>if(shortCutCommand(w, event_keyval,    68,   shortcutProfile == USER_R47,  ExitIfNim,   tam.mode,  "-01",  CM_NORMAL,              ITM_Rup ))        {return true;} else        //                        Up [D]</v>
      </c>
    </row>
    <row r="86" spans="1:10">
      <c r="A86" s="6" t="str">
        <f>REPT(" ",Sheet2!$B$3-LEN(Sheet2!B86))&amp;Sheet2!B86</f>
        <v xml:space="preserve">   70</v>
      </c>
      <c r="B86" s="6" t="str">
        <f>REPT(" ",Sheet2!$C$3-LEN(Sheet2!C86))&amp;Sheet2!C86</f>
        <v xml:space="preserve"> ExitIfNim</v>
      </c>
      <c r="C86" s="5" t="str">
        <f>IF(Sheet2!D86="Std","FALSE","shortcutProfile == USER_"&amp;Sheet2!D86)</f>
        <v>shortcutProfile == USER_R47</v>
      </c>
      <c r="D86" s="6" t="str">
        <f t="shared" si="2"/>
        <v xml:space="preserve">  shortcutProfile == USER_R47</v>
      </c>
      <c r="E86" s="6" t="str">
        <f>REPT(" ",Sheet2!$E$3-LEN(Sheet2!E86))&amp;Sheet2!E86</f>
        <v xml:space="preserve"> CM_NORMAL</v>
      </c>
      <c r="F86" s="6" t="str">
        <f>REPT(" ",Sheet2!$E$3-LEN(Sheet2!F86))&amp;Sheet2!F86</f>
        <v xml:space="preserve">     FALSE</v>
      </c>
      <c r="G86" s="6" t="str">
        <f>REPT(" ",Sheet2!$G$3-LEN(Sheet2!G86))&amp;Sheet2!G86</f>
        <v xml:space="preserve">         -MNU_PREFIX</v>
      </c>
      <c r="H86" s="6" t="str">
        <f>REPT(" ",Sheet2!$H$3-LEN(TEXT(Sheet2!H86,"00")))&amp;""""&amp;TEXT(Sheet2!H86,"00")&amp;""""</f>
        <v xml:space="preserve"> "-01"</v>
      </c>
      <c r="I86" s="6" t="str">
        <f>REPT(" ",Sheet2!$I$3-LEN(Sheet2!I86))&amp;Sheet2!I86</f>
        <v xml:space="preserve">                      PRE[F]IX</v>
      </c>
      <c r="J86" s="3" t="str">
        <f>IF(Sheet2!B86="","",SUBSTITUTE(SUBSTITUTE(SUBSTITUTE(SUBSTITUTE(SUBSTITUTE(SUBSTITUTE(SUBSTITUTE(SUBSTITUTE($J$1,"61",A86),"CM_NORMAL",E86),"ITM_DRG",G86),"nn = comm",I86),"exitIfNim",B86),"allowCondition",D86),"KK",H86),"9999",F86))</f>
        <v>if(shortCutCommand(w, event_keyval,    70,   shortcutProfile == USER_R47,  ExitIfNim,      FALSE,  "-01",  CM_NORMAL,          -MNU_PREFIX ))        {return true;} else        //                      PRE[F]IX</v>
      </c>
    </row>
    <row r="87" spans="1:10">
      <c r="A87" s="6" t="str">
        <f>REPT(" ",Sheet2!$B$3-LEN(Sheet2!B87))&amp;Sheet2!B87</f>
        <v xml:space="preserve">  112</v>
      </c>
      <c r="B87" s="6" t="str">
        <f>REPT(" ",Sheet2!$C$3-LEN(Sheet2!C87))&amp;Sheet2!C87</f>
        <v xml:space="preserve"> ExitIfNim</v>
      </c>
      <c r="C87" s="5" t="str">
        <f>IF(Sheet2!D87="Std","FALSE","shortcutProfile == USER_"&amp;Sheet2!D87)</f>
        <v>shortcutProfile == USER_R47</v>
      </c>
      <c r="D87" s="6" t="str">
        <f t="shared" si="2"/>
        <v xml:space="preserve">  shortcutProfile == USER_R47</v>
      </c>
      <c r="E87" s="6" t="str">
        <f>REPT(" ",Sheet2!$E$3-LEN(Sheet2!E87))&amp;Sheet2!E87</f>
        <v xml:space="preserve"> CM_NORMAL</v>
      </c>
      <c r="F87" s="6" t="str">
        <f>REPT(" ",Sheet2!$E$3-LEN(Sheet2!F87))&amp;Sheet2!F87</f>
        <v xml:space="preserve">  tam.mode</v>
      </c>
      <c r="G87" s="6" t="str">
        <f>REPT(" ",Sheet2!$G$3-LEN(Sheet2!G87))&amp;Sheet2!G87</f>
        <v xml:space="preserve">         ITM_CONSTpi</v>
      </c>
      <c r="H87" s="6" t="str">
        <f>REPT(" ",Sheet2!$H$3-LEN(TEXT(Sheet2!H87,"00")))&amp;""""&amp;TEXT(Sheet2!H87,"00")&amp;""""</f>
        <v xml:space="preserve"> "-01"</v>
      </c>
      <c r="I87" s="6" t="str">
        <f>REPT(" ",Sheet2!$I$3-LEN(Sheet2!I87))&amp;Sheet2!I87</f>
        <v xml:space="preserve">                            pi</v>
      </c>
      <c r="J87" s="3" t="str">
        <f>IF(Sheet2!B87="","",SUBSTITUTE(SUBSTITUTE(SUBSTITUTE(SUBSTITUTE(SUBSTITUTE(SUBSTITUTE(SUBSTITUTE(SUBSTITUTE($J$1,"61",A87),"CM_NORMAL",E87),"ITM_DRG",G87),"nn = comm",I87),"exitIfNim",B87),"allowCondition",D87),"KK",H87),"9999",F87))</f>
        <v>if(shortCutCommand(w, event_keyval,   112,   shortcutProfile == USER_R47,  ExitIfNim,   tam.mode,  "-01",  CM_NORMAL,          ITM_CONSTpi ))        {return true;} else        //                            pi</v>
      </c>
    </row>
    <row r="88" spans="1:10">
      <c r="A88" s="6" t="str">
        <f>REPT(" ",Sheet2!$B$3-LEN(Sheet2!B88))&amp;Sheet2!B88</f>
        <v xml:space="preserve">   86</v>
      </c>
      <c r="B88" s="6" t="str">
        <f>REPT(" ",Sheet2!$C$3-LEN(Sheet2!C88))&amp;Sheet2!C88</f>
        <v xml:space="preserve"> ExitIfNim</v>
      </c>
      <c r="C88" s="5" t="str">
        <f>IF(Sheet2!D88="Std","FALSE","shortcutProfile == USER_"&amp;Sheet2!D88)</f>
        <v>shortcutProfile == USER_R47</v>
      </c>
      <c r="D88" s="6" t="str">
        <f t="shared" si="2"/>
        <v xml:space="preserve">  shortcutProfile == USER_R47</v>
      </c>
      <c r="E88" s="6" t="str">
        <f>REPT(" ",Sheet2!$E$3-LEN(Sheet2!E88))&amp;Sheet2!E88</f>
        <v xml:space="preserve"> CM_NORMAL</v>
      </c>
      <c r="F88" s="6" t="str">
        <f>REPT(" ",Sheet2!$E$3-LEN(Sheet2!F88))&amp;Sheet2!F88</f>
        <v xml:space="preserve">  tam.mode</v>
      </c>
      <c r="G88" s="6" t="str">
        <f>REPT(" ",Sheet2!$G$3-LEN(Sheet2!G88))&amp;Sheet2!G88</f>
        <v xml:space="preserve">            ITM_1ONX</v>
      </c>
      <c r="H88" s="6" t="str">
        <f>REPT(" ",Sheet2!$H$3-LEN(TEXT(Sheet2!H88,"00")))&amp;""""&amp;TEXT(Sheet2!H88,"00")&amp;""""</f>
        <v xml:space="preserve"> "-01"</v>
      </c>
      <c r="I88" s="6" t="str">
        <f>REPT(" ",Sheet2!$I$3-LEN(Sheet2!I88))&amp;Sheet2!I88</f>
        <v xml:space="preserve">                     in[v]erse</v>
      </c>
      <c r="J88" s="3" t="str">
        <f>IF(Sheet2!B88="","",SUBSTITUTE(SUBSTITUTE(SUBSTITUTE(SUBSTITUTE(SUBSTITUTE(SUBSTITUTE(SUBSTITUTE(SUBSTITUTE($J$1,"61",A88),"CM_NORMAL",E88),"ITM_DRG",G88),"nn = comm",I88),"exitIfNim",B88),"allowCondition",D88),"KK",H88),"9999",F88))</f>
        <v>if(shortCutCommand(w, event_keyval,    86,   shortcutProfile == USER_R47,  ExitIfNim,   tam.mode,  "-01",  CM_NORMAL,             ITM_1ONX ))        {return true;} else        //                     in[v]erse</v>
      </c>
    </row>
    <row r="89" spans="1:10">
      <c r="A89" s="6" t="str">
        <f>REPT(" ",Sheet2!$B$3-LEN(Sheet2!B89))&amp;Sheet2!B89</f>
        <v xml:space="preserve">   37</v>
      </c>
      <c r="B89" s="6" t="str">
        <f>REPT(" ",Sheet2!$C$3-LEN(Sheet2!C89))&amp;Sheet2!C89</f>
        <v xml:space="preserve"> ExitIfNim</v>
      </c>
      <c r="C89" s="5" t="str">
        <f>IF(Sheet2!D89="Std","FALSE","shortcutProfile == USER_"&amp;Sheet2!D89)</f>
        <v>shortcutProfile == USER_R47</v>
      </c>
      <c r="D89" s="6" t="str">
        <f t="shared" si="2"/>
        <v xml:space="preserve">  shortcutProfile == USER_R47</v>
      </c>
      <c r="E89" s="6" t="str">
        <f>REPT(" ",Sheet2!$E$3-LEN(Sheet2!E89))&amp;Sheet2!E89</f>
        <v xml:space="preserve"> CM_NORMAL</v>
      </c>
      <c r="F89" s="6" t="str">
        <f>REPT(" ",Sheet2!$E$3-LEN(Sheet2!F89))&amp;Sheet2!F89</f>
        <v xml:space="preserve">  tam.mode</v>
      </c>
      <c r="G89" s="6" t="str">
        <f>REPT(" ",Sheet2!$G$3-LEN(Sheet2!G89))&amp;Sheet2!G89</f>
        <v xml:space="preserve">              ITM_PC</v>
      </c>
      <c r="H89" s="6" t="str">
        <f>REPT(" ",Sheet2!$H$3-LEN(TEXT(Sheet2!H89,"00")))&amp;""""&amp;TEXT(Sheet2!H89,"00")&amp;""""</f>
        <v xml:space="preserve"> "-01"</v>
      </c>
      <c r="I89" s="6" t="str">
        <f>REPT(" ",Sheet2!$I$3-LEN(Sheet2!I89))&amp;Sheet2!I89</f>
        <v xml:space="preserve">                           [%]</v>
      </c>
      <c r="J89" s="3" t="str">
        <f>IF(Sheet2!B89="","",SUBSTITUTE(SUBSTITUTE(SUBSTITUTE(SUBSTITUTE(SUBSTITUTE(SUBSTITUTE(SUBSTITUTE(SUBSTITUTE($J$1,"61",A89),"CM_NORMAL",E89),"ITM_DRG",G89),"nn = comm",I89),"exitIfNim",B89),"allowCondition",D89),"KK",H89),"9999",F89))</f>
        <v>if(shortCutCommand(w, event_keyval,    37,   shortcutProfile == USER_R47,  ExitIfNim,   tam.mode,  "-01",  CM_NORMAL,               ITM_PC ))        {return true;} else        //                           [%]</v>
      </c>
    </row>
    <row r="90" spans="1:10">
      <c r="A90" s="6" t="str">
        <f>REPT(" ",Sheet2!$B$3-LEN(Sheet2!B90))&amp;Sheet2!B90</f>
        <v xml:space="preserve">   33</v>
      </c>
      <c r="B90" s="6" t="str">
        <f>REPT(" ",Sheet2!$C$3-LEN(Sheet2!C90))&amp;Sheet2!C90</f>
        <v xml:space="preserve"> ExitIfNim</v>
      </c>
      <c r="C90" s="5" t="str">
        <f>IF(Sheet2!D90="Std","FALSE","shortcutProfile == USER_"&amp;Sheet2!D90)</f>
        <v>shortcutProfile == USER_R47</v>
      </c>
      <c r="D90" s="6" t="str">
        <f t="shared" si="2"/>
        <v xml:space="preserve">  shortcutProfile == USER_R47</v>
      </c>
      <c r="E90" s="6" t="str">
        <f>REPT(" ",Sheet2!$E$3-LEN(Sheet2!E90))&amp;Sheet2!E90</f>
        <v xml:space="preserve"> CM_NORMAL</v>
      </c>
      <c r="F90" s="6" t="str">
        <f>REPT(" ",Sheet2!$E$3-LEN(Sheet2!F90))&amp;Sheet2!F90</f>
        <v xml:space="preserve">  tam.mode</v>
      </c>
      <c r="G90" s="6" t="str">
        <f>REPT(" ",Sheet2!$G$3-LEN(Sheet2!G90))&amp;Sheet2!G90</f>
        <v xml:space="preserve">           ITM_XFACT</v>
      </c>
      <c r="H90" s="6" t="str">
        <f>REPT(" ",Sheet2!$H$3-LEN(TEXT(Sheet2!H90,"00")))&amp;""""&amp;TEXT(Sheet2!H90,"00")&amp;""""</f>
        <v xml:space="preserve"> "-01"</v>
      </c>
      <c r="I90" s="6" t="str">
        <f>REPT(" ",Sheet2!$I$3-LEN(Sheet2!I90))&amp;Sheet2!I90</f>
        <v xml:space="preserve">                          x[!]</v>
      </c>
      <c r="J90" s="3" t="str">
        <f>IF(Sheet2!B90="","",SUBSTITUTE(SUBSTITUTE(SUBSTITUTE(SUBSTITUTE(SUBSTITUTE(SUBSTITUTE(SUBSTITUTE(SUBSTITUTE($J$1,"61",A90),"CM_NORMAL",E90),"ITM_DRG",G90),"nn = comm",I90),"exitIfNim",B90),"allowCondition",D90),"KK",H90),"9999",F90))</f>
        <v>if(shortCutCommand(w, event_keyval,    33,   shortcutProfile == USER_R47,  ExitIfNim,   tam.mode,  "-01",  CM_NORMAL,            ITM_XFACT ))        {return true;} else        //                          x[!]</v>
      </c>
    </row>
    <row r="91" spans="1:10">
      <c r="A91" s="6" t="str">
        <f>REPT(" ",Sheet2!$B$3-LEN(Sheet2!B91))&amp;Sheet2!B91</f>
        <v xml:space="preserve">   85</v>
      </c>
      <c r="B91" s="6" t="str">
        <f>REPT(" ",Sheet2!$C$3-LEN(Sheet2!C91))&amp;Sheet2!C91</f>
        <v xml:space="preserve"> ExitIfNim</v>
      </c>
      <c r="C91" s="5" t="str">
        <f>IF(Sheet2!D91="Std","FALSE","shortcutProfile == USER_"&amp;Sheet2!D91)</f>
        <v>shortcutProfile == USER_R47</v>
      </c>
      <c r="D91" s="6" t="str">
        <f t="shared" ref="D91:D95" si="3">REPT( " ",$C$4-LEN(C91) ) &amp;C91</f>
        <v xml:space="preserve">  shortcutProfile == USER_R47</v>
      </c>
      <c r="E91" s="6" t="str">
        <f>REPT(" ",Sheet2!$E$3-LEN(Sheet2!E91))&amp;Sheet2!E91</f>
        <v xml:space="preserve"> CM_NORMAL</v>
      </c>
      <c r="F91" s="6" t="str">
        <f>REPT(" ",Sheet2!$E$3-LEN(Sheet2!F91))&amp;Sheet2!F91</f>
        <v xml:space="preserve">     FALSE</v>
      </c>
      <c r="G91" s="6" t="str">
        <f>REPT(" ",Sheet2!$G$3-LEN(Sheet2!G91))&amp;Sheet2!G91</f>
        <v xml:space="preserve">        ITM_USERMODE</v>
      </c>
      <c r="H91" s="6" t="str">
        <f>REPT(" ",Sheet2!$H$3-LEN(TEXT(Sheet2!H91,"00")))&amp;""""&amp;TEXT(Sheet2!H91,"00")&amp;""""</f>
        <v xml:space="preserve"> "-01"</v>
      </c>
      <c r="I91" s="6" t="str">
        <f>REPT(" ",Sheet2!$I$3-LEN(Sheet2!I91))&amp;Sheet2!I91</f>
        <v xml:space="preserve">                        [U]SER</v>
      </c>
      <c r="J91" s="3" t="str">
        <f>IF(Sheet2!B91="","",SUBSTITUTE(SUBSTITUTE(SUBSTITUTE(SUBSTITUTE(SUBSTITUTE(SUBSTITUTE(SUBSTITUTE(SUBSTITUTE($J$1,"61",A91),"CM_NORMAL",E91),"ITM_DRG",G91),"nn = comm",I91),"exitIfNim",B91),"allowCondition",D91),"KK",H91),"9999",F91))</f>
        <v>if(shortCutCommand(w, event_keyval,    85,   shortcutProfile == USER_R47,  ExitIfNim,      FALSE,  "-01",  CM_NORMAL,         ITM_USERMODE ))        {return true;} else        //                        [U]SER</v>
      </c>
    </row>
    <row r="92" spans="1:10">
      <c r="A92" s="6" t="str">
        <f>REPT(" ",Sheet2!$B$3-LEN(Sheet2!B92))&amp;Sheet2!B92</f>
        <v xml:space="preserve">   39</v>
      </c>
      <c r="B92" s="6" t="str">
        <f>REPT(" ",Sheet2!$C$3-LEN(Sheet2!C92))&amp;Sheet2!C92</f>
        <v xml:space="preserve"> ExitIfNim</v>
      </c>
      <c r="C92" s="5" t="str">
        <f>IF(Sheet2!D92="Std","FALSE","shortcutProfile == USER_"&amp;Sheet2!D92)</f>
        <v>shortcutProfile == USER_R47</v>
      </c>
      <c r="D92" s="6" t="str">
        <f t="shared" si="3"/>
        <v xml:space="preserve">  shortcutProfile == USER_R47</v>
      </c>
      <c r="E92" s="6" t="str">
        <f>REPT(" ",Sheet2!$E$3-LEN(Sheet2!E92))&amp;Sheet2!E92</f>
        <v xml:space="preserve"> CM_NORMAL</v>
      </c>
      <c r="F92" s="6" t="str">
        <f>REPT(" ",Sheet2!$E$3-LEN(Sheet2!F92))&amp;Sheet2!F92</f>
        <v xml:space="preserve">  tam.mode</v>
      </c>
      <c r="G92" s="6" t="str">
        <f>REPT(" ",Sheet2!$G$3-LEN(Sheet2!G92))&amp;Sheet2!G92</f>
        <v xml:space="preserve">             ITM_AIM</v>
      </c>
      <c r="H92" s="6" t="str">
        <f>REPT(" ",Sheet2!$H$3-LEN(TEXT(Sheet2!H92,"00")))&amp;""""&amp;TEXT(Sheet2!H92,"00")&amp;""""</f>
        <v xml:space="preserve"> "-01"</v>
      </c>
      <c r="I92" s="6" t="str">
        <f>REPT(" ",Sheet2!$I$3-LEN(Sheet2!I92))&amp;Sheet2!I92</f>
        <v xml:space="preserve">                     alpha [']</v>
      </c>
      <c r="J92" s="3" t="str">
        <f>IF(Sheet2!B92="","",SUBSTITUTE(SUBSTITUTE(SUBSTITUTE(SUBSTITUTE(SUBSTITUTE(SUBSTITUTE(SUBSTITUTE(SUBSTITUTE($J$1,"61",A92),"CM_NORMAL",E92),"ITM_DRG",G92),"nn = comm",I92),"exitIfNim",B92),"allowCondition",D92),"KK",H92),"9999",F92))</f>
        <v>if(shortCutCommand(w, event_keyval,    39,   shortcutProfile == USER_R47,  ExitIfNim,   tam.mode,  "-01",  CM_NORMAL,              ITM_AIM ))        {return true;} else        //                     alpha [']</v>
      </c>
    </row>
    <row r="93" spans="1:10">
      <c r="A93" s="6" t="str">
        <f>REPT(" ",Sheet2!$B$3-LEN(Sheet2!B93))&amp;Sheet2!B93</f>
        <v xml:space="preserve">   71</v>
      </c>
      <c r="B93" s="6" t="str">
        <f>REPT(" ",Sheet2!$C$3-LEN(Sheet2!C93))&amp;Sheet2!C93</f>
        <v xml:space="preserve"> ExitIfNim</v>
      </c>
      <c r="C93" s="5" t="str">
        <f>IF(Sheet2!D93="Std","FALSE","shortcutProfile == USER_"&amp;Sheet2!D93)</f>
        <v>shortcutProfile == USER_R47</v>
      </c>
      <c r="D93" s="6" t="str">
        <f t="shared" si="3"/>
        <v xml:space="preserve">  shortcutProfile == USER_R47</v>
      </c>
      <c r="E93" s="6" t="str">
        <f>REPT(" ",Sheet2!$E$3-LEN(Sheet2!E93))&amp;Sheet2!E93</f>
        <v xml:space="preserve"> CM_NORMAL</v>
      </c>
      <c r="F93" s="6" t="str">
        <f>REPT(" ",Sheet2!$E$3-LEN(Sheet2!F93))&amp;Sheet2!F93</f>
        <v xml:space="preserve">  tam.mode</v>
      </c>
      <c r="G93" s="6" t="str">
        <f>REPT(" ",Sheet2!$G$3-LEN(Sheet2!G93))&amp;Sheet2!G93</f>
        <v xml:space="preserve">             ITM_GTO</v>
      </c>
      <c r="H93" s="6" t="str">
        <f>REPT(" ",Sheet2!$H$3-LEN(TEXT(Sheet2!H93,"00")))&amp;""""&amp;TEXT(Sheet2!H93,"00")&amp;""""</f>
        <v xml:space="preserve"> "-01"</v>
      </c>
      <c r="I93" s="6" t="str">
        <f>REPT(" ",Sheet2!$I$3-LEN(Sheet2!I93))&amp;Sheet2!I93</f>
        <v xml:space="preserve">                         [g]TO</v>
      </c>
      <c r="J93" s="3" t="str">
        <f>IF(Sheet2!B93="","",SUBSTITUTE(SUBSTITUTE(SUBSTITUTE(SUBSTITUTE(SUBSTITUTE(SUBSTITUTE(SUBSTITUTE(SUBSTITUTE($J$1,"61",A93),"CM_NORMAL",E93),"ITM_DRG",G93),"nn = comm",I93),"exitIfNim",B93),"allowCondition",D93),"KK",H93),"9999",F93))</f>
        <v>if(shortCutCommand(w, event_keyval,    71,   shortcutProfile == USER_R47,  ExitIfNim,   tam.mode,  "-01",  CM_NORMAL,              ITM_GTO ))        {return true;} else        //                         [g]TO</v>
      </c>
    </row>
    <row r="94" spans="1:10">
      <c r="A94" s="6" t="str">
        <f>REPT(" ",Sheet2!$B$3-LEN(Sheet2!B94))&amp;Sheet2!B94</f>
        <v xml:space="preserve">   39</v>
      </c>
      <c r="B94" s="6" t="str">
        <f>REPT(" ",Sheet2!$C$3-LEN(Sheet2!C94))&amp;Sheet2!C94</f>
        <v xml:space="preserve"> ExitIfNim</v>
      </c>
      <c r="C94" s="5" t="str">
        <f>IF(Sheet2!D94="Std","FALSE","shortcutProfile == USER_"&amp;Sheet2!D94)</f>
        <v>shortcutProfile == USER_R47</v>
      </c>
      <c r="D94" s="6" t="str">
        <f t="shared" si="3"/>
        <v xml:space="preserve">  shortcutProfile == USER_R47</v>
      </c>
      <c r="E94" s="6" t="str">
        <f>REPT(" ",Sheet2!$E$3-LEN(Sheet2!E94))&amp;Sheet2!E94</f>
        <v xml:space="preserve"> CM_NORMAL</v>
      </c>
      <c r="F94" s="6" t="str">
        <f>REPT(" ",Sheet2!$F$3-LEN(Sheet2!F94))&amp;Sheet2!F94</f>
        <v xml:space="preserve">  tam.mode!=10009</v>
      </c>
      <c r="G94" s="6" t="str">
        <f>REPT(" ",Sheet2!$G$3-LEN(Sheet2!G94))&amp;Sheet2!G94</f>
        <v xml:space="preserve">           ITM_alpha</v>
      </c>
      <c r="H94" s="6" t="str">
        <f>REPT(" ",Sheet2!$H$3-LEN(TEXT(Sheet2!H94,"00")))&amp;""""&amp;TEXT(Sheet2!H94,"00")&amp;""""</f>
        <v xml:space="preserve"> "-01"</v>
      </c>
      <c r="I94" s="6" t="str">
        <f>REPT(" ",Sheet2!$I$3-LEN(Sheet2!I94))&amp;Sheet2!I94</f>
        <v xml:space="preserve">                    during TAM</v>
      </c>
      <c r="J94" s="3" t="str">
        <f>IF(Sheet2!B94="","",SUBSTITUTE(SUBSTITUTE(SUBSTITUTE(SUBSTITUTE(SUBSTITUTE(SUBSTITUTE(SUBSTITUTE(SUBSTITUTE($J$1,"61",A94),"CM_NORMAL",E94),"ITM_DRG",G94),"nn = comm",I94),"exitIfNim",B94),"allowCondition",D94),"KK",H94),"9999",F94))</f>
        <v>if(shortCutCommand(w, event_keyval,    39,   shortcutProfile == USER_R47,  ExitIfNim,   tam.mode!=10009,  "-01",  CM_NORMAL,            ITM_alpha ))        {return true;} else        //                    during TAM</v>
      </c>
    </row>
    <row r="95" spans="1:10">
      <c r="A95" s="6" t="str">
        <f>REPT(" ",Sheet2!$B$3-LEN(Sheet2!B95))&amp;Sheet2!B95</f>
        <v xml:space="preserve">     </v>
      </c>
      <c r="B95" s="6" t="str">
        <f>REPT(" ",Sheet2!$C$3-LEN(Sheet2!C95))&amp;Sheet2!C95</f>
        <v xml:space="preserve">          </v>
      </c>
      <c r="C95" s="5" t="str">
        <f>IF(Sheet2!D95="Std","FALSE","shortcutProfile == USER_"&amp;Sheet2!D95)</f>
        <v>shortcutProfile == USER_</v>
      </c>
      <c r="D95" s="6" t="str">
        <f t="shared" si="3"/>
        <v xml:space="preserve">     shortcutProfile == USER_</v>
      </c>
      <c r="E95" s="6" t="str">
        <f>REPT(" ",Sheet2!$E$3-LEN(Sheet2!E95))&amp;Sheet2!E95</f>
        <v xml:space="preserve">          </v>
      </c>
      <c r="F95" s="6" t="str">
        <f>REPT(" ",Sheet2!$E$3-LEN(Sheet2!F95))&amp;Sheet2!F95</f>
        <v xml:space="preserve">          </v>
      </c>
      <c r="G95" s="6" t="str">
        <f>REPT(" ",Sheet2!$G$3-LEN(Sheet2!G95))&amp;Sheet2!G95</f>
        <v xml:space="preserve">                    </v>
      </c>
      <c r="H95" s="6" t="str">
        <f>REPT(" ",Sheet2!$H$3-LEN(TEXT(Sheet2!H95,"00")))&amp;""""&amp;TEXT(Sheet2!H95,"00")&amp;""""</f>
        <v xml:space="preserve">  "00"</v>
      </c>
      <c r="I95" s="6" t="str">
        <f>REPT(" ",Sheet2!$I$3-LEN(Sheet2!I95))&amp;Sheet2!I95</f>
        <v xml:space="preserve">                              </v>
      </c>
      <c r="J95" s="3" t="str">
        <f>IF(Sheet2!B95="","",SUBSTITUTE(SUBSTITUTE(SUBSTITUTE(SUBSTITUTE(SUBSTITUTE(SUBSTITUTE(SUBSTITUTE(SUBSTITUTE($J$1,"61",A95),"CM_NORMAL",E95),"ITM_DRG",G95),"nn = comm",I95),"exitIfNim",B95),"allowCondition",D95),"KK",H95),"9999",F95))</f>
        <v/>
      </c>
    </row>
    <row r="96" spans="1:10">
      <c r="J96" s="2"/>
    </row>
    <row r="97" spans="10:10">
      <c r="J97" s="2"/>
    </row>
    <row r="98" spans="10:10">
      <c r="J98" s="2"/>
    </row>
    <row r="99" spans="10:10">
      <c r="J99" s="2"/>
    </row>
    <row r="100" spans="10:10">
      <c r="J100" s="2"/>
    </row>
    <row r="101" spans="10:10">
      <c r="J101" s="2"/>
    </row>
    <row r="102" spans="10:10">
      <c r="J102" s="2"/>
    </row>
    <row r="103" spans="10:10">
      <c r="J103" s="2"/>
    </row>
    <row r="104" spans="10:10">
      <c r="J104" s="2"/>
    </row>
    <row r="105" spans="10:10">
      <c r="J105" s="2"/>
    </row>
    <row r="106" spans="10:10">
      <c r="J106" s="2"/>
    </row>
    <row r="107" spans="10:10">
      <c r="J107" s="2"/>
    </row>
    <row r="108" spans="10:10">
      <c r="J108" s="2"/>
    </row>
    <row r="109" spans="10:10">
      <c r="J109" s="2"/>
    </row>
    <row r="110" spans="10:10">
      <c r="J110" s="2"/>
    </row>
    <row r="111" spans="10:10">
      <c r="J111" s="2"/>
    </row>
    <row r="112" spans="10:10">
      <c r="J112" s="2"/>
    </row>
    <row r="113" spans="10:10">
      <c r="J113" s="2"/>
    </row>
    <row r="114" spans="10:10">
      <c r="J114" s="2"/>
    </row>
    <row r="115" spans="10:10">
      <c r="J115" s="2"/>
    </row>
    <row r="116" spans="10:10">
      <c r="J116" s="2"/>
    </row>
    <row r="117" spans="10:10">
      <c r="J117" s="2"/>
    </row>
    <row r="118" spans="10:10">
      <c r="J118" s="2"/>
    </row>
    <row r="119" spans="10:10">
      <c r="J119" s="2"/>
    </row>
    <row r="120" spans="10:10">
      <c r="J120" s="2"/>
    </row>
    <row r="121" spans="10:10">
      <c r="J121" s="2"/>
    </row>
    <row r="122" spans="10:10">
      <c r="J122" s="2"/>
    </row>
    <row r="123" spans="10:10">
      <c r="J123" s="2"/>
    </row>
    <row r="124" spans="10:10">
      <c r="J124" s="2"/>
    </row>
    <row r="125" spans="10:10">
      <c r="J125" s="2"/>
    </row>
    <row r="126" spans="10:10">
      <c r="J126" s="2"/>
    </row>
    <row r="127" spans="10:10">
      <c r="J127" s="2"/>
    </row>
    <row r="128" spans="10:10">
      <c r="J128" s="2"/>
    </row>
    <row r="129" spans="10:10">
      <c r="J129" s="2"/>
    </row>
    <row r="130" spans="10:10">
      <c r="J130" s="2"/>
    </row>
    <row r="131" spans="10:10">
      <c r="J131" s="2"/>
    </row>
    <row r="132" spans="10:10">
      <c r="J132" s="2"/>
    </row>
    <row r="133" spans="10:10">
      <c r="J133" s="2"/>
    </row>
    <row r="134" spans="10:10">
      <c r="J134" s="2"/>
    </row>
    <row r="135" spans="10:10">
      <c r="J135" s="2"/>
    </row>
    <row r="136" spans="10:10">
      <c r="J136" s="2"/>
    </row>
    <row r="137" spans="10:10">
      <c r="J137" s="2"/>
    </row>
    <row r="138" spans="10:10">
      <c r="J138" s="2"/>
    </row>
    <row r="139" spans="10:10">
      <c r="J139" s="2"/>
    </row>
    <row r="140" spans="10:10">
      <c r="J140" s="2"/>
    </row>
    <row r="141" spans="10:10">
      <c r="J141" s="2"/>
    </row>
    <row r="142" spans="10:10">
      <c r="J142" s="2"/>
    </row>
    <row r="143" spans="10:10">
      <c r="J143" s="2"/>
    </row>
    <row r="144" spans="10:10">
      <c r="J144" s="2"/>
    </row>
    <row r="145" spans="10:10">
      <c r="J145" s="2"/>
    </row>
    <row r="146" spans="10:10">
      <c r="J146" s="2"/>
    </row>
    <row r="147" spans="10:10">
      <c r="J147" s="2"/>
    </row>
    <row r="148" spans="10:10">
      <c r="J148" s="2"/>
    </row>
    <row r="149" spans="10:10">
      <c r="J149" s="2"/>
    </row>
    <row r="150" spans="10:10">
      <c r="J150" s="2"/>
    </row>
    <row r="151" spans="10:10">
      <c r="J151" s="2"/>
    </row>
    <row r="152" spans="10:10">
      <c r="J152" s="2"/>
    </row>
    <row r="153" spans="10:10">
      <c r="J153" s="2"/>
    </row>
    <row r="154" spans="10:10">
      <c r="J154" s="2"/>
    </row>
    <row r="155" spans="10:10">
      <c r="J155" s="2"/>
    </row>
    <row r="156" spans="10:10">
      <c r="J156" s="2"/>
    </row>
    <row r="157" spans="10:10">
      <c r="J157" s="2"/>
    </row>
    <row r="158" spans="10:10">
      <c r="J158" s="2"/>
    </row>
    <row r="159" spans="10:10">
      <c r="J159" s="2"/>
    </row>
    <row r="160" spans="10:10">
      <c r="J160" s="2"/>
    </row>
    <row r="161" spans="10:10">
      <c r="J161" s="2"/>
    </row>
    <row r="162" spans="10:10">
      <c r="J162" s="2"/>
    </row>
    <row r="163" spans="10:10">
      <c r="J163" s="2"/>
    </row>
    <row r="164" spans="10:10">
      <c r="J164" s="2"/>
    </row>
    <row r="165" spans="10:10">
      <c r="J165" s="2"/>
    </row>
    <row r="166" spans="10:10">
      <c r="J166" s="2"/>
    </row>
    <row r="167" spans="10:10">
      <c r="J167" s="2"/>
    </row>
    <row r="168" spans="10:10">
      <c r="J168" s="2"/>
    </row>
    <row r="169" spans="10:10">
      <c r="J169" s="2"/>
    </row>
    <row r="170" spans="10:10">
      <c r="J170" s="2"/>
    </row>
    <row r="171" spans="10:10">
      <c r="J171" s="2"/>
    </row>
    <row r="172" spans="10:10">
      <c r="J172" s="2"/>
    </row>
    <row r="173" spans="10:10">
      <c r="J173" s="2"/>
    </row>
    <row r="174" spans="10:10">
      <c r="J174" s="2"/>
    </row>
    <row r="175" spans="10:10">
      <c r="J175" s="2"/>
    </row>
    <row r="176" spans="10:10">
      <c r="J176" s="2"/>
    </row>
    <row r="177" spans="10:10">
      <c r="J177" s="2"/>
    </row>
    <row r="178" spans="10:10">
      <c r="J178" s="2"/>
    </row>
    <row r="179" spans="10:10">
      <c r="J179" s="2"/>
    </row>
    <row r="180" spans="10:10">
      <c r="J180" s="2"/>
    </row>
    <row r="181" spans="10:10">
      <c r="J181" s="2"/>
    </row>
    <row r="182" spans="10:10">
      <c r="J182" s="2"/>
    </row>
    <row r="183" spans="10:10">
      <c r="J183" s="2"/>
    </row>
    <row r="184" spans="10:10">
      <c r="J184" s="2"/>
    </row>
    <row r="185" spans="10:10">
      <c r="J185" s="2"/>
    </row>
    <row r="186" spans="10:10">
      <c r="J186" s="2"/>
    </row>
    <row r="187" spans="10:10">
      <c r="J187" s="2"/>
    </row>
    <row r="188" spans="10:10">
      <c r="J188" s="2"/>
    </row>
    <row r="189" spans="10:10">
      <c r="J189" s="2"/>
    </row>
    <row r="190" spans="10:10">
      <c r="J190" s="2"/>
    </row>
    <row r="191" spans="10:10">
      <c r="J191" s="2"/>
    </row>
    <row r="192" spans="10:10">
      <c r="J192" s="2"/>
    </row>
    <row r="193" spans="10:10">
      <c r="J193" s="2"/>
    </row>
    <row r="194" spans="10:10">
      <c r="J194" s="2"/>
    </row>
    <row r="195" spans="10:10">
      <c r="J195" s="2"/>
    </row>
    <row r="196" spans="10:10">
      <c r="J196" s="2"/>
    </row>
    <row r="197" spans="10:10">
      <c r="J197" s="2"/>
    </row>
    <row r="198" spans="10:10">
      <c r="J198" s="2"/>
    </row>
    <row r="199" spans="10:10">
      <c r="J199" s="2"/>
    </row>
    <row r="200" spans="10:10">
      <c r="J200" s="2"/>
    </row>
    <row r="201" spans="10:10">
      <c r="J201" s="2"/>
    </row>
    <row r="202" spans="10:10">
      <c r="J202" s="2"/>
    </row>
    <row r="203" spans="10:10">
      <c r="J203" s="2"/>
    </row>
    <row r="204" spans="10:10">
      <c r="J204" s="2"/>
    </row>
    <row r="205" spans="10:10">
      <c r="J205" s="2"/>
    </row>
    <row r="206" spans="10:10">
      <c r="J206" s="2"/>
    </row>
    <row r="207" spans="10:10">
      <c r="J207" s="2"/>
    </row>
    <row r="208" spans="10:10">
      <c r="J208" s="2"/>
    </row>
    <row r="209" spans="10:10">
      <c r="J209" s="2"/>
    </row>
    <row r="210" spans="10:10">
      <c r="J210" s="2"/>
    </row>
    <row r="211" spans="10:10">
      <c r="J211" s="2"/>
    </row>
    <row r="212" spans="10:10">
      <c r="J212" s="2"/>
    </row>
    <row r="213" spans="10:10">
      <c r="J213" s="2"/>
    </row>
    <row r="214" spans="10:10">
      <c r="J214" s="2"/>
    </row>
    <row r="215" spans="10:10">
      <c r="J215" s="2"/>
    </row>
    <row r="216" spans="10:10">
      <c r="J216" s="2"/>
    </row>
    <row r="217" spans="10:10">
      <c r="J217" s="2"/>
    </row>
    <row r="218" spans="10:10">
      <c r="J218" s="2"/>
    </row>
    <row r="219" spans="10:10">
      <c r="J219" s="2"/>
    </row>
    <row r="220" spans="10:10">
      <c r="J220" s="2"/>
    </row>
    <row r="221" spans="10:10">
      <c r="J221" s="2"/>
    </row>
    <row r="222" spans="10:10">
      <c r="J222" s="2"/>
    </row>
    <row r="223" spans="10:10">
      <c r="J223" s="2"/>
    </row>
    <row r="224" spans="10:10">
      <c r="J224" s="2"/>
    </row>
    <row r="225" spans="10:10">
      <c r="J225" s="2"/>
    </row>
    <row r="226" spans="10:10">
      <c r="J226" s="2"/>
    </row>
    <row r="227" spans="10:10">
      <c r="J227" s="2"/>
    </row>
    <row r="228" spans="10:10">
      <c r="J228" s="2"/>
    </row>
    <row r="229" spans="10:10">
      <c r="J229" s="2"/>
    </row>
    <row r="230" spans="10:10">
      <c r="J230" s="2"/>
    </row>
    <row r="231" spans="10:10">
      <c r="J231" s="2"/>
    </row>
    <row r="232" spans="10:10">
      <c r="J232" s="2"/>
    </row>
    <row r="233" spans="10:10">
      <c r="J233" s="2"/>
    </row>
    <row r="234" spans="10:10">
      <c r="J234" s="2"/>
    </row>
    <row r="235" spans="10:10">
      <c r="J235" s="2"/>
    </row>
    <row r="236" spans="10:10">
      <c r="J236" s="2"/>
    </row>
    <row r="237" spans="10:10">
      <c r="J237" s="2"/>
    </row>
    <row r="238" spans="10:10">
      <c r="J238" s="2"/>
    </row>
    <row r="239" spans="10:10">
      <c r="J239" s="2"/>
    </row>
    <row r="240" spans="10:10">
      <c r="J240" s="2"/>
    </row>
    <row r="241" spans="10:10">
      <c r="J241" s="2"/>
    </row>
    <row r="242" spans="10:10">
      <c r="J242" s="2"/>
    </row>
    <row r="243" spans="10:10">
      <c r="J243" s="2"/>
    </row>
    <row r="244" spans="10:10">
      <c r="J244" s="2"/>
    </row>
    <row r="245" spans="10:10">
      <c r="J245" s="2"/>
    </row>
    <row r="246" spans="10:10">
      <c r="J246" s="2"/>
    </row>
    <row r="247" spans="10:10">
      <c r="J247" s="2"/>
    </row>
    <row r="248" spans="10:10">
      <c r="J248" s="2"/>
    </row>
    <row r="249" spans="10:10">
      <c r="J249" s="2"/>
    </row>
    <row r="250" spans="10:10">
      <c r="J250" s="2"/>
    </row>
    <row r="251" spans="10:10">
      <c r="J251" s="2"/>
    </row>
    <row r="252" spans="10:10">
      <c r="J252" s="2"/>
    </row>
    <row r="253" spans="10:10">
      <c r="J253" s="2"/>
    </row>
    <row r="254" spans="10:10">
      <c r="J254" s="2"/>
    </row>
    <row r="255" spans="10:10">
      <c r="J255" s="2"/>
    </row>
    <row r="256" spans="10:10">
      <c r="J256" s="2"/>
    </row>
    <row r="257" spans="10:10">
      <c r="J257" s="2"/>
    </row>
    <row r="258" spans="10:10">
      <c r="J258" s="2"/>
    </row>
    <row r="259" spans="10:10">
      <c r="J259" s="2"/>
    </row>
    <row r="260" spans="10:10">
      <c r="J260" s="2"/>
    </row>
    <row r="261" spans="10:10">
      <c r="J261" s="2"/>
    </row>
    <row r="262" spans="10:10">
      <c r="J262" s="2"/>
    </row>
    <row r="263" spans="10:10">
      <c r="J263" s="2"/>
    </row>
    <row r="264" spans="10:10">
      <c r="J264" s="2"/>
    </row>
    <row r="265" spans="10:10">
      <c r="J265" s="2"/>
    </row>
    <row r="266" spans="10:10">
      <c r="J266" s="2"/>
    </row>
    <row r="267" spans="10:10">
      <c r="J267" s="2"/>
    </row>
    <row r="268" spans="10:10">
      <c r="J268" s="2"/>
    </row>
    <row r="269" spans="10:10">
      <c r="J269" s="2"/>
    </row>
    <row r="270" spans="10:10">
      <c r="J270" s="2"/>
    </row>
    <row r="271" spans="10:10">
      <c r="J271" s="2"/>
    </row>
    <row r="272" spans="10:10">
      <c r="J272" s="2"/>
    </row>
    <row r="273" spans="10:10">
      <c r="J273" s="2"/>
    </row>
    <row r="274" spans="10:10">
      <c r="J274" s="2"/>
    </row>
    <row r="275" spans="10:10">
      <c r="J275" s="2"/>
    </row>
    <row r="276" spans="10:10">
      <c r="J276" s="2"/>
    </row>
    <row r="277" spans="10:10">
      <c r="J277" s="2"/>
    </row>
    <row r="278" spans="10:10">
      <c r="J278" s="2"/>
    </row>
    <row r="279" spans="10:10">
      <c r="J279" s="2"/>
    </row>
    <row r="280" spans="10:10">
      <c r="J280" s="2"/>
    </row>
    <row r="281" spans="10:10">
      <c r="J281" s="2"/>
    </row>
    <row r="282" spans="10:10">
      <c r="J282" s="2"/>
    </row>
    <row r="283" spans="10:10">
      <c r="J283" s="2"/>
    </row>
    <row r="284" spans="10:10">
      <c r="J284" s="2"/>
    </row>
    <row r="285" spans="10:10">
      <c r="J285" s="2"/>
    </row>
    <row r="286" spans="10:10">
      <c r="J286" s="2"/>
    </row>
    <row r="287" spans="10:10">
      <c r="J287" s="2"/>
    </row>
    <row r="288" spans="10:10">
      <c r="J288" s="2"/>
    </row>
    <row r="289" spans="10:10">
      <c r="J289" s="2"/>
    </row>
    <row r="290" spans="10:10">
      <c r="J290" s="2"/>
    </row>
    <row r="291" spans="10:10">
      <c r="J291" s="2"/>
    </row>
    <row r="292" spans="10:10">
      <c r="J292" s="2"/>
    </row>
    <row r="293" spans="10:10">
      <c r="J293" s="2"/>
    </row>
    <row r="294" spans="10:10">
      <c r="J294" s="2"/>
    </row>
    <row r="295" spans="10:10">
      <c r="J295" s="2"/>
    </row>
    <row r="296" spans="10:10">
      <c r="J296" s="2"/>
    </row>
    <row r="297" spans="10:10">
      <c r="J297" s="2"/>
    </row>
    <row r="298" spans="10:10">
      <c r="J298" s="2"/>
    </row>
    <row r="299" spans="10:10">
      <c r="J299" s="2"/>
    </row>
    <row r="300" spans="10:10">
      <c r="J300" s="2"/>
    </row>
    <row r="301" spans="10:10">
      <c r="J301" s="2"/>
    </row>
    <row r="302" spans="10:10">
      <c r="J302" s="2"/>
    </row>
    <row r="303" spans="10:10">
      <c r="J303" s="2"/>
    </row>
    <row r="304" spans="10:10">
      <c r="J304" s="2"/>
    </row>
    <row r="305" spans="10:10">
      <c r="J305" s="2"/>
    </row>
    <row r="306" spans="10:10">
      <c r="J306" s="2"/>
    </row>
    <row r="307" spans="10:10">
      <c r="J307" s="2"/>
    </row>
    <row r="308" spans="10:10">
      <c r="J308" s="2"/>
    </row>
    <row r="309" spans="10:10">
      <c r="J309" s="2"/>
    </row>
    <row r="310" spans="10:10">
      <c r="J310" s="2"/>
    </row>
    <row r="311" spans="10:10">
      <c r="J311" s="2"/>
    </row>
    <row r="312" spans="10:10">
      <c r="J312" s="2"/>
    </row>
    <row r="313" spans="10:10">
      <c r="J313" s="2"/>
    </row>
    <row r="314" spans="10:10">
      <c r="J314" s="2"/>
    </row>
    <row r="315" spans="10:10">
      <c r="J315" s="2"/>
    </row>
    <row r="316" spans="10:10">
      <c r="J316" s="2"/>
    </row>
    <row r="317" spans="10:10">
      <c r="J317" s="2"/>
    </row>
    <row r="318" spans="10:10">
      <c r="J318" s="2"/>
    </row>
    <row r="319" spans="10:10">
      <c r="J319" s="2"/>
    </row>
    <row r="320" spans="10:10">
      <c r="J320" s="2"/>
    </row>
    <row r="321" spans="10:10">
      <c r="J321" s="2"/>
    </row>
    <row r="322" spans="10:10">
      <c r="J322" s="2"/>
    </row>
    <row r="323" spans="10:10">
      <c r="J323" s="2"/>
    </row>
    <row r="324" spans="10:10">
      <c r="J324" s="2"/>
    </row>
    <row r="325" spans="10:10">
      <c r="J325" s="2"/>
    </row>
    <row r="326" spans="10:10">
      <c r="J326" s="2"/>
    </row>
    <row r="327" spans="10:10">
      <c r="J327" s="2"/>
    </row>
    <row r="328" spans="10:10">
      <c r="J328" s="2"/>
    </row>
    <row r="329" spans="10:10">
      <c r="J329" s="2"/>
    </row>
    <row r="330" spans="10:10">
      <c r="J330" s="2"/>
    </row>
    <row r="331" spans="10:10">
      <c r="J331" s="2"/>
    </row>
    <row r="332" spans="10:10">
      <c r="J332" s="2"/>
    </row>
    <row r="333" spans="10:10">
      <c r="J333" s="2"/>
    </row>
    <row r="334" spans="10:10">
      <c r="J334" s="2"/>
    </row>
    <row r="335" spans="10:10">
      <c r="J335" s="2"/>
    </row>
    <row r="336" spans="10:10">
      <c r="J336" s="2"/>
    </row>
    <row r="337" spans="10:10">
      <c r="J337" s="2"/>
    </row>
    <row r="338" spans="10:10">
      <c r="J338" s="2"/>
    </row>
    <row r="339" spans="10:10">
      <c r="J339" s="2"/>
    </row>
    <row r="340" spans="10:10">
      <c r="J340" s="2"/>
    </row>
    <row r="341" spans="10:10">
      <c r="J341" s="2"/>
    </row>
    <row r="342" spans="10:10">
      <c r="J342" s="2"/>
    </row>
    <row r="343" spans="10:10">
      <c r="J343" s="2"/>
    </row>
    <row r="344" spans="10:10">
      <c r="J344" s="2"/>
    </row>
    <row r="345" spans="10:10">
      <c r="J345" s="2"/>
    </row>
    <row r="346" spans="10:10">
      <c r="J346" s="2"/>
    </row>
    <row r="347" spans="10:10">
      <c r="J347" s="2"/>
    </row>
    <row r="348" spans="10:10">
      <c r="J348" s="2"/>
    </row>
    <row r="349" spans="10:10">
      <c r="J349" s="2"/>
    </row>
    <row r="350" spans="10:10">
      <c r="J350" s="2"/>
    </row>
    <row r="351" spans="10:10">
      <c r="J351" s="2"/>
    </row>
    <row r="352" spans="10:10">
      <c r="J352" s="2"/>
    </row>
    <row r="353" spans="10:10">
      <c r="J353" s="2"/>
    </row>
    <row r="354" spans="10:10">
      <c r="J354" s="2"/>
    </row>
    <row r="355" spans="10:10">
      <c r="J355" s="2"/>
    </row>
    <row r="356" spans="10:10">
      <c r="J356" s="2"/>
    </row>
    <row r="357" spans="10:10">
      <c r="J357" s="2"/>
    </row>
    <row r="358" spans="10:10">
      <c r="J358" s="2"/>
    </row>
    <row r="359" spans="10:10">
      <c r="J359" s="2"/>
    </row>
    <row r="360" spans="10:10">
      <c r="J360" s="2"/>
    </row>
    <row r="361" spans="10:10">
      <c r="J361" s="2"/>
    </row>
    <row r="362" spans="10:10">
      <c r="J362" s="2"/>
    </row>
    <row r="363" spans="10:10">
      <c r="J363" s="2"/>
    </row>
    <row r="364" spans="10:10">
      <c r="J364" s="2"/>
    </row>
    <row r="365" spans="10:10">
      <c r="J365" s="2"/>
    </row>
    <row r="366" spans="10:10">
      <c r="J366" s="2"/>
    </row>
    <row r="367" spans="10:10">
      <c r="J367" s="2"/>
    </row>
    <row r="368" spans="10:10">
      <c r="J368" s="2"/>
    </row>
    <row r="369" spans="10:10">
      <c r="J369" s="2"/>
    </row>
    <row r="370" spans="10:10">
      <c r="J370" s="2"/>
    </row>
    <row r="371" spans="10:10">
      <c r="J371" s="2"/>
    </row>
    <row r="372" spans="10:10">
      <c r="J372" s="2"/>
    </row>
    <row r="373" spans="10:10">
      <c r="J373" s="2"/>
    </row>
    <row r="374" spans="10:10">
      <c r="J374" s="2"/>
    </row>
    <row r="375" spans="10:10">
      <c r="J375" s="2"/>
    </row>
    <row r="376" spans="10:10">
      <c r="J376" s="2"/>
    </row>
    <row r="377" spans="10:10">
      <c r="J377" s="2"/>
    </row>
    <row r="378" spans="10:10">
      <c r="J378" s="2"/>
    </row>
    <row r="379" spans="10:10">
      <c r="J379" s="2"/>
    </row>
    <row r="380" spans="10:10">
      <c r="J380" s="2"/>
    </row>
    <row r="381" spans="10:10">
      <c r="J381" s="2"/>
    </row>
    <row r="382" spans="10:10">
      <c r="J382" s="2"/>
    </row>
    <row r="383" spans="10:10">
      <c r="J383" s="2"/>
    </row>
    <row r="384" spans="10:10">
      <c r="J384" s="2"/>
    </row>
    <row r="385" spans="10:10">
      <c r="J385" s="2"/>
    </row>
    <row r="386" spans="10:10">
      <c r="J386" s="2"/>
    </row>
    <row r="387" spans="10:10">
      <c r="J387" s="2"/>
    </row>
    <row r="388" spans="10:10">
      <c r="J388" s="2"/>
    </row>
    <row r="389" spans="10:10">
      <c r="J389" s="2"/>
    </row>
    <row r="390" spans="10:10">
      <c r="J390" s="2"/>
    </row>
    <row r="391" spans="10:10">
      <c r="J391" s="2"/>
    </row>
    <row r="392" spans="10:10">
      <c r="J392" s="2"/>
    </row>
    <row r="393" spans="10:10">
      <c r="J393" s="2"/>
    </row>
    <row r="394" spans="10:10">
      <c r="J394" s="2"/>
    </row>
    <row r="395" spans="10:10">
      <c r="J395" s="2"/>
    </row>
    <row r="396" spans="10:10">
      <c r="J396" s="2"/>
    </row>
    <row r="397" spans="10:10">
      <c r="J397" s="2"/>
    </row>
    <row r="398" spans="10:10">
      <c r="J398" s="2"/>
    </row>
    <row r="399" spans="10:10">
      <c r="J399" s="2"/>
    </row>
    <row r="400" spans="10:10">
      <c r="J400" s="2"/>
    </row>
    <row r="401" spans="10:10">
      <c r="J401" s="2"/>
    </row>
    <row r="402" spans="10:10">
      <c r="J402" s="2"/>
    </row>
    <row r="403" spans="10:10">
      <c r="J403" s="2"/>
    </row>
    <row r="404" spans="10:10">
      <c r="J404" s="2"/>
    </row>
    <row r="405" spans="10:10">
      <c r="J405" s="2"/>
    </row>
    <row r="406" spans="10:10">
      <c r="J406" s="2"/>
    </row>
    <row r="407" spans="10:10">
      <c r="J407" s="2"/>
    </row>
    <row r="408" spans="10:10">
      <c r="J408" s="2"/>
    </row>
    <row r="409" spans="10:10">
      <c r="J409" s="2"/>
    </row>
    <row r="410" spans="10:10">
      <c r="J410" s="2"/>
    </row>
    <row r="411" spans="10:10">
      <c r="J411" s="2"/>
    </row>
    <row r="412" spans="10:10">
      <c r="J412" s="2"/>
    </row>
    <row r="413" spans="10:10">
      <c r="J413" s="2"/>
    </row>
    <row r="414" spans="10:10">
      <c r="J414" s="2"/>
    </row>
    <row r="415" spans="10:10">
      <c r="J415" s="2"/>
    </row>
    <row r="416" spans="10:10">
      <c r="J416" s="2"/>
    </row>
    <row r="417" spans="10:10">
      <c r="J417" s="2"/>
    </row>
    <row r="418" spans="10:10">
      <c r="J418" s="2"/>
    </row>
    <row r="419" spans="10:10">
      <c r="J419" s="2"/>
    </row>
    <row r="420" spans="10:10">
      <c r="J420" s="2"/>
    </row>
    <row r="421" spans="10:10">
      <c r="J421" s="2"/>
    </row>
    <row r="422" spans="10:10">
      <c r="J422" s="2"/>
    </row>
    <row r="423" spans="10:10">
      <c r="J423" s="2"/>
    </row>
    <row r="424" spans="10:10">
      <c r="J424" s="2"/>
    </row>
    <row r="425" spans="10:10">
      <c r="J425" s="2"/>
    </row>
    <row r="426" spans="10:10">
      <c r="J426" s="2"/>
    </row>
    <row r="427" spans="10:10">
      <c r="J427" s="2"/>
    </row>
    <row r="428" spans="10:10">
      <c r="J428" s="2"/>
    </row>
    <row r="429" spans="10:10">
      <c r="J429" s="2"/>
    </row>
    <row r="430" spans="10:10">
      <c r="J430" s="2"/>
    </row>
    <row r="431" spans="10:10">
      <c r="J431" s="2"/>
    </row>
    <row r="432" spans="10:10">
      <c r="J432" s="2"/>
    </row>
    <row r="433" spans="10:10">
      <c r="J433" s="2"/>
    </row>
    <row r="434" spans="10:10">
      <c r="J434" s="2"/>
    </row>
    <row r="435" spans="10:10">
      <c r="J435" s="2"/>
    </row>
    <row r="436" spans="10:10">
      <c r="J436" s="2"/>
    </row>
    <row r="437" spans="10:10">
      <c r="J437" s="2"/>
    </row>
    <row r="438" spans="10:10">
      <c r="J438" s="2"/>
    </row>
    <row r="439" spans="10:10">
      <c r="J439" s="2"/>
    </row>
    <row r="440" spans="10:10">
      <c r="J440" s="2"/>
    </row>
    <row r="441" spans="10:10">
      <c r="J441" s="2"/>
    </row>
    <row r="442" spans="10:10">
      <c r="J442" s="2"/>
    </row>
    <row r="443" spans="10:10">
      <c r="J443" s="2"/>
    </row>
    <row r="444" spans="10:10">
      <c r="J444" s="2"/>
    </row>
    <row r="445" spans="10:10">
      <c r="J445" s="2"/>
    </row>
    <row r="446" spans="10:10">
      <c r="J446" s="2"/>
    </row>
    <row r="447" spans="10:10">
      <c r="J447" s="2"/>
    </row>
    <row r="448" spans="10:10">
      <c r="J448" s="2"/>
    </row>
    <row r="449" spans="10:10">
      <c r="J449" s="2"/>
    </row>
    <row r="450" spans="10:10">
      <c r="J450" s="2"/>
    </row>
    <row r="451" spans="10:10">
      <c r="J451" s="2"/>
    </row>
    <row r="452" spans="10:10">
      <c r="J452" s="2"/>
    </row>
    <row r="453" spans="10:10">
      <c r="J453" s="2"/>
    </row>
    <row r="454" spans="10:10">
      <c r="J454" s="2"/>
    </row>
    <row r="455" spans="10:10">
      <c r="J455" s="2"/>
    </row>
    <row r="456" spans="10:10">
      <c r="J456" s="2"/>
    </row>
    <row r="457" spans="10:10">
      <c r="J457" s="2"/>
    </row>
    <row r="458" spans="10:10">
      <c r="J458" s="2"/>
    </row>
    <row r="459" spans="10:10">
      <c r="J459" s="2"/>
    </row>
    <row r="460" spans="10:10">
      <c r="J460" s="2"/>
    </row>
    <row r="461" spans="10:10">
      <c r="J461" s="2"/>
    </row>
    <row r="462" spans="10:10">
      <c r="J462" s="2"/>
    </row>
    <row r="463" spans="10:10">
      <c r="J463" s="2"/>
    </row>
    <row r="464" spans="10:10">
      <c r="J464" s="2"/>
    </row>
    <row r="465" spans="10:10">
      <c r="J465" s="2"/>
    </row>
    <row r="466" spans="10:10">
      <c r="J466" s="2"/>
    </row>
    <row r="467" spans="10:10">
      <c r="J467" s="2"/>
    </row>
    <row r="468" spans="10:10">
      <c r="J468" s="2"/>
    </row>
    <row r="469" spans="10:10">
      <c r="J469" s="2"/>
    </row>
    <row r="470" spans="10:10">
      <c r="J470" s="2"/>
    </row>
    <row r="471" spans="10:10">
      <c r="J471" s="2"/>
    </row>
    <row r="472" spans="10:10">
      <c r="J472" s="2"/>
    </row>
    <row r="473" spans="10:10">
      <c r="J473" s="2"/>
    </row>
    <row r="474" spans="10:10">
      <c r="J474" s="2"/>
    </row>
    <row r="475" spans="10:10">
      <c r="J475" s="2"/>
    </row>
    <row r="476" spans="10:10">
      <c r="J476" s="2"/>
    </row>
    <row r="477" spans="10:10">
      <c r="J477" s="2"/>
    </row>
    <row r="478" spans="10:10">
      <c r="J478" s="2"/>
    </row>
    <row r="479" spans="10:10">
      <c r="J479" s="2"/>
    </row>
    <row r="480" spans="10:10">
      <c r="J480" s="2"/>
    </row>
    <row r="481" spans="10:10">
      <c r="J481" s="2"/>
    </row>
    <row r="482" spans="10:10">
      <c r="J482" s="2"/>
    </row>
    <row r="483" spans="10:10">
      <c r="J483" s="2"/>
    </row>
    <row r="484" spans="10:10">
      <c r="J484" s="2"/>
    </row>
    <row r="485" spans="10:10">
      <c r="J485" s="2"/>
    </row>
    <row r="486" spans="10:10">
      <c r="J486" s="2"/>
    </row>
    <row r="487" spans="10:10">
      <c r="J487" s="2"/>
    </row>
    <row r="488" spans="10:10">
      <c r="J488" s="2"/>
    </row>
    <row r="489" spans="10:10">
      <c r="J489" s="2"/>
    </row>
    <row r="490" spans="10:10">
      <c r="J490" s="2"/>
    </row>
    <row r="491" spans="10:10">
      <c r="J491" s="2"/>
    </row>
    <row r="492" spans="10:10">
      <c r="J492" s="2"/>
    </row>
    <row r="493" spans="10:10">
      <c r="J493" s="2"/>
    </row>
    <row r="494" spans="10:10">
      <c r="J494" s="2"/>
    </row>
    <row r="495" spans="10:10">
      <c r="J495" s="2"/>
    </row>
    <row r="496" spans="10:10">
      <c r="J496" s="2"/>
    </row>
    <row r="497" spans="10:10">
      <c r="J497" s="2"/>
    </row>
    <row r="498" spans="10:10">
      <c r="J498" s="2"/>
    </row>
    <row r="499" spans="10:10">
      <c r="J499" s="2"/>
    </row>
    <row r="500" spans="10:10">
      <c r="J500" s="2"/>
    </row>
    <row r="501" spans="10:10">
      <c r="J501" s="2"/>
    </row>
    <row r="502" spans="10:10">
      <c r="J502" s="2"/>
    </row>
    <row r="503" spans="10:10">
      <c r="J503" s="2"/>
    </row>
    <row r="504" spans="10:10">
      <c r="J504" s="2"/>
    </row>
    <row r="505" spans="10:10">
      <c r="J505" s="2"/>
    </row>
    <row r="506" spans="10:10">
      <c r="J506" s="2"/>
    </row>
    <row r="507" spans="10:10">
      <c r="J507" s="2"/>
    </row>
    <row r="508" spans="10:10">
      <c r="J508" s="2"/>
    </row>
    <row r="509" spans="10:10">
      <c r="J509" s="2"/>
    </row>
    <row r="510" spans="10:10">
      <c r="J510" s="2"/>
    </row>
    <row r="511" spans="10:10">
      <c r="J511" s="2"/>
    </row>
    <row r="512" spans="10:10">
      <c r="J512" s="2"/>
    </row>
    <row r="513" spans="10:10">
      <c r="J513" s="2"/>
    </row>
    <row r="514" spans="10:10">
      <c r="J514" s="2"/>
    </row>
    <row r="515" spans="10:10">
      <c r="J515" s="2"/>
    </row>
    <row r="516" spans="10:10">
      <c r="J516" s="2"/>
    </row>
    <row r="517" spans="10:10">
      <c r="J517" s="2"/>
    </row>
    <row r="518" spans="10:10">
      <c r="J518" s="2"/>
    </row>
    <row r="519" spans="10:10">
      <c r="J519" s="2"/>
    </row>
    <row r="520" spans="10:10">
      <c r="J520" s="2"/>
    </row>
    <row r="521" spans="10:10">
      <c r="J521" s="2"/>
    </row>
    <row r="522" spans="10:10">
      <c r="J522" s="2"/>
    </row>
    <row r="523" spans="10:10">
      <c r="J523" s="2"/>
    </row>
    <row r="524" spans="10:10">
      <c r="J524" s="2"/>
    </row>
    <row r="525" spans="10:10">
      <c r="J525" s="2"/>
    </row>
    <row r="526" spans="10:10">
      <c r="J526" s="2"/>
    </row>
    <row r="527" spans="10:10">
      <c r="J527" s="2"/>
    </row>
    <row r="528" spans="10:10">
      <c r="J528" s="2"/>
    </row>
    <row r="529" spans="10:10">
      <c r="J529" s="2"/>
    </row>
    <row r="530" spans="10:10">
      <c r="J530" s="2"/>
    </row>
    <row r="531" spans="10:10">
      <c r="J531" s="2"/>
    </row>
    <row r="532" spans="10:10">
      <c r="J532" s="2"/>
    </row>
    <row r="533" spans="10:10">
      <c r="J533" s="2"/>
    </row>
    <row r="534" spans="10:10">
      <c r="J534" s="2"/>
    </row>
    <row r="535" spans="10:10">
      <c r="J535" s="2"/>
    </row>
    <row r="536" spans="10:10">
      <c r="J536" s="2"/>
    </row>
    <row r="537" spans="10:10">
      <c r="J537" s="2"/>
    </row>
    <row r="538" spans="10:10">
      <c r="J538" s="2"/>
    </row>
    <row r="539" spans="10:10">
      <c r="J539" s="2"/>
    </row>
    <row r="540" spans="10:10">
      <c r="J540" s="2"/>
    </row>
    <row r="541" spans="10:10">
      <c r="J541" s="2"/>
    </row>
    <row r="542" spans="10:10">
      <c r="J542" s="2"/>
    </row>
    <row r="543" spans="10:10">
      <c r="J543" s="2"/>
    </row>
    <row r="544" spans="10:10">
      <c r="J544" s="2"/>
    </row>
    <row r="545" spans="10:10">
      <c r="J545" s="2"/>
    </row>
    <row r="546" spans="10:10">
      <c r="J546" s="2"/>
    </row>
    <row r="547" spans="10:10">
      <c r="J547" s="2"/>
    </row>
    <row r="548" spans="10:10">
      <c r="J548" s="2"/>
    </row>
    <row r="549" spans="10:10">
      <c r="J549" s="2"/>
    </row>
    <row r="550" spans="10:10">
      <c r="J550" s="2"/>
    </row>
    <row r="551" spans="10:10">
      <c r="J551" s="2"/>
    </row>
    <row r="552" spans="10:10">
      <c r="J552" s="2"/>
    </row>
    <row r="553" spans="10:10">
      <c r="J553" s="2"/>
    </row>
    <row r="554" spans="10:10">
      <c r="J554" s="2"/>
    </row>
    <row r="555" spans="10:10">
      <c r="J555" s="2"/>
    </row>
    <row r="556" spans="10:10">
      <c r="J556" s="2"/>
    </row>
    <row r="557" spans="10:10">
      <c r="J557" s="2"/>
    </row>
    <row r="558" spans="10:10">
      <c r="J558" s="2"/>
    </row>
    <row r="559" spans="10:10">
      <c r="J559" s="2"/>
    </row>
    <row r="560" spans="10:10">
      <c r="J560" s="2"/>
    </row>
    <row r="561" spans="10:10">
      <c r="J561" s="2"/>
    </row>
    <row r="562" spans="10:10">
      <c r="J562" s="2"/>
    </row>
    <row r="563" spans="10:10">
      <c r="J563" s="2"/>
    </row>
    <row r="564" spans="10:10">
      <c r="J564" s="2"/>
    </row>
    <row r="565" spans="10:10">
      <c r="J565" s="2"/>
    </row>
    <row r="566" spans="10:10">
      <c r="J566" s="2"/>
    </row>
    <row r="567" spans="10:10">
      <c r="J567" s="2"/>
    </row>
    <row r="568" spans="10:10">
      <c r="J568" s="2"/>
    </row>
    <row r="569" spans="10:10">
      <c r="J569" s="2"/>
    </row>
    <row r="570" spans="10:10">
      <c r="J570" s="2"/>
    </row>
    <row r="571" spans="10:10">
      <c r="J571" s="2"/>
    </row>
    <row r="572" spans="10:10">
      <c r="J572" s="2"/>
    </row>
    <row r="573" spans="10:10">
      <c r="J573" s="2"/>
    </row>
    <row r="574" spans="10:10">
      <c r="J574" s="2"/>
    </row>
    <row r="575" spans="10:10">
      <c r="J575" s="2"/>
    </row>
    <row r="576" spans="10:10">
      <c r="J576" s="2"/>
    </row>
    <row r="577" spans="10:10">
      <c r="J577" s="2"/>
    </row>
    <row r="578" spans="10:10">
      <c r="J578" s="2"/>
    </row>
    <row r="579" spans="10:10">
      <c r="J579" s="2"/>
    </row>
    <row r="580" spans="10:10">
      <c r="J580" s="2"/>
    </row>
    <row r="581" spans="10:10">
      <c r="J581" s="2"/>
    </row>
    <row r="582" spans="10:10">
      <c r="J582" s="2"/>
    </row>
    <row r="583" spans="10:10">
      <c r="J583" s="2"/>
    </row>
    <row r="584" spans="10:10">
      <c r="J584" s="2"/>
    </row>
    <row r="585" spans="10:10">
      <c r="J585" s="2"/>
    </row>
    <row r="586" spans="10:10">
      <c r="J586" s="2"/>
    </row>
    <row r="587" spans="10:10">
      <c r="J587" s="2"/>
    </row>
    <row r="588" spans="10:10">
      <c r="J588" s="2"/>
    </row>
    <row r="589" spans="10:10">
      <c r="J589" s="2"/>
    </row>
    <row r="590" spans="10:10">
      <c r="J590" s="2"/>
    </row>
    <row r="591" spans="10:10">
      <c r="J591" s="2"/>
    </row>
    <row r="592" spans="10:10">
      <c r="J592" s="2"/>
    </row>
    <row r="593" spans="10:10">
      <c r="J593" s="2"/>
    </row>
    <row r="594" spans="10:10">
      <c r="J594" s="2"/>
    </row>
    <row r="595" spans="10:10">
      <c r="J595" s="2"/>
    </row>
    <row r="596" spans="10:10">
      <c r="J596" s="2"/>
    </row>
    <row r="597" spans="10:10">
      <c r="J597" s="2"/>
    </row>
    <row r="598" spans="10:10">
      <c r="J598" s="2"/>
    </row>
    <row r="599" spans="10:10">
      <c r="J599" s="2"/>
    </row>
    <row r="600" spans="10:10">
      <c r="J600" s="2"/>
    </row>
    <row r="601" spans="10:10">
      <c r="J601" s="2"/>
    </row>
    <row r="602" spans="10:10">
      <c r="J602" s="2"/>
    </row>
    <row r="603" spans="10:10">
      <c r="J603" s="2"/>
    </row>
    <row r="604" spans="10:10">
      <c r="J604" s="2"/>
    </row>
    <row r="605" spans="10:10">
      <c r="J605" s="2"/>
    </row>
    <row r="606" spans="10:10">
      <c r="J606" s="2"/>
    </row>
    <row r="607" spans="10:10">
      <c r="J607" s="2"/>
    </row>
    <row r="608" spans="10:10">
      <c r="J608" s="2"/>
    </row>
    <row r="609" spans="10:10">
      <c r="J609" s="2"/>
    </row>
    <row r="610" spans="10:10">
      <c r="J610" s="2"/>
    </row>
    <row r="611" spans="10:10">
      <c r="J611" s="2"/>
    </row>
    <row r="612" spans="10:10">
      <c r="J612" s="2"/>
    </row>
    <row r="613" spans="10:10">
      <c r="J613" s="2"/>
    </row>
    <row r="614" spans="10:10">
      <c r="J614" s="2"/>
    </row>
    <row r="615" spans="10:10">
      <c r="J615" s="2"/>
    </row>
    <row r="616" spans="10:10">
      <c r="J616" s="2"/>
    </row>
    <row r="617" spans="10:10">
      <c r="J617" s="2"/>
    </row>
    <row r="618" spans="10:10">
      <c r="J618" s="2"/>
    </row>
    <row r="619" spans="10:10">
      <c r="J619" s="2"/>
    </row>
    <row r="620" spans="10:10">
      <c r="J620" s="2"/>
    </row>
    <row r="621" spans="10:10">
      <c r="J621" s="2"/>
    </row>
    <row r="622" spans="10:10">
      <c r="J622" s="2"/>
    </row>
    <row r="623" spans="10:10">
      <c r="J623" s="2"/>
    </row>
    <row r="624" spans="10:10">
      <c r="J624" s="2"/>
    </row>
    <row r="625" spans="10:10">
      <c r="J625" s="2"/>
    </row>
    <row r="626" spans="10:10">
      <c r="J626" s="2"/>
    </row>
    <row r="627" spans="10:10">
      <c r="J627" s="2"/>
    </row>
    <row r="628" spans="10:10">
      <c r="J628" s="2"/>
    </row>
    <row r="629" spans="10:10">
      <c r="J629" s="2"/>
    </row>
    <row r="630" spans="10:10">
      <c r="J630" s="2"/>
    </row>
    <row r="631" spans="10:10">
      <c r="J631" s="2"/>
    </row>
    <row r="632" spans="10:10">
      <c r="J632" s="2"/>
    </row>
    <row r="633" spans="10:10">
      <c r="J633" s="2"/>
    </row>
    <row r="634" spans="10:10">
      <c r="J634" s="2"/>
    </row>
    <row r="635" spans="10:10">
      <c r="J635" s="2"/>
    </row>
    <row r="636" spans="10:10">
      <c r="J636" s="2"/>
    </row>
    <row r="637" spans="10:10">
      <c r="J637" s="2"/>
    </row>
    <row r="638" spans="10:10">
      <c r="J638" s="2"/>
    </row>
    <row r="639" spans="10:10">
      <c r="J639" s="2"/>
    </row>
    <row r="640" spans="10:10">
      <c r="J640" s="2"/>
    </row>
    <row r="641" spans="10:10">
      <c r="J641" s="2"/>
    </row>
    <row r="642" spans="10:10">
      <c r="J642" s="2"/>
    </row>
    <row r="643" spans="10:10">
      <c r="J643" s="2"/>
    </row>
    <row r="644" spans="10:10">
      <c r="J644" s="2"/>
    </row>
    <row r="645" spans="10:10">
      <c r="J645" s="2"/>
    </row>
    <row r="646" spans="10:10">
      <c r="J646" s="2"/>
    </row>
    <row r="647" spans="10:10">
      <c r="J647" s="2"/>
    </row>
    <row r="648" spans="10:10">
      <c r="J648" s="2"/>
    </row>
    <row r="649" spans="10:10">
      <c r="J649" s="2"/>
    </row>
    <row r="650" spans="10:10">
      <c r="J650" s="2"/>
    </row>
    <row r="651" spans="10:10">
      <c r="J651" s="2"/>
    </row>
    <row r="652" spans="10:10">
      <c r="J652" s="2"/>
    </row>
    <row r="653" spans="10:10">
      <c r="J653" s="2"/>
    </row>
    <row r="654" spans="10:10">
      <c r="J654" s="2"/>
    </row>
    <row r="655" spans="10:10">
      <c r="J655" s="2"/>
    </row>
    <row r="656" spans="10:10">
      <c r="J656" s="2"/>
    </row>
    <row r="657" spans="10:10">
      <c r="J657" s="2"/>
    </row>
    <row r="658" spans="10:10">
      <c r="J658" s="2"/>
    </row>
    <row r="659" spans="10:10">
      <c r="J659" s="2"/>
    </row>
    <row r="660" spans="10:10">
      <c r="J660" s="2"/>
    </row>
    <row r="661" spans="10:10">
      <c r="J661" s="2"/>
    </row>
    <row r="662" spans="10:10">
      <c r="J662" s="2"/>
    </row>
    <row r="663" spans="10:10">
      <c r="J663" s="2"/>
    </row>
    <row r="664" spans="10:10">
      <c r="J664" s="2"/>
    </row>
    <row r="665" spans="10:10">
      <c r="J665" s="2"/>
    </row>
    <row r="666" spans="10:10">
      <c r="J666" s="2"/>
    </row>
    <row r="667" spans="10:10">
      <c r="J667" s="2"/>
    </row>
    <row r="668" spans="10:10">
      <c r="J668" s="2"/>
    </row>
    <row r="669" spans="10:10">
      <c r="J669" s="2"/>
    </row>
    <row r="670" spans="10:10">
      <c r="J670" s="2"/>
    </row>
    <row r="671" spans="10:10">
      <c r="J671" s="2"/>
    </row>
    <row r="672" spans="10:10">
      <c r="J672" s="2"/>
    </row>
    <row r="673" spans="10:10">
      <c r="J673" s="2"/>
    </row>
    <row r="674" spans="10:10">
      <c r="J674" s="2"/>
    </row>
    <row r="675" spans="10:10">
      <c r="J675" s="2"/>
    </row>
    <row r="676" spans="10:10">
      <c r="J676" s="2"/>
    </row>
    <row r="677" spans="10:10">
      <c r="J677" s="2"/>
    </row>
    <row r="678" spans="10:10">
      <c r="J678" s="2"/>
    </row>
    <row r="679" spans="10:10">
      <c r="J679" s="2"/>
    </row>
    <row r="680" spans="10:10">
      <c r="J680" s="2"/>
    </row>
    <row r="681" spans="10:10">
      <c r="J681" s="2"/>
    </row>
    <row r="682" spans="10:10">
      <c r="J682" s="2"/>
    </row>
    <row r="683" spans="10:10">
      <c r="J683" s="2"/>
    </row>
    <row r="684" spans="10:10">
      <c r="J684" s="2"/>
    </row>
    <row r="685" spans="10:10">
      <c r="J685" s="2"/>
    </row>
    <row r="686" spans="10:10">
      <c r="J686" s="2"/>
    </row>
    <row r="687" spans="10:10">
      <c r="J687" s="2"/>
    </row>
    <row r="688" spans="10:10">
      <c r="J688" s="2"/>
    </row>
    <row r="689" spans="10:10">
      <c r="J689" s="2"/>
    </row>
    <row r="690" spans="10:10">
      <c r="J690" s="2"/>
    </row>
    <row r="691" spans="10:10">
      <c r="J691" s="2"/>
    </row>
    <row r="692" spans="10:10">
      <c r="J692" s="2"/>
    </row>
    <row r="693" spans="10:10">
      <c r="J693" s="2"/>
    </row>
    <row r="694" spans="10:10">
      <c r="J694" s="2"/>
    </row>
    <row r="695" spans="10:10">
      <c r="J695" s="2"/>
    </row>
    <row r="696" spans="10:10">
      <c r="J696" s="2"/>
    </row>
    <row r="697" spans="10:10">
      <c r="J697" s="2"/>
    </row>
    <row r="698" spans="10:10">
      <c r="J698" s="2"/>
    </row>
    <row r="699" spans="10:10">
      <c r="J699" s="2"/>
    </row>
    <row r="700" spans="10:10">
      <c r="J700" s="2"/>
    </row>
    <row r="701" spans="10:10">
      <c r="J701" s="2"/>
    </row>
    <row r="702" spans="10:10">
      <c r="J702" s="2"/>
    </row>
    <row r="703" spans="10:10">
      <c r="J703" s="2"/>
    </row>
    <row r="704" spans="10:10">
      <c r="J704" s="2"/>
    </row>
    <row r="705" spans="10:10">
      <c r="J705" s="2"/>
    </row>
    <row r="706" spans="10:10">
      <c r="J706" s="2"/>
    </row>
    <row r="707" spans="10:10">
      <c r="J707" s="2"/>
    </row>
    <row r="708" spans="10:10">
      <c r="J708" s="2"/>
    </row>
    <row r="709" spans="10:10">
      <c r="J709" s="2"/>
    </row>
    <row r="710" spans="10:10">
      <c r="J710" s="2"/>
    </row>
    <row r="711" spans="10:10">
      <c r="J711" s="2"/>
    </row>
    <row r="712" spans="10:10">
      <c r="J712" s="2"/>
    </row>
    <row r="713" spans="10:10">
      <c r="J713" s="2"/>
    </row>
    <row r="714" spans="10:10">
      <c r="J714" s="2"/>
    </row>
    <row r="715" spans="10:10">
      <c r="J715" s="2"/>
    </row>
    <row r="716" spans="10:10">
      <c r="J716" s="2"/>
    </row>
    <row r="717" spans="10:10">
      <c r="J717" s="2"/>
    </row>
    <row r="718" spans="10:10">
      <c r="J718" s="2"/>
    </row>
    <row r="719" spans="10:10">
      <c r="J719" s="2"/>
    </row>
    <row r="720" spans="10:10">
      <c r="J720" s="2"/>
    </row>
    <row r="721" spans="10:10">
      <c r="J721" s="2"/>
    </row>
    <row r="722" spans="10:10">
      <c r="J722" s="2"/>
    </row>
    <row r="723" spans="10:10">
      <c r="J723" s="2"/>
    </row>
    <row r="724" spans="10:10">
      <c r="J724" s="2"/>
    </row>
    <row r="725" spans="10:10">
      <c r="J725" s="2"/>
    </row>
    <row r="726" spans="10:10">
      <c r="J726" s="2"/>
    </row>
    <row r="727" spans="10:10">
      <c r="J727" s="2"/>
    </row>
    <row r="728" spans="10:10">
      <c r="J728" s="2"/>
    </row>
    <row r="729" spans="10:10">
      <c r="J729" s="2"/>
    </row>
    <row r="730" spans="10:10">
      <c r="J730" s="2"/>
    </row>
    <row r="731" spans="10:10">
      <c r="J731" s="2"/>
    </row>
    <row r="732" spans="10:10">
      <c r="J732" s="2"/>
    </row>
    <row r="733" spans="10:10">
      <c r="J733" s="2"/>
    </row>
    <row r="734" spans="10:10">
      <c r="J734" s="2"/>
    </row>
    <row r="735" spans="10:10">
      <c r="J735" s="2"/>
    </row>
    <row r="736" spans="10:10">
      <c r="J736" s="2"/>
    </row>
    <row r="737" spans="10:10">
      <c r="J737" s="2"/>
    </row>
    <row r="738" spans="10:10">
      <c r="J738" s="2"/>
    </row>
    <row r="739" spans="10:10">
      <c r="J739" s="2"/>
    </row>
    <row r="740" spans="10:10">
      <c r="J740" s="2"/>
    </row>
    <row r="741" spans="10:10">
      <c r="J741" s="2"/>
    </row>
    <row r="742" spans="10:10">
      <c r="J742" s="2"/>
    </row>
    <row r="743" spans="10:10">
      <c r="J743" s="2"/>
    </row>
    <row r="744" spans="10:10">
      <c r="J744" s="2"/>
    </row>
    <row r="745" spans="10:10">
      <c r="J745" s="2"/>
    </row>
    <row r="746" spans="10:10">
      <c r="J746" s="2"/>
    </row>
    <row r="747" spans="10:10">
      <c r="J747" s="2"/>
    </row>
    <row r="748" spans="10:10">
      <c r="J748" s="2"/>
    </row>
    <row r="749" spans="10:10">
      <c r="J749" s="2"/>
    </row>
    <row r="750" spans="10:10">
      <c r="J750" s="2"/>
    </row>
    <row r="751" spans="10:10">
      <c r="J751" s="2"/>
    </row>
    <row r="752" spans="10:10">
      <c r="J752" s="2"/>
    </row>
    <row r="753" spans="10:10">
      <c r="J753" s="2"/>
    </row>
    <row r="754" spans="10:10">
      <c r="J754" s="2"/>
    </row>
    <row r="755" spans="10:10">
      <c r="J755" s="2"/>
    </row>
    <row r="756" spans="10:10">
      <c r="J756" s="2"/>
    </row>
    <row r="757" spans="10:10">
      <c r="J757" s="2"/>
    </row>
    <row r="758" spans="10:10">
      <c r="J758" s="2"/>
    </row>
    <row r="759" spans="10:10">
      <c r="J759" s="2"/>
    </row>
    <row r="760" spans="10:10">
      <c r="J760" s="2"/>
    </row>
    <row r="761" spans="10:10">
      <c r="J761" s="2"/>
    </row>
    <row r="762" spans="10:10">
      <c r="J762" s="2"/>
    </row>
    <row r="763" spans="10:10">
      <c r="J763" s="2"/>
    </row>
    <row r="764" spans="10:10">
      <c r="J764" s="2"/>
    </row>
    <row r="765" spans="10:10">
      <c r="J765" s="2"/>
    </row>
    <row r="766" spans="10:10">
      <c r="J766" s="2"/>
    </row>
    <row r="767" spans="10:10">
      <c r="J767" s="2"/>
    </row>
    <row r="768" spans="10:10">
      <c r="J768" s="2"/>
    </row>
    <row r="769" spans="10:10">
      <c r="J769" s="2"/>
    </row>
    <row r="770" spans="10:10">
      <c r="J770" s="2"/>
    </row>
    <row r="771" spans="10:10">
      <c r="J771" s="2"/>
    </row>
    <row r="772" spans="10:10">
      <c r="J772" s="2"/>
    </row>
    <row r="773" spans="10:10">
      <c r="J773" s="2"/>
    </row>
    <row r="774" spans="10:10">
      <c r="J774" s="2"/>
    </row>
    <row r="775" spans="10:10">
      <c r="J775" s="2"/>
    </row>
    <row r="776" spans="10:10">
      <c r="J776" s="2"/>
    </row>
    <row r="777" spans="10:10">
      <c r="J777" s="2"/>
    </row>
    <row r="778" spans="10:10">
      <c r="J778" s="2"/>
    </row>
    <row r="779" spans="10:10">
      <c r="J779" s="2"/>
    </row>
    <row r="780" spans="10:10">
      <c r="J780" s="2"/>
    </row>
    <row r="781" spans="10:10">
      <c r="J781" s="2"/>
    </row>
    <row r="782" spans="10:10">
      <c r="J782" s="2"/>
    </row>
    <row r="783" spans="10:10">
      <c r="J783" s="2"/>
    </row>
    <row r="784" spans="10:10">
      <c r="J784" s="2"/>
    </row>
    <row r="785" spans="10:10">
      <c r="J785" s="2"/>
    </row>
    <row r="786" spans="10:10">
      <c r="J786" s="2"/>
    </row>
    <row r="787" spans="10:10">
      <c r="J787" s="2"/>
    </row>
    <row r="788" spans="10:10">
      <c r="J788" s="2"/>
    </row>
    <row r="789" spans="10:10">
      <c r="J789" s="2"/>
    </row>
    <row r="790" spans="10:10">
      <c r="J790" s="2"/>
    </row>
    <row r="791" spans="10:10">
      <c r="J791" s="2"/>
    </row>
    <row r="792" spans="10:10">
      <c r="J792" s="2"/>
    </row>
    <row r="793" spans="10:10">
      <c r="J793" s="2"/>
    </row>
    <row r="794" spans="10:10">
      <c r="J794" s="2"/>
    </row>
    <row r="795" spans="10:10">
      <c r="J795" s="2"/>
    </row>
    <row r="796" spans="10:10">
      <c r="J796" s="2"/>
    </row>
    <row r="797" spans="10:10">
      <c r="J797" s="2"/>
    </row>
    <row r="798" spans="10:10">
      <c r="J798" s="2"/>
    </row>
    <row r="799" spans="10:10">
      <c r="J799" s="2"/>
    </row>
    <row r="800" spans="10:10">
      <c r="J800" s="2"/>
    </row>
    <row r="801" spans="10:10">
      <c r="J801" s="2"/>
    </row>
    <row r="802" spans="10:10">
      <c r="J802" s="2"/>
    </row>
    <row r="803" spans="10:10">
      <c r="J803" s="2"/>
    </row>
    <row r="804" spans="10:10">
      <c r="J804" s="2"/>
    </row>
    <row r="805" spans="10:10">
      <c r="J805" s="2"/>
    </row>
    <row r="806" spans="10:10">
      <c r="J806" s="2"/>
    </row>
    <row r="807" spans="10:10">
      <c r="J807" s="2"/>
    </row>
    <row r="808" spans="10:10">
      <c r="J808" s="2"/>
    </row>
    <row r="809" spans="10:10">
      <c r="J809" s="2"/>
    </row>
    <row r="810" spans="10:10">
      <c r="J810" s="2"/>
    </row>
    <row r="811" spans="10:10">
      <c r="J811" s="2"/>
    </row>
    <row r="812" spans="10:10">
      <c r="J812" s="2"/>
    </row>
    <row r="813" spans="10:10">
      <c r="J813" s="2"/>
    </row>
    <row r="814" spans="10:10">
      <c r="J814" s="2"/>
    </row>
    <row r="815" spans="10:10">
      <c r="J815" s="2"/>
    </row>
    <row r="816" spans="10:10">
      <c r="J816" s="2"/>
    </row>
    <row r="817" spans="10:10">
      <c r="J817" s="2"/>
    </row>
    <row r="818" spans="10:10">
      <c r="J818" s="2"/>
    </row>
    <row r="819" spans="10:10">
      <c r="J819" s="2"/>
    </row>
    <row r="820" spans="10:10">
      <c r="J820" s="2"/>
    </row>
    <row r="821" spans="10:10">
      <c r="J821" s="2"/>
    </row>
    <row r="822" spans="10:10">
      <c r="J822" s="2"/>
    </row>
    <row r="823" spans="10:10">
      <c r="J823" s="2"/>
    </row>
    <row r="824" spans="10:10">
      <c r="J824" s="2"/>
    </row>
    <row r="825" spans="10:10">
      <c r="J825" s="2"/>
    </row>
    <row r="826" spans="10:10">
      <c r="J826" s="2"/>
    </row>
    <row r="827" spans="10:10">
      <c r="J827" s="2"/>
    </row>
    <row r="828" spans="10:10">
      <c r="J828" s="2"/>
    </row>
    <row r="829" spans="10:10">
      <c r="J829" s="2"/>
    </row>
    <row r="830" spans="10:10">
      <c r="J830" s="2"/>
    </row>
    <row r="831" spans="10:10">
      <c r="J831" s="2"/>
    </row>
    <row r="832" spans="10:10">
      <c r="J832" s="2"/>
    </row>
    <row r="833" spans="10:10">
      <c r="J833" s="2"/>
    </row>
    <row r="834" spans="10:10">
      <c r="J834" s="2"/>
    </row>
    <row r="835" spans="10:10">
      <c r="J835" s="2"/>
    </row>
    <row r="836" spans="10:10">
      <c r="J836" s="2"/>
    </row>
    <row r="837" spans="10:10">
      <c r="J837" s="2"/>
    </row>
    <row r="838" spans="10:10">
      <c r="J838" s="2"/>
    </row>
    <row r="839" spans="10:10">
      <c r="J839" s="2"/>
    </row>
    <row r="840" spans="10:10">
      <c r="J840" s="2"/>
    </row>
    <row r="841" spans="10:10">
      <c r="J841" s="2"/>
    </row>
    <row r="842" spans="10:10">
      <c r="J842" s="2"/>
    </row>
    <row r="843" spans="10:10">
      <c r="J843" s="2"/>
    </row>
    <row r="844" spans="10:10">
      <c r="J844" s="2"/>
    </row>
    <row r="845" spans="10:10">
      <c r="J845" s="2"/>
    </row>
    <row r="846" spans="10:10">
      <c r="J846" s="2"/>
    </row>
    <row r="847" spans="10:10">
      <c r="J847" s="2"/>
    </row>
    <row r="848" spans="10:10">
      <c r="J848" s="2"/>
    </row>
    <row r="849" spans="10:10">
      <c r="J849" s="2"/>
    </row>
    <row r="850" spans="10:10">
      <c r="J850" s="2"/>
    </row>
    <row r="851" spans="10:10">
      <c r="J851" s="2"/>
    </row>
    <row r="852" spans="10:10">
      <c r="J852" s="2"/>
    </row>
    <row r="853" spans="10:10">
      <c r="J853" s="2"/>
    </row>
    <row r="854" spans="10:10">
      <c r="J854" s="2"/>
    </row>
    <row r="855" spans="10:10">
      <c r="J855" s="2"/>
    </row>
    <row r="856" spans="10:10">
      <c r="J856" s="2"/>
    </row>
    <row r="857" spans="10:10">
      <c r="J857" s="2"/>
    </row>
    <row r="858" spans="10:10">
      <c r="J858" s="2"/>
    </row>
    <row r="859" spans="10:10">
      <c r="J859" s="2"/>
    </row>
    <row r="860" spans="10:10">
      <c r="J860" s="2"/>
    </row>
    <row r="861" spans="10:10">
      <c r="J861" s="2"/>
    </row>
    <row r="862" spans="10:10">
      <c r="J862" s="2"/>
    </row>
    <row r="863" spans="10:10">
      <c r="J863" s="2"/>
    </row>
    <row r="864" spans="10:10">
      <c r="J864" s="2"/>
    </row>
    <row r="865" spans="10:10">
      <c r="J865" s="2"/>
    </row>
    <row r="866" spans="10:10">
      <c r="J866" s="2"/>
    </row>
    <row r="867" spans="10:10">
      <c r="J867" s="2"/>
    </row>
    <row r="868" spans="10:10">
      <c r="J868" s="2"/>
    </row>
    <row r="869" spans="10:10">
      <c r="J869" s="2"/>
    </row>
    <row r="870" spans="10:10">
      <c r="J870" s="2"/>
    </row>
    <row r="871" spans="10:10">
      <c r="J871" s="2"/>
    </row>
    <row r="872" spans="10:10">
      <c r="J872" s="2"/>
    </row>
    <row r="873" spans="10:10">
      <c r="J873" s="2"/>
    </row>
    <row r="874" spans="10:10">
      <c r="J874" s="2"/>
    </row>
    <row r="875" spans="10:10">
      <c r="J875" s="2"/>
    </row>
    <row r="876" spans="10:10">
      <c r="J876" s="2"/>
    </row>
    <row r="877" spans="10:10">
      <c r="J877" s="2"/>
    </row>
    <row r="878" spans="10:10">
      <c r="J878" s="2"/>
    </row>
    <row r="879" spans="10:10">
      <c r="J879" s="2"/>
    </row>
    <row r="880" spans="10:10">
      <c r="J880" s="2"/>
    </row>
    <row r="881" spans="10:10">
      <c r="J881" s="2"/>
    </row>
    <row r="882" spans="10:10">
      <c r="J882" s="2"/>
    </row>
    <row r="883" spans="10:10">
      <c r="J883" s="2"/>
    </row>
    <row r="884" spans="10:10">
      <c r="J884" s="2"/>
    </row>
    <row r="885" spans="10:10">
      <c r="J885" s="2"/>
    </row>
    <row r="886" spans="10:10">
      <c r="J886" s="2"/>
    </row>
    <row r="887" spans="10:10">
      <c r="J887" s="2"/>
    </row>
    <row r="888" spans="10:10">
      <c r="J888" s="2"/>
    </row>
    <row r="889" spans="10:10">
      <c r="J889" s="2"/>
    </row>
    <row r="890" spans="10:10">
      <c r="J890" s="2"/>
    </row>
    <row r="891" spans="10:10">
      <c r="J891" s="2"/>
    </row>
    <row r="892" spans="10:10">
      <c r="J892" s="2"/>
    </row>
    <row r="893" spans="10:10">
      <c r="J893" s="2"/>
    </row>
    <row r="894" spans="10:10">
      <c r="J894" s="2"/>
    </row>
    <row r="895" spans="10:10">
      <c r="J895" s="2"/>
    </row>
    <row r="896" spans="10:10">
      <c r="J896" s="2"/>
    </row>
    <row r="897" spans="10:10">
      <c r="J897" s="2"/>
    </row>
    <row r="898" spans="10:10">
      <c r="J898" s="2"/>
    </row>
    <row r="899" spans="10:10">
      <c r="J899" s="2"/>
    </row>
    <row r="900" spans="10:10">
      <c r="J900" s="2"/>
    </row>
    <row r="901" spans="10:10">
      <c r="J901" s="2"/>
    </row>
    <row r="902" spans="10:10">
      <c r="J902" s="2"/>
    </row>
    <row r="903" spans="10:10">
      <c r="J903" s="2"/>
    </row>
    <row r="904" spans="10:10">
      <c r="J904" s="2"/>
    </row>
    <row r="905" spans="10:10">
      <c r="J905" s="2"/>
    </row>
    <row r="906" spans="10:10">
      <c r="J906" s="2"/>
    </row>
    <row r="907" spans="10:10">
      <c r="J907" s="2"/>
    </row>
    <row r="908" spans="10:10">
      <c r="J908" s="2"/>
    </row>
    <row r="909" spans="10:10">
      <c r="J909" s="2"/>
    </row>
    <row r="910" spans="10:10">
      <c r="J910" s="2"/>
    </row>
    <row r="911" spans="10:10">
      <c r="J911" s="2"/>
    </row>
    <row r="912" spans="10:10">
      <c r="J912" s="2"/>
    </row>
    <row r="913" spans="10:10">
      <c r="J913" s="2"/>
    </row>
    <row r="914" spans="10:10">
      <c r="J914" s="2"/>
    </row>
    <row r="915" spans="10:10">
      <c r="J915" s="2"/>
    </row>
    <row r="916" spans="10:10">
      <c r="J916" s="2"/>
    </row>
    <row r="917" spans="10:10">
      <c r="J917" s="2"/>
    </row>
    <row r="918" spans="10:10">
      <c r="J918" s="2"/>
    </row>
    <row r="919" spans="10:10">
      <c r="J919" s="2"/>
    </row>
    <row r="920" spans="10:10">
      <c r="J920" s="2"/>
    </row>
    <row r="921" spans="10:10">
      <c r="J921" s="2"/>
    </row>
    <row r="922" spans="10:10">
      <c r="J922" s="2"/>
    </row>
    <row r="923" spans="10:10">
      <c r="J923" s="2"/>
    </row>
    <row r="924" spans="10:10">
      <c r="J924" s="2"/>
    </row>
    <row r="925" spans="10:10">
      <c r="J925" s="2"/>
    </row>
    <row r="926" spans="10:10">
      <c r="J926" s="2"/>
    </row>
    <row r="927" spans="10:10">
      <c r="J927" s="2"/>
    </row>
    <row r="928" spans="10:10">
      <c r="J928" s="2"/>
    </row>
    <row r="929" spans="10:10">
      <c r="J929" s="2"/>
    </row>
    <row r="930" spans="10:10">
      <c r="J930" s="2"/>
    </row>
    <row r="931" spans="10:10">
      <c r="J931" s="2"/>
    </row>
    <row r="932" spans="10:10">
      <c r="J932" s="2"/>
    </row>
    <row r="933" spans="10:10">
      <c r="J933" s="2"/>
    </row>
    <row r="934" spans="10:10">
      <c r="J934" s="2"/>
    </row>
    <row r="935" spans="10:10">
      <c r="J935" s="2"/>
    </row>
    <row r="936" spans="10:10">
      <c r="J936" s="2"/>
    </row>
    <row r="937" spans="10:10">
      <c r="J937" s="2"/>
    </row>
    <row r="938" spans="10:10">
      <c r="J938" s="2"/>
    </row>
    <row r="939" spans="10:10">
      <c r="J939" s="2"/>
    </row>
    <row r="940" spans="10:10">
      <c r="J940" s="2"/>
    </row>
    <row r="941" spans="10:10">
      <c r="J941" s="2"/>
    </row>
    <row r="942" spans="10:10">
      <c r="J942" s="2"/>
    </row>
    <row r="943" spans="10:10">
      <c r="J943" s="2"/>
    </row>
    <row r="944" spans="10:10">
      <c r="J944" s="2"/>
    </row>
    <row r="945" spans="10:10">
      <c r="J945" s="2"/>
    </row>
    <row r="946" spans="10:10">
      <c r="J946" s="2"/>
    </row>
    <row r="947" spans="10:10">
      <c r="J947" s="2"/>
    </row>
    <row r="948" spans="10:10">
      <c r="J948" s="2"/>
    </row>
    <row r="949" spans="10:10">
      <c r="J949" s="2"/>
    </row>
    <row r="950" spans="10:10">
      <c r="J950" s="2"/>
    </row>
    <row r="951" spans="10:10">
      <c r="J951" s="2"/>
    </row>
    <row r="952" spans="10:10">
      <c r="J952" s="2"/>
    </row>
    <row r="953" spans="10:10">
      <c r="J953" s="2"/>
    </row>
    <row r="954" spans="10:10">
      <c r="J954" s="2"/>
    </row>
    <row r="955" spans="10:10">
      <c r="J955" s="2"/>
    </row>
    <row r="956" spans="10:10">
      <c r="J956" s="2"/>
    </row>
    <row r="957" spans="10:10">
      <c r="J957" s="2"/>
    </row>
    <row r="958" spans="10:10">
      <c r="J958" s="2"/>
    </row>
    <row r="959" spans="10:10">
      <c r="J959" s="2"/>
    </row>
    <row r="960" spans="10:10">
      <c r="J960" s="2"/>
    </row>
    <row r="961" spans="10:10">
      <c r="J961" s="2"/>
    </row>
    <row r="962" spans="10:10">
      <c r="J962" s="2"/>
    </row>
    <row r="963" spans="10:10">
      <c r="J963" s="2"/>
    </row>
    <row r="964" spans="10:10">
      <c r="J964" s="2"/>
    </row>
    <row r="965" spans="10:10">
      <c r="J965" s="2"/>
    </row>
    <row r="966" spans="10:10">
      <c r="J966" s="2"/>
    </row>
    <row r="967" spans="10:10">
      <c r="J967" s="2"/>
    </row>
    <row r="968" spans="10:10">
      <c r="J968" s="2"/>
    </row>
    <row r="969" spans="10:10">
      <c r="J969" s="2"/>
    </row>
    <row r="970" spans="10:10">
      <c r="J970" s="2"/>
    </row>
    <row r="971" spans="10:10">
      <c r="J971" s="2"/>
    </row>
    <row r="972" spans="10:10">
      <c r="J972" s="2"/>
    </row>
    <row r="973" spans="10:10">
      <c r="J973" s="2"/>
    </row>
    <row r="974" spans="10:10">
      <c r="J974" s="2"/>
    </row>
    <row r="975" spans="10:10">
      <c r="J975" s="2"/>
    </row>
    <row r="976" spans="10:10">
      <c r="J976" s="2"/>
    </row>
    <row r="977" spans="10:10">
      <c r="J977" s="2"/>
    </row>
    <row r="978" spans="10:10">
      <c r="J978" s="2"/>
    </row>
    <row r="979" spans="10:10">
      <c r="J979" s="2"/>
    </row>
    <row r="980" spans="10:10">
      <c r="J980" s="2"/>
    </row>
    <row r="981" spans="10:10">
      <c r="J981" s="2"/>
    </row>
    <row r="982" spans="10:10">
      <c r="J982" s="2"/>
    </row>
    <row r="983" spans="10:10">
      <c r="J983" s="2"/>
    </row>
    <row r="984" spans="10:10">
      <c r="J984" s="2"/>
    </row>
    <row r="985" spans="10:10">
      <c r="J985" s="2"/>
    </row>
    <row r="986" spans="10:10">
      <c r="J986" s="2"/>
    </row>
    <row r="987" spans="10:10">
      <c r="J987" s="2"/>
    </row>
    <row r="988" spans="10:10">
      <c r="J988" s="2"/>
    </row>
    <row r="989" spans="10:10">
      <c r="J989" s="2"/>
    </row>
    <row r="990" spans="10:10">
      <c r="J990" s="2"/>
    </row>
    <row r="991" spans="10:10">
      <c r="J991" s="2"/>
    </row>
    <row r="992" spans="10:10">
      <c r="J992" s="2"/>
    </row>
    <row r="993" spans="10:10">
      <c r="J993" s="2"/>
    </row>
    <row r="994" spans="10:10">
      <c r="J994" s="2"/>
    </row>
    <row r="995" spans="10:10">
      <c r="J995" s="2"/>
    </row>
    <row r="996" spans="10:10">
      <c r="J996" s="2"/>
    </row>
    <row r="997" spans="10:10">
      <c r="J997" s="2"/>
    </row>
    <row r="998" spans="10:10">
      <c r="J998" s="2"/>
    </row>
    <row r="999" spans="10:10">
      <c r="J999" s="2"/>
    </row>
    <row r="1000" spans="10:10">
      <c r="J1000" s="2"/>
    </row>
    <row r="1001" spans="10:10">
      <c r="J1001" s="2"/>
    </row>
    <row r="1002" spans="10:10">
      <c r="J1002" s="2"/>
    </row>
    <row r="1003" spans="10:10">
      <c r="J1003" s="2"/>
    </row>
    <row r="1004" spans="10:10">
      <c r="J1004" s="2"/>
    </row>
    <row r="1005" spans="10:10">
      <c r="J1005" s="2"/>
    </row>
    <row r="1006" spans="10:10">
      <c r="J1006" s="2"/>
    </row>
    <row r="1007" spans="10:10">
      <c r="J1007" s="2"/>
    </row>
    <row r="1008" spans="10:10">
      <c r="J1008" s="2"/>
    </row>
    <row r="1009" spans="10:10">
      <c r="J1009" s="2"/>
    </row>
    <row r="1010" spans="10:10">
      <c r="J1010" s="2"/>
    </row>
    <row r="1011" spans="10:10">
      <c r="J1011" s="2"/>
    </row>
    <row r="1012" spans="10:10">
      <c r="J1012" s="2"/>
    </row>
    <row r="1013" spans="10:10">
      <c r="J1013" s="2"/>
    </row>
    <row r="1014" spans="10:10">
      <c r="J1014" s="2"/>
    </row>
    <row r="1015" spans="10:10">
      <c r="J1015" s="2"/>
    </row>
    <row r="1016" spans="10:10">
      <c r="J1016" s="2"/>
    </row>
    <row r="1017" spans="10:10">
      <c r="J1017" s="2"/>
    </row>
    <row r="1018" spans="10:10">
      <c r="J1018" s="2"/>
    </row>
    <row r="1019" spans="10:10">
      <c r="J1019" s="2"/>
    </row>
    <row r="1020" spans="10:10">
      <c r="J1020" s="2"/>
    </row>
    <row r="1021" spans="10:10">
      <c r="J1021" s="2"/>
    </row>
    <row r="1022" spans="10:10">
      <c r="J1022" s="2"/>
    </row>
    <row r="1023" spans="10:10">
      <c r="J1023" s="2"/>
    </row>
    <row r="1024" spans="10:10">
      <c r="J1024" s="2"/>
    </row>
    <row r="1025" spans="10:10">
      <c r="J1025" s="2"/>
    </row>
    <row r="1026" spans="10:10">
      <c r="J1026" s="2"/>
    </row>
    <row r="1027" spans="10:10">
      <c r="J1027" s="2"/>
    </row>
    <row r="1028" spans="10:10">
      <c r="J1028" s="2"/>
    </row>
    <row r="1029" spans="10:10">
      <c r="J1029" s="2"/>
    </row>
    <row r="1030" spans="10:10">
      <c r="J1030" s="2"/>
    </row>
    <row r="1031" spans="10:10">
      <c r="J1031" s="2"/>
    </row>
    <row r="1032" spans="10:10">
      <c r="J1032" s="2"/>
    </row>
    <row r="1033" spans="10:10">
      <c r="J1033" s="2"/>
    </row>
    <row r="1034" spans="10:10">
      <c r="J1034" s="2"/>
    </row>
    <row r="1035" spans="10:10">
      <c r="J1035" s="2"/>
    </row>
    <row r="1036" spans="10:10">
      <c r="J1036" s="2"/>
    </row>
    <row r="1037" spans="10:10">
      <c r="J1037" s="2"/>
    </row>
    <row r="1038" spans="10:10">
      <c r="J1038" s="2"/>
    </row>
    <row r="1039" spans="10:10">
      <c r="J1039" s="2"/>
    </row>
    <row r="1040" spans="10:10">
      <c r="J1040" s="2"/>
    </row>
    <row r="1041" spans="10:10">
      <c r="J1041" s="2"/>
    </row>
    <row r="1042" spans="10:10">
      <c r="J1042" s="2"/>
    </row>
    <row r="1043" spans="10:10">
      <c r="J1043" s="2"/>
    </row>
    <row r="1044" spans="10:10">
      <c r="J1044" s="2"/>
    </row>
    <row r="1045" spans="10:10">
      <c r="J1045" s="2"/>
    </row>
    <row r="1046" spans="10:10">
      <c r="J1046" s="2"/>
    </row>
    <row r="1047" spans="10:10">
      <c r="J1047" s="2"/>
    </row>
    <row r="1048" spans="10:10">
      <c r="J1048" s="2"/>
    </row>
    <row r="1049" spans="10:10">
      <c r="J1049" s="2"/>
    </row>
    <row r="1050" spans="10:10">
      <c r="J1050" s="2"/>
    </row>
    <row r="1051" spans="10:10">
      <c r="J1051" s="2"/>
    </row>
    <row r="1052" spans="10:10">
      <c r="J1052" s="2"/>
    </row>
    <row r="1053" spans="10:10">
      <c r="J1053" s="2"/>
    </row>
    <row r="1054" spans="10:10">
      <c r="J1054" s="2"/>
    </row>
    <row r="1055" spans="10:10">
      <c r="J1055" s="2"/>
    </row>
    <row r="1056" spans="10:10">
      <c r="J1056" s="2"/>
    </row>
    <row r="1057" spans="10:10">
      <c r="J1057" s="2"/>
    </row>
    <row r="1058" spans="10:10">
      <c r="J1058" s="2"/>
    </row>
    <row r="1059" spans="10:10">
      <c r="J1059" s="2"/>
    </row>
    <row r="1060" spans="10:10">
      <c r="J1060" s="2"/>
    </row>
    <row r="1061" spans="10:10">
      <c r="J1061" s="2"/>
    </row>
    <row r="1062" spans="10:10">
      <c r="J1062" s="2"/>
    </row>
    <row r="1063" spans="10:10">
      <c r="J1063" s="2"/>
    </row>
    <row r="1064" spans="10:10">
      <c r="J1064" s="2"/>
    </row>
    <row r="1065" spans="10:10">
      <c r="J1065" s="2"/>
    </row>
    <row r="1066" spans="10:10">
      <c r="J1066" s="2"/>
    </row>
    <row r="1067" spans="10:10">
      <c r="J1067" s="2"/>
    </row>
    <row r="1068" spans="10:10">
      <c r="J1068" s="2"/>
    </row>
    <row r="1069" spans="10:10">
      <c r="J1069" s="2"/>
    </row>
    <row r="1070" spans="10:10">
      <c r="J1070" s="2"/>
    </row>
    <row r="1071" spans="10:10">
      <c r="J1071" s="2"/>
    </row>
    <row r="1072" spans="10:10">
      <c r="J1072" s="2"/>
    </row>
    <row r="1073" spans="10:10">
      <c r="J1073" s="2"/>
    </row>
    <row r="1074" spans="10:10">
      <c r="J1074" s="2"/>
    </row>
    <row r="1075" spans="10:10">
      <c r="J1075" s="2"/>
    </row>
    <row r="1076" spans="10:10">
      <c r="J1076" s="2"/>
    </row>
    <row r="1077" spans="10:10">
      <c r="J1077" s="2"/>
    </row>
    <row r="1078" spans="10:10">
      <c r="J1078" s="2"/>
    </row>
    <row r="1079" spans="10:10">
      <c r="J1079" s="2"/>
    </row>
    <row r="1080" spans="10:10">
      <c r="J1080" s="2"/>
    </row>
    <row r="1081" spans="10:10">
      <c r="J1081" s="2"/>
    </row>
    <row r="1082" spans="10:10">
      <c r="J1082" s="2"/>
    </row>
    <row r="1083" spans="10:10">
      <c r="J1083" s="2"/>
    </row>
    <row r="1084" spans="10:10">
      <c r="J1084" s="2"/>
    </row>
    <row r="1085" spans="10:10">
      <c r="J1085" s="2"/>
    </row>
    <row r="1086" spans="10:10">
      <c r="J1086" s="2"/>
    </row>
    <row r="1087" spans="10:10">
      <c r="J1087" s="2"/>
    </row>
    <row r="1088" spans="10:10">
      <c r="J1088" s="2"/>
    </row>
    <row r="1089" spans="10:10">
      <c r="J1089" s="2"/>
    </row>
    <row r="1090" spans="10:10">
      <c r="J1090" s="2"/>
    </row>
    <row r="1091" spans="10:10">
      <c r="J1091" s="2"/>
    </row>
    <row r="1092" spans="10:10">
      <c r="J1092" s="2"/>
    </row>
    <row r="1093" spans="10:10">
      <c r="J1093" s="2"/>
    </row>
    <row r="1094" spans="10:10">
      <c r="J1094" s="2"/>
    </row>
    <row r="1095" spans="10:10">
      <c r="J1095" s="2"/>
    </row>
    <row r="1096" spans="10:10">
      <c r="J1096" s="2"/>
    </row>
    <row r="1097" spans="10:10">
      <c r="J1097" s="2"/>
    </row>
    <row r="1098" spans="10:10">
      <c r="J1098" s="2"/>
    </row>
    <row r="1099" spans="10:10">
      <c r="J1099" s="2"/>
    </row>
    <row r="1100" spans="10:10">
      <c r="J1100" s="2"/>
    </row>
    <row r="1101" spans="10:10">
      <c r="J1101" s="2"/>
    </row>
    <row r="1102" spans="10:10">
      <c r="J1102" s="2"/>
    </row>
    <row r="1103" spans="10:10">
      <c r="J1103" s="2"/>
    </row>
    <row r="1104" spans="10:10">
      <c r="J1104" s="2"/>
    </row>
    <row r="1105" spans="10:10">
      <c r="J1105" s="2"/>
    </row>
    <row r="1106" spans="10:10">
      <c r="J1106" s="2"/>
    </row>
    <row r="1107" spans="10:10">
      <c r="J1107" s="2"/>
    </row>
    <row r="1108" spans="10:10">
      <c r="J1108" s="2"/>
    </row>
    <row r="1109" spans="10:10">
      <c r="J1109" s="2"/>
    </row>
    <row r="1110" spans="10:10">
      <c r="J1110" s="2"/>
    </row>
    <row r="1111" spans="10:10">
      <c r="J1111" s="2"/>
    </row>
    <row r="1112" spans="10:10">
      <c r="J1112" s="2"/>
    </row>
    <row r="1113" spans="10:10">
      <c r="J1113" s="2"/>
    </row>
    <row r="1114" spans="10:10">
      <c r="J1114" s="2"/>
    </row>
    <row r="1115" spans="10:10">
      <c r="J1115" s="2"/>
    </row>
    <row r="1116" spans="10:10">
      <c r="J1116" s="2"/>
    </row>
    <row r="1117" spans="10:10">
      <c r="J1117" s="2"/>
    </row>
    <row r="1118" spans="10:10">
      <c r="J1118" s="2"/>
    </row>
    <row r="1119" spans="10:10">
      <c r="J1119" s="2"/>
    </row>
    <row r="1120" spans="10:10">
      <c r="J1120" s="2"/>
    </row>
    <row r="1121" spans="10:10">
      <c r="J1121" s="2"/>
    </row>
    <row r="1122" spans="10:10">
      <c r="J1122" s="2"/>
    </row>
    <row r="1123" spans="10:10">
      <c r="J1123" s="2"/>
    </row>
    <row r="1124" spans="10:10">
      <c r="J1124" s="2"/>
    </row>
    <row r="1125" spans="10:10">
      <c r="J1125" s="2"/>
    </row>
    <row r="1126" spans="10:10">
      <c r="J1126" s="2"/>
    </row>
    <row r="1127" spans="10:10">
      <c r="J1127" s="2"/>
    </row>
    <row r="1128" spans="10:10">
      <c r="J1128" s="2"/>
    </row>
    <row r="1129" spans="10:10">
      <c r="J1129" s="2"/>
    </row>
    <row r="1130" spans="10:10">
      <c r="J1130" s="2"/>
    </row>
    <row r="1131" spans="10:10">
      <c r="J1131" s="2"/>
    </row>
    <row r="1132" spans="10:10">
      <c r="J1132" s="2"/>
    </row>
    <row r="1133" spans="10:10">
      <c r="J1133" s="2"/>
    </row>
    <row r="1134" spans="10:10">
      <c r="J1134" s="2"/>
    </row>
    <row r="1135" spans="10:10">
      <c r="J1135" s="2"/>
    </row>
    <row r="1136" spans="10:10">
      <c r="J1136" s="2"/>
    </row>
    <row r="1137" spans="10:10">
      <c r="J1137" s="2"/>
    </row>
    <row r="1138" spans="10:10">
      <c r="J1138" s="2"/>
    </row>
    <row r="1139" spans="10:10">
      <c r="J1139" s="2"/>
    </row>
    <row r="1140" spans="10:10">
      <c r="J1140" s="2"/>
    </row>
    <row r="1141" spans="10:10">
      <c r="J1141" s="2"/>
    </row>
    <row r="1142" spans="10:10">
      <c r="J1142" s="2"/>
    </row>
    <row r="1143" spans="10:10">
      <c r="J1143" s="2"/>
    </row>
    <row r="1144" spans="10:10">
      <c r="J1144" s="2"/>
    </row>
    <row r="1145" spans="10:10">
      <c r="J1145" s="2"/>
    </row>
    <row r="1146" spans="10:10">
      <c r="J1146" s="2"/>
    </row>
    <row r="1147" spans="10:10">
      <c r="J1147" s="2"/>
    </row>
    <row r="1148" spans="10:10">
      <c r="J1148" s="2"/>
    </row>
    <row r="1149" spans="10:10">
      <c r="J1149" s="2"/>
    </row>
    <row r="1150" spans="10:10">
      <c r="J1150" s="2"/>
    </row>
    <row r="1151" spans="10:10">
      <c r="J1151" s="2"/>
    </row>
    <row r="1152" spans="10:10">
      <c r="J1152" s="2"/>
    </row>
    <row r="1153" spans="10:10">
      <c r="J1153" s="2"/>
    </row>
    <row r="1154" spans="10:10">
      <c r="J1154" s="2"/>
    </row>
    <row r="1155" spans="10:10">
      <c r="J1155" s="2"/>
    </row>
    <row r="1156" spans="10:10">
      <c r="J1156" s="2"/>
    </row>
    <row r="1157" spans="10:10">
      <c r="J1157" s="2"/>
    </row>
    <row r="1158" spans="10:10">
      <c r="J1158" s="2"/>
    </row>
    <row r="1159" spans="10:10">
      <c r="J1159" s="2"/>
    </row>
    <row r="1160" spans="10:10">
      <c r="J1160" s="2"/>
    </row>
    <row r="1161" spans="10:10">
      <c r="J1161" s="2"/>
    </row>
    <row r="1162" spans="10:10">
      <c r="J1162" s="2"/>
    </row>
    <row r="1163" spans="10:10">
      <c r="J1163" s="2"/>
    </row>
    <row r="1164" spans="10:10">
      <c r="J1164" s="2"/>
    </row>
    <row r="1165" spans="10:10">
      <c r="J1165" s="2"/>
    </row>
    <row r="1166" spans="10:10">
      <c r="J1166" s="2"/>
    </row>
    <row r="1167" spans="10:10">
      <c r="J1167" s="2"/>
    </row>
    <row r="1168" spans="10:10">
      <c r="J1168" s="2"/>
    </row>
    <row r="1169" spans="10:10">
      <c r="J1169" s="2"/>
    </row>
    <row r="1170" spans="10:10">
      <c r="J1170" s="2"/>
    </row>
    <row r="1171" spans="10:10">
      <c r="J1171" s="2"/>
    </row>
    <row r="1172" spans="10:10">
      <c r="J1172" s="2"/>
    </row>
    <row r="1173" spans="10:10">
      <c r="J1173" s="2"/>
    </row>
    <row r="1174" spans="10:10">
      <c r="J1174" s="2"/>
    </row>
    <row r="1175" spans="10:10">
      <c r="J1175" s="2"/>
    </row>
    <row r="1176" spans="10:10">
      <c r="J1176" s="2"/>
    </row>
    <row r="1177" spans="10:10">
      <c r="J1177" s="2"/>
    </row>
    <row r="1178" spans="10:10">
      <c r="J1178" s="2"/>
    </row>
    <row r="1179" spans="10:10">
      <c r="J1179" s="2"/>
    </row>
    <row r="1180" spans="10:10">
      <c r="J1180" s="2"/>
    </row>
    <row r="1181" spans="10:10">
      <c r="J1181" s="2"/>
    </row>
    <row r="1182" spans="10:10">
      <c r="J1182" s="2"/>
    </row>
    <row r="1183" spans="10:10">
      <c r="J1183" s="2"/>
    </row>
    <row r="1184" spans="10:10">
      <c r="J1184" s="2"/>
    </row>
    <row r="1185" spans="10:10">
      <c r="J1185" s="2"/>
    </row>
    <row r="1186" spans="10:10">
      <c r="J1186" s="2"/>
    </row>
    <row r="1187" spans="10:10">
      <c r="J1187" s="2"/>
    </row>
    <row r="1188" spans="10:10">
      <c r="J1188" s="2"/>
    </row>
    <row r="1189" spans="10:10">
      <c r="J1189" s="2"/>
    </row>
    <row r="1190" spans="10:10">
      <c r="J1190" s="2"/>
    </row>
    <row r="1191" spans="10:10">
      <c r="J1191" s="2"/>
    </row>
    <row r="1192" spans="10:10">
      <c r="J1192" s="2"/>
    </row>
    <row r="1193" spans="10:10">
      <c r="J1193" s="2"/>
    </row>
    <row r="1194" spans="10:10">
      <c r="J1194" s="2"/>
    </row>
    <row r="1195" spans="10:10">
      <c r="J1195" s="2"/>
    </row>
    <row r="1196" spans="10:10">
      <c r="J1196" s="2"/>
    </row>
    <row r="1197" spans="10:10">
      <c r="J1197" s="2"/>
    </row>
    <row r="1198" spans="10:10">
      <c r="J1198" s="2"/>
    </row>
    <row r="1199" spans="10:10">
      <c r="J1199" s="2"/>
    </row>
    <row r="1200" spans="10:10">
      <c r="J1200" s="2"/>
    </row>
    <row r="1201" spans="10:10">
      <c r="J1201" s="2"/>
    </row>
    <row r="1202" spans="10:10">
      <c r="J1202" s="2"/>
    </row>
    <row r="1203" spans="10:10">
      <c r="J1203" s="2"/>
    </row>
    <row r="1204" spans="10:10">
      <c r="J1204" s="2"/>
    </row>
    <row r="1205" spans="10:10">
      <c r="J1205" s="2"/>
    </row>
    <row r="1206" spans="10:10">
      <c r="J1206" s="2"/>
    </row>
    <row r="1207" spans="10:10">
      <c r="J1207" s="2"/>
    </row>
    <row r="1208" spans="10:10">
      <c r="J1208" s="2"/>
    </row>
    <row r="1209" spans="10:10">
      <c r="J1209" s="2"/>
    </row>
    <row r="1210" spans="10:10">
      <c r="J1210" s="2"/>
    </row>
    <row r="1211" spans="10:10">
      <c r="J1211" s="2"/>
    </row>
    <row r="1212" spans="10:10">
      <c r="J1212" s="2"/>
    </row>
    <row r="1213" spans="10:10">
      <c r="J1213" s="2"/>
    </row>
    <row r="1214" spans="10:10">
      <c r="J1214" s="2"/>
    </row>
    <row r="1215" spans="10:10">
      <c r="J1215" s="2"/>
    </row>
    <row r="1216" spans="10:10">
      <c r="J1216" s="2"/>
    </row>
    <row r="1217" spans="10:10">
      <c r="J1217" s="2"/>
    </row>
    <row r="1218" spans="10:10">
      <c r="J1218" s="2"/>
    </row>
    <row r="1219" spans="10:10">
      <c r="J1219" s="2"/>
    </row>
    <row r="1220" spans="10:10">
      <c r="J1220" s="2"/>
    </row>
    <row r="1221" spans="10:10">
      <c r="J1221" s="2"/>
    </row>
    <row r="1222" spans="10:10">
      <c r="J1222" s="2"/>
    </row>
    <row r="1223" spans="10:10">
      <c r="J1223" s="2"/>
    </row>
    <row r="1224" spans="10:10">
      <c r="J1224" s="2"/>
    </row>
    <row r="1225" spans="10:10">
      <c r="J1225" s="2"/>
    </row>
    <row r="1226" spans="10:10">
      <c r="J1226" s="2"/>
    </row>
    <row r="1227" spans="10:10">
      <c r="J1227" s="2"/>
    </row>
    <row r="1228" spans="10:10">
      <c r="J1228" s="2"/>
    </row>
    <row r="1229" spans="10:10">
      <c r="J1229" s="2"/>
    </row>
    <row r="1230" spans="10:10">
      <c r="J1230" s="2"/>
    </row>
    <row r="1231" spans="10:10">
      <c r="J1231" s="2"/>
    </row>
    <row r="1232" spans="10:10">
      <c r="J1232" s="2"/>
    </row>
    <row r="1233" spans="10:10">
      <c r="J1233" s="2"/>
    </row>
    <row r="1234" spans="10:10">
      <c r="J1234" s="2"/>
    </row>
    <row r="1235" spans="10:10">
      <c r="J1235" s="2"/>
    </row>
    <row r="1236" spans="10:10">
      <c r="J1236" s="2"/>
    </row>
    <row r="1237" spans="10:10">
      <c r="J1237" s="2"/>
    </row>
    <row r="1238" spans="10:10">
      <c r="J1238" s="2"/>
    </row>
    <row r="1239" spans="10:10">
      <c r="J1239" s="2"/>
    </row>
    <row r="1240" spans="10:10">
      <c r="J1240" s="2"/>
    </row>
    <row r="1241" spans="10:10">
      <c r="J1241" s="2"/>
    </row>
    <row r="1242" spans="10:10">
      <c r="J1242" s="2"/>
    </row>
    <row r="1243" spans="10:10">
      <c r="J1243" s="2"/>
    </row>
    <row r="1244" spans="10:10">
      <c r="J1244" s="2"/>
    </row>
    <row r="1245" spans="10:10">
      <c r="J1245" s="2"/>
    </row>
    <row r="1246" spans="10:10">
      <c r="J1246" s="2"/>
    </row>
    <row r="1247" spans="10:10">
      <c r="J1247" s="2"/>
    </row>
    <row r="1248" spans="10:10">
      <c r="J1248" s="2"/>
    </row>
    <row r="1249" spans="10:10">
      <c r="J1249" s="2"/>
    </row>
    <row r="1250" spans="10:10">
      <c r="J1250" s="2"/>
    </row>
    <row r="1251" spans="10:10">
      <c r="J1251" s="2"/>
    </row>
    <row r="1252" spans="10:10">
      <c r="J1252" s="2"/>
    </row>
    <row r="1253" spans="10:10">
      <c r="J1253" s="2"/>
    </row>
    <row r="1254" spans="10:10">
      <c r="J1254" s="2"/>
    </row>
    <row r="1255" spans="10:10">
      <c r="J1255" s="2"/>
    </row>
    <row r="1256" spans="10:10">
      <c r="J1256" s="2"/>
    </row>
    <row r="1257" spans="10:10">
      <c r="J1257" s="2"/>
    </row>
    <row r="1258" spans="10:10">
      <c r="J1258" s="2"/>
    </row>
    <row r="1259" spans="10:10">
      <c r="J1259" s="2"/>
    </row>
    <row r="1260" spans="10:10">
      <c r="J1260" s="2"/>
    </row>
    <row r="1261" spans="10:10">
      <c r="J1261" s="2"/>
    </row>
    <row r="1262" spans="10:10">
      <c r="J1262" s="2"/>
    </row>
    <row r="1263" spans="10:10">
      <c r="J1263" s="2"/>
    </row>
    <row r="1264" spans="10:10">
      <c r="J1264" s="2"/>
    </row>
    <row r="1265" spans="10:10">
      <c r="J1265" s="2"/>
    </row>
    <row r="1266" spans="10:10">
      <c r="J1266" s="2"/>
    </row>
    <row r="1267" spans="10:10">
      <c r="J1267" s="2"/>
    </row>
    <row r="1268" spans="10:10">
      <c r="J1268" s="2"/>
    </row>
    <row r="1269" spans="10:10">
      <c r="J1269" s="2"/>
    </row>
    <row r="1270" spans="10:10">
      <c r="J1270" s="2"/>
    </row>
    <row r="1271" spans="10:10">
      <c r="J1271" s="2"/>
    </row>
    <row r="1272" spans="10:10">
      <c r="J1272" s="2"/>
    </row>
    <row r="1273" spans="10:10">
      <c r="J1273" s="2"/>
    </row>
    <row r="1274" spans="10:10">
      <c r="J1274" s="2"/>
    </row>
    <row r="1275" spans="10:10">
      <c r="J1275" s="2"/>
    </row>
    <row r="1276" spans="10:10">
      <c r="J1276" s="2"/>
    </row>
    <row r="1277" spans="10:10">
      <c r="J1277" s="2"/>
    </row>
    <row r="1278" spans="10:10">
      <c r="J1278" s="2"/>
    </row>
    <row r="1279" spans="10:10">
      <c r="J1279" s="2"/>
    </row>
    <row r="1280" spans="10:10">
      <c r="J1280" s="2"/>
    </row>
    <row r="1281" spans="10:10">
      <c r="J1281" s="2"/>
    </row>
    <row r="1282" spans="10:10">
      <c r="J1282" s="2"/>
    </row>
    <row r="1283" spans="10:10">
      <c r="J1283" s="2"/>
    </row>
    <row r="1284" spans="10:10">
      <c r="J1284" s="2"/>
    </row>
    <row r="1285" spans="10:10">
      <c r="J1285" s="2"/>
    </row>
    <row r="1286" spans="10:10">
      <c r="J1286" s="2"/>
    </row>
    <row r="1287" spans="10:10">
      <c r="J1287" s="2"/>
    </row>
    <row r="1288" spans="10:10">
      <c r="J1288" s="2"/>
    </row>
    <row r="1289" spans="10:10">
      <c r="J1289" s="2"/>
    </row>
    <row r="1290" spans="10:10">
      <c r="J1290" s="2"/>
    </row>
    <row r="1291" spans="10:10">
      <c r="J1291" s="2"/>
    </row>
    <row r="1292" spans="10:10">
      <c r="J1292" s="2"/>
    </row>
    <row r="1293" spans="10:10">
      <c r="J1293" s="2"/>
    </row>
    <row r="1294" spans="10:10">
      <c r="J1294" s="2"/>
    </row>
    <row r="1295" spans="10:10">
      <c r="J1295" s="2"/>
    </row>
    <row r="1296" spans="10:10">
      <c r="J1296" s="2"/>
    </row>
    <row r="1297" spans="10:10">
      <c r="J1297" s="2"/>
    </row>
    <row r="1298" spans="10:10">
      <c r="J1298" s="2"/>
    </row>
    <row r="1299" spans="10:10">
      <c r="J1299" s="2"/>
    </row>
    <row r="1300" spans="10:10">
      <c r="J1300" s="2"/>
    </row>
    <row r="1301" spans="10:10">
      <c r="J1301" s="2"/>
    </row>
    <row r="1302" spans="10:10">
      <c r="J1302" s="2"/>
    </row>
    <row r="1303" spans="10:10">
      <c r="J1303" s="2"/>
    </row>
    <row r="1304" spans="10:10">
      <c r="J1304" s="2"/>
    </row>
    <row r="1305" spans="10:10">
      <c r="J1305" s="2"/>
    </row>
    <row r="1306" spans="10:10">
      <c r="J1306" s="2"/>
    </row>
    <row r="1307" spans="10:10">
      <c r="J1307" s="2"/>
    </row>
    <row r="1308" spans="10:10">
      <c r="J1308" s="2"/>
    </row>
    <row r="1309" spans="10:10">
      <c r="J1309" s="2"/>
    </row>
    <row r="1310" spans="10:10">
      <c r="J1310" s="2"/>
    </row>
    <row r="1311" spans="10:10">
      <c r="J1311" s="2"/>
    </row>
    <row r="1312" spans="10:10">
      <c r="J1312" s="2"/>
    </row>
    <row r="1313" spans="10:10">
      <c r="J1313" s="2"/>
    </row>
    <row r="1314" spans="10:10">
      <c r="J1314" s="2"/>
    </row>
    <row r="1315" spans="10:10">
      <c r="J1315" s="2"/>
    </row>
    <row r="1316" spans="10:10">
      <c r="J1316" s="2"/>
    </row>
    <row r="1317" spans="10:10">
      <c r="J1317" s="2"/>
    </row>
    <row r="1318" spans="10:10">
      <c r="J1318" s="2"/>
    </row>
    <row r="1319" spans="10:10">
      <c r="J1319" s="2"/>
    </row>
    <row r="1320" spans="10:10">
      <c r="J1320" s="2"/>
    </row>
    <row r="1321" spans="10:10">
      <c r="J1321" s="2"/>
    </row>
    <row r="1322" spans="10:10">
      <c r="J1322" s="2"/>
    </row>
    <row r="1323" spans="10:10">
      <c r="J1323" s="2"/>
    </row>
    <row r="1324" spans="10:10">
      <c r="J1324" s="2"/>
    </row>
    <row r="1325" spans="10:10">
      <c r="J1325" s="2"/>
    </row>
    <row r="1326" spans="10:10">
      <c r="J1326" s="2"/>
    </row>
    <row r="1327" spans="10:10">
      <c r="J1327" s="2"/>
    </row>
    <row r="1328" spans="10:10">
      <c r="J1328" s="2"/>
    </row>
    <row r="1329" spans="10:10">
      <c r="J1329" s="2"/>
    </row>
    <row r="1330" spans="10:10">
      <c r="J1330" s="2"/>
    </row>
    <row r="1331" spans="10:10">
      <c r="J1331" s="2"/>
    </row>
    <row r="1332" spans="10:10">
      <c r="J1332" s="2"/>
    </row>
    <row r="1333" spans="10:10">
      <c r="J1333" s="2"/>
    </row>
    <row r="1334" spans="10:10">
      <c r="J1334" s="2"/>
    </row>
    <row r="1335" spans="10:10">
      <c r="J1335" s="2"/>
    </row>
    <row r="1336" spans="10:10">
      <c r="J1336" s="2"/>
    </row>
    <row r="1337" spans="10:10">
      <c r="J1337" s="2"/>
    </row>
    <row r="1338" spans="10:10">
      <c r="J1338" s="2"/>
    </row>
    <row r="1339" spans="10:10">
      <c r="J1339" s="2"/>
    </row>
    <row r="1340" spans="10:10">
      <c r="J1340" s="2"/>
    </row>
    <row r="1341" spans="10:10">
      <c r="J1341" s="2"/>
    </row>
    <row r="1342" spans="10:10">
      <c r="J1342" s="2"/>
    </row>
    <row r="1343" spans="10:10">
      <c r="J1343" s="2"/>
    </row>
    <row r="1344" spans="10:10">
      <c r="J1344" s="2"/>
    </row>
    <row r="1345" spans="10:10">
      <c r="J1345" s="2"/>
    </row>
    <row r="1346" spans="10:10">
      <c r="J1346" s="2"/>
    </row>
    <row r="1347" spans="10:10">
      <c r="J1347" s="2"/>
    </row>
    <row r="1348" spans="10:10">
      <c r="J1348" s="2"/>
    </row>
    <row r="1349" spans="10:10">
      <c r="J1349" s="2"/>
    </row>
    <row r="1350" spans="10:10">
      <c r="J1350" s="2"/>
    </row>
    <row r="1351" spans="10:10">
      <c r="J1351" s="2"/>
    </row>
    <row r="1352" spans="10:10">
      <c r="J1352" s="2"/>
    </row>
    <row r="1353" spans="10:10">
      <c r="J1353" s="2"/>
    </row>
    <row r="1354" spans="10:10">
      <c r="J1354" s="2"/>
    </row>
    <row r="1355" spans="10:10">
      <c r="J1355" s="2"/>
    </row>
    <row r="1356" spans="10:10">
      <c r="J1356" s="2"/>
    </row>
    <row r="1357" spans="10:10">
      <c r="J1357" s="2"/>
    </row>
    <row r="1358" spans="10:10">
      <c r="J1358" s="2"/>
    </row>
    <row r="1359" spans="10:10">
      <c r="J1359" s="2"/>
    </row>
    <row r="1360" spans="10:10">
      <c r="J1360" s="2"/>
    </row>
    <row r="1361" spans="10:10">
      <c r="J1361" s="2"/>
    </row>
    <row r="1362" spans="10:10">
      <c r="J1362" s="2"/>
    </row>
    <row r="1363" spans="10:10">
      <c r="J1363" s="2"/>
    </row>
    <row r="1364" spans="10:10">
      <c r="J1364" s="2"/>
    </row>
    <row r="1365" spans="10:10">
      <c r="J1365" s="2"/>
    </row>
    <row r="1366" spans="10:10">
      <c r="J1366" s="2"/>
    </row>
    <row r="1367" spans="10:10">
      <c r="J1367" s="2"/>
    </row>
    <row r="1368" spans="10:10">
      <c r="J1368" s="2"/>
    </row>
    <row r="1369" spans="10:10">
      <c r="J1369" s="2"/>
    </row>
    <row r="1370" spans="10:10">
      <c r="J1370" s="2"/>
    </row>
    <row r="1371" spans="10:10">
      <c r="J1371" s="2"/>
    </row>
    <row r="1372" spans="10:10">
      <c r="J1372" s="2"/>
    </row>
    <row r="1373" spans="10:10">
      <c r="J1373" s="2"/>
    </row>
    <row r="1374" spans="10:10">
      <c r="J1374" s="2"/>
    </row>
    <row r="1375" spans="10:10">
      <c r="J1375" s="2"/>
    </row>
    <row r="1376" spans="10:10">
      <c r="J1376" s="2"/>
    </row>
    <row r="1377" spans="10:10">
      <c r="J1377" s="2"/>
    </row>
    <row r="1378" spans="10:10">
      <c r="J1378" s="2"/>
    </row>
    <row r="1379" spans="10:10">
      <c r="J1379" s="2"/>
    </row>
    <row r="1380" spans="10:10">
      <c r="J1380" s="2"/>
    </row>
    <row r="1381" spans="10:10">
      <c r="J1381" s="2"/>
    </row>
    <row r="1382" spans="10:10">
      <c r="J1382" s="2"/>
    </row>
    <row r="1383" spans="10:10">
      <c r="J1383" s="2"/>
    </row>
    <row r="1384" spans="10:10">
      <c r="J1384" s="2"/>
    </row>
    <row r="1385" spans="10:10">
      <c r="J1385" s="2"/>
    </row>
    <row r="1386" spans="10:10">
      <c r="J1386" s="2"/>
    </row>
    <row r="1387" spans="10:10">
      <c r="J1387" s="2"/>
    </row>
    <row r="1388" spans="10:10">
      <c r="J1388" s="2"/>
    </row>
    <row r="1389" spans="10:10">
      <c r="J1389" s="2"/>
    </row>
    <row r="1390" spans="10:10">
      <c r="J1390" s="2"/>
    </row>
    <row r="1391" spans="10:10">
      <c r="J1391" s="2"/>
    </row>
    <row r="1392" spans="10:10">
      <c r="J1392" s="2"/>
    </row>
    <row r="1393" spans="10:10">
      <c r="J1393" s="2"/>
    </row>
    <row r="1394" spans="10:10">
      <c r="J1394" s="2"/>
    </row>
    <row r="1395" spans="10:10">
      <c r="J1395" s="2"/>
    </row>
    <row r="1396" spans="10:10">
      <c r="J1396" s="2"/>
    </row>
    <row r="1397" spans="10:10">
      <c r="J1397" s="2"/>
    </row>
    <row r="1398" spans="10:10">
      <c r="J1398" s="2"/>
    </row>
    <row r="1399" spans="10:10">
      <c r="J1399" s="2"/>
    </row>
    <row r="1400" spans="10:10">
      <c r="J1400" s="2"/>
    </row>
    <row r="1401" spans="10:10">
      <c r="J1401" s="2"/>
    </row>
    <row r="1402" spans="10:10">
      <c r="J1402" s="2"/>
    </row>
    <row r="1403" spans="10:10">
      <c r="J1403" s="2"/>
    </row>
    <row r="1404" spans="10:10">
      <c r="J1404" s="2"/>
    </row>
    <row r="1405" spans="10:10">
      <c r="J1405" s="2"/>
    </row>
    <row r="1406" spans="10:10">
      <c r="J1406" s="2"/>
    </row>
    <row r="1407" spans="10:10">
      <c r="J1407" s="2"/>
    </row>
    <row r="1408" spans="10:10">
      <c r="J1408" s="2"/>
    </row>
    <row r="1409" spans="10:10">
      <c r="J1409" s="2"/>
    </row>
    <row r="1410" spans="10:10">
      <c r="J1410" s="2"/>
    </row>
    <row r="1411" spans="10:10">
      <c r="J1411" s="2"/>
    </row>
    <row r="1412" spans="10:10">
      <c r="J1412" s="2"/>
    </row>
    <row r="1413" spans="10:10">
      <c r="J1413" s="2"/>
    </row>
    <row r="1414" spans="10:10">
      <c r="J1414" s="2"/>
    </row>
    <row r="1415" spans="10:10">
      <c r="J1415" s="2"/>
    </row>
    <row r="1416" spans="10:10">
      <c r="J1416" s="2"/>
    </row>
    <row r="1417" spans="10:10">
      <c r="J1417" s="2"/>
    </row>
    <row r="1418" spans="10:10">
      <c r="J1418" s="2"/>
    </row>
    <row r="1419" spans="10:10">
      <c r="J1419" s="2"/>
    </row>
    <row r="1420" spans="10:10">
      <c r="J1420" s="2"/>
    </row>
    <row r="1421" spans="10:10">
      <c r="J1421" s="2"/>
    </row>
    <row r="1422" spans="10:10">
      <c r="J1422" s="2"/>
    </row>
    <row r="1423" spans="10:10">
      <c r="J1423" s="2"/>
    </row>
    <row r="1424" spans="10:10">
      <c r="J1424" s="2"/>
    </row>
    <row r="1425" spans="10:10">
      <c r="J1425" s="2"/>
    </row>
    <row r="1426" spans="10:10">
      <c r="J1426" s="2"/>
    </row>
    <row r="1427" spans="10:10">
      <c r="J1427" s="2"/>
    </row>
    <row r="1428" spans="10:10">
      <c r="J1428" s="2"/>
    </row>
    <row r="1429" spans="10:10">
      <c r="J1429" s="2"/>
    </row>
    <row r="1430" spans="10:10">
      <c r="J1430" s="2"/>
    </row>
    <row r="1431" spans="10:10">
      <c r="J1431" s="2"/>
    </row>
    <row r="1432" spans="10:10">
      <c r="J1432" s="2"/>
    </row>
    <row r="1433" spans="10:10">
      <c r="J1433" s="2"/>
    </row>
    <row r="1434" spans="10:10">
      <c r="J1434" s="2"/>
    </row>
    <row r="1435" spans="10:10">
      <c r="J1435" s="2"/>
    </row>
    <row r="1436" spans="10:10">
      <c r="J1436" s="2"/>
    </row>
    <row r="1437" spans="10:10">
      <c r="J1437" s="2"/>
    </row>
    <row r="1438" spans="10:10">
      <c r="J1438" s="2"/>
    </row>
    <row r="1439" spans="10:10">
      <c r="J1439" s="2"/>
    </row>
    <row r="1440" spans="10:10">
      <c r="J1440" s="2"/>
    </row>
    <row r="1441" spans="10:10">
      <c r="J1441" s="2"/>
    </row>
    <row r="1442" spans="10:10">
      <c r="J1442" s="2"/>
    </row>
    <row r="1443" spans="10:10">
      <c r="J1443" s="2"/>
    </row>
    <row r="1444" spans="10:10">
      <c r="J1444" s="2"/>
    </row>
    <row r="1445" spans="10:10">
      <c r="J1445" s="2"/>
    </row>
    <row r="1446" spans="10:10">
      <c r="J1446" s="2"/>
    </row>
    <row r="1447" spans="10:10">
      <c r="J1447" s="2"/>
    </row>
    <row r="1448" spans="10:10">
      <c r="J1448" s="2"/>
    </row>
    <row r="1449" spans="10:10">
      <c r="J1449" s="2"/>
    </row>
    <row r="1450" spans="10:10">
      <c r="J1450" s="2"/>
    </row>
    <row r="1451" spans="10:10">
      <c r="J1451" s="2"/>
    </row>
    <row r="1452" spans="10:10">
      <c r="J1452" s="2"/>
    </row>
    <row r="1453" spans="10:10">
      <c r="J1453" s="2"/>
    </row>
    <row r="1454" spans="10:10">
      <c r="J1454" s="2"/>
    </row>
    <row r="1455" spans="10:10">
      <c r="J1455" s="2"/>
    </row>
    <row r="1456" spans="10:10">
      <c r="J1456" s="2"/>
    </row>
    <row r="1457" spans="10:10">
      <c r="J1457" s="2"/>
    </row>
    <row r="1458" spans="10:10">
      <c r="J1458" s="2"/>
    </row>
    <row r="1459" spans="10:10">
      <c r="J1459" s="2"/>
    </row>
    <row r="1460" spans="10:10">
      <c r="J1460" s="2"/>
    </row>
    <row r="1461" spans="10:10">
      <c r="J1461" s="2"/>
    </row>
    <row r="1462" spans="10:10">
      <c r="J1462" s="2"/>
    </row>
    <row r="1463" spans="10:10">
      <c r="J1463" s="2"/>
    </row>
    <row r="1464" spans="10:10">
      <c r="J1464" s="2"/>
    </row>
    <row r="1465" spans="10:10">
      <c r="J1465" s="2"/>
    </row>
    <row r="1466" spans="10:10">
      <c r="J1466" s="2"/>
    </row>
    <row r="1467" spans="10:10">
      <c r="J1467" s="2"/>
    </row>
    <row r="1468" spans="10:10">
      <c r="J1468" s="2"/>
    </row>
    <row r="1469" spans="10:10">
      <c r="J1469" s="2"/>
    </row>
    <row r="1470" spans="10:10">
      <c r="J1470" s="2"/>
    </row>
    <row r="1471" spans="10:10">
      <c r="J1471" s="2"/>
    </row>
    <row r="1472" spans="10:10">
      <c r="J1472" s="2"/>
    </row>
    <row r="1473" spans="10:10">
      <c r="J1473" s="2"/>
    </row>
    <row r="1474" spans="10:10">
      <c r="J1474" s="2"/>
    </row>
    <row r="1475" spans="10:10">
      <c r="J1475" s="2"/>
    </row>
    <row r="1476" spans="10:10">
      <c r="J1476" s="2"/>
    </row>
    <row r="1477" spans="10:10">
      <c r="J1477" s="2"/>
    </row>
    <row r="1478" spans="10:10">
      <c r="J1478" s="2"/>
    </row>
    <row r="1479" spans="10:10">
      <c r="J1479" s="2"/>
    </row>
    <row r="1480" spans="10:10">
      <c r="J1480" s="2"/>
    </row>
    <row r="1481" spans="10:10">
      <c r="J1481" s="2"/>
    </row>
    <row r="1482" spans="10:10">
      <c r="J1482" s="2"/>
    </row>
    <row r="1483" spans="10:10">
      <c r="J1483" s="2"/>
    </row>
    <row r="1484" spans="10:10">
      <c r="J1484" s="2"/>
    </row>
    <row r="1485" spans="10:10">
      <c r="J1485" s="2"/>
    </row>
    <row r="1486" spans="10:10">
      <c r="J1486" s="2"/>
    </row>
    <row r="1487" spans="10:10">
      <c r="J1487" s="2"/>
    </row>
    <row r="1488" spans="10:10">
      <c r="J1488" s="2"/>
    </row>
    <row r="1489" spans="10:10">
      <c r="J1489" s="2"/>
    </row>
    <row r="1490" spans="10:10">
      <c r="J1490" s="2"/>
    </row>
    <row r="1491" spans="10:10">
      <c r="J1491" s="2"/>
    </row>
    <row r="1492" spans="10:10">
      <c r="J1492" s="2"/>
    </row>
    <row r="1493" spans="10:10">
      <c r="J1493" s="2"/>
    </row>
    <row r="1494" spans="10:10">
      <c r="J1494" s="2"/>
    </row>
    <row r="1495" spans="10:10">
      <c r="J1495" s="2"/>
    </row>
    <row r="1496" spans="10:10">
      <c r="J1496" s="2"/>
    </row>
    <row r="1497" spans="10:10">
      <c r="J1497" s="2"/>
    </row>
    <row r="1498" spans="10:10">
      <c r="J1498" s="2"/>
    </row>
    <row r="1499" spans="10:10">
      <c r="J1499" s="2"/>
    </row>
    <row r="1500" spans="10:10">
      <c r="J1500" s="2"/>
    </row>
    <row r="1501" spans="10:10">
      <c r="J1501" s="2"/>
    </row>
    <row r="1502" spans="10:10">
      <c r="J1502" s="2"/>
    </row>
    <row r="1503" spans="10:10">
      <c r="J1503" s="2"/>
    </row>
    <row r="1504" spans="10:10">
      <c r="J1504" s="2"/>
    </row>
    <row r="1505" spans="10:10">
      <c r="J1505" s="2"/>
    </row>
    <row r="1506" spans="10:10">
      <c r="J1506" s="2"/>
    </row>
    <row r="1507" spans="10:10">
      <c r="J1507" s="2"/>
    </row>
    <row r="1508" spans="10:10">
      <c r="J1508" s="2"/>
    </row>
    <row r="1509" spans="10:10">
      <c r="J1509" s="2"/>
    </row>
    <row r="1510" spans="10:10">
      <c r="J1510" s="2"/>
    </row>
    <row r="1511" spans="10:10">
      <c r="J1511" s="2"/>
    </row>
    <row r="1512" spans="10:10">
      <c r="J1512" s="2"/>
    </row>
    <row r="1513" spans="10:10">
      <c r="J1513" s="2"/>
    </row>
    <row r="1514" spans="10:10">
      <c r="J1514" s="2"/>
    </row>
    <row r="1515" spans="10:10">
      <c r="J1515" s="2"/>
    </row>
    <row r="1516" spans="10:10">
      <c r="J1516" s="2"/>
    </row>
    <row r="1517" spans="10:10">
      <c r="J1517" s="2"/>
    </row>
    <row r="1518" spans="10:10">
      <c r="J1518" s="2"/>
    </row>
    <row r="1519" spans="10:10">
      <c r="J1519" s="2"/>
    </row>
    <row r="1520" spans="10:10">
      <c r="J1520" s="2"/>
    </row>
    <row r="1521" spans="10:10">
      <c r="J1521" s="2"/>
    </row>
    <row r="1522" spans="10:10">
      <c r="J1522" s="2"/>
    </row>
    <row r="1523" spans="10:10">
      <c r="J1523" s="2"/>
    </row>
    <row r="1524" spans="10:10">
      <c r="J1524" s="2"/>
    </row>
    <row r="1525" spans="10:10">
      <c r="J1525" s="2"/>
    </row>
    <row r="1526" spans="10:10">
      <c r="J1526" s="2"/>
    </row>
    <row r="1527" spans="10:10">
      <c r="J1527" s="2"/>
    </row>
    <row r="1528" spans="10:10">
      <c r="J1528" s="2"/>
    </row>
    <row r="1529" spans="10:10">
      <c r="J1529" s="2"/>
    </row>
    <row r="1530" spans="10:10">
      <c r="J1530" s="2"/>
    </row>
    <row r="1531" spans="10:10">
      <c r="J1531" s="2"/>
    </row>
    <row r="1532" spans="10:10">
      <c r="J1532" s="2"/>
    </row>
    <row r="1533" spans="10:10">
      <c r="J1533" s="2"/>
    </row>
    <row r="1534" spans="10:10">
      <c r="J1534" s="2"/>
    </row>
    <row r="1535" spans="10:10">
      <c r="J1535" s="2"/>
    </row>
    <row r="1536" spans="10:10">
      <c r="J1536" s="2"/>
    </row>
    <row r="1537" spans="10:10">
      <c r="J1537" s="2"/>
    </row>
    <row r="1538" spans="10:10">
      <c r="J1538" s="2"/>
    </row>
    <row r="1539" spans="10:10">
      <c r="J1539" s="2"/>
    </row>
    <row r="1540" spans="10:10">
      <c r="J1540" s="2"/>
    </row>
    <row r="1541" spans="10:10">
      <c r="J1541" s="2"/>
    </row>
    <row r="1542" spans="10:10">
      <c r="J1542" s="2"/>
    </row>
    <row r="1543" spans="10:10">
      <c r="J1543" s="2"/>
    </row>
    <row r="1544" spans="10:10">
      <c r="J1544" s="2"/>
    </row>
    <row r="1545" spans="10:10">
      <c r="J1545" s="2"/>
    </row>
    <row r="1546" spans="10:10">
      <c r="J1546" s="2"/>
    </row>
    <row r="1547" spans="10:10">
      <c r="J1547" s="2"/>
    </row>
    <row r="1548" spans="10:10">
      <c r="J1548" s="2"/>
    </row>
    <row r="1549" spans="10:10">
      <c r="J1549" s="2"/>
    </row>
    <row r="1550" spans="10:10">
      <c r="J1550" s="2"/>
    </row>
    <row r="1551" spans="10:10">
      <c r="J1551" s="2"/>
    </row>
    <row r="1552" spans="10:10">
      <c r="J1552" s="2"/>
    </row>
    <row r="1553" spans="10:10">
      <c r="J1553" s="2"/>
    </row>
    <row r="1554" spans="10:10">
      <c r="J1554" s="2"/>
    </row>
    <row r="1555" spans="10:10">
      <c r="J1555" s="2"/>
    </row>
    <row r="1556" spans="10:10">
      <c r="J1556" s="2"/>
    </row>
    <row r="1557" spans="10:10">
      <c r="J1557" s="2"/>
    </row>
    <row r="1558" spans="10:10">
      <c r="J1558" s="2"/>
    </row>
    <row r="1559" spans="10:10">
      <c r="J1559" s="2"/>
    </row>
    <row r="1560" spans="10:10">
      <c r="J1560" s="2"/>
    </row>
    <row r="1561" spans="10:10">
      <c r="J1561" s="2"/>
    </row>
    <row r="1562" spans="10:10">
      <c r="J1562" s="2"/>
    </row>
    <row r="1563" spans="10:10">
      <c r="J1563" s="2"/>
    </row>
    <row r="1564" spans="10:10">
      <c r="J1564" s="2"/>
    </row>
    <row r="1565" spans="10:10">
      <c r="J1565" s="2"/>
    </row>
    <row r="1566" spans="10:10">
      <c r="J1566" s="2"/>
    </row>
    <row r="1567" spans="10:10">
      <c r="J1567" s="2"/>
    </row>
    <row r="1568" spans="10:10">
      <c r="J1568" s="2"/>
    </row>
    <row r="1569" spans="10:10">
      <c r="J1569" s="2"/>
    </row>
    <row r="1570" spans="10:10">
      <c r="J1570" s="2"/>
    </row>
    <row r="1571" spans="10:10">
      <c r="J1571" s="2"/>
    </row>
    <row r="1572" spans="10:10">
      <c r="J1572" s="2"/>
    </row>
    <row r="1573" spans="10:10">
      <c r="J1573" s="2"/>
    </row>
    <row r="1574" spans="10:10">
      <c r="J1574" s="2"/>
    </row>
    <row r="1575" spans="10:10">
      <c r="J1575" s="2"/>
    </row>
    <row r="1576" spans="10:10">
      <c r="J1576" s="2"/>
    </row>
    <row r="1577" spans="10:10">
      <c r="J1577" s="2"/>
    </row>
    <row r="1578" spans="10:10">
      <c r="J1578" s="2"/>
    </row>
    <row r="1579" spans="10:10">
      <c r="J1579" s="2"/>
    </row>
    <row r="1580" spans="10:10">
      <c r="J1580" s="2"/>
    </row>
    <row r="1581" spans="10:10">
      <c r="J1581" s="2"/>
    </row>
    <row r="1582" spans="10:10">
      <c r="J1582" s="2"/>
    </row>
    <row r="1583" spans="10:10">
      <c r="J1583" s="2"/>
    </row>
    <row r="1584" spans="10:10">
      <c r="J1584" s="2"/>
    </row>
    <row r="1585" spans="10:10">
      <c r="J1585" s="2"/>
    </row>
    <row r="1586" spans="10:10">
      <c r="J1586" s="2"/>
    </row>
    <row r="1587" spans="10:10">
      <c r="J1587" s="2"/>
    </row>
    <row r="1588" spans="10:10">
      <c r="J1588" s="2"/>
    </row>
    <row r="1589" spans="10:10">
      <c r="J1589" s="2"/>
    </row>
    <row r="1590" spans="10:10">
      <c r="J1590" s="2"/>
    </row>
    <row r="1591" spans="10:10">
      <c r="J1591" s="2"/>
    </row>
    <row r="1592" spans="10:10">
      <c r="J1592" s="2"/>
    </row>
    <row r="1593" spans="10:10">
      <c r="J1593" s="2"/>
    </row>
    <row r="1594" spans="10:10">
      <c r="J1594" s="2"/>
    </row>
    <row r="1595" spans="10:10">
      <c r="J1595" s="2"/>
    </row>
    <row r="1596" spans="10:10">
      <c r="J1596" s="2"/>
    </row>
    <row r="1597" spans="10:10">
      <c r="J1597" s="2"/>
    </row>
    <row r="1598" spans="10:10">
      <c r="J1598" s="2"/>
    </row>
    <row r="1599" spans="10:10">
      <c r="J1599" s="2"/>
    </row>
    <row r="1600" spans="10:10">
      <c r="J1600" s="2"/>
    </row>
    <row r="1601" spans="10:10">
      <c r="J1601" s="2"/>
    </row>
    <row r="1602" spans="10:10">
      <c r="J1602" s="2"/>
    </row>
    <row r="1603" spans="10:10">
      <c r="J1603" s="2"/>
    </row>
    <row r="1604" spans="10:10">
      <c r="J1604" s="2"/>
    </row>
    <row r="1605" spans="10:10">
      <c r="J1605" s="2"/>
    </row>
    <row r="1606" spans="10:10">
      <c r="J1606" s="2"/>
    </row>
    <row r="1607" spans="10:10">
      <c r="J1607" s="2"/>
    </row>
    <row r="1608" spans="10:10">
      <c r="J1608" s="2"/>
    </row>
    <row r="1609" spans="10:10">
      <c r="J1609" s="2"/>
    </row>
    <row r="1610" spans="10:10">
      <c r="J1610" s="2"/>
    </row>
    <row r="1611" spans="10:10">
      <c r="J1611" s="2"/>
    </row>
    <row r="1612" spans="10:10">
      <c r="J1612" s="2"/>
    </row>
    <row r="1613" spans="10:10">
      <c r="J1613" s="2"/>
    </row>
    <row r="1614" spans="10:10">
      <c r="J1614" s="2"/>
    </row>
    <row r="1615" spans="10:10">
      <c r="J1615" s="2"/>
    </row>
    <row r="1616" spans="10:10">
      <c r="J1616" s="2"/>
    </row>
    <row r="1617" spans="10:10">
      <c r="J1617" s="2"/>
    </row>
    <row r="1618" spans="10:10">
      <c r="J1618" s="2"/>
    </row>
    <row r="1619" spans="10:10">
      <c r="J1619" s="2"/>
    </row>
    <row r="1620" spans="10:10">
      <c r="J1620" s="2"/>
    </row>
    <row r="1621" spans="10:10">
      <c r="J1621" s="2"/>
    </row>
    <row r="1622" spans="10:10">
      <c r="J1622" s="2"/>
    </row>
    <row r="1623" spans="10:10">
      <c r="J1623" s="2"/>
    </row>
    <row r="1624" spans="10:10">
      <c r="J1624" s="2"/>
    </row>
    <row r="1625" spans="10:10">
      <c r="J1625" s="2"/>
    </row>
    <row r="1626" spans="10:10">
      <c r="J1626" s="2"/>
    </row>
    <row r="1627" spans="10:10">
      <c r="J1627" s="2"/>
    </row>
    <row r="1628" spans="10:10">
      <c r="J1628" s="2"/>
    </row>
    <row r="1629" spans="10:10">
      <c r="J1629" s="2"/>
    </row>
    <row r="1630" spans="10:10">
      <c r="J1630" s="2"/>
    </row>
    <row r="1631" spans="10:10">
      <c r="J1631" s="2"/>
    </row>
    <row r="1632" spans="10:10">
      <c r="J1632" s="2"/>
    </row>
    <row r="1633" spans="10:10">
      <c r="J1633" s="2"/>
    </row>
    <row r="1634" spans="10:10">
      <c r="J1634" s="2"/>
    </row>
    <row r="1635" spans="10:10">
      <c r="J1635" s="2"/>
    </row>
    <row r="1636" spans="10:10">
      <c r="J1636" s="2"/>
    </row>
    <row r="1637" spans="10:10">
      <c r="J1637" s="2"/>
    </row>
    <row r="1638" spans="10:10">
      <c r="J1638" s="2"/>
    </row>
    <row r="1639" spans="10:10">
      <c r="J1639" s="2"/>
    </row>
    <row r="1640" spans="10:10">
      <c r="J1640" s="2"/>
    </row>
    <row r="1641" spans="10:10">
      <c r="J1641" s="2"/>
    </row>
    <row r="1642" spans="10:10">
      <c r="J1642" s="2"/>
    </row>
    <row r="1643" spans="10:10">
      <c r="J1643" s="2"/>
    </row>
    <row r="1644" spans="10:10">
      <c r="J1644" s="2"/>
    </row>
    <row r="1645" spans="10:10">
      <c r="J1645" s="2"/>
    </row>
    <row r="1646" spans="10:10">
      <c r="J1646" s="2"/>
    </row>
    <row r="1647" spans="10:10">
      <c r="J1647" s="2"/>
    </row>
    <row r="1648" spans="10:10">
      <c r="J1648" s="2"/>
    </row>
    <row r="1649" spans="10:10">
      <c r="J1649" s="2"/>
    </row>
    <row r="1650" spans="10:10">
      <c r="J1650" s="2"/>
    </row>
    <row r="1651" spans="10:10">
      <c r="J1651" s="2"/>
    </row>
    <row r="1652" spans="10:10">
      <c r="J1652" s="2"/>
    </row>
    <row r="1653" spans="10:10">
      <c r="J1653" s="2"/>
    </row>
    <row r="1654" spans="10:10">
      <c r="J1654" s="2"/>
    </row>
    <row r="1655" spans="10:10">
      <c r="J1655" s="2"/>
    </row>
    <row r="1656" spans="10:10">
      <c r="J1656" s="2"/>
    </row>
    <row r="1657" spans="10:10">
      <c r="J1657" s="2"/>
    </row>
    <row r="1658" spans="10:10">
      <c r="J1658" s="2"/>
    </row>
    <row r="1659" spans="10:10">
      <c r="J1659" s="2"/>
    </row>
    <row r="1660" spans="10:10">
      <c r="J1660" s="2"/>
    </row>
    <row r="1661" spans="10:10">
      <c r="J1661" s="2"/>
    </row>
    <row r="1662" spans="10:10">
      <c r="J1662" s="2"/>
    </row>
    <row r="1663" spans="10:10">
      <c r="J1663" s="2"/>
    </row>
    <row r="1664" spans="10:10">
      <c r="J1664" s="2"/>
    </row>
    <row r="1665" spans="10:10">
      <c r="J1665" s="2"/>
    </row>
    <row r="1666" spans="10:10">
      <c r="J1666" s="2"/>
    </row>
    <row r="1667" spans="10:10">
      <c r="J1667" s="2"/>
    </row>
    <row r="1668" spans="10:10">
      <c r="J1668" s="2"/>
    </row>
    <row r="1669" spans="10:10">
      <c r="J1669" s="2"/>
    </row>
    <row r="1670" spans="10:10">
      <c r="J1670" s="2"/>
    </row>
    <row r="1671" spans="10:10">
      <c r="J1671" s="2"/>
    </row>
    <row r="1672" spans="10:10">
      <c r="J1672" s="2"/>
    </row>
    <row r="1673" spans="10:10">
      <c r="J1673" s="2"/>
    </row>
    <row r="1674" spans="10:10">
      <c r="J1674" s="2"/>
    </row>
    <row r="1675" spans="10:10">
      <c r="J1675" s="2"/>
    </row>
    <row r="1676" spans="10:10">
      <c r="J1676" s="2"/>
    </row>
    <row r="1677" spans="10:10">
      <c r="J1677" s="2"/>
    </row>
    <row r="1678" spans="10:10">
      <c r="J1678" s="2"/>
    </row>
    <row r="1679" spans="10:10">
      <c r="J1679" s="2"/>
    </row>
    <row r="1680" spans="10:10">
      <c r="J1680" s="2"/>
    </row>
    <row r="1681" spans="10:10">
      <c r="J1681" s="2"/>
    </row>
    <row r="1682" spans="10:10">
      <c r="J1682" s="2"/>
    </row>
    <row r="1683" spans="10:10">
      <c r="J1683" s="2"/>
    </row>
    <row r="1684" spans="10:10">
      <c r="J1684" s="2"/>
    </row>
    <row r="1685" spans="10:10">
      <c r="J1685" s="2"/>
    </row>
    <row r="1686" spans="10:10">
      <c r="J1686" s="2"/>
    </row>
    <row r="1687" spans="10:10">
      <c r="J1687" s="2"/>
    </row>
    <row r="1688" spans="10:10">
      <c r="J1688" s="2"/>
    </row>
    <row r="1689" spans="10:10">
      <c r="J1689" s="2"/>
    </row>
    <row r="1690" spans="10:10">
      <c r="J1690" s="2"/>
    </row>
    <row r="1691" spans="10:10">
      <c r="J1691" s="2"/>
    </row>
    <row r="1692" spans="10:10">
      <c r="J1692" s="2"/>
    </row>
    <row r="1693" spans="10:10">
      <c r="J1693" s="2"/>
    </row>
    <row r="1694" spans="10:10">
      <c r="J1694" s="2"/>
    </row>
    <row r="1695" spans="10:10">
      <c r="J1695" s="2"/>
    </row>
    <row r="1696" spans="10:10">
      <c r="J1696" s="2"/>
    </row>
    <row r="1697" spans="10:10">
      <c r="J1697" s="2"/>
    </row>
    <row r="1698" spans="10:10">
      <c r="J1698" s="2"/>
    </row>
    <row r="1699" spans="10:10">
      <c r="J1699" s="2"/>
    </row>
    <row r="1700" spans="10:10">
      <c r="J1700" s="2"/>
    </row>
    <row r="1701" spans="10:10">
      <c r="J1701" s="2"/>
    </row>
    <row r="1702" spans="10:10">
      <c r="J1702" s="2"/>
    </row>
    <row r="1703" spans="10:10">
      <c r="J1703" s="2"/>
    </row>
    <row r="1704" spans="10:10">
      <c r="J1704" s="2"/>
    </row>
    <row r="1705" spans="10:10">
      <c r="J1705" s="2"/>
    </row>
    <row r="1706" spans="10:10">
      <c r="J1706" s="2"/>
    </row>
    <row r="1707" spans="10:10">
      <c r="J1707" s="2"/>
    </row>
    <row r="1708" spans="10:10">
      <c r="J1708" s="2"/>
    </row>
    <row r="1709" spans="10:10">
      <c r="J1709" s="2"/>
    </row>
    <row r="1710" spans="10:10">
      <c r="J1710" s="2"/>
    </row>
    <row r="1711" spans="10:10">
      <c r="J1711" s="2"/>
    </row>
    <row r="1712" spans="10:10">
      <c r="J1712" s="2"/>
    </row>
    <row r="1713" spans="10:10">
      <c r="J1713" s="2"/>
    </row>
    <row r="1714" spans="10:10">
      <c r="J1714" s="2"/>
    </row>
    <row r="1715" spans="10:10">
      <c r="J1715" s="2"/>
    </row>
    <row r="1716" spans="10:10">
      <c r="J1716" s="2"/>
    </row>
    <row r="1717" spans="10:10">
      <c r="J1717" s="2"/>
    </row>
    <row r="1718" spans="10:10">
      <c r="J1718" s="2"/>
    </row>
    <row r="1719" spans="10:10">
      <c r="J1719" s="2"/>
    </row>
    <row r="1720" spans="10:10">
      <c r="J1720" s="2"/>
    </row>
    <row r="1721" spans="10:10">
      <c r="J1721" s="2"/>
    </row>
    <row r="1722" spans="10:10">
      <c r="J1722" s="2"/>
    </row>
    <row r="1723" spans="10:10">
      <c r="J1723" s="2"/>
    </row>
    <row r="1724" spans="10:10">
      <c r="J1724" s="2"/>
    </row>
    <row r="1725" spans="10:10">
      <c r="J1725" s="2"/>
    </row>
    <row r="1726" spans="10:10">
      <c r="J1726" s="2"/>
    </row>
    <row r="1727" spans="10:10">
      <c r="J1727" s="2"/>
    </row>
    <row r="1728" spans="10:10">
      <c r="J1728" s="2"/>
    </row>
    <row r="1729" spans="10:10">
      <c r="J1729" s="2"/>
    </row>
    <row r="1730" spans="10:10">
      <c r="J1730" s="2"/>
    </row>
    <row r="1731" spans="10:10">
      <c r="J1731" s="2"/>
    </row>
    <row r="1732" spans="10:10">
      <c r="J1732" s="2"/>
    </row>
    <row r="1733" spans="10:10">
      <c r="J1733" s="2"/>
    </row>
    <row r="1734" spans="10:10">
      <c r="J1734" s="2"/>
    </row>
    <row r="1735" spans="10:10">
      <c r="J1735" s="2"/>
    </row>
    <row r="1736" spans="10:10">
      <c r="J1736" s="2"/>
    </row>
    <row r="1737" spans="10:10">
      <c r="J1737" s="2"/>
    </row>
    <row r="1738" spans="10:10">
      <c r="J1738" s="2"/>
    </row>
    <row r="1739" spans="10:10">
      <c r="J1739" s="2"/>
    </row>
    <row r="1740" spans="10:10">
      <c r="J1740" s="2"/>
    </row>
    <row r="1741" spans="10:10">
      <c r="J1741" s="2"/>
    </row>
    <row r="1742" spans="10:10">
      <c r="J1742" s="2"/>
    </row>
    <row r="1743" spans="10:10">
      <c r="J1743" s="2"/>
    </row>
    <row r="1744" spans="10:10">
      <c r="J1744" s="2"/>
    </row>
    <row r="1745" spans="10:10">
      <c r="J1745" s="2"/>
    </row>
    <row r="1746" spans="10:10">
      <c r="J1746" s="2"/>
    </row>
    <row r="1747" spans="10:10">
      <c r="J1747" s="2"/>
    </row>
    <row r="1748" spans="10:10">
      <c r="J1748" s="2"/>
    </row>
    <row r="1749" spans="10:10">
      <c r="J1749" s="2"/>
    </row>
    <row r="1750" spans="10:10">
      <c r="J1750" s="2"/>
    </row>
    <row r="1751" spans="10:10">
      <c r="J1751" s="2"/>
    </row>
    <row r="1752" spans="10:10">
      <c r="J1752" s="2"/>
    </row>
    <row r="1753" spans="10:10">
      <c r="J1753" s="2"/>
    </row>
    <row r="1754" spans="10:10">
      <c r="J1754" s="2"/>
    </row>
    <row r="1755" spans="10:10">
      <c r="J1755" s="2"/>
    </row>
    <row r="1756" spans="10:10">
      <c r="J1756" s="2"/>
    </row>
    <row r="1757" spans="10:10">
      <c r="J1757" s="2"/>
    </row>
    <row r="1758" spans="10:10">
      <c r="J1758" s="2"/>
    </row>
    <row r="1759" spans="10:10">
      <c r="J1759" s="2"/>
    </row>
    <row r="1760" spans="10:10">
      <c r="J1760" s="2"/>
    </row>
    <row r="1761" spans="10:10">
      <c r="J1761" s="2"/>
    </row>
    <row r="1762" spans="10:10">
      <c r="J1762" s="2"/>
    </row>
    <row r="1763" spans="10:10">
      <c r="J1763" s="2"/>
    </row>
    <row r="1764" spans="10:10">
      <c r="J1764" s="2"/>
    </row>
    <row r="1765" spans="10:10">
      <c r="J1765" s="2"/>
    </row>
    <row r="1766" spans="10:10">
      <c r="J1766" s="2"/>
    </row>
    <row r="1767" spans="10:10">
      <c r="J1767" s="2"/>
    </row>
    <row r="1768" spans="10:10">
      <c r="J1768" s="2"/>
    </row>
    <row r="1769" spans="10:10">
      <c r="J1769" s="2"/>
    </row>
    <row r="1770" spans="10:10">
      <c r="J1770" s="2"/>
    </row>
    <row r="1771" spans="10:10">
      <c r="J1771" s="2"/>
    </row>
    <row r="1772" spans="10:10">
      <c r="J1772" s="2"/>
    </row>
    <row r="1773" spans="10:10">
      <c r="J1773" s="2"/>
    </row>
    <row r="1774" spans="10:10">
      <c r="J1774" s="2"/>
    </row>
    <row r="1775" spans="10:10">
      <c r="J1775" s="2"/>
    </row>
    <row r="1776" spans="10:10">
      <c r="J1776" s="2"/>
    </row>
    <row r="1777" spans="10:10">
      <c r="J1777" s="2"/>
    </row>
    <row r="1778" spans="10:10">
      <c r="J1778" s="2"/>
    </row>
    <row r="1779" spans="10:10">
      <c r="J1779" s="2"/>
    </row>
    <row r="1780" spans="10:10">
      <c r="J1780" s="2"/>
    </row>
    <row r="1781" spans="10:10">
      <c r="J1781" s="2"/>
    </row>
    <row r="1782" spans="10:10">
      <c r="J1782" s="2"/>
    </row>
    <row r="1783" spans="10:10">
      <c r="J1783" s="2"/>
    </row>
    <row r="1784" spans="10:10">
      <c r="J1784" s="2"/>
    </row>
    <row r="1785" spans="10:10">
      <c r="J1785" s="2"/>
    </row>
    <row r="1786" spans="10:10">
      <c r="J1786" s="2"/>
    </row>
    <row r="1787" spans="10:10">
      <c r="J1787" s="2"/>
    </row>
    <row r="1788" spans="10:10">
      <c r="J1788" s="2"/>
    </row>
    <row r="1789" spans="10:10">
      <c r="J1789" s="2"/>
    </row>
    <row r="1790" spans="10:10">
      <c r="J1790" s="2"/>
    </row>
    <row r="1791" spans="10:10">
      <c r="J1791" s="2"/>
    </row>
    <row r="1792" spans="10:10">
      <c r="J1792" s="2"/>
    </row>
    <row r="1793" spans="10:10">
      <c r="J1793" s="2"/>
    </row>
    <row r="1794" spans="10:10">
      <c r="J1794" s="2"/>
    </row>
    <row r="1795" spans="10:10">
      <c r="J1795" s="2"/>
    </row>
    <row r="1796" spans="10:10">
      <c r="J1796" s="2"/>
    </row>
    <row r="1797" spans="10:10">
      <c r="J1797" s="2"/>
    </row>
    <row r="1798" spans="10:10">
      <c r="J1798" s="2"/>
    </row>
    <row r="1799" spans="10:10">
      <c r="J1799" s="2"/>
    </row>
    <row r="1800" spans="10:10">
      <c r="J1800" s="2"/>
    </row>
    <row r="1801" spans="10:10">
      <c r="J1801" s="2"/>
    </row>
    <row r="1802" spans="10:10">
      <c r="J1802" s="2"/>
    </row>
    <row r="1803" spans="10:10">
      <c r="J1803" s="2"/>
    </row>
    <row r="1804" spans="10:10">
      <c r="J1804" s="2"/>
    </row>
    <row r="1805" spans="10:10">
      <c r="J1805" s="2"/>
    </row>
    <row r="1806" spans="10:10">
      <c r="J1806" s="2"/>
    </row>
    <row r="1807" spans="10:10">
      <c r="J1807" s="2"/>
    </row>
    <row r="1808" spans="10:10">
      <c r="J1808" s="2"/>
    </row>
    <row r="1809" spans="10:10">
      <c r="J1809" s="2"/>
    </row>
    <row r="1810" spans="10:10">
      <c r="J1810" s="2"/>
    </row>
    <row r="1811" spans="10:10">
      <c r="J1811" s="2"/>
    </row>
    <row r="1812" spans="10:10">
      <c r="J1812" s="2"/>
    </row>
    <row r="1813" spans="10:10">
      <c r="J1813" s="2"/>
    </row>
    <row r="1814" spans="10:10">
      <c r="J1814" s="2"/>
    </row>
    <row r="1815" spans="10:10">
      <c r="J1815" s="2"/>
    </row>
    <row r="1816" spans="10:10">
      <c r="J1816" s="2"/>
    </row>
    <row r="1817" spans="10:10">
      <c r="J1817" s="2"/>
    </row>
    <row r="1818" spans="10:10">
      <c r="J1818" s="2"/>
    </row>
    <row r="1819" spans="10:10">
      <c r="J1819" s="2"/>
    </row>
    <row r="1820" spans="10:10">
      <c r="J1820" s="2"/>
    </row>
    <row r="1821" spans="10:10">
      <c r="J1821" s="2"/>
    </row>
    <row r="1822" spans="10:10">
      <c r="J1822" s="2"/>
    </row>
    <row r="1823" spans="10:10">
      <c r="J1823" s="2"/>
    </row>
    <row r="1824" spans="10:10">
      <c r="J1824" s="2"/>
    </row>
    <row r="1825" spans="10:10">
      <c r="J1825" s="2"/>
    </row>
    <row r="1826" spans="10:10">
      <c r="J1826" s="2"/>
    </row>
    <row r="1827" spans="10:10">
      <c r="J1827" s="2"/>
    </row>
    <row r="1828" spans="10:10">
      <c r="J1828" s="2"/>
    </row>
    <row r="1829" spans="10:10">
      <c r="J1829" s="2"/>
    </row>
    <row r="1830" spans="10:10">
      <c r="J1830" s="2"/>
    </row>
    <row r="1831" spans="10:10">
      <c r="J1831" s="2"/>
    </row>
    <row r="1832" spans="10:10">
      <c r="J1832" s="2"/>
    </row>
    <row r="1833" spans="10:10">
      <c r="J1833" s="2"/>
    </row>
    <row r="1834" spans="10:10">
      <c r="J1834" s="2"/>
    </row>
    <row r="1835" spans="10:10">
      <c r="J1835" s="2"/>
    </row>
    <row r="1836" spans="10:10">
      <c r="J1836" s="2"/>
    </row>
    <row r="1837" spans="10:10">
      <c r="J1837" s="2"/>
    </row>
    <row r="1838" spans="10:10">
      <c r="J1838" s="2"/>
    </row>
    <row r="1839" spans="10:10">
      <c r="J1839" s="2"/>
    </row>
    <row r="1840" spans="10:10">
      <c r="J1840" s="2"/>
    </row>
    <row r="1841" spans="10:10">
      <c r="J1841" s="2"/>
    </row>
    <row r="1842" spans="10:10">
      <c r="J1842" s="2"/>
    </row>
    <row r="1843" spans="10:10">
      <c r="J1843" s="2"/>
    </row>
    <row r="1844" spans="10:10">
      <c r="J1844" s="2"/>
    </row>
    <row r="1845" spans="10:10">
      <c r="J1845" s="2"/>
    </row>
    <row r="1846" spans="10:10">
      <c r="J1846" s="2"/>
    </row>
    <row r="1847" spans="10:10">
      <c r="J1847" s="2"/>
    </row>
    <row r="1848" spans="10:10">
      <c r="J1848" s="2"/>
    </row>
    <row r="1849" spans="10:10">
      <c r="J1849" s="2"/>
    </row>
    <row r="1850" spans="10:10">
      <c r="J1850" s="2"/>
    </row>
    <row r="1851" spans="10:10">
      <c r="J1851" s="2"/>
    </row>
    <row r="1852" spans="10:10">
      <c r="J1852" s="2"/>
    </row>
    <row r="1853" spans="10:10">
      <c r="J1853" s="2"/>
    </row>
    <row r="1854" spans="10:10">
      <c r="J1854" s="2"/>
    </row>
    <row r="1855" spans="10:10">
      <c r="J1855" s="2"/>
    </row>
    <row r="1856" spans="10:10">
      <c r="J1856" s="2"/>
    </row>
    <row r="1857" spans="10:10">
      <c r="J1857" s="2"/>
    </row>
    <row r="1858" spans="10:10">
      <c r="J1858" s="2"/>
    </row>
    <row r="1859" spans="10:10">
      <c r="J1859" s="2"/>
    </row>
    <row r="1860" spans="10:10">
      <c r="J1860" s="2"/>
    </row>
    <row r="1861" spans="10:10">
      <c r="J1861" s="2"/>
    </row>
    <row r="1862" spans="10:10">
      <c r="J1862" s="2"/>
    </row>
    <row r="1863" spans="10:10">
      <c r="J1863" s="2"/>
    </row>
    <row r="1864" spans="10:10">
      <c r="J1864" s="2"/>
    </row>
    <row r="1865" spans="10:10">
      <c r="J1865" s="2"/>
    </row>
    <row r="1866" spans="10:10">
      <c r="J1866" s="2"/>
    </row>
    <row r="1867" spans="10:10">
      <c r="J1867" s="2"/>
    </row>
    <row r="1868" spans="10:10">
      <c r="J1868" s="2"/>
    </row>
    <row r="1869" spans="10:10">
      <c r="J1869" s="2"/>
    </row>
    <row r="1870" spans="10:10">
      <c r="J1870" s="2"/>
    </row>
    <row r="1871" spans="10:10">
      <c r="J1871" s="2"/>
    </row>
    <row r="1872" spans="10:10">
      <c r="J1872" s="2"/>
    </row>
    <row r="1873" spans="10:10">
      <c r="J1873" s="2"/>
    </row>
    <row r="1874" spans="10:10">
      <c r="J1874" s="2"/>
    </row>
    <row r="1875" spans="10:10">
      <c r="J1875" s="2"/>
    </row>
    <row r="1876" spans="10:10">
      <c r="J1876" s="2"/>
    </row>
    <row r="1877" spans="10:10">
      <c r="J1877" s="2"/>
    </row>
    <row r="1878" spans="10:10">
      <c r="J1878" s="2"/>
    </row>
    <row r="1879" spans="10:10">
      <c r="J1879" s="2"/>
    </row>
    <row r="1880" spans="10:10">
      <c r="J1880" s="2"/>
    </row>
    <row r="1881" spans="10:10">
      <c r="J1881" s="2"/>
    </row>
    <row r="1882" spans="10:10">
      <c r="J1882" s="2"/>
    </row>
    <row r="1883" spans="10:10">
      <c r="J1883" s="2"/>
    </row>
    <row r="1884" spans="10:10">
      <c r="J1884" s="2"/>
    </row>
    <row r="1885" spans="10:10">
      <c r="J1885" s="2"/>
    </row>
    <row r="1886" spans="10:10">
      <c r="J1886" s="2"/>
    </row>
    <row r="1887" spans="10:10">
      <c r="J1887" s="2"/>
    </row>
    <row r="1888" spans="10:10">
      <c r="J1888" s="2"/>
    </row>
    <row r="1889" spans="10:10">
      <c r="J1889" s="2"/>
    </row>
    <row r="1890" spans="10:10">
      <c r="J1890" s="2"/>
    </row>
    <row r="1891" spans="10:10">
      <c r="J1891" s="2"/>
    </row>
    <row r="1892" spans="10:10">
      <c r="J1892" s="2"/>
    </row>
    <row r="1893" spans="10:10">
      <c r="J1893" s="2"/>
    </row>
    <row r="1894" spans="10:10">
      <c r="J1894" s="2"/>
    </row>
    <row r="1895" spans="10:10">
      <c r="J1895" s="2"/>
    </row>
    <row r="1896" spans="10:10">
      <c r="J1896" s="2"/>
    </row>
    <row r="1897" spans="10:10">
      <c r="J1897" s="2"/>
    </row>
    <row r="1898" spans="10:10">
      <c r="J1898" s="2"/>
    </row>
    <row r="1899" spans="10:10">
      <c r="J1899" s="2"/>
    </row>
    <row r="1900" spans="10:10">
      <c r="J1900" s="2"/>
    </row>
    <row r="1901" spans="10:10">
      <c r="J1901" s="2"/>
    </row>
    <row r="1902" spans="10:10">
      <c r="J1902" s="2"/>
    </row>
    <row r="1903" spans="10:10">
      <c r="J1903" s="2"/>
    </row>
    <row r="1904" spans="10:10">
      <c r="J1904" s="2"/>
    </row>
    <row r="1905" spans="10:10">
      <c r="J1905" s="2"/>
    </row>
    <row r="1906" spans="10:10">
      <c r="J1906" s="2"/>
    </row>
    <row r="1907" spans="10:10">
      <c r="J1907" s="2"/>
    </row>
    <row r="1908" spans="10:10">
      <c r="J1908" s="2"/>
    </row>
    <row r="1909" spans="10:10">
      <c r="J1909" s="2"/>
    </row>
    <row r="1910" spans="10:10">
      <c r="J1910" s="2"/>
    </row>
    <row r="1911" spans="10:10">
      <c r="J1911" s="2"/>
    </row>
    <row r="1912" spans="10:10">
      <c r="J1912" s="2"/>
    </row>
    <row r="1913" spans="10:10">
      <c r="J1913" s="2"/>
    </row>
    <row r="1914" spans="10:10">
      <c r="J1914" s="2"/>
    </row>
    <row r="1915" spans="10:10">
      <c r="J1915" s="2"/>
    </row>
    <row r="1916" spans="10:10">
      <c r="J1916" s="2"/>
    </row>
    <row r="1917" spans="10:10">
      <c r="J1917" s="2"/>
    </row>
    <row r="1918" spans="10:10">
      <c r="J1918" s="2"/>
    </row>
    <row r="1919" spans="10:10">
      <c r="J1919" s="2"/>
    </row>
    <row r="1920" spans="10:10">
      <c r="J1920" s="2"/>
    </row>
    <row r="1921" spans="10:10">
      <c r="J1921" s="2"/>
    </row>
    <row r="1922" spans="10:10">
      <c r="J1922" s="2"/>
    </row>
    <row r="1923" spans="10:10">
      <c r="J1923" s="2"/>
    </row>
    <row r="1924" spans="10:10">
      <c r="J1924" s="2"/>
    </row>
    <row r="1925" spans="10:10">
      <c r="J1925" s="2"/>
    </row>
    <row r="1926" spans="10:10">
      <c r="J1926" s="2"/>
    </row>
    <row r="1927" spans="10:10">
      <c r="J1927" s="2"/>
    </row>
    <row r="1928" spans="10:10">
      <c r="J1928" s="2"/>
    </row>
    <row r="1929" spans="10:10">
      <c r="J1929" s="2"/>
    </row>
    <row r="1930" spans="10:10">
      <c r="J1930" s="2"/>
    </row>
    <row r="1931" spans="10:10">
      <c r="J1931" s="2"/>
    </row>
    <row r="1932" spans="10:10">
      <c r="J1932" s="2"/>
    </row>
    <row r="1933" spans="10:10">
      <c r="J1933" s="2"/>
    </row>
    <row r="1934" spans="10:10">
      <c r="J1934" s="2"/>
    </row>
    <row r="1935" spans="10:10">
      <c r="J1935" s="2"/>
    </row>
    <row r="1936" spans="10:10">
      <c r="J1936" s="2"/>
    </row>
    <row r="1937" spans="10:10">
      <c r="J1937" s="2"/>
    </row>
    <row r="1938" spans="10:10">
      <c r="J1938" s="2"/>
    </row>
    <row r="1939" spans="10:10">
      <c r="J1939" s="2"/>
    </row>
    <row r="1940" spans="10:10">
      <c r="J1940" s="2"/>
    </row>
    <row r="1941" spans="10:10">
      <c r="J1941" s="2"/>
    </row>
    <row r="1942" spans="10:10">
      <c r="J1942" s="2"/>
    </row>
    <row r="1943" spans="10:10">
      <c r="J1943" s="2"/>
    </row>
    <row r="1944" spans="10:10">
      <c r="J1944" s="2"/>
    </row>
    <row r="1945" spans="10:10">
      <c r="J1945" s="2"/>
    </row>
    <row r="1946" spans="10:10">
      <c r="J1946" s="2"/>
    </row>
    <row r="1947" spans="10:10">
      <c r="J1947" s="2"/>
    </row>
    <row r="1948" spans="10:10">
      <c r="J1948" s="2"/>
    </row>
    <row r="1949" spans="10:10">
      <c r="J1949" s="2"/>
    </row>
    <row r="1950" spans="10:10">
      <c r="J1950" s="2"/>
    </row>
    <row r="1951" spans="10:10">
      <c r="J1951" s="2"/>
    </row>
    <row r="1952" spans="10:10">
      <c r="J1952" s="2"/>
    </row>
    <row r="1953" spans="10:10">
      <c r="J1953" s="2"/>
    </row>
    <row r="1954" spans="10:10">
      <c r="J1954" s="2"/>
    </row>
    <row r="1955" spans="10:10">
      <c r="J1955" s="2"/>
    </row>
    <row r="1956" spans="10:10">
      <c r="J1956" s="2"/>
    </row>
    <row r="1957" spans="10:10">
      <c r="J1957" s="2"/>
    </row>
    <row r="1958" spans="10:10">
      <c r="J1958" s="2"/>
    </row>
    <row r="1959" spans="10:10">
      <c r="J1959" s="2"/>
    </row>
    <row r="1960" spans="10:10">
      <c r="J1960" s="2"/>
    </row>
    <row r="1961" spans="10:10">
      <c r="J1961" s="2"/>
    </row>
    <row r="1962" spans="10:10">
      <c r="J1962" s="2"/>
    </row>
    <row r="1963" spans="10:10">
      <c r="J1963" s="2"/>
    </row>
    <row r="1964" spans="10:10">
      <c r="J1964" s="2"/>
    </row>
    <row r="1965" spans="10:10">
      <c r="J1965" s="2"/>
    </row>
    <row r="1966" spans="10:10">
      <c r="J1966" s="2"/>
    </row>
    <row r="1967" spans="10:10">
      <c r="J1967" s="2"/>
    </row>
    <row r="1968" spans="10:10">
      <c r="J1968" s="2"/>
    </row>
    <row r="1969" spans="10:10">
      <c r="J1969" s="2"/>
    </row>
    <row r="1970" spans="10:10">
      <c r="J1970" s="2"/>
    </row>
    <row r="1971" spans="10:10">
      <c r="J1971" s="2"/>
    </row>
    <row r="1972" spans="10:10">
      <c r="J1972" s="2"/>
    </row>
    <row r="1973" spans="10:10">
      <c r="J1973" s="2"/>
    </row>
    <row r="1974" spans="10:10">
      <c r="J1974" s="2"/>
    </row>
    <row r="1975" spans="10:10">
      <c r="J1975" s="2"/>
    </row>
    <row r="1976" spans="10:10">
      <c r="J1976" s="2"/>
    </row>
    <row r="1977" spans="10:10">
      <c r="J1977" s="2"/>
    </row>
    <row r="1978" spans="10:10">
      <c r="J1978" s="2"/>
    </row>
    <row r="1979" spans="10:10">
      <c r="J1979" s="2"/>
    </row>
    <row r="1980" spans="10:10">
      <c r="J1980" s="2"/>
    </row>
    <row r="1981" spans="10:10">
      <c r="J1981" s="2"/>
    </row>
    <row r="1982" spans="10:10">
      <c r="J1982" s="2"/>
    </row>
    <row r="1983" spans="10:10">
      <c r="J1983" s="2"/>
    </row>
    <row r="1984" spans="10:10">
      <c r="J1984" s="2"/>
    </row>
    <row r="1985" spans="10:10">
      <c r="J1985" s="2"/>
    </row>
    <row r="1986" spans="10:10">
      <c r="J1986" s="2"/>
    </row>
    <row r="1987" spans="10:10">
      <c r="J1987" s="2"/>
    </row>
    <row r="1988" spans="10:10">
      <c r="J1988" s="2"/>
    </row>
    <row r="1989" spans="10:10">
      <c r="J1989" s="2"/>
    </row>
    <row r="1990" spans="10:10">
      <c r="J1990" s="2"/>
    </row>
    <row r="1991" spans="10:10">
      <c r="J1991" s="2"/>
    </row>
    <row r="1992" spans="10:10">
      <c r="J1992" s="2"/>
    </row>
    <row r="1993" spans="10:10">
      <c r="J1993" s="2"/>
    </row>
    <row r="1994" spans="10:10">
      <c r="J1994" s="2"/>
    </row>
    <row r="1995" spans="10:10">
      <c r="J1995" s="2"/>
    </row>
    <row r="1996" spans="10:10">
      <c r="J1996" s="2"/>
    </row>
    <row r="1997" spans="10:10">
      <c r="J1997" s="2"/>
    </row>
    <row r="1998" spans="10:10">
      <c r="J1998" s="2"/>
    </row>
    <row r="1999" spans="10:10">
      <c r="J1999" s="2"/>
    </row>
    <row r="2000" spans="10:10">
      <c r="J2000" s="2"/>
    </row>
    <row r="2001" spans="10:10">
      <c r="J2001" s="2"/>
    </row>
    <row r="2002" spans="10:10">
      <c r="J2002" s="2"/>
    </row>
    <row r="2003" spans="10:10">
      <c r="J2003" s="2"/>
    </row>
    <row r="2004" spans="10:10">
      <c r="J2004" s="2"/>
    </row>
    <row r="2005" spans="10:10">
      <c r="J2005" s="2"/>
    </row>
    <row r="2006" spans="10:10">
      <c r="J2006" s="2"/>
    </row>
    <row r="2007" spans="10:10">
      <c r="J2007" s="2"/>
    </row>
    <row r="2008" spans="10:10">
      <c r="J2008" s="2"/>
    </row>
    <row r="2009" spans="10:10">
      <c r="J2009" s="2"/>
    </row>
    <row r="2010" spans="10:10">
      <c r="J2010" s="2"/>
    </row>
    <row r="2011" spans="10:10">
      <c r="J2011" s="2"/>
    </row>
    <row r="2012" spans="10:10">
      <c r="J2012" s="2"/>
    </row>
    <row r="2013" spans="10:10">
      <c r="J2013" s="2"/>
    </row>
    <row r="2014" spans="10:10">
      <c r="J2014" s="2"/>
    </row>
    <row r="2015" spans="10:10">
      <c r="J2015" s="2"/>
    </row>
    <row r="2016" spans="10:10">
      <c r="J2016" s="2"/>
    </row>
    <row r="2017" spans="10:10">
      <c r="J2017" s="2"/>
    </row>
    <row r="2018" spans="10:10">
      <c r="J2018" s="2"/>
    </row>
    <row r="2019" spans="10:10">
      <c r="J2019" s="2"/>
    </row>
    <row r="2020" spans="10:10">
      <c r="J2020" s="2"/>
    </row>
    <row r="2021" spans="10:10">
      <c r="J2021" s="2"/>
    </row>
    <row r="2022" spans="10:10">
      <c r="J2022" s="2"/>
    </row>
    <row r="2023" spans="10:10">
      <c r="J2023" s="2"/>
    </row>
    <row r="2024" spans="10:10">
      <c r="J2024" s="2"/>
    </row>
    <row r="2025" spans="10:10">
      <c r="J2025" s="2"/>
    </row>
    <row r="2026" spans="10:10">
      <c r="J2026" s="2"/>
    </row>
    <row r="2027" spans="10:10">
      <c r="J2027" s="2"/>
    </row>
    <row r="2028" spans="10:10">
      <c r="J2028" s="2"/>
    </row>
    <row r="2029" spans="10:10">
      <c r="J2029" s="2"/>
    </row>
    <row r="2030" spans="10:10">
      <c r="J2030" s="2"/>
    </row>
    <row r="2031" spans="10:10">
      <c r="J2031" s="2"/>
    </row>
    <row r="2032" spans="10:10">
      <c r="J2032" s="2"/>
    </row>
    <row r="2033" spans="10:10">
      <c r="J2033" s="2"/>
    </row>
    <row r="2034" spans="10:10">
      <c r="J2034" s="2"/>
    </row>
    <row r="2035" spans="10:10">
      <c r="J2035" s="2"/>
    </row>
    <row r="2036" spans="10:10">
      <c r="J2036" s="2"/>
    </row>
    <row r="2037" spans="10:10">
      <c r="J2037" s="2"/>
    </row>
    <row r="2038" spans="10:10">
      <c r="J2038" s="2"/>
    </row>
    <row r="2039" spans="10:10">
      <c r="J2039" s="2"/>
    </row>
    <row r="2040" spans="10:10">
      <c r="J2040" s="2"/>
    </row>
    <row r="2041" spans="10:10">
      <c r="J2041" s="2"/>
    </row>
    <row r="2042" spans="10:10">
      <c r="J2042" s="2"/>
    </row>
    <row r="2043" spans="10:10">
      <c r="J2043" s="2"/>
    </row>
    <row r="2044" spans="10:10">
      <c r="J2044" s="2"/>
    </row>
    <row r="2045" spans="10:10">
      <c r="J2045" s="2"/>
    </row>
    <row r="2046" spans="10:10">
      <c r="J2046" s="2"/>
    </row>
    <row r="2047" spans="10:10">
      <c r="J2047" s="2"/>
    </row>
    <row r="2048" spans="10:10">
      <c r="J2048" s="2"/>
    </row>
    <row r="2049" spans="10:10">
      <c r="J2049" s="2"/>
    </row>
    <row r="2050" spans="10:10">
      <c r="J2050" s="2"/>
    </row>
    <row r="2051" spans="10:10">
      <c r="J2051" s="2"/>
    </row>
    <row r="2052" spans="10:10">
      <c r="J2052" s="2"/>
    </row>
    <row r="2053" spans="10:10">
      <c r="J2053" s="2"/>
    </row>
    <row r="2054" spans="10:10">
      <c r="J2054" s="2"/>
    </row>
    <row r="2055" spans="10:10">
      <c r="J2055" s="2"/>
    </row>
    <row r="2056" spans="10:10">
      <c r="J2056" s="2"/>
    </row>
    <row r="2057" spans="10:10">
      <c r="J2057" s="2"/>
    </row>
    <row r="2058" spans="10:10">
      <c r="J2058" s="2"/>
    </row>
    <row r="2059" spans="10:10">
      <c r="J2059" s="2"/>
    </row>
    <row r="2060" spans="10:10">
      <c r="J2060" s="2"/>
    </row>
    <row r="2061" spans="10:10">
      <c r="J2061" s="2"/>
    </row>
    <row r="2062" spans="10:10">
      <c r="J2062" s="2"/>
    </row>
    <row r="2063" spans="10:10">
      <c r="J2063" s="2"/>
    </row>
    <row r="2064" spans="10:10">
      <c r="J2064" s="2"/>
    </row>
    <row r="2065" spans="10:10">
      <c r="J2065" s="2"/>
    </row>
    <row r="2066" spans="10:10">
      <c r="J2066" s="2"/>
    </row>
    <row r="2067" spans="10:10">
      <c r="J2067" s="2"/>
    </row>
    <row r="2068" spans="10:10">
      <c r="J2068" s="2"/>
    </row>
    <row r="2069" spans="10:10">
      <c r="J2069" s="2"/>
    </row>
    <row r="2070" spans="10:10">
      <c r="J2070" s="2"/>
    </row>
    <row r="2071" spans="10:10">
      <c r="J2071" s="2"/>
    </row>
    <row r="2072" spans="10:10">
      <c r="J2072" s="2"/>
    </row>
    <row r="2073" spans="10:10">
      <c r="J2073" s="2"/>
    </row>
    <row r="2074" spans="10:10">
      <c r="J2074" s="2"/>
    </row>
    <row r="2075" spans="10:10">
      <c r="J2075" s="2"/>
    </row>
    <row r="2076" spans="10:10">
      <c r="J2076" s="2"/>
    </row>
    <row r="2077" spans="10:10">
      <c r="J2077" s="2"/>
    </row>
    <row r="2078" spans="10:10">
      <c r="J2078" s="2"/>
    </row>
    <row r="2079" spans="10:10">
      <c r="J2079" s="2"/>
    </row>
    <row r="2080" spans="10:10">
      <c r="J2080" s="2"/>
    </row>
    <row r="2081" spans="10:10">
      <c r="J2081" s="2"/>
    </row>
    <row r="2082" spans="10:10">
      <c r="J2082" s="2"/>
    </row>
    <row r="2083" spans="10:10">
      <c r="J2083" s="2"/>
    </row>
    <row r="2084" spans="10:10">
      <c r="J2084" s="2"/>
    </row>
    <row r="2085" spans="10:10">
      <c r="J2085" s="2"/>
    </row>
    <row r="2086" spans="10:10">
      <c r="J2086" s="2"/>
    </row>
    <row r="2087" spans="10:10">
      <c r="J2087" s="2"/>
    </row>
    <row r="2088" spans="10:10">
      <c r="J2088" s="2"/>
    </row>
    <row r="2089" spans="10:10">
      <c r="J2089" s="2"/>
    </row>
    <row r="2090" spans="10:10">
      <c r="J2090" s="2"/>
    </row>
    <row r="2091" spans="10:10">
      <c r="J2091" s="2"/>
    </row>
    <row r="2092" spans="10:10">
      <c r="J2092" s="2"/>
    </row>
    <row r="2093" spans="10:10">
      <c r="J2093" s="2"/>
    </row>
    <row r="2094" spans="10:10">
      <c r="J2094" s="2"/>
    </row>
    <row r="2095" spans="10:10">
      <c r="J2095" s="2"/>
    </row>
    <row r="2096" spans="10:10">
      <c r="J2096" s="2"/>
    </row>
    <row r="2097" spans="10:10">
      <c r="J2097" s="2"/>
    </row>
    <row r="2098" spans="10:10">
      <c r="J2098" s="2"/>
    </row>
    <row r="2099" spans="10:10">
      <c r="J2099" s="2"/>
    </row>
    <row r="2100" spans="10:10">
      <c r="J2100" s="2"/>
    </row>
    <row r="2101" spans="10:10">
      <c r="J2101" s="2"/>
    </row>
    <row r="2102" spans="10:10">
      <c r="J2102" s="2"/>
    </row>
    <row r="2103" spans="10:10">
      <c r="J2103" s="2"/>
    </row>
    <row r="2104" spans="10:10">
      <c r="J2104" s="2"/>
    </row>
    <row r="2105" spans="10:10">
      <c r="J2105" s="2"/>
    </row>
    <row r="2106" spans="10:10">
      <c r="J2106" s="2"/>
    </row>
    <row r="2107" spans="10:10">
      <c r="J2107" s="2"/>
    </row>
    <row r="2108" spans="10:10">
      <c r="J2108" s="2"/>
    </row>
    <row r="2109" spans="10:10">
      <c r="J2109" s="2"/>
    </row>
    <row r="2110" spans="10:10">
      <c r="J2110" s="2"/>
    </row>
    <row r="2111" spans="10:10">
      <c r="J2111" s="2"/>
    </row>
    <row r="2112" spans="10:10">
      <c r="J2112" s="2"/>
    </row>
    <row r="2113" spans="10:10">
      <c r="J2113" s="2"/>
    </row>
    <row r="2114" spans="10:10">
      <c r="J2114" s="2"/>
    </row>
    <row r="2115" spans="10:10">
      <c r="J2115" s="2"/>
    </row>
    <row r="2116" spans="10:10">
      <c r="J2116" s="2"/>
    </row>
    <row r="2117" spans="10:10">
      <c r="J2117" s="2"/>
    </row>
    <row r="2118" spans="10:10">
      <c r="J2118" s="2"/>
    </row>
    <row r="2119" spans="10:10">
      <c r="J2119" s="2"/>
    </row>
    <row r="2120" spans="10:10">
      <c r="J2120" s="2"/>
    </row>
    <row r="2121" spans="10:10">
      <c r="J2121" s="2"/>
    </row>
    <row r="2122" spans="10:10">
      <c r="J2122" s="2"/>
    </row>
    <row r="2123" spans="10:10">
      <c r="J2123" s="2"/>
    </row>
    <row r="2124" spans="10:10">
      <c r="J2124" s="2"/>
    </row>
    <row r="2125" spans="10:10">
      <c r="J2125" s="2"/>
    </row>
    <row r="2126" spans="10:10">
      <c r="J2126" s="2"/>
    </row>
    <row r="2127" spans="10:10">
      <c r="J2127" s="2"/>
    </row>
    <row r="2128" spans="10:10">
      <c r="J2128" s="2"/>
    </row>
    <row r="2129" spans="10:10">
      <c r="J2129" s="2"/>
    </row>
    <row r="2130" spans="10:10">
      <c r="J2130" s="2"/>
    </row>
    <row r="2131" spans="10:10">
      <c r="J2131" s="2"/>
    </row>
    <row r="2132" spans="10:10">
      <c r="J2132" s="2"/>
    </row>
    <row r="2133" spans="10:10">
      <c r="J2133" s="2"/>
    </row>
    <row r="2134" spans="10:10">
      <c r="J2134" s="2"/>
    </row>
    <row r="2135" spans="10:10">
      <c r="J2135" s="2"/>
    </row>
    <row r="2136" spans="10:10">
      <c r="J2136" s="2"/>
    </row>
    <row r="2137" spans="10:10">
      <c r="J2137" s="2"/>
    </row>
    <row r="2138" spans="10:10">
      <c r="J2138" s="2"/>
    </row>
    <row r="2139" spans="10:10">
      <c r="J2139" s="2"/>
    </row>
    <row r="2140" spans="10:10">
      <c r="J2140" s="2"/>
    </row>
    <row r="2141" spans="10:10">
      <c r="J2141" s="2"/>
    </row>
    <row r="2142" spans="10:10">
      <c r="J2142" s="2"/>
    </row>
    <row r="2143" spans="10:10">
      <c r="J2143" s="2"/>
    </row>
    <row r="2144" spans="10:10">
      <c r="J2144" s="2"/>
    </row>
    <row r="2145" spans="10:10">
      <c r="J2145" s="2"/>
    </row>
    <row r="2146" spans="10:10">
      <c r="J2146" s="2"/>
    </row>
    <row r="2147" spans="10:10">
      <c r="J2147" s="2"/>
    </row>
    <row r="2148" spans="10:10">
      <c r="J2148" s="2"/>
    </row>
    <row r="2149" spans="10:10">
      <c r="J2149" s="2"/>
    </row>
    <row r="2150" spans="10:10">
      <c r="J2150" s="2"/>
    </row>
    <row r="2151" spans="10:10">
      <c r="J2151" s="2"/>
    </row>
    <row r="2152" spans="10:10">
      <c r="J2152" s="2"/>
    </row>
    <row r="2153" spans="10:10">
      <c r="J2153" s="2"/>
    </row>
    <row r="2154" spans="10:10">
      <c r="J2154" s="2"/>
    </row>
    <row r="2155" spans="10:10">
      <c r="J2155" s="2"/>
    </row>
    <row r="2156" spans="10:10">
      <c r="J2156" s="2"/>
    </row>
    <row r="2157" spans="10:10">
      <c r="J2157" s="2"/>
    </row>
    <row r="2158" spans="10:10">
      <c r="J2158" s="2"/>
    </row>
    <row r="2159" spans="10:10">
      <c r="J2159" s="2"/>
    </row>
    <row r="2160" spans="10:10">
      <c r="J2160" s="2"/>
    </row>
    <row r="2161" spans="10:10">
      <c r="J2161" s="2"/>
    </row>
    <row r="2162" spans="10:10">
      <c r="J2162" s="2"/>
    </row>
    <row r="2163" spans="10:10">
      <c r="J2163" s="2"/>
    </row>
    <row r="2164" spans="10:10">
      <c r="J2164" s="2"/>
    </row>
    <row r="2165" spans="10:10">
      <c r="J2165" s="2"/>
    </row>
    <row r="2166" spans="10:10">
      <c r="J2166" s="2"/>
    </row>
    <row r="2167" spans="10:10">
      <c r="J2167" s="2"/>
    </row>
    <row r="2168" spans="10:10">
      <c r="J2168" s="2"/>
    </row>
    <row r="2169" spans="10:10">
      <c r="J2169" s="2"/>
    </row>
    <row r="2170" spans="10:10">
      <c r="J2170" s="2"/>
    </row>
    <row r="2171" spans="10:10">
      <c r="J2171" s="2"/>
    </row>
    <row r="2172" spans="10:10">
      <c r="J2172" s="2"/>
    </row>
    <row r="2173" spans="10:10">
      <c r="J2173" s="2"/>
    </row>
    <row r="2174" spans="10:10">
      <c r="J2174" s="2"/>
    </row>
    <row r="2175" spans="10:10">
      <c r="J2175" s="2"/>
    </row>
    <row r="2176" spans="10:10">
      <c r="J2176" s="2"/>
    </row>
    <row r="2177" spans="10:10">
      <c r="J2177" s="2"/>
    </row>
    <row r="2178" spans="10:10">
      <c r="J2178" s="2"/>
    </row>
    <row r="2179" spans="10:10">
      <c r="J2179" s="2"/>
    </row>
    <row r="2180" spans="10:10">
      <c r="J2180" s="2"/>
    </row>
    <row r="2181" spans="10:10">
      <c r="J2181" s="2"/>
    </row>
    <row r="2182" spans="10:10">
      <c r="J2182" s="2"/>
    </row>
    <row r="2183" spans="10:10">
      <c r="J2183" s="2"/>
    </row>
    <row r="2184" spans="10:10">
      <c r="J2184" s="2"/>
    </row>
    <row r="2185" spans="10:10">
      <c r="J2185" s="2"/>
    </row>
    <row r="2186" spans="10:10">
      <c r="J2186" s="2"/>
    </row>
    <row r="2187" spans="10:10">
      <c r="J2187" s="2"/>
    </row>
    <row r="2188" spans="10:10">
      <c r="J2188" s="2"/>
    </row>
    <row r="2189" spans="10:10">
      <c r="J2189" s="2"/>
    </row>
    <row r="2190" spans="10:10">
      <c r="J2190" s="2"/>
    </row>
    <row r="2191" spans="10:10">
      <c r="J2191" s="2"/>
    </row>
    <row r="2192" spans="10:10">
      <c r="J2192" s="2"/>
    </row>
    <row r="2193" spans="10:10">
      <c r="J2193" s="2"/>
    </row>
    <row r="2194" spans="10:10">
      <c r="J2194" s="2"/>
    </row>
    <row r="2195" spans="10:10">
      <c r="J2195" s="2"/>
    </row>
    <row r="2196" spans="10:10">
      <c r="J2196" s="2"/>
    </row>
    <row r="2197" spans="10:10">
      <c r="J2197" s="2"/>
    </row>
    <row r="2198" spans="10:10">
      <c r="J2198" s="2"/>
    </row>
    <row r="2199" spans="10:10">
      <c r="J2199" s="2"/>
    </row>
    <row r="2200" spans="10:10">
      <c r="J2200" s="2"/>
    </row>
    <row r="2201" spans="10:10">
      <c r="J2201" s="2"/>
    </row>
    <row r="2202" spans="10:10">
      <c r="J2202" s="2"/>
    </row>
    <row r="2203" spans="10:10">
      <c r="J2203" s="2"/>
    </row>
    <row r="2204" spans="10:10">
      <c r="J2204" s="2"/>
    </row>
    <row r="2205" spans="10:10">
      <c r="J2205" s="2"/>
    </row>
    <row r="2206" spans="10:10">
      <c r="J2206" s="2"/>
    </row>
    <row r="2207" spans="10:10">
      <c r="J2207" s="2"/>
    </row>
    <row r="2208" spans="10:10">
      <c r="J2208" s="2"/>
    </row>
    <row r="2209" spans="10:10">
      <c r="J2209" s="2"/>
    </row>
    <row r="2210" spans="10:10">
      <c r="J2210" s="2"/>
    </row>
    <row r="2211" spans="10:10">
      <c r="J2211" s="2"/>
    </row>
    <row r="2212" spans="10:10">
      <c r="J2212" s="2"/>
    </row>
    <row r="2213" spans="10:10">
      <c r="J2213" s="2"/>
    </row>
    <row r="2214" spans="10:10">
      <c r="J2214" s="2"/>
    </row>
    <row r="2215" spans="10:10">
      <c r="J2215" s="2"/>
    </row>
    <row r="2216" spans="10:10">
      <c r="J2216" s="2"/>
    </row>
    <row r="2217" spans="10:10">
      <c r="J2217" s="2"/>
    </row>
    <row r="2218" spans="10:10">
      <c r="J2218" s="2"/>
    </row>
    <row r="2219" spans="10:10">
      <c r="J2219" s="2"/>
    </row>
    <row r="2220" spans="10:10">
      <c r="J2220" s="2"/>
    </row>
    <row r="2221" spans="10:10">
      <c r="J2221" s="2"/>
    </row>
    <row r="2222" spans="10:10">
      <c r="J2222" s="2"/>
    </row>
    <row r="2223" spans="10:10">
      <c r="J2223" s="2"/>
    </row>
    <row r="2224" spans="10:10">
      <c r="J2224" s="2"/>
    </row>
    <row r="2225" spans="10:10">
      <c r="J2225" s="2"/>
    </row>
    <row r="2226" spans="10:10">
      <c r="J2226" s="2"/>
    </row>
    <row r="2227" spans="10:10">
      <c r="J2227" s="2"/>
    </row>
    <row r="2228" spans="10:10">
      <c r="J2228" s="2"/>
    </row>
    <row r="2229" spans="10:10">
      <c r="J2229" s="2"/>
    </row>
    <row r="2230" spans="10:10">
      <c r="J2230" s="2"/>
    </row>
    <row r="2231" spans="10:10">
      <c r="J2231" s="2"/>
    </row>
    <row r="2232" spans="10:10">
      <c r="J2232" s="2"/>
    </row>
    <row r="2233" spans="10:10">
      <c r="J2233" s="2"/>
    </row>
    <row r="2234" spans="10:10">
      <c r="J2234" s="2"/>
    </row>
    <row r="2235" spans="10:10">
      <c r="J2235" s="2"/>
    </row>
    <row r="2236" spans="10:10">
      <c r="J2236" s="2"/>
    </row>
    <row r="2237" spans="10:10">
      <c r="J2237" s="2"/>
    </row>
    <row r="2238" spans="10:10">
      <c r="J2238" s="2"/>
    </row>
    <row r="2239" spans="10:10">
      <c r="J2239" s="2"/>
    </row>
    <row r="2240" spans="10:10">
      <c r="J2240" s="2"/>
    </row>
    <row r="2241" spans="10:10">
      <c r="J22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2" spans="10:10">
      <c r="J22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3" spans="10:10">
      <c r="J22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4" spans="10:10">
      <c r="J22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5" spans="10:10">
      <c r="J22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6" spans="10:10">
      <c r="J22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7" spans="10:10">
      <c r="J22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8" spans="10:10">
      <c r="J22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49" spans="10:10">
      <c r="J22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0" spans="10:10">
      <c r="J22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1" spans="10:10">
      <c r="J22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2" spans="10:10">
      <c r="J22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3" spans="10:10">
      <c r="J22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4" spans="10:10">
      <c r="J22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5" spans="10:10">
      <c r="J22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6" spans="10:10">
      <c r="J22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7" spans="10:10">
      <c r="J22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8" spans="10:10">
      <c r="J22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59" spans="10:10">
      <c r="J22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0" spans="10:10">
      <c r="J22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1" spans="10:10">
      <c r="J22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2" spans="10:10">
      <c r="J22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3" spans="10:10">
      <c r="J22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4" spans="10:10">
      <c r="J22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5" spans="10:10">
      <c r="J22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6" spans="10:10">
      <c r="J22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7" spans="10:10">
      <c r="J22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8" spans="10:10">
      <c r="J22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69" spans="10:10">
      <c r="J22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0" spans="10:10">
      <c r="J22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1" spans="10:10">
      <c r="J22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2" spans="10:10">
      <c r="J22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3" spans="10:10">
      <c r="J22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4" spans="10:10">
      <c r="J22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5" spans="10:10">
      <c r="J22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6" spans="10:10">
      <c r="J22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7" spans="10:10">
      <c r="J22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8" spans="10:10">
      <c r="J22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79" spans="10:10">
      <c r="J22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0" spans="10:10">
      <c r="J22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1" spans="10:10">
      <c r="J22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2" spans="10:10">
      <c r="J22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3" spans="10:10">
      <c r="J22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4" spans="10:10">
      <c r="J22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5" spans="10:10">
      <c r="J22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6" spans="10:10">
      <c r="J22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7" spans="10:10">
      <c r="J22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8" spans="10:10">
      <c r="J22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89" spans="10:10">
      <c r="J22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0" spans="10:10">
      <c r="J22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1" spans="10:10">
      <c r="J22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2" spans="10:10">
      <c r="J22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3" spans="10:10">
      <c r="J22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4" spans="10:10">
      <c r="J22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5" spans="10:10">
      <c r="J22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6" spans="10:10">
      <c r="J22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7" spans="10:10">
      <c r="J22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8" spans="10:10">
      <c r="J22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299" spans="10:10">
      <c r="J22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0" spans="10:10">
      <c r="J23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1" spans="10:10">
      <c r="J23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2" spans="10:10">
      <c r="J23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3" spans="10:10">
      <c r="J23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4" spans="10:10">
      <c r="J23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5" spans="10:10">
      <c r="J23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6" spans="10:10">
      <c r="J23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7" spans="10:10">
      <c r="J23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8" spans="10:10">
      <c r="J23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09" spans="10:10">
      <c r="J23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0" spans="10:10">
      <c r="J23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1" spans="10:10">
      <c r="J23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2" spans="10:10">
      <c r="J23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3" spans="10:10">
      <c r="J23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4" spans="10:10">
      <c r="J23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5" spans="10:10">
      <c r="J23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6" spans="10:10">
      <c r="J23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7" spans="10:10">
      <c r="J23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8" spans="10:10">
      <c r="J23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19" spans="10:10">
      <c r="J23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0" spans="10:10">
      <c r="J23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1" spans="10:10">
      <c r="J23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2" spans="10:10">
      <c r="J23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3" spans="10:10">
      <c r="J23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4" spans="10:10">
      <c r="J23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5" spans="10:10">
      <c r="J23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6" spans="10:10">
      <c r="J23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7" spans="10:10">
      <c r="J23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8" spans="10:10">
      <c r="J23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29" spans="10:10">
      <c r="J23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0" spans="10:10">
      <c r="J23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1" spans="10:10">
      <c r="J23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2" spans="10:10">
      <c r="J23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3" spans="10:10">
      <c r="J23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4" spans="10:10">
      <c r="J23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5" spans="10:10">
      <c r="J23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6" spans="10:10">
      <c r="J23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7" spans="10:10">
      <c r="J23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8" spans="10:10">
      <c r="J23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39" spans="10:10">
      <c r="J23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0" spans="10:10">
      <c r="J23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1" spans="10:10">
      <c r="J23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2" spans="10:10">
      <c r="J23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3" spans="10:10">
      <c r="J23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4" spans="10:10">
      <c r="J23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5" spans="10:10">
      <c r="J23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6" spans="10:10">
      <c r="J23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7" spans="10:10">
      <c r="J23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8" spans="10:10">
      <c r="J23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49" spans="10:10">
      <c r="J23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0" spans="10:10">
      <c r="J23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1" spans="10:10">
      <c r="J23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2" spans="10:10">
      <c r="J23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3" spans="10:10">
      <c r="J23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4" spans="10:10">
      <c r="J23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5" spans="10:10">
      <c r="J23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6" spans="10:10">
      <c r="J23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7" spans="10:10">
      <c r="J23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8" spans="10:10">
      <c r="J23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59" spans="10:10">
      <c r="J23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0" spans="10:10">
      <c r="J23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1" spans="10:10">
      <c r="J23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2" spans="10:10">
      <c r="J23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3" spans="10:10">
      <c r="J23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4" spans="10:10">
      <c r="J23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5" spans="10:10">
      <c r="J23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6" spans="10:10">
      <c r="J23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7" spans="10:10">
      <c r="J23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8" spans="10:10">
      <c r="J23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69" spans="10:10">
      <c r="J23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0" spans="10:10">
      <c r="J23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1" spans="10:10">
      <c r="J23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2" spans="10:10">
      <c r="J23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3" spans="10:10">
      <c r="J23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4" spans="10:10">
      <c r="J23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5" spans="10:10">
      <c r="J23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6" spans="10:10">
      <c r="J23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7" spans="10:10">
      <c r="J23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8" spans="10:10">
      <c r="J23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79" spans="10:10">
      <c r="J23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0" spans="10:10">
      <c r="J23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1" spans="10:10">
      <c r="J23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2" spans="10:10">
      <c r="J23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3" spans="10:10">
      <c r="J23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4" spans="10:10">
      <c r="J23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5" spans="10:10">
      <c r="J23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6" spans="10:10">
      <c r="J23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7" spans="10:10">
      <c r="J23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8" spans="10:10">
      <c r="J23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89" spans="10:10">
      <c r="J23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0" spans="10:10">
      <c r="J23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1" spans="10:10">
      <c r="J23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2" spans="10:10">
      <c r="J23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3" spans="10:10">
      <c r="J23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4" spans="10:10">
      <c r="J23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5" spans="10:10">
      <c r="J23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6" spans="10:10">
      <c r="J23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7" spans="10:10">
      <c r="J23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8" spans="10:10">
      <c r="J23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399" spans="10:10">
      <c r="J23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0" spans="10:10">
      <c r="J24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1" spans="10:10">
      <c r="J24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2" spans="10:10">
      <c r="J24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3" spans="10:10">
      <c r="J24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4" spans="10:10">
      <c r="J24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5" spans="10:10">
      <c r="J24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6" spans="10:10">
      <c r="J24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7" spans="10:10">
      <c r="J24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8" spans="10:10">
      <c r="J24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09" spans="10:10">
      <c r="J24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0" spans="10:10">
      <c r="J24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1" spans="10:10">
      <c r="J24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2" spans="10:10">
      <c r="J24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3" spans="10:10">
      <c r="J24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4" spans="10:10">
      <c r="J24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5" spans="10:10">
      <c r="J24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6" spans="10:10">
      <c r="J24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7" spans="10:10">
      <c r="J24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8" spans="10:10">
      <c r="J24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19" spans="10:10">
      <c r="J24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0" spans="10:10">
      <c r="J24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1" spans="10:10">
      <c r="J24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2" spans="10:10">
      <c r="J24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3" spans="10:10">
      <c r="J24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4" spans="10:10">
      <c r="J24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5" spans="10:10">
      <c r="J24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6" spans="10:10">
      <c r="J24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7" spans="10:10">
      <c r="J24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8" spans="10:10">
      <c r="J24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29" spans="10:10">
      <c r="J24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0" spans="10:10">
      <c r="J24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1" spans="10:10">
      <c r="J24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2" spans="10:10">
      <c r="J24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3" spans="10:10">
      <c r="J24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4" spans="10:10">
      <c r="J24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5" spans="10:10">
      <c r="J24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6" spans="10:10">
      <c r="J24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7" spans="10:10">
      <c r="J24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8" spans="10:10">
      <c r="J24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39" spans="10:10">
      <c r="J24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0" spans="10:10">
      <c r="J24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1" spans="10:10">
      <c r="J24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2" spans="10:10">
      <c r="J24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3" spans="10:10">
      <c r="J24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4" spans="10:10">
      <c r="J24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5" spans="10:10">
      <c r="J24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6" spans="10:10">
      <c r="J24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7" spans="10:10">
      <c r="J24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8" spans="10:10">
      <c r="J24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49" spans="10:10">
      <c r="J24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0" spans="10:10">
      <c r="J24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1" spans="10:10">
      <c r="J24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2" spans="10:10">
      <c r="J24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3" spans="10:10">
      <c r="J24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4" spans="10:10">
      <c r="J24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5" spans="10:10">
      <c r="J24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6" spans="10:10">
      <c r="J24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7" spans="10:10">
      <c r="J24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8" spans="10:10">
      <c r="J24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59" spans="10:10">
      <c r="J24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0" spans="10:10">
      <c r="J24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1" spans="10:10">
      <c r="J24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2" spans="10:10">
      <c r="J24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3" spans="10:10">
      <c r="J24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4" spans="10:10">
      <c r="J24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5" spans="10:10">
      <c r="J24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6" spans="10:10">
      <c r="J24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7" spans="10:10">
      <c r="J24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8" spans="10:10">
      <c r="J24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69" spans="10:10">
      <c r="J24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0" spans="10:10">
      <c r="J24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1" spans="10:10">
      <c r="J24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2" spans="10:10">
      <c r="J24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3" spans="10:10">
      <c r="J24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4" spans="10:10">
      <c r="J24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5" spans="10:10">
      <c r="J24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6" spans="10:10">
      <c r="J24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7" spans="10:10">
      <c r="J24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8" spans="10:10">
      <c r="J24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79" spans="10:10">
      <c r="J24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0" spans="10:10">
      <c r="J24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1" spans="10:10">
      <c r="J24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2" spans="10:10">
      <c r="J24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3" spans="10:10">
      <c r="J24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4" spans="10:10">
      <c r="J24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5" spans="10:10">
      <c r="J24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6" spans="10:10">
      <c r="J24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7" spans="10:10">
      <c r="J24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8" spans="10:10">
      <c r="J24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89" spans="10:10">
      <c r="J24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0" spans="10:10">
      <c r="J24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1" spans="10:10">
      <c r="J24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2" spans="10:10">
      <c r="J24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3" spans="10:10">
      <c r="J24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4" spans="10:10">
      <c r="J24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5" spans="10:10">
      <c r="J24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6" spans="10:10">
      <c r="J24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7" spans="10:10">
      <c r="J24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8" spans="10:10">
      <c r="J24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499" spans="10:10">
      <c r="J24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0" spans="10:10">
      <c r="J25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1" spans="10:10">
      <c r="J25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2" spans="10:10">
      <c r="J25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3" spans="10:10">
      <c r="J25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4" spans="10:10">
      <c r="J25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5" spans="10:10">
      <c r="J25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6" spans="10:10">
      <c r="J25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7" spans="10:10">
      <c r="J25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8" spans="10:10">
      <c r="J25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09" spans="10:10">
      <c r="J25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0" spans="10:10">
      <c r="J25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1" spans="10:10">
      <c r="J25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2" spans="10:10">
      <c r="J25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3" spans="10:10">
      <c r="J25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4" spans="10:10">
      <c r="J25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5" spans="10:10">
      <c r="J25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6" spans="10:10">
      <c r="J25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7" spans="10:10">
      <c r="J25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8" spans="10:10">
      <c r="J25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19" spans="10:10">
      <c r="J25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0" spans="10:10">
      <c r="J25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1" spans="10:10">
      <c r="J25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2" spans="10:10">
      <c r="J25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3" spans="10:10">
      <c r="J25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4" spans="10:10">
      <c r="J25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5" spans="10:10">
      <c r="J25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6" spans="10:10">
      <c r="J25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7" spans="10:10">
      <c r="J25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8" spans="10:10">
      <c r="J25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29" spans="10:10">
      <c r="J25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0" spans="10:10">
      <c r="J25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1" spans="10:10">
      <c r="J25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2" spans="10:10">
      <c r="J25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3" spans="10:10">
      <c r="J25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4" spans="10:10">
      <c r="J25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5" spans="10:10">
      <c r="J25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6" spans="10:10">
      <c r="J25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7" spans="10:10">
      <c r="J25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8" spans="10:10">
      <c r="J25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39" spans="10:10">
      <c r="J25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0" spans="10:10">
      <c r="J25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1" spans="10:10">
      <c r="J25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2" spans="10:10">
      <c r="J254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3" spans="10:10">
      <c r="J254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4" spans="10:10">
      <c r="J254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5" spans="10:10">
      <c r="J254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6" spans="10:10">
      <c r="J254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7" spans="10:10">
      <c r="J254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8" spans="10:10">
      <c r="J254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49" spans="10:10">
      <c r="J254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0" spans="10:10">
      <c r="J255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1" spans="10:10">
      <c r="J255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2" spans="10:10">
      <c r="J255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3" spans="10:10">
      <c r="J255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4" spans="10:10">
      <c r="J255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5" spans="10:10">
      <c r="J255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6" spans="10:10">
      <c r="J255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7" spans="10:10">
      <c r="J255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8" spans="10:10">
      <c r="J255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59" spans="10:10">
      <c r="J255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0" spans="10:10">
      <c r="J256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1" spans="10:10">
      <c r="J256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2" spans="10:10">
      <c r="J256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3" spans="10:10">
      <c r="J256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4" spans="10:10">
      <c r="J256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5" spans="10:10">
      <c r="J256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6" spans="10:10">
      <c r="J256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7" spans="10:10">
      <c r="J256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8" spans="10:10">
      <c r="J256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69" spans="10:10">
      <c r="J256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0" spans="10:10">
      <c r="J257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1" spans="10:10">
      <c r="J257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2" spans="10:10">
      <c r="J257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3" spans="10:10">
      <c r="J257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4" spans="10:10">
      <c r="J257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5" spans="10:10">
      <c r="J257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6" spans="10:10">
      <c r="J257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7" spans="10:10">
      <c r="J257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8" spans="10:10">
      <c r="J257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79" spans="10:10">
      <c r="J257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0" spans="10:10">
      <c r="J258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1" spans="10:10">
      <c r="J258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2" spans="10:10">
      <c r="J258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3" spans="10:10">
      <c r="J258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4" spans="10:10">
      <c r="J258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5" spans="10:10">
      <c r="J258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6" spans="10:10">
      <c r="J258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7" spans="10:10">
      <c r="J258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8" spans="10:10">
      <c r="J258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89" spans="10:10">
      <c r="J258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0" spans="10:10">
      <c r="J259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1" spans="10:10">
      <c r="J259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2" spans="10:10">
      <c r="J259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3" spans="10:10">
      <c r="J259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4" spans="10:10">
      <c r="J259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5" spans="10:10">
      <c r="J259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6" spans="10:10">
      <c r="J259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7" spans="10:10">
      <c r="J259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8" spans="10:10">
      <c r="J259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599" spans="10:10">
      <c r="J259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0" spans="10:10">
      <c r="J260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1" spans="10:10">
      <c r="J260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2" spans="10:10">
      <c r="J260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3" spans="10:10">
      <c r="J260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4" spans="10:10">
      <c r="J260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5" spans="10:10">
      <c r="J260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6" spans="10:10">
      <c r="J260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7" spans="10:10">
      <c r="J260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8" spans="10:10">
      <c r="J260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09" spans="10:10">
      <c r="J260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0" spans="10:10">
      <c r="J261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1" spans="10:10">
      <c r="J261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2" spans="10:10">
      <c r="J261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3" spans="10:10">
      <c r="J261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4" spans="10:10">
      <c r="J261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5" spans="10:10">
      <c r="J261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6" spans="10:10">
      <c r="J261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7" spans="10:10">
      <c r="J261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8" spans="10:10">
      <c r="J261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19" spans="10:10">
      <c r="J261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0" spans="10:10">
      <c r="J262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1" spans="10:10">
      <c r="J262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2" spans="10:10">
      <c r="J262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3" spans="10:10">
      <c r="J262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4" spans="10:10">
      <c r="J262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5" spans="10:10">
      <c r="J262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6" spans="10:10">
      <c r="J262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7" spans="10:10">
      <c r="J262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8" spans="10:10">
      <c r="J262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29" spans="10:10">
      <c r="J262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0" spans="10:10">
      <c r="J263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1" spans="10:10">
      <c r="J263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2" spans="10:10">
      <c r="J2632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3" spans="10:10">
      <c r="J2633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4" spans="10:10">
      <c r="J2634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5" spans="10:10">
      <c r="J2635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6" spans="10:10">
      <c r="J2636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7" spans="10:10">
      <c r="J2637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8" spans="10:10">
      <c r="J2638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39" spans="10:10">
      <c r="J2639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0" spans="10:10">
      <c r="J2640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  <row r="2641" spans="10:10">
      <c r="J2641" s="2" t="e">
        <f>IF(AND(OR(#REF!="",ISBLANK(#REF!)),#REF!&gt;0),IF(ISBLANK(#REF!),"",#REF!),
IF(#REF!&lt;0,VLOOKUP(#REF!,#REF!,2,0),
  IF(ISBLANK(#REF!),
    "",
    "/* "&amp;TEXT(#REF!,"???0")&amp;" *"
      &amp;#REF!&amp;", "&amp; IF(#REF!-LEN(#REF!) &gt;= 0, REPT(" ",#REF!-LEN(#REF!)), "")
      &amp;#REF!&amp;", "&amp; IF(#REF!-LEN(#REF!) &gt;= 0, REPT(" ",#REF!-LEN(#REF!)), "")
      &amp;#REF!&amp;", "&amp; IF(#REF!-LEN(#REF!) &gt;=0, REPT(" ",#REF!-LEN(#REF!)), "")
      &amp;#REF!&amp;", "&amp; IF(#REF!-LEN(#REF!) &gt;= 0, REPT(" ",#REF!-LEN(#REF!)+2), "")&amp;"("&amp;
      SUBSTITUTE(TEXT(#REF!,"??0"),"  ","")&amp;" &lt;&lt; TAM_MAX_BITS) |"&amp; IF(#REF!-3 &gt;= 0, REPT(" ",MAX(1,#REF!-5+4+1-1-LEN(  IF(ISTEXT(#REF!),#REF!,  SUBSTITUTE(SUBSTITUTE(TEXT(#REF!,"????0"),"  ","")," ",""))   ))), "")&amp;
       IF(ISTEXT(#REF!),#REF!, SUBSTITUTE(SUBSTITUTE(TEXT(#REF!,"????0"),"  ","")," ",""))   &amp;","&amp; IF(#REF!-3 &gt;= 0, REPT(" ",#REF!-3-5), "")
      &amp;#REF!&amp;
" | "&amp; IF(#REF!-LEN(#REF!) &gt;= 0, REPT(" ",#REF!-LEN(#REF!)), "")
      &amp;#REF!&amp;      IF(#REF!-LEN(#REF!) &gt;= 0, REPT(" ",#REF!-LEN(#REF!)), "")&amp;
" | "&amp; IF(#REF!-LEN(#REF!) &gt;= 0, REPT(" ",#REF!-LEN(#REF!)), "")
      &amp;#REF!&amp;      IF(#REF!-LEN(#REF!) &gt;= 0, REPT(" ",#REF!-LEN(#REF!)), "")&amp;
" | " &amp;#REF!&amp;      IF(#REF!-LEN(#REF!) &gt;= 0, REPT(" ",#REF!-LEN(#REF!)), "")&amp;
" | " &amp;#REF!&amp;      IF(#REF!-LEN(#REF!) &gt;= 0, REPT(" ",#REF!-LEN(#REF!)), "")&amp;
      "},"&amp;IF(#REF!&lt;&gt;"",""&amp;#REF!,"")
 )
)
)</f>
        <v>#REF!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1872-80EC-3C41-8E93-351EA09A122F}">
  <dimension ref="A1:B12"/>
  <sheetViews>
    <sheetView workbookViewId="0">
      <selection activeCell="A3" sqref="A3"/>
    </sheetView>
  </sheetViews>
  <sheetFormatPr baseColWidth="10" defaultRowHeight="16"/>
  <sheetData>
    <row r="1" spans="1:2" ht="21">
      <c r="A1" s="38" t="s">
        <v>134</v>
      </c>
    </row>
    <row r="2" spans="1:2" ht="20">
      <c r="A2" s="37" t="s">
        <v>135</v>
      </c>
    </row>
    <row r="3" spans="1:2" ht="21">
      <c r="A3" s="34" t="s">
        <v>136</v>
      </c>
    </row>
    <row r="4" spans="1:2" ht="21">
      <c r="A4" s="34" t="s">
        <v>137</v>
      </c>
    </row>
    <row r="5" spans="1:2" ht="21">
      <c r="A5" s="33" t="s">
        <v>138</v>
      </c>
    </row>
    <row r="6" spans="1:2" ht="21">
      <c r="A6" s="35" t="s">
        <v>139</v>
      </c>
    </row>
    <row r="7" spans="1:2" ht="20">
      <c r="A7" s="36" t="s">
        <v>140</v>
      </c>
    </row>
    <row r="8" spans="1:2" ht="20">
      <c r="A8" s="36" t="s">
        <v>141</v>
      </c>
    </row>
    <row r="12" spans="1:2">
      <c r="A12" t="s">
        <v>142</v>
      </c>
      <c r="B12">
        <f>CODE(A12)</f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EXPORT.C</vt:lpstr>
      <vt:lpstr>Sheet1</vt:lpstr>
      <vt:lpstr>CRLF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Mostert</dc:creator>
  <cp:lastModifiedBy>Jaco Mostert</cp:lastModifiedBy>
  <dcterms:created xsi:type="dcterms:W3CDTF">2020-01-07T21:12:33Z</dcterms:created>
  <dcterms:modified xsi:type="dcterms:W3CDTF">2024-07-26T22:01:53Z</dcterms:modified>
</cp:coreProperties>
</file>