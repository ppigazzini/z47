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99F4DF50-C496-BE46-9EF1-C42124A3192A}" xr6:coauthVersionLast="47" xr6:coauthVersionMax="47" xr10:uidLastSave="{00000000-0000-0000-0000-000000000000}"/>
  <bookViews>
    <workbookView xWindow="0" yWindow="500" windowWidth="32680" windowHeight="20500" tabRatio="500" xr2:uid="{00000000-000D-0000-FFFF-FFFF00000000}"/>
  </bookViews>
  <sheets>
    <sheet name="Sheet2" sheetId="22" r:id="rId1"/>
    <sheet name="EXPORT.C" sheetId="4" r:id="rId2"/>
    <sheet name="Sheet1" sheetId="23" r:id="rId3"/>
  </sheets>
  <definedNames>
    <definedName name="_xlnm._FilterDatabase" localSheetId="0" hidden="1">Sheet2!$B$4:$N$30</definedName>
    <definedName name="CRLF">Sheet2!$B$1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129" i="4" l="1"/>
  <c r="K129" i="4"/>
  <c r="J129" i="4"/>
  <c r="I129" i="4"/>
  <c r="H129" i="4"/>
  <c r="G129" i="4"/>
  <c r="F129" i="4"/>
  <c r="E129" i="4"/>
  <c r="D129" i="4"/>
  <c r="C129" i="4"/>
  <c r="B129" i="4"/>
  <c r="A129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L99" i="4"/>
  <c r="K99" i="4"/>
  <c r="J99" i="4"/>
  <c r="I99" i="4"/>
  <c r="H99" i="4"/>
  <c r="G99" i="4"/>
  <c r="F99" i="4"/>
  <c r="E99" i="4"/>
  <c r="D99" i="4"/>
  <c r="C99" i="4"/>
  <c r="B99" i="4"/>
  <c r="A99" i="4"/>
  <c r="L98" i="4"/>
  <c r="K98" i="4"/>
  <c r="J98" i="4"/>
  <c r="I98" i="4"/>
  <c r="H98" i="4"/>
  <c r="G98" i="4"/>
  <c r="F98" i="4"/>
  <c r="E98" i="4"/>
  <c r="D98" i="4"/>
  <c r="C98" i="4"/>
  <c r="B98" i="4"/>
  <c r="A98" i="4"/>
  <c r="L97" i="4"/>
  <c r="K97" i="4"/>
  <c r="J97" i="4"/>
  <c r="I97" i="4"/>
  <c r="H97" i="4"/>
  <c r="G97" i="4"/>
  <c r="F97" i="4"/>
  <c r="E97" i="4"/>
  <c r="D97" i="4"/>
  <c r="C97" i="4"/>
  <c r="B97" i="4"/>
  <c r="A97" i="4"/>
  <c r="L96" i="4"/>
  <c r="K96" i="4"/>
  <c r="J96" i="4"/>
  <c r="I96" i="4"/>
  <c r="H96" i="4"/>
  <c r="G96" i="4"/>
  <c r="F96" i="4"/>
  <c r="E96" i="4"/>
  <c r="D96" i="4"/>
  <c r="C96" i="4"/>
  <c r="B96" i="4"/>
  <c r="A96" i="4"/>
  <c r="L95" i="4"/>
  <c r="K95" i="4"/>
  <c r="J95" i="4"/>
  <c r="I95" i="4"/>
  <c r="H95" i="4"/>
  <c r="G95" i="4"/>
  <c r="F95" i="4"/>
  <c r="E95" i="4"/>
  <c r="D95" i="4"/>
  <c r="C95" i="4"/>
  <c r="B95" i="4"/>
  <c r="A95" i="4"/>
  <c r="L94" i="4"/>
  <c r="K94" i="4"/>
  <c r="J94" i="4"/>
  <c r="I94" i="4"/>
  <c r="H94" i="4"/>
  <c r="G94" i="4"/>
  <c r="F94" i="4"/>
  <c r="E94" i="4"/>
  <c r="D94" i="4"/>
  <c r="C94" i="4"/>
  <c r="B94" i="4"/>
  <c r="A94" i="4"/>
  <c r="L93" i="4"/>
  <c r="K93" i="4"/>
  <c r="J93" i="4"/>
  <c r="I93" i="4"/>
  <c r="H93" i="4"/>
  <c r="G93" i="4"/>
  <c r="F93" i="4"/>
  <c r="E93" i="4"/>
  <c r="D93" i="4"/>
  <c r="C93" i="4"/>
  <c r="B93" i="4"/>
  <c r="A93" i="4"/>
  <c r="L92" i="4"/>
  <c r="K92" i="4"/>
  <c r="J92" i="4"/>
  <c r="I92" i="4"/>
  <c r="H92" i="4"/>
  <c r="G92" i="4"/>
  <c r="F92" i="4"/>
  <c r="E92" i="4"/>
  <c r="D92" i="4"/>
  <c r="C92" i="4"/>
  <c r="B92" i="4"/>
  <c r="A92" i="4"/>
  <c r="L91" i="4"/>
  <c r="K91" i="4"/>
  <c r="J91" i="4"/>
  <c r="I91" i="4"/>
  <c r="H91" i="4"/>
  <c r="G91" i="4"/>
  <c r="F91" i="4"/>
  <c r="E91" i="4"/>
  <c r="D91" i="4"/>
  <c r="C91" i="4"/>
  <c r="B91" i="4"/>
  <c r="A91" i="4"/>
  <c r="K90" i="4"/>
  <c r="J90" i="4"/>
  <c r="I90" i="4"/>
  <c r="H90" i="4"/>
  <c r="G90" i="4"/>
  <c r="F90" i="4"/>
  <c r="E90" i="4"/>
  <c r="D90" i="4"/>
  <c r="C90" i="4"/>
  <c r="B90" i="4"/>
  <c r="A90" i="4"/>
  <c r="L90" i="4" s="1"/>
  <c r="K89" i="4"/>
  <c r="J89" i="4"/>
  <c r="I89" i="4"/>
  <c r="H89" i="4"/>
  <c r="G89" i="4"/>
  <c r="F89" i="4"/>
  <c r="E89" i="4"/>
  <c r="D89" i="4"/>
  <c r="C89" i="4"/>
  <c r="B89" i="4"/>
  <c r="A89" i="4"/>
  <c r="L89" i="4" s="1"/>
  <c r="K88" i="4"/>
  <c r="J88" i="4"/>
  <c r="I88" i="4"/>
  <c r="H88" i="4"/>
  <c r="G88" i="4"/>
  <c r="F88" i="4"/>
  <c r="E88" i="4"/>
  <c r="D88" i="4"/>
  <c r="C88" i="4"/>
  <c r="B88" i="4"/>
  <c r="A88" i="4"/>
  <c r="L88" i="4" s="1"/>
  <c r="K87" i="4"/>
  <c r="J87" i="4"/>
  <c r="I87" i="4"/>
  <c r="H87" i="4"/>
  <c r="G87" i="4"/>
  <c r="F87" i="4"/>
  <c r="E87" i="4"/>
  <c r="D87" i="4"/>
  <c r="C87" i="4"/>
  <c r="B87" i="4"/>
  <c r="A87" i="4"/>
  <c r="L87" i="4" s="1"/>
  <c r="K86" i="4"/>
  <c r="J86" i="4"/>
  <c r="I86" i="4"/>
  <c r="H86" i="4"/>
  <c r="G86" i="4"/>
  <c r="F86" i="4"/>
  <c r="E86" i="4"/>
  <c r="D86" i="4"/>
  <c r="C86" i="4"/>
  <c r="B86" i="4"/>
  <c r="A86" i="4"/>
  <c r="L86" i="4" s="1"/>
  <c r="K85" i="4"/>
  <c r="J85" i="4"/>
  <c r="I85" i="4"/>
  <c r="H85" i="4"/>
  <c r="G85" i="4"/>
  <c r="F85" i="4"/>
  <c r="E85" i="4"/>
  <c r="D85" i="4"/>
  <c r="C85" i="4"/>
  <c r="B85" i="4"/>
  <c r="A85" i="4"/>
  <c r="L85" i="4" s="1"/>
  <c r="K84" i="4"/>
  <c r="J84" i="4"/>
  <c r="I84" i="4"/>
  <c r="H84" i="4"/>
  <c r="G84" i="4"/>
  <c r="F84" i="4"/>
  <c r="E84" i="4"/>
  <c r="D84" i="4"/>
  <c r="C84" i="4"/>
  <c r="B84" i="4"/>
  <c r="A84" i="4"/>
  <c r="L84" i="4" s="1"/>
  <c r="K83" i="4"/>
  <c r="J83" i="4"/>
  <c r="I83" i="4"/>
  <c r="H83" i="4"/>
  <c r="G83" i="4"/>
  <c r="F83" i="4"/>
  <c r="E83" i="4"/>
  <c r="D83" i="4"/>
  <c r="C83" i="4"/>
  <c r="B83" i="4"/>
  <c r="A83" i="4"/>
  <c r="L83" i="4" s="1"/>
  <c r="K82" i="4"/>
  <c r="J82" i="4"/>
  <c r="I82" i="4"/>
  <c r="H82" i="4"/>
  <c r="G82" i="4"/>
  <c r="F82" i="4"/>
  <c r="E82" i="4"/>
  <c r="D82" i="4"/>
  <c r="C82" i="4"/>
  <c r="B82" i="4"/>
  <c r="A82" i="4"/>
  <c r="L82" i="4" s="1"/>
  <c r="K81" i="4"/>
  <c r="J81" i="4"/>
  <c r="I81" i="4"/>
  <c r="H81" i="4"/>
  <c r="G81" i="4"/>
  <c r="F81" i="4"/>
  <c r="E81" i="4"/>
  <c r="D81" i="4"/>
  <c r="C81" i="4"/>
  <c r="B81" i="4"/>
  <c r="A81" i="4"/>
  <c r="L81" i="4" s="1"/>
  <c r="K80" i="4"/>
  <c r="J80" i="4"/>
  <c r="I80" i="4"/>
  <c r="H80" i="4"/>
  <c r="G80" i="4"/>
  <c r="F80" i="4"/>
  <c r="E80" i="4"/>
  <c r="D80" i="4"/>
  <c r="C80" i="4"/>
  <c r="B80" i="4"/>
  <c r="A80" i="4"/>
  <c r="L80" i="4" s="1"/>
  <c r="K79" i="4"/>
  <c r="J79" i="4"/>
  <c r="I79" i="4"/>
  <c r="H79" i="4"/>
  <c r="G79" i="4"/>
  <c r="F79" i="4"/>
  <c r="E79" i="4"/>
  <c r="D79" i="4"/>
  <c r="C79" i="4"/>
  <c r="B79" i="4"/>
  <c r="A79" i="4"/>
  <c r="L79" i="4" s="1"/>
  <c r="K78" i="4"/>
  <c r="J78" i="4"/>
  <c r="I78" i="4"/>
  <c r="H78" i="4"/>
  <c r="G78" i="4"/>
  <c r="F78" i="4"/>
  <c r="E78" i="4"/>
  <c r="D78" i="4"/>
  <c r="C78" i="4"/>
  <c r="B78" i="4"/>
  <c r="A78" i="4"/>
  <c r="L78" i="4" s="1"/>
  <c r="K77" i="4"/>
  <c r="J77" i="4"/>
  <c r="I77" i="4"/>
  <c r="H77" i="4"/>
  <c r="G77" i="4"/>
  <c r="F77" i="4"/>
  <c r="E77" i="4"/>
  <c r="D77" i="4"/>
  <c r="C77" i="4"/>
  <c r="B77" i="4"/>
  <c r="A77" i="4"/>
  <c r="L77" i="4" s="1"/>
  <c r="K76" i="4"/>
  <c r="J76" i="4"/>
  <c r="I76" i="4"/>
  <c r="H76" i="4"/>
  <c r="G76" i="4"/>
  <c r="F76" i="4"/>
  <c r="E76" i="4"/>
  <c r="D76" i="4"/>
  <c r="C76" i="4"/>
  <c r="B76" i="4"/>
  <c r="A76" i="4"/>
  <c r="L76" i="4" s="1"/>
  <c r="K75" i="4"/>
  <c r="J75" i="4"/>
  <c r="I75" i="4"/>
  <c r="H75" i="4"/>
  <c r="G75" i="4"/>
  <c r="F75" i="4"/>
  <c r="E75" i="4"/>
  <c r="D75" i="4"/>
  <c r="C75" i="4"/>
  <c r="B75" i="4"/>
  <c r="A75" i="4"/>
  <c r="L75" i="4" s="1"/>
  <c r="K74" i="4"/>
  <c r="J74" i="4"/>
  <c r="I74" i="4"/>
  <c r="H74" i="4"/>
  <c r="G74" i="4"/>
  <c r="F74" i="4"/>
  <c r="E74" i="4"/>
  <c r="D74" i="4"/>
  <c r="C74" i="4"/>
  <c r="B74" i="4"/>
  <c r="A74" i="4"/>
  <c r="L74" i="4" s="1"/>
  <c r="K73" i="4"/>
  <c r="J73" i="4"/>
  <c r="I73" i="4"/>
  <c r="H73" i="4"/>
  <c r="G73" i="4"/>
  <c r="F73" i="4"/>
  <c r="E73" i="4"/>
  <c r="D73" i="4"/>
  <c r="C73" i="4"/>
  <c r="B73" i="4"/>
  <c r="A73" i="4"/>
  <c r="L73" i="4" s="1"/>
  <c r="K72" i="4"/>
  <c r="J72" i="4"/>
  <c r="I72" i="4"/>
  <c r="H72" i="4"/>
  <c r="G72" i="4"/>
  <c r="F72" i="4"/>
  <c r="E72" i="4"/>
  <c r="D72" i="4"/>
  <c r="C72" i="4"/>
  <c r="B72" i="4"/>
  <c r="A72" i="4"/>
  <c r="L72" i="4" s="1"/>
  <c r="K71" i="4"/>
  <c r="J71" i="4"/>
  <c r="I71" i="4"/>
  <c r="H71" i="4"/>
  <c r="G71" i="4"/>
  <c r="F71" i="4"/>
  <c r="E71" i="4"/>
  <c r="D71" i="4"/>
  <c r="C71" i="4"/>
  <c r="B71" i="4"/>
  <c r="A71" i="4"/>
  <c r="L71" i="4" s="1"/>
  <c r="K70" i="4"/>
  <c r="J70" i="4"/>
  <c r="I70" i="4"/>
  <c r="H70" i="4"/>
  <c r="G70" i="4"/>
  <c r="F70" i="4"/>
  <c r="E70" i="4"/>
  <c r="D70" i="4"/>
  <c r="C70" i="4"/>
  <c r="B70" i="4"/>
  <c r="A70" i="4"/>
  <c r="L70" i="4" s="1"/>
  <c r="K69" i="4"/>
  <c r="J69" i="4"/>
  <c r="I69" i="4"/>
  <c r="H69" i="4"/>
  <c r="G69" i="4"/>
  <c r="F69" i="4"/>
  <c r="E69" i="4"/>
  <c r="D69" i="4"/>
  <c r="C69" i="4"/>
  <c r="B69" i="4"/>
  <c r="A69" i="4"/>
  <c r="L69" i="4" s="1"/>
  <c r="K68" i="4"/>
  <c r="J68" i="4"/>
  <c r="I68" i="4"/>
  <c r="H68" i="4"/>
  <c r="G68" i="4"/>
  <c r="F68" i="4"/>
  <c r="E68" i="4"/>
  <c r="D68" i="4"/>
  <c r="C68" i="4"/>
  <c r="B68" i="4"/>
  <c r="A68" i="4"/>
  <c r="L68" i="4" s="1"/>
  <c r="K67" i="4"/>
  <c r="J67" i="4"/>
  <c r="I67" i="4"/>
  <c r="H67" i="4"/>
  <c r="G67" i="4"/>
  <c r="F67" i="4"/>
  <c r="E67" i="4"/>
  <c r="D67" i="4"/>
  <c r="C67" i="4"/>
  <c r="B67" i="4"/>
  <c r="A67" i="4"/>
  <c r="L67" i="4" s="1"/>
  <c r="K66" i="4"/>
  <c r="J66" i="4"/>
  <c r="I66" i="4"/>
  <c r="H66" i="4"/>
  <c r="G66" i="4"/>
  <c r="F66" i="4"/>
  <c r="E66" i="4"/>
  <c r="D66" i="4"/>
  <c r="C66" i="4"/>
  <c r="B66" i="4"/>
  <c r="A66" i="4"/>
  <c r="L66" i="4" s="1"/>
  <c r="L65" i="4"/>
  <c r="K65" i="4"/>
  <c r="J65" i="4"/>
  <c r="I65" i="4"/>
  <c r="H65" i="4"/>
  <c r="G65" i="4"/>
  <c r="F65" i="4"/>
  <c r="E65" i="4"/>
  <c r="D65" i="4"/>
  <c r="C65" i="4"/>
  <c r="B65" i="4"/>
  <c r="A65" i="4"/>
  <c r="L64" i="4"/>
  <c r="K64" i="4"/>
  <c r="J64" i="4"/>
  <c r="I64" i="4"/>
  <c r="H64" i="4"/>
  <c r="G64" i="4"/>
  <c r="F64" i="4"/>
  <c r="E64" i="4"/>
  <c r="D64" i="4"/>
  <c r="C64" i="4"/>
  <c r="B64" i="4"/>
  <c r="A64" i="4"/>
  <c r="L63" i="4"/>
  <c r="K63" i="4"/>
  <c r="J63" i="4"/>
  <c r="I63" i="4"/>
  <c r="H63" i="4"/>
  <c r="G63" i="4"/>
  <c r="F63" i="4"/>
  <c r="E63" i="4"/>
  <c r="D63" i="4"/>
  <c r="C63" i="4"/>
  <c r="B63" i="4"/>
  <c r="A63" i="4"/>
  <c r="K62" i="4"/>
  <c r="J62" i="4"/>
  <c r="I62" i="4"/>
  <c r="H62" i="4"/>
  <c r="G62" i="4"/>
  <c r="F62" i="4"/>
  <c r="E62" i="4"/>
  <c r="D62" i="4"/>
  <c r="C62" i="4"/>
  <c r="B62" i="4"/>
  <c r="A62" i="4"/>
  <c r="L62" i="4" s="1"/>
  <c r="K61" i="4"/>
  <c r="J61" i="4"/>
  <c r="I61" i="4"/>
  <c r="H61" i="4"/>
  <c r="G61" i="4"/>
  <c r="F61" i="4"/>
  <c r="E61" i="4"/>
  <c r="D61" i="4"/>
  <c r="C61" i="4"/>
  <c r="B61" i="4"/>
  <c r="A61" i="4"/>
  <c r="L61" i="4" s="1"/>
  <c r="K60" i="4"/>
  <c r="J60" i="4"/>
  <c r="I60" i="4"/>
  <c r="H60" i="4"/>
  <c r="G60" i="4"/>
  <c r="F60" i="4"/>
  <c r="E60" i="4"/>
  <c r="D60" i="4"/>
  <c r="C60" i="4"/>
  <c r="B60" i="4"/>
  <c r="A60" i="4"/>
  <c r="L60" i="4" s="1"/>
  <c r="K59" i="4"/>
  <c r="J59" i="4"/>
  <c r="I59" i="4"/>
  <c r="H59" i="4"/>
  <c r="G59" i="4"/>
  <c r="F59" i="4"/>
  <c r="E59" i="4"/>
  <c r="D59" i="4"/>
  <c r="C59" i="4"/>
  <c r="B59" i="4"/>
  <c r="A59" i="4"/>
  <c r="L59" i="4" s="1"/>
  <c r="K58" i="4"/>
  <c r="J58" i="4"/>
  <c r="I58" i="4"/>
  <c r="H58" i="4"/>
  <c r="G58" i="4"/>
  <c r="F58" i="4"/>
  <c r="E58" i="4"/>
  <c r="D58" i="4"/>
  <c r="C58" i="4"/>
  <c r="B58" i="4"/>
  <c r="A58" i="4"/>
  <c r="L58" i="4" s="1"/>
  <c r="K57" i="4"/>
  <c r="J57" i="4"/>
  <c r="I57" i="4"/>
  <c r="H57" i="4"/>
  <c r="G57" i="4"/>
  <c r="F57" i="4"/>
  <c r="E57" i="4"/>
  <c r="D57" i="4"/>
  <c r="C57" i="4"/>
  <c r="B57" i="4"/>
  <c r="A57" i="4"/>
  <c r="L57" i="4" s="1"/>
  <c r="K56" i="4"/>
  <c r="J56" i="4"/>
  <c r="I56" i="4"/>
  <c r="H56" i="4"/>
  <c r="G56" i="4"/>
  <c r="F56" i="4"/>
  <c r="E56" i="4"/>
  <c r="D56" i="4"/>
  <c r="C56" i="4"/>
  <c r="B56" i="4"/>
  <c r="A56" i="4"/>
  <c r="L56" i="4" s="1"/>
  <c r="K55" i="4"/>
  <c r="J55" i="4"/>
  <c r="I55" i="4"/>
  <c r="H55" i="4"/>
  <c r="G55" i="4"/>
  <c r="F55" i="4"/>
  <c r="E55" i="4"/>
  <c r="D55" i="4"/>
  <c r="C55" i="4"/>
  <c r="B55" i="4"/>
  <c r="A55" i="4"/>
  <c r="L55" i="4" s="1"/>
  <c r="K54" i="4"/>
  <c r="J54" i="4"/>
  <c r="I54" i="4"/>
  <c r="H54" i="4"/>
  <c r="G54" i="4"/>
  <c r="F54" i="4"/>
  <c r="E54" i="4"/>
  <c r="D54" i="4"/>
  <c r="C54" i="4"/>
  <c r="B54" i="4"/>
  <c r="A54" i="4"/>
  <c r="L54" i="4" s="1"/>
  <c r="K53" i="4"/>
  <c r="J53" i="4"/>
  <c r="I53" i="4"/>
  <c r="H53" i="4"/>
  <c r="G53" i="4"/>
  <c r="F53" i="4"/>
  <c r="E53" i="4"/>
  <c r="D53" i="4"/>
  <c r="C53" i="4"/>
  <c r="B53" i="4"/>
  <c r="A53" i="4"/>
  <c r="L53" i="4" s="1"/>
  <c r="K52" i="4"/>
  <c r="J52" i="4"/>
  <c r="I52" i="4"/>
  <c r="H52" i="4"/>
  <c r="G52" i="4"/>
  <c r="F52" i="4"/>
  <c r="E52" i="4"/>
  <c r="D52" i="4"/>
  <c r="C52" i="4"/>
  <c r="B52" i="4"/>
  <c r="A52" i="4"/>
  <c r="L52" i="4" s="1"/>
  <c r="K51" i="4"/>
  <c r="J51" i="4"/>
  <c r="I51" i="4"/>
  <c r="H51" i="4"/>
  <c r="G51" i="4"/>
  <c r="F51" i="4"/>
  <c r="E51" i="4"/>
  <c r="D51" i="4"/>
  <c r="C51" i="4"/>
  <c r="B51" i="4"/>
  <c r="A51" i="4"/>
  <c r="L51" i="4" s="1"/>
  <c r="K50" i="4"/>
  <c r="J50" i="4"/>
  <c r="I50" i="4"/>
  <c r="H50" i="4"/>
  <c r="G50" i="4"/>
  <c r="F50" i="4"/>
  <c r="E50" i="4"/>
  <c r="D50" i="4"/>
  <c r="C50" i="4"/>
  <c r="B50" i="4"/>
  <c r="A50" i="4"/>
  <c r="L50" i="4" s="1"/>
  <c r="K49" i="4"/>
  <c r="J49" i="4"/>
  <c r="I49" i="4"/>
  <c r="H49" i="4"/>
  <c r="G49" i="4"/>
  <c r="F49" i="4"/>
  <c r="E49" i="4"/>
  <c r="D49" i="4"/>
  <c r="C49" i="4"/>
  <c r="B49" i="4"/>
  <c r="A49" i="4"/>
  <c r="L49" i="4" s="1"/>
  <c r="K48" i="4"/>
  <c r="J48" i="4"/>
  <c r="I48" i="4"/>
  <c r="H48" i="4"/>
  <c r="G48" i="4"/>
  <c r="F48" i="4"/>
  <c r="E48" i="4"/>
  <c r="D48" i="4"/>
  <c r="C48" i="4"/>
  <c r="B48" i="4"/>
  <c r="A48" i="4"/>
  <c r="L48" i="4" s="1"/>
  <c r="K47" i="4"/>
  <c r="J47" i="4"/>
  <c r="I47" i="4"/>
  <c r="H47" i="4"/>
  <c r="G47" i="4"/>
  <c r="F47" i="4"/>
  <c r="E47" i="4"/>
  <c r="D47" i="4"/>
  <c r="C47" i="4"/>
  <c r="B47" i="4"/>
  <c r="A47" i="4"/>
  <c r="L47" i="4" s="1"/>
  <c r="K46" i="4"/>
  <c r="J46" i="4"/>
  <c r="I46" i="4"/>
  <c r="H46" i="4"/>
  <c r="G46" i="4"/>
  <c r="F46" i="4"/>
  <c r="E46" i="4"/>
  <c r="D46" i="4"/>
  <c r="C46" i="4"/>
  <c r="B46" i="4"/>
  <c r="A46" i="4"/>
  <c r="L46" i="4" s="1"/>
  <c r="K45" i="4"/>
  <c r="J45" i="4"/>
  <c r="I45" i="4"/>
  <c r="H45" i="4"/>
  <c r="G45" i="4"/>
  <c r="F45" i="4"/>
  <c r="E45" i="4"/>
  <c r="D45" i="4"/>
  <c r="C45" i="4"/>
  <c r="B45" i="4"/>
  <c r="A45" i="4"/>
  <c r="L45" i="4" s="1"/>
  <c r="K44" i="4"/>
  <c r="J44" i="4"/>
  <c r="I44" i="4"/>
  <c r="H44" i="4"/>
  <c r="G44" i="4"/>
  <c r="F44" i="4"/>
  <c r="E44" i="4"/>
  <c r="D44" i="4"/>
  <c r="C44" i="4"/>
  <c r="B44" i="4"/>
  <c r="A44" i="4"/>
  <c r="L44" i="4" s="1"/>
  <c r="K43" i="4"/>
  <c r="J43" i="4"/>
  <c r="I43" i="4"/>
  <c r="H43" i="4"/>
  <c r="G43" i="4"/>
  <c r="F43" i="4"/>
  <c r="E43" i="4"/>
  <c r="D43" i="4"/>
  <c r="C43" i="4"/>
  <c r="B43" i="4"/>
  <c r="A43" i="4"/>
  <c r="L43" i="4" s="1"/>
  <c r="K42" i="4"/>
  <c r="J42" i="4"/>
  <c r="I42" i="4"/>
  <c r="H42" i="4"/>
  <c r="G42" i="4"/>
  <c r="F42" i="4"/>
  <c r="E42" i="4"/>
  <c r="D42" i="4"/>
  <c r="C42" i="4"/>
  <c r="B42" i="4"/>
  <c r="A42" i="4"/>
  <c r="L42" i="4" s="1"/>
  <c r="K41" i="4"/>
  <c r="J41" i="4"/>
  <c r="I41" i="4"/>
  <c r="H41" i="4"/>
  <c r="G41" i="4"/>
  <c r="F41" i="4"/>
  <c r="E41" i="4"/>
  <c r="D41" i="4"/>
  <c r="C41" i="4"/>
  <c r="B41" i="4"/>
  <c r="A41" i="4"/>
  <c r="L41" i="4" s="1"/>
  <c r="K40" i="4"/>
  <c r="J40" i="4"/>
  <c r="I40" i="4"/>
  <c r="H40" i="4"/>
  <c r="G40" i="4"/>
  <c r="F40" i="4"/>
  <c r="E40" i="4"/>
  <c r="D40" i="4"/>
  <c r="C40" i="4"/>
  <c r="B40" i="4"/>
  <c r="A40" i="4"/>
  <c r="L40" i="4" s="1"/>
  <c r="K39" i="4"/>
  <c r="J39" i="4"/>
  <c r="I39" i="4"/>
  <c r="H39" i="4"/>
  <c r="G39" i="4"/>
  <c r="F39" i="4"/>
  <c r="E39" i="4"/>
  <c r="D39" i="4"/>
  <c r="C39" i="4"/>
  <c r="B39" i="4"/>
  <c r="A39" i="4"/>
  <c r="L39" i="4" s="1"/>
  <c r="K38" i="4"/>
  <c r="J38" i="4"/>
  <c r="I38" i="4"/>
  <c r="H38" i="4"/>
  <c r="G38" i="4"/>
  <c r="F38" i="4"/>
  <c r="E38" i="4"/>
  <c r="D38" i="4"/>
  <c r="C38" i="4"/>
  <c r="B38" i="4"/>
  <c r="A38" i="4"/>
  <c r="L38" i="4" s="1"/>
  <c r="K37" i="4"/>
  <c r="J37" i="4"/>
  <c r="I37" i="4"/>
  <c r="H37" i="4"/>
  <c r="G37" i="4"/>
  <c r="F37" i="4"/>
  <c r="E37" i="4"/>
  <c r="D37" i="4"/>
  <c r="C37" i="4"/>
  <c r="B37" i="4"/>
  <c r="A37" i="4"/>
  <c r="L37" i="4" s="1"/>
  <c r="K36" i="4"/>
  <c r="J36" i="4"/>
  <c r="I36" i="4"/>
  <c r="H36" i="4"/>
  <c r="G36" i="4"/>
  <c r="F36" i="4"/>
  <c r="E36" i="4"/>
  <c r="D36" i="4"/>
  <c r="C36" i="4"/>
  <c r="B36" i="4"/>
  <c r="A36" i="4"/>
  <c r="L36" i="4" s="1"/>
  <c r="K35" i="4"/>
  <c r="J35" i="4"/>
  <c r="I35" i="4"/>
  <c r="H35" i="4"/>
  <c r="G35" i="4"/>
  <c r="F35" i="4"/>
  <c r="E35" i="4"/>
  <c r="D35" i="4"/>
  <c r="C35" i="4"/>
  <c r="B35" i="4"/>
  <c r="A35" i="4"/>
  <c r="L35" i="4" s="1"/>
  <c r="K34" i="4"/>
  <c r="J34" i="4"/>
  <c r="I34" i="4"/>
  <c r="H34" i="4"/>
  <c r="G34" i="4"/>
  <c r="F34" i="4"/>
  <c r="E34" i="4"/>
  <c r="D34" i="4"/>
  <c r="C34" i="4"/>
  <c r="B34" i="4"/>
  <c r="A34" i="4"/>
  <c r="L34" i="4" s="1"/>
  <c r="K33" i="4"/>
  <c r="J33" i="4"/>
  <c r="I33" i="4"/>
  <c r="H33" i="4"/>
  <c r="G33" i="4"/>
  <c r="F33" i="4"/>
  <c r="E33" i="4"/>
  <c r="D33" i="4"/>
  <c r="C33" i="4"/>
  <c r="B33" i="4"/>
  <c r="A33" i="4"/>
  <c r="L33" i="4" s="1"/>
  <c r="K32" i="4"/>
  <c r="J32" i="4"/>
  <c r="I32" i="4"/>
  <c r="H32" i="4"/>
  <c r="G32" i="4"/>
  <c r="F32" i="4"/>
  <c r="E32" i="4"/>
  <c r="D32" i="4"/>
  <c r="C32" i="4"/>
  <c r="B32" i="4"/>
  <c r="A32" i="4"/>
  <c r="L32" i="4" s="1"/>
  <c r="K31" i="4"/>
  <c r="J31" i="4"/>
  <c r="I31" i="4"/>
  <c r="H31" i="4"/>
  <c r="G31" i="4"/>
  <c r="F31" i="4"/>
  <c r="E31" i="4"/>
  <c r="D31" i="4"/>
  <c r="C31" i="4"/>
  <c r="B31" i="4"/>
  <c r="A31" i="4"/>
  <c r="L31" i="4" s="1"/>
  <c r="K30" i="4"/>
  <c r="J30" i="4"/>
  <c r="I30" i="4"/>
  <c r="H30" i="4"/>
  <c r="G30" i="4"/>
  <c r="F30" i="4"/>
  <c r="E30" i="4"/>
  <c r="D30" i="4"/>
  <c r="C30" i="4"/>
  <c r="B30" i="4"/>
  <c r="A30" i="4"/>
  <c r="L30" i="4" s="1"/>
  <c r="K29" i="4"/>
  <c r="J29" i="4"/>
  <c r="I29" i="4"/>
  <c r="H29" i="4"/>
  <c r="G29" i="4"/>
  <c r="F29" i="4"/>
  <c r="E29" i="4"/>
  <c r="D29" i="4"/>
  <c r="C29" i="4"/>
  <c r="B29" i="4"/>
  <c r="A29" i="4"/>
  <c r="L29" i="4" s="1"/>
  <c r="K28" i="4"/>
  <c r="J28" i="4"/>
  <c r="I28" i="4"/>
  <c r="H28" i="4"/>
  <c r="G28" i="4"/>
  <c r="F28" i="4"/>
  <c r="E28" i="4"/>
  <c r="D28" i="4"/>
  <c r="C28" i="4"/>
  <c r="B28" i="4"/>
  <c r="A28" i="4"/>
  <c r="L28" i="4" s="1"/>
  <c r="K27" i="4"/>
  <c r="J27" i="4"/>
  <c r="I27" i="4"/>
  <c r="H27" i="4"/>
  <c r="G27" i="4"/>
  <c r="F27" i="4"/>
  <c r="E27" i="4"/>
  <c r="D27" i="4"/>
  <c r="C27" i="4"/>
  <c r="B27" i="4"/>
  <c r="A27" i="4"/>
  <c r="L27" i="4" s="1"/>
  <c r="K26" i="4"/>
  <c r="J26" i="4"/>
  <c r="I26" i="4"/>
  <c r="H26" i="4"/>
  <c r="G26" i="4"/>
  <c r="F26" i="4"/>
  <c r="E26" i="4"/>
  <c r="D26" i="4"/>
  <c r="C26" i="4"/>
  <c r="B26" i="4"/>
  <c r="A26" i="4"/>
  <c r="L26" i="4" s="1"/>
  <c r="K25" i="4"/>
  <c r="J25" i="4"/>
  <c r="I25" i="4"/>
  <c r="H25" i="4"/>
  <c r="G25" i="4"/>
  <c r="F25" i="4"/>
  <c r="E25" i="4"/>
  <c r="D25" i="4"/>
  <c r="C25" i="4"/>
  <c r="B25" i="4"/>
  <c r="A25" i="4"/>
  <c r="L25" i="4" s="1"/>
  <c r="K24" i="4"/>
  <c r="J24" i="4"/>
  <c r="I24" i="4"/>
  <c r="H24" i="4"/>
  <c r="G24" i="4"/>
  <c r="F24" i="4"/>
  <c r="E24" i="4"/>
  <c r="D24" i="4"/>
  <c r="C24" i="4"/>
  <c r="B24" i="4"/>
  <c r="A24" i="4"/>
  <c r="L24" i="4" s="1"/>
  <c r="K23" i="4"/>
  <c r="J23" i="4"/>
  <c r="I23" i="4"/>
  <c r="H23" i="4"/>
  <c r="G23" i="4"/>
  <c r="F23" i="4"/>
  <c r="E23" i="4"/>
  <c r="D23" i="4"/>
  <c r="C23" i="4"/>
  <c r="B23" i="4"/>
  <c r="A23" i="4"/>
  <c r="L23" i="4" s="1"/>
  <c r="K22" i="4"/>
  <c r="J22" i="4"/>
  <c r="I22" i="4"/>
  <c r="H22" i="4"/>
  <c r="G22" i="4"/>
  <c r="F22" i="4"/>
  <c r="E22" i="4"/>
  <c r="D22" i="4"/>
  <c r="C22" i="4"/>
  <c r="B22" i="4"/>
  <c r="A22" i="4"/>
  <c r="L22" i="4" s="1"/>
  <c r="K21" i="4"/>
  <c r="J21" i="4"/>
  <c r="I21" i="4"/>
  <c r="H21" i="4"/>
  <c r="G21" i="4"/>
  <c r="F21" i="4"/>
  <c r="E21" i="4"/>
  <c r="D21" i="4"/>
  <c r="C21" i="4"/>
  <c r="B21" i="4"/>
  <c r="A21" i="4"/>
  <c r="L21" i="4" s="1"/>
  <c r="K20" i="4"/>
  <c r="J20" i="4"/>
  <c r="I20" i="4"/>
  <c r="H20" i="4"/>
  <c r="G20" i="4"/>
  <c r="F20" i="4"/>
  <c r="E20" i="4"/>
  <c r="D20" i="4"/>
  <c r="C20" i="4"/>
  <c r="B20" i="4"/>
  <c r="A20" i="4"/>
  <c r="L20" i="4" s="1"/>
  <c r="K19" i="4"/>
  <c r="J19" i="4"/>
  <c r="I19" i="4"/>
  <c r="H19" i="4"/>
  <c r="G19" i="4"/>
  <c r="F19" i="4"/>
  <c r="E19" i="4"/>
  <c r="D19" i="4"/>
  <c r="C19" i="4"/>
  <c r="B19" i="4"/>
  <c r="A19" i="4"/>
  <c r="L19" i="4" s="1"/>
  <c r="K18" i="4"/>
  <c r="J18" i="4"/>
  <c r="I18" i="4"/>
  <c r="H18" i="4"/>
  <c r="G18" i="4"/>
  <c r="F18" i="4"/>
  <c r="E18" i="4"/>
  <c r="D18" i="4"/>
  <c r="C18" i="4"/>
  <c r="B18" i="4"/>
  <c r="A18" i="4"/>
  <c r="L18" i="4" s="1"/>
  <c r="K17" i="4"/>
  <c r="J17" i="4"/>
  <c r="I17" i="4"/>
  <c r="H17" i="4"/>
  <c r="G17" i="4"/>
  <c r="F17" i="4"/>
  <c r="E17" i="4"/>
  <c r="D17" i="4"/>
  <c r="C17" i="4"/>
  <c r="B17" i="4"/>
  <c r="A17" i="4"/>
  <c r="L17" i="4" s="1"/>
  <c r="K16" i="4"/>
  <c r="J16" i="4"/>
  <c r="I16" i="4"/>
  <c r="H16" i="4"/>
  <c r="G16" i="4"/>
  <c r="F16" i="4"/>
  <c r="E16" i="4"/>
  <c r="D16" i="4"/>
  <c r="C16" i="4"/>
  <c r="B16" i="4"/>
  <c r="A16" i="4"/>
  <c r="L16" i="4" s="1"/>
  <c r="K15" i="4"/>
  <c r="J15" i="4"/>
  <c r="I15" i="4"/>
  <c r="H15" i="4"/>
  <c r="G15" i="4"/>
  <c r="F15" i="4"/>
  <c r="E15" i="4"/>
  <c r="D15" i="4"/>
  <c r="C15" i="4"/>
  <c r="B15" i="4"/>
  <c r="A15" i="4"/>
  <c r="L15" i="4" s="1"/>
  <c r="K14" i="4"/>
  <c r="J14" i="4"/>
  <c r="I14" i="4"/>
  <c r="H14" i="4"/>
  <c r="G14" i="4"/>
  <c r="F14" i="4"/>
  <c r="E14" i="4"/>
  <c r="D14" i="4"/>
  <c r="C14" i="4"/>
  <c r="B14" i="4"/>
  <c r="A14" i="4"/>
  <c r="L14" i="4" s="1"/>
  <c r="K13" i="4"/>
  <c r="J13" i="4"/>
  <c r="I13" i="4"/>
  <c r="H13" i="4"/>
  <c r="G13" i="4"/>
  <c r="F13" i="4"/>
  <c r="E13" i="4"/>
  <c r="D13" i="4"/>
  <c r="C13" i="4"/>
  <c r="B13" i="4"/>
  <c r="A13" i="4"/>
  <c r="L13" i="4" s="1"/>
  <c r="K12" i="4"/>
  <c r="J12" i="4"/>
  <c r="I12" i="4"/>
  <c r="H12" i="4"/>
  <c r="G12" i="4"/>
  <c r="F12" i="4"/>
  <c r="E12" i="4"/>
  <c r="D12" i="4"/>
  <c r="C12" i="4"/>
  <c r="B12" i="4"/>
  <c r="A12" i="4"/>
  <c r="L12" i="4" s="1"/>
  <c r="K11" i="4"/>
  <c r="J11" i="4"/>
  <c r="I11" i="4"/>
  <c r="H11" i="4"/>
  <c r="G11" i="4"/>
  <c r="F11" i="4"/>
  <c r="E11" i="4"/>
  <c r="D11" i="4"/>
  <c r="C11" i="4"/>
  <c r="B11" i="4"/>
  <c r="A11" i="4"/>
  <c r="L11" i="4" s="1"/>
  <c r="K10" i="4"/>
  <c r="J10" i="4"/>
  <c r="I10" i="4"/>
  <c r="H10" i="4"/>
  <c r="G10" i="4"/>
  <c r="F10" i="4"/>
  <c r="E10" i="4"/>
  <c r="D10" i="4"/>
  <c r="C10" i="4"/>
  <c r="B10" i="4"/>
  <c r="A10" i="4"/>
  <c r="L10" i="4" s="1"/>
  <c r="K9" i="4"/>
  <c r="J9" i="4"/>
  <c r="I9" i="4"/>
  <c r="H9" i="4"/>
  <c r="G9" i="4"/>
  <c r="F9" i="4"/>
  <c r="E9" i="4"/>
  <c r="D9" i="4"/>
  <c r="C9" i="4"/>
  <c r="B9" i="4"/>
  <c r="A9" i="4"/>
  <c r="L9" i="4" s="1"/>
  <c r="K8" i="4"/>
  <c r="J8" i="4"/>
  <c r="I8" i="4"/>
  <c r="H8" i="4"/>
  <c r="G8" i="4"/>
  <c r="F8" i="4"/>
  <c r="E8" i="4"/>
  <c r="D8" i="4"/>
  <c r="C8" i="4"/>
  <c r="B8" i="4"/>
  <c r="A8" i="4"/>
  <c r="L8" i="4" s="1"/>
  <c r="K7" i="4"/>
  <c r="J7" i="4"/>
  <c r="I7" i="4"/>
  <c r="H7" i="4"/>
  <c r="G7" i="4"/>
  <c r="F7" i="4"/>
  <c r="E7" i="4"/>
  <c r="D7" i="4"/>
  <c r="C7" i="4"/>
  <c r="B7" i="4"/>
  <c r="A7" i="4"/>
  <c r="L7" i="4" s="1"/>
  <c r="K6" i="4"/>
  <c r="J6" i="4"/>
  <c r="I6" i="4"/>
  <c r="H6" i="4"/>
  <c r="G6" i="4"/>
  <c r="F6" i="4"/>
  <c r="E6" i="4"/>
  <c r="D6" i="4"/>
  <c r="C6" i="4"/>
  <c r="B6" i="4"/>
  <c r="A6" i="4"/>
  <c r="L6" i="4" s="1"/>
  <c r="B86" i="22" l="1"/>
  <c r="A85" i="22"/>
  <c r="B85" i="22" s="1"/>
  <c r="A84" i="22"/>
  <c r="B84" i="22" s="1"/>
  <c r="B61" i="22"/>
  <c r="C5" i="4"/>
  <c r="B62" i="22"/>
  <c r="B60" i="22"/>
  <c r="I5" i="4"/>
  <c r="B59" i="22"/>
  <c r="B58" i="22"/>
  <c r="B57" i="22"/>
  <c r="B56" i="22"/>
  <c r="B55" i="22"/>
  <c r="B50" i="22"/>
  <c r="B49" i="22"/>
  <c r="B48" i="22"/>
  <c r="B47" i="22"/>
  <c r="F5" i="4"/>
  <c r="K83" i="22"/>
  <c r="K82" i="22"/>
  <c r="K81" i="22"/>
  <c r="K80" i="22"/>
  <c r="K79" i="22"/>
  <c r="K78" i="22"/>
  <c r="K75" i="22"/>
  <c r="K74" i="22"/>
  <c r="K73" i="22"/>
  <c r="K72" i="22"/>
  <c r="K71" i="22"/>
  <c r="K70" i="22"/>
  <c r="K69" i="22"/>
  <c r="K68" i="22"/>
  <c r="K67" i="22"/>
  <c r="K66" i="22"/>
  <c r="A83" i="22"/>
  <c r="A82" i="22"/>
  <c r="A81" i="22"/>
  <c r="A80" i="22"/>
  <c r="A79" i="22"/>
  <c r="A78" i="22"/>
  <c r="B77" i="22"/>
  <c r="B76" i="22"/>
  <c r="A75" i="22"/>
  <c r="A74" i="22"/>
  <c r="B74" i="22" s="1"/>
  <c r="A73" i="22"/>
  <c r="A72" i="22"/>
  <c r="A71" i="22"/>
  <c r="A70" i="22"/>
  <c r="B70" i="22" s="1"/>
  <c r="A69" i="22"/>
  <c r="A68" i="22"/>
  <c r="A67" i="22"/>
  <c r="A66" i="22"/>
  <c r="G5" i="4"/>
  <c r="B46" i="22"/>
  <c r="B45" i="22"/>
  <c r="B44" i="22"/>
  <c r="B43" i="22"/>
  <c r="B42" i="22"/>
  <c r="B12" i="23"/>
  <c r="B41" i="22"/>
  <c r="B36" i="22"/>
  <c r="J5" i="4"/>
  <c r="B27" i="22"/>
  <c r="B26" i="22"/>
  <c r="B25" i="22"/>
  <c r="B24" i="22"/>
  <c r="B23" i="22"/>
  <c r="B28" i="22"/>
  <c r="B20" i="22"/>
  <c r="B13" i="22"/>
  <c r="B12" i="22"/>
  <c r="B11" i="22"/>
  <c r="B81" i="22" l="1"/>
  <c r="B69" i="22"/>
  <c r="B71" i="22"/>
  <c r="B83" i="22"/>
  <c r="B82" i="22"/>
  <c r="B72" i="22"/>
  <c r="B79" i="22"/>
  <c r="B80" i="22"/>
  <c r="B75" i="22"/>
  <c r="B73" i="22"/>
  <c r="B66" i="22"/>
  <c r="B78" i="22"/>
  <c r="B67" i="22"/>
  <c r="B68" i="22"/>
  <c r="B40" i="22" l="1"/>
  <c r="B39" i="22"/>
  <c r="B38" i="22"/>
  <c r="B37" i="22"/>
  <c r="B7" i="22"/>
  <c r="D5" i="4"/>
  <c r="B19" i="22"/>
  <c r="B29" i="22"/>
  <c r="B34" i="22"/>
  <c r="B33" i="22"/>
  <c r="B32" i="22"/>
  <c r="B31" i="22"/>
  <c r="B30" i="22"/>
  <c r="B22" i="22"/>
  <c r="B10" i="22"/>
  <c r="B18" i="22"/>
  <c r="B6" i="22"/>
  <c r="B16" i="22"/>
  <c r="B14" i="22"/>
  <c r="B35" i="22"/>
  <c r="B8" i="22"/>
  <c r="B9" i="22"/>
  <c r="B15" i="22"/>
  <c r="B5" i="22"/>
  <c r="B21" i="22"/>
  <c r="L2" i="4"/>
  <c r="K5" i="4"/>
  <c r="H5" i="4"/>
  <c r="E5" i="4"/>
  <c r="B5" i="4"/>
  <c r="A5" i="4" l="1"/>
  <c r="L5" i="4" s="1"/>
  <c r="L2247" i="4" l="1"/>
  <c r="L2246" i="4"/>
  <c r="L2245" i="4"/>
  <c r="L2244" i="4"/>
  <c r="L2243" i="4"/>
  <c r="L2242" i="4"/>
  <c r="L2241" i="4"/>
  <c r="L2641" i="4" l="1"/>
  <c r="L2640" i="4"/>
  <c r="L2639" i="4"/>
  <c r="L2638" i="4"/>
  <c r="L2637" i="4"/>
  <c r="L2636" i="4"/>
  <c r="L2635" i="4"/>
  <c r="L2634" i="4"/>
  <c r="L2633" i="4"/>
  <c r="L2632" i="4"/>
  <c r="L2631" i="4"/>
  <c r="L2630" i="4"/>
  <c r="L2629" i="4"/>
  <c r="L2628" i="4"/>
  <c r="L2627" i="4"/>
  <c r="L2626" i="4"/>
  <c r="L2625" i="4"/>
  <c r="L2624" i="4"/>
  <c r="L2623" i="4"/>
  <c r="L2622" i="4"/>
  <c r="L2621" i="4"/>
  <c r="L2620" i="4"/>
  <c r="L2619" i="4"/>
  <c r="L2618" i="4"/>
  <c r="L2617" i="4"/>
  <c r="L2616" i="4"/>
  <c r="L2615" i="4"/>
  <c r="L2614" i="4"/>
  <c r="L2613" i="4"/>
  <c r="L2612" i="4"/>
  <c r="L2611" i="4"/>
  <c r="L2610" i="4"/>
  <c r="L2609" i="4"/>
  <c r="L2608" i="4"/>
  <c r="L2607" i="4"/>
  <c r="L2606" i="4"/>
  <c r="L2605" i="4"/>
  <c r="L2604" i="4"/>
  <c r="L2603" i="4"/>
  <c r="L2602" i="4"/>
  <c r="L2601" i="4"/>
  <c r="L2600" i="4"/>
  <c r="L2599" i="4"/>
  <c r="L2598" i="4"/>
  <c r="L2597" i="4"/>
  <c r="L2596" i="4"/>
  <c r="L2595" i="4"/>
  <c r="L2594" i="4"/>
  <c r="L2593" i="4"/>
  <c r="L2592" i="4"/>
  <c r="L2591" i="4"/>
  <c r="L2590" i="4"/>
  <c r="L2589" i="4"/>
  <c r="L2588" i="4"/>
  <c r="L2587" i="4"/>
  <c r="L2586" i="4"/>
  <c r="L2585" i="4"/>
  <c r="L2584" i="4"/>
  <c r="L2583" i="4"/>
  <c r="L2582" i="4"/>
  <c r="L2581" i="4"/>
  <c r="L2580" i="4"/>
  <c r="L2579" i="4"/>
  <c r="L2578" i="4"/>
  <c r="L2577" i="4"/>
  <c r="L2576" i="4"/>
  <c r="L2575" i="4"/>
  <c r="L2574" i="4"/>
  <c r="L2573" i="4"/>
  <c r="L2572" i="4"/>
  <c r="L2571" i="4"/>
  <c r="L2570" i="4"/>
  <c r="L2569" i="4"/>
  <c r="L2568" i="4"/>
  <c r="L2567" i="4"/>
  <c r="L2566" i="4"/>
  <c r="L2565" i="4"/>
  <c r="L2564" i="4"/>
  <c r="L2563" i="4"/>
  <c r="L2562" i="4"/>
  <c r="L2561" i="4"/>
  <c r="L2560" i="4"/>
  <c r="L2559" i="4"/>
  <c r="L2558" i="4"/>
  <c r="L2557" i="4"/>
  <c r="L2556" i="4"/>
  <c r="L2555" i="4"/>
  <c r="L2554" i="4"/>
  <c r="L2553" i="4"/>
  <c r="L2552" i="4"/>
  <c r="L2551" i="4"/>
  <c r="L2550" i="4"/>
  <c r="L2549" i="4"/>
  <c r="L2548" i="4"/>
  <c r="L2547" i="4"/>
  <c r="L2546" i="4"/>
  <c r="L2545" i="4"/>
  <c r="L2544" i="4"/>
  <c r="L2543" i="4"/>
  <c r="L2542" i="4"/>
  <c r="L2541" i="4"/>
  <c r="L2540" i="4"/>
  <c r="L2539" i="4"/>
  <c r="L2538" i="4"/>
  <c r="L2537" i="4"/>
  <c r="L2536" i="4"/>
  <c r="L2535" i="4"/>
  <c r="L2534" i="4"/>
  <c r="L2533" i="4"/>
  <c r="L2532" i="4"/>
  <c r="L2531" i="4"/>
  <c r="L2530" i="4"/>
  <c r="L2529" i="4"/>
  <c r="L2528" i="4"/>
  <c r="L2527" i="4"/>
  <c r="L2526" i="4"/>
  <c r="L2525" i="4"/>
  <c r="L2524" i="4"/>
  <c r="L2523" i="4"/>
  <c r="L2522" i="4"/>
  <c r="L2521" i="4"/>
  <c r="L2520" i="4"/>
  <c r="L2519" i="4"/>
  <c r="L2518" i="4"/>
  <c r="L2517" i="4"/>
  <c r="L2516" i="4"/>
  <c r="L2515" i="4"/>
  <c r="L2514" i="4"/>
  <c r="L2513" i="4"/>
  <c r="L2512" i="4"/>
  <c r="L2511" i="4"/>
  <c r="L2510" i="4"/>
  <c r="L2509" i="4"/>
  <c r="L2508" i="4"/>
  <c r="L2507" i="4"/>
  <c r="L2506" i="4"/>
  <c r="L2505" i="4"/>
  <c r="L2504" i="4"/>
  <c r="L2503" i="4"/>
  <c r="L2502" i="4"/>
  <c r="L2501" i="4"/>
  <c r="L2500" i="4"/>
  <c r="L2499" i="4"/>
  <c r="L2498" i="4"/>
  <c r="L2497" i="4"/>
  <c r="L2496" i="4"/>
  <c r="L2495" i="4"/>
  <c r="L2494" i="4"/>
  <c r="L2493" i="4"/>
  <c r="L2492" i="4"/>
  <c r="L2491" i="4"/>
  <c r="L2490" i="4"/>
  <c r="L2489" i="4"/>
  <c r="L2488" i="4"/>
  <c r="L2487" i="4"/>
  <c r="L2486" i="4"/>
  <c r="L2485" i="4"/>
  <c r="L2484" i="4"/>
  <c r="L2483" i="4"/>
  <c r="L2482" i="4"/>
  <c r="L2481" i="4"/>
  <c r="L2480" i="4"/>
  <c r="L2479" i="4"/>
  <c r="L2478" i="4"/>
  <c r="L2477" i="4"/>
  <c r="L2476" i="4"/>
  <c r="L2475" i="4"/>
  <c r="L2474" i="4"/>
  <c r="L2473" i="4"/>
  <c r="L2472" i="4"/>
  <c r="L2471" i="4"/>
  <c r="L2470" i="4"/>
  <c r="L2469" i="4"/>
  <c r="L2468" i="4"/>
  <c r="L2467" i="4"/>
  <c r="L2466" i="4"/>
  <c r="L2465" i="4"/>
  <c r="L2464" i="4"/>
  <c r="L2463" i="4"/>
  <c r="L2462" i="4"/>
  <c r="L2461" i="4"/>
  <c r="L2460" i="4"/>
  <c r="L2459" i="4"/>
  <c r="L2458" i="4"/>
  <c r="L2457" i="4"/>
  <c r="L2456" i="4"/>
  <c r="L2455" i="4"/>
  <c r="L2454" i="4"/>
  <c r="L2453" i="4"/>
  <c r="L2452" i="4"/>
  <c r="L2451" i="4"/>
  <c r="L2450" i="4"/>
  <c r="L2449" i="4"/>
  <c r="L2448" i="4"/>
  <c r="L2447" i="4"/>
  <c r="L2446" i="4"/>
  <c r="L2445" i="4"/>
  <c r="L2444" i="4"/>
  <c r="L2443" i="4"/>
  <c r="L2442" i="4"/>
  <c r="L2441" i="4"/>
  <c r="L2440" i="4"/>
  <c r="L2439" i="4"/>
  <c r="L2438" i="4"/>
  <c r="L2437" i="4"/>
  <c r="L2436" i="4"/>
  <c r="L2435" i="4"/>
  <c r="L2434" i="4"/>
  <c r="L2433" i="4"/>
  <c r="L2432" i="4"/>
  <c r="L2431" i="4"/>
  <c r="L2430" i="4"/>
  <c r="L2429" i="4"/>
  <c r="L2428" i="4"/>
  <c r="L2427" i="4"/>
  <c r="L2426" i="4"/>
  <c r="L2425" i="4"/>
  <c r="L2424" i="4"/>
  <c r="L2423" i="4"/>
  <c r="L2422" i="4"/>
  <c r="L2421" i="4"/>
  <c r="L2420" i="4"/>
  <c r="L2419" i="4"/>
  <c r="L2418" i="4"/>
  <c r="L2417" i="4"/>
  <c r="L2416" i="4"/>
  <c r="L2415" i="4"/>
  <c r="L2414" i="4"/>
  <c r="L2413" i="4"/>
  <c r="L2412" i="4"/>
  <c r="L2411" i="4"/>
  <c r="L2410" i="4"/>
  <c r="L2409" i="4"/>
  <c r="L2408" i="4"/>
  <c r="L2407" i="4"/>
  <c r="L2406" i="4"/>
  <c r="L2405" i="4"/>
  <c r="L2404" i="4"/>
  <c r="L2403" i="4"/>
  <c r="L2402" i="4"/>
  <c r="L2401" i="4"/>
  <c r="L2400" i="4"/>
  <c r="L2399" i="4"/>
  <c r="L2398" i="4"/>
  <c r="L2397" i="4"/>
  <c r="L2396" i="4"/>
  <c r="L2395" i="4"/>
  <c r="L2394" i="4"/>
  <c r="L2393" i="4"/>
  <c r="L2392" i="4"/>
  <c r="L2391" i="4"/>
  <c r="L2390" i="4"/>
  <c r="L2389" i="4"/>
  <c r="L2388" i="4"/>
  <c r="L2387" i="4"/>
  <c r="L2386" i="4"/>
  <c r="L2385" i="4"/>
  <c r="L2384" i="4"/>
  <c r="L2383" i="4"/>
  <c r="L2382" i="4"/>
  <c r="L2381" i="4"/>
  <c r="L2380" i="4"/>
  <c r="L2379" i="4"/>
  <c r="L2378" i="4"/>
  <c r="L2377" i="4"/>
  <c r="L2376" i="4"/>
  <c r="L2375" i="4"/>
  <c r="L2374" i="4"/>
  <c r="L2373" i="4"/>
  <c r="L2372" i="4"/>
  <c r="L2371" i="4"/>
  <c r="L2370" i="4"/>
  <c r="L2369" i="4"/>
  <c r="L2368" i="4"/>
  <c r="L2367" i="4"/>
  <c r="L2366" i="4"/>
  <c r="L2365" i="4"/>
  <c r="L2364" i="4"/>
  <c r="L2363" i="4"/>
  <c r="L2362" i="4"/>
  <c r="L2361" i="4"/>
  <c r="L2360" i="4"/>
  <c r="L2359" i="4"/>
  <c r="L2358" i="4"/>
  <c r="L2357" i="4"/>
  <c r="L2356" i="4"/>
  <c r="L2355" i="4"/>
  <c r="L2354" i="4"/>
  <c r="L2353" i="4"/>
  <c r="L2352" i="4"/>
  <c r="L2351" i="4"/>
  <c r="L2350" i="4"/>
  <c r="L2349" i="4"/>
  <c r="L2348" i="4"/>
  <c r="L2347" i="4"/>
  <c r="L2346" i="4"/>
  <c r="L2345" i="4"/>
  <c r="L2344" i="4"/>
  <c r="L2343" i="4"/>
  <c r="L2342" i="4"/>
  <c r="L2341" i="4"/>
  <c r="L2340" i="4"/>
  <c r="L2339" i="4"/>
  <c r="L2338" i="4"/>
  <c r="L2337" i="4"/>
  <c r="L2336" i="4"/>
  <c r="L2335" i="4"/>
  <c r="L2334" i="4"/>
  <c r="L2333" i="4"/>
  <c r="L2332" i="4"/>
  <c r="L2331" i="4"/>
  <c r="L2330" i="4"/>
  <c r="L2329" i="4"/>
  <c r="L2328" i="4"/>
  <c r="L2327" i="4"/>
  <c r="L2326" i="4"/>
  <c r="L2325" i="4"/>
  <c r="L2324" i="4"/>
  <c r="L2323" i="4"/>
  <c r="L2322" i="4"/>
  <c r="L2321" i="4"/>
  <c r="L2320" i="4"/>
  <c r="L2319" i="4"/>
  <c r="L2318" i="4"/>
  <c r="L2317" i="4"/>
  <c r="L2316" i="4"/>
  <c r="L2315" i="4"/>
  <c r="L2314" i="4"/>
  <c r="L2313" i="4"/>
  <c r="L2312" i="4"/>
  <c r="L2311" i="4"/>
  <c r="L2310" i="4"/>
  <c r="L2309" i="4"/>
  <c r="L2308" i="4"/>
  <c r="L2307" i="4"/>
  <c r="L2306" i="4"/>
  <c r="L2305" i="4"/>
  <c r="L2304" i="4"/>
  <c r="L2303" i="4"/>
  <c r="L2302" i="4"/>
  <c r="L2301" i="4"/>
  <c r="L2300" i="4"/>
  <c r="L2299" i="4"/>
  <c r="L2298" i="4"/>
  <c r="L2297" i="4"/>
  <c r="L2296" i="4"/>
  <c r="L2295" i="4"/>
  <c r="L2294" i="4"/>
  <c r="L2293" i="4"/>
  <c r="L2292" i="4"/>
  <c r="L2291" i="4"/>
  <c r="L2290" i="4"/>
  <c r="L2289" i="4"/>
  <c r="L2288" i="4"/>
  <c r="L2287" i="4"/>
  <c r="L2286" i="4"/>
  <c r="L2285" i="4"/>
  <c r="L2284" i="4"/>
  <c r="L2283" i="4"/>
  <c r="L2282" i="4"/>
  <c r="L2281" i="4"/>
  <c r="L2280" i="4"/>
  <c r="L2279" i="4"/>
  <c r="L2278" i="4"/>
  <c r="L2277" i="4"/>
  <c r="L2276" i="4"/>
  <c r="L2275" i="4"/>
  <c r="L2274" i="4"/>
  <c r="L2273" i="4"/>
  <c r="L2272" i="4"/>
  <c r="L2271" i="4"/>
  <c r="L2270" i="4"/>
  <c r="L2269" i="4"/>
  <c r="L2268" i="4"/>
  <c r="L2267" i="4"/>
  <c r="L2266" i="4"/>
  <c r="L2265" i="4"/>
  <c r="L2264" i="4"/>
  <c r="L2263" i="4"/>
  <c r="L2262" i="4"/>
  <c r="L2261" i="4"/>
  <c r="L2260" i="4"/>
  <c r="L2259" i="4"/>
  <c r="L2258" i="4"/>
  <c r="L2257" i="4"/>
  <c r="L2256" i="4"/>
  <c r="L2255" i="4"/>
  <c r="L2254" i="4"/>
  <c r="L2253" i="4"/>
  <c r="L2252" i="4"/>
  <c r="L2251" i="4"/>
  <c r="L2250" i="4"/>
  <c r="L2249" i="4"/>
  <c r="L224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<sst xmlns="http://schemas.openxmlformats.org/spreadsheetml/2006/main" count="561" uniqueCount="208">
  <si>
    <t>ITM_DRG</t>
  </si>
  <si>
    <t>Comment</t>
  </si>
  <si>
    <t>PC Key Code</t>
  </si>
  <si>
    <t>Calculator Mode</t>
  </si>
  <si>
    <t>Function to run</t>
  </si>
  <si>
    <t>ExitIfNim</t>
  </si>
  <si>
    <t>ITM_1ONX</t>
  </si>
  <si>
    <t>ITM_SQUAREROOTX</t>
  </si>
  <si>
    <t>C47</t>
  </si>
  <si>
    <t>PC Keyboard codes:</t>
  </si>
  <si>
    <t>https://docs.oracle.com/cd/E67482_01/oscar/pdf/45/OnlineHelp_45/helpOnPS2keyCodes.html</t>
  </si>
  <si>
    <t>ITM_SIGMAPLUS</t>
  </si>
  <si>
    <t>ITM_cos</t>
  </si>
  <si>
    <t>ITM_LN</t>
  </si>
  <si>
    <t>ITM_LOG10</t>
  </si>
  <si>
    <t>ITM_SQUARE</t>
  </si>
  <si>
    <t>ITM_sin</t>
  </si>
  <si>
    <t>ITM_tan</t>
  </si>
  <si>
    <t>ITM_XexY</t>
  </si>
  <si>
    <t>ITM_XEQ</t>
  </si>
  <si>
    <t>ITM_YX</t>
  </si>
  <si>
    <t>[=]&gt;D,R,G</t>
  </si>
  <si>
    <t>[a]ccumulate</t>
  </si>
  <si>
    <t>[c]osine</t>
  </si>
  <si>
    <t>[l]n</t>
  </si>
  <si>
    <t>l[o]g</t>
  </si>
  <si>
    <t>s[q]rt</t>
  </si>
  <si>
    <t>[s]ine</t>
  </si>
  <si>
    <t>[t]angent</t>
  </si>
  <si>
    <t>in[v]erse</t>
  </si>
  <si>
    <t>s[w]ap</t>
  </si>
  <si>
    <t>[x]eq</t>
  </si>
  <si>
    <t>[y]^x</t>
  </si>
  <si>
    <t>=</t>
  </si>
  <si>
    <t>a</t>
  </si>
  <si>
    <t>c</t>
  </si>
  <si>
    <t>l</t>
  </si>
  <si>
    <t>o</t>
  </si>
  <si>
    <t>p</t>
  </si>
  <si>
    <t>q</t>
  </si>
  <si>
    <t>s</t>
  </si>
  <si>
    <t>t</t>
  </si>
  <si>
    <t>v</t>
  </si>
  <si>
    <t>w</t>
  </si>
  <si>
    <t>x</t>
  </si>
  <si>
    <t>y</t>
  </si>
  <si>
    <t>R47</t>
  </si>
  <si>
    <t>ITM_arccos</t>
  </si>
  <si>
    <t>ITM_arcsin</t>
  </si>
  <si>
    <t>ITM_arctan</t>
  </si>
  <si>
    <t>arc[C]osine</t>
  </si>
  <si>
    <t>arc[S]ine</t>
  </si>
  <si>
    <t>arc[T]angent</t>
  </si>
  <si>
    <t>C</t>
  </si>
  <si>
    <t>S</t>
  </si>
  <si>
    <t>T</t>
  </si>
  <si>
    <t>L</t>
  </si>
  <si>
    <t>ITM_EXP</t>
  </si>
  <si>
    <t>O</t>
  </si>
  <si>
    <t>ITM_10x</t>
  </si>
  <si>
    <t>anti[L]n e^x</t>
  </si>
  <si>
    <t>P</t>
  </si>
  <si>
    <t>Y</t>
  </si>
  <si>
    <t>ITM_XTHROOT</t>
  </si>
  <si>
    <t>xth root of [Y]</t>
  </si>
  <si>
    <t>X</t>
  </si>
  <si>
    <t>comple[X]</t>
  </si>
  <si>
    <t>ITM_toREC2</t>
  </si>
  <si>
    <t>ITM_toPOL2</t>
  </si>
  <si>
    <t>-MNU_MODE</t>
  </si>
  <si>
    <t>D</t>
  </si>
  <si>
    <t>-MNU_DISP</t>
  </si>
  <si>
    <t>-MNU_STK</t>
  </si>
  <si>
    <t>n</t>
  </si>
  <si>
    <t>ITM_CHS</t>
  </si>
  <si>
    <t>CHS [n]egative</t>
  </si>
  <si>
    <t>d</t>
  </si>
  <si>
    <t>EXP</t>
  </si>
  <si>
    <t>-MNU_EXP</t>
  </si>
  <si>
    <t>KEY_COMPLEX</t>
  </si>
  <si>
    <t>-&gt;P</t>
  </si>
  <si>
    <t>-&gt;R</t>
  </si>
  <si>
    <t>K</t>
  </si>
  <si>
    <t>Q</t>
  </si>
  <si>
    <t>s[Q]uare</t>
  </si>
  <si>
    <t>ITM_STO</t>
  </si>
  <si>
    <t>[m]emory</t>
  </si>
  <si>
    <t>m</t>
  </si>
  <si>
    <t>ITM_RCL</t>
  </si>
  <si>
    <t>[r]cl</t>
  </si>
  <si>
    <t>r</t>
  </si>
  <si>
    <t>key</t>
  </si>
  <si>
    <t>Std</t>
  </si>
  <si>
    <t>ITM_ENTER</t>
  </si>
  <si>
    <t>ENTER</t>
  </si>
  <si>
    <t>ITM_EXPONENT</t>
  </si>
  <si>
    <t>[e]xponent</t>
  </si>
  <si>
    <t>e</t>
  </si>
  <si>
    <t>[d]own</t>
  </si>
  <si>
    <t>antil[O]g 10^x</t>
  </si>
  <si>
    <t>!ExitIfNim</t>
  </si>
  <si>
    <t>I</t>
  </si>
  <si>
    <t>D[I]SP</t>
  </si>
  <si>
    <t>i</t>
  </si>
  <si>
    <t>V</t>
  </si>
  <si>
    <t>in[V]erse</t>
  </si>
  <si>
    <t>M</t>
  </si>
  <si>
    <t>J</t>
  </si>
  <si>
    <t>ITM_op_j</t>
  </si>
  <si>
    <t>[M]ODE</t>
  </si>
  <si>
    <t>ST[K]</t>
  </si>
  <si>
    <t>R</t>
  </si>
  <si>
    <t>f</t>
  </si>
  <si>
    <t>g</t>
  </si>
  <si>
    <t>ITM_CONSTpi</t>
  </si>
  <si>
    <t>ITM_Rdown</t>
  </si>
  <si>
    <t>ITM_SHIFTf</t>
  </si>
  <si>
    <t>ITM_SHIFTg</t>
  </si>
  <si>
    <t>Calculator
C47/R47/Std</t>
  </si>
  <si>
    <t>ITM_Rup</t>
  </si>
  <si>
    <t>Up [D]</t>
  </si>
  <si>
    <t>-MNU_PREF</t>
  </si>
  <si>
    <t>F</t>
  </si>
  <si>
    <t>-MNU_PREFIX</t>
  </si>
  <si>
    <t>PRE[F]IX</t>
  </si>
  <si>
    <t>pi</t>
  </si>
  <si>
    <r>
      <t xml:space="preserve">Key n to run (from 0-37)
Key overrides function
</t>
    </r>
    <r>
      <rPr>
        <sz val="12"/>
        <rFont val="Calibri (Body)"/>
      </rPr>
      <t>Key overrides ExitIfNim ??</t>
    </r>
    <r>
      <rPr>
        <sz val="12"/>
        <rFont val="Calibri"/>
        <family val="2"/>
        <scheme val="minor"/>
      </rPr>
      <t xml:space="preserve">
Negative is off</t>
    </r>
  </si>
  <si>
    <t>On Linux, now k does not activate STK, terminal shows: Keyboard Key code: event-&gt;keyval=107 even_keyval=107 (SHIFT_State=-)(ShiftF=0)----- skipping to rest of key detections</t>
  </si>
  <si>
    <t>q and to a lesser extent Q seem to bounce on Windows, but it must be the sim itself (I tried Word, the q does not bounce)</t>
  </si>
  <si>
    <t>X for XEQ on R47 is not ok with double click, errors: No such label found</t>
  </si>
  <si>
    <t>X for XEQ on C47 is ok with double click, it activates alpha (AIM)</t>
  </si>
  <si>
    <t>C47: I think everything works except for the I = [DISP]</t>
  </si>
  <si>
    <t>R47 DISP OK.</t>
  </si>
  <si>
    <t>Linux R47 only misses xx (double click XEQ), same error: No such label found. No DISP issue.</t>
  </si>
  <si>
    <t>On Linux it still works, if I press x another time, XEQ 'F' then XEQ 'FF' etc. until XEQ 'FFFFFF' then No such function, maybe this will put you on the right track</t>
  </si>
  <si>
    <t>k</t>
  </si>
  <si>
    <t>%</t>
  </si>
  <si>
    <t>!</t>
  </si>
  <si>
    <t>U</t>
  </si>
  <si>
    <t>ITM_PC</t>
  </si>
  <si>
    <t>ITM_XFACT</t>
  </si>
  <si>
    <t>ITM_USERMODE</t>
  </si>
  <si>
    <t>[%]</t>
  </si>
  <si>
    <t>x[!]</t>
  </si>
  <si>
    <t>[U]SER</t>
  </si>
  <si>
    <t>'</t>
  </si>
  <si>
    <t>G</t>
  </si>
  <si>
    <t>ITM_AIM</t>
  </si>
  <si>
    <t>alpha [']</t>
  </si>
  <si>
    <t>ITM_GTO</t>
  </si>
  <si>
    <t>[g]TO</t>
  </si>
  <si>
    <t>Disable condition</t>
  </si>
  <si>
    <t>tam.mode</t>
  </si>
  <si>
    <t>A</t>
  </si>
  <si>
    <t>[A]ngle</t>
  </si>
  <si>
    <t>j</t>
  </si>
  <si>
    <t>Z</t>
  </si>
  <si>
    <t>F7</t>
  </si>
  <si>
    <t>F8</t>
  </si>
  <si>
    <t>F9</t>
  </si>
  <si>
    <t>F10</t>
  </si>
  <si>
    <t>ITM_TGLFRT</t>
  </si>
  <si>
    <t>ITM_HASH_JM</t>
  </si>
  <si>
    <t>ITM_ms</t>
  </si>
  <si>
    <t>ITM_dotD</t>
  </si>
  <si>
    <t>ITM_MAGNITUDE</t>
  </si>
  <si>
    <t>ITM_ARG</t>
  </si>
  <si>
    <t>a/bc</t>
  </si>
  <si>
    <t>#</t>
  </si>
  <si>
    <t>.ms</t>
  </si>
  <si>
    <t>.d</t>
  </si>
  <si>
    <t>W</t>
  </si>
  <si>
    <t>Last X</t>
  </si>
  <si>
    <t>|</t>
  </si>
  <si>
    <t>Si[Z]e</t>
  </si>
  <si>
    <t>&gt;</t>
  </si>
  <si>
    <t>E</t>
  </si>
  <si>
    <t>Euler's E</t>
  </si>
  <si>
    <t>.d (dup)</t>
  </si>
  <si>
    <t>Size [|] (dup)</t>
  </si>
  <si>
    <t>CST_09</t>
  </si>
  <si>
    <t>ITM_LASTX</t>
  </si>
  <si>
    <t>CM_NIM</t>
  </si>
  <si>
    <t>B</t>
  </si>
  <si>
    <t>ITM_LBL</t>
  </si>
  <si>
    <t>N</t>
  </si>
  <si>
    <t>PREF [M}</t>
  </si>
  <si>
    <t>ITM_PR</t>
  </si>
  <si>
    <t>CM_PEM</t>
  </si>
  <si>
    <t>PRGM N]</t>
  </si>
  <si>
    <t>LBL [B]</t>
  </si>
  <si>
    <t>Mode2, 
not regarding ExitIfNIM</t>
  </si>
  <si>
    <t>f g</t>
  </si>
  <si>
    <t>if(shortCutCommand(w, event_keyval, 61, allowCondition, exitIfNim, 9999, XX, KK, CM_NORMAL, ITM_AAA, ITM_DRG ))        {return true;} else        //nn = comm</t>
  </si>
  <si>
    <t>u</t>
  </si>
  <si>
    <t>[u]ndo</t>
  </si>
  <si>
    <t>H</t>
  </si>
  <si>
    <t>b</t>
  </si>
  <si>
    <t>[H]ome</t>
  </si>
  <si>
    <t>MyMenu [b]</t>
  </si>
  <si>
    <t>-MNU_MyMenu</t>
  </si>
  <si>
    <t>Both</t>
  </si>
  <si>
    <t>-MNU_HOME</t>
  </si>
  <si>
    <t>Exit If NIM
no conditions</t>
  </si>
  <si>
    <t>ASN, PEM, NIM, AIM, NORM</t>
  </si>
  <si>
    <t>0b01101</t>
  </si>
  <si>
    <t>0xffff</t>
  </si>
  <si>
    <t>0b0000011000000001101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</si>
</sst>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8"/>
      <color theme="5"/>
      <name val="Menlo Regula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name val="Calibri"/>
      <family val="2"/>
      <scheme val="minor"/>
    </font>
    <font>
      <sz val="12"/>
      <name val="Calibri (Body)"/>
    </font>
    <font>
      <sz val="16"/>
      <color rgb="FF000000"/>
      <name val="Inherit"/>
    </font>
    <font>
      <sz val="16"/>
      <color theme="1"/>
      <name val="Helvetica Neue"/>
      <family val="2"/>
    </font>
    <font>
      <sz val="16"/>
      <color rgb="FF00B050"/>
      <name val="Inherit"/>
    </font>
    <font>
      <sz val="16"/>
      <color rgb="FF00B050"/>
      <name val="Inherit"/>
    </font>
    <font>
      <sz val="16"/>
      <color rgb="FF00B050"/>
      <name val="Helvetica Neue"/>
      <family val="2"/>
    </font>
    <font>
      <sz val="12"/>
      <color rgb="FFFF0000"/>
      <name val="Calibri"/>
      <family val="2"/>
      <scheme val="minor"/>
    </font>
    <font>
      <sz val="12"/>
      <color theme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2DDDB"/>
        <bgColor indexed="64"/>
      </patternFill>
    </fill>
  </fills>
  <borders count="1">
    <border>
      <left/>
      <right/>
      <top/>
      <bottom/>
      <diagonal/>
    </border>
  </borders>
  <cellStyleXfs count="4372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quotePrefix="1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0" xfId="0" applyFont="1" applyFill="1" applyAlignment="1">
      <alignment horizontal="left"/>
    </xf>
    <xf numFmtId="0" fontId="6" fillId="9" borderId="0" xfId="0" applyFont="1" applyFill="1" applyAlignment="1">
      <alignment horizontal="center"/>
    </xf>
    <xf numFmtId="0" fontId="7" fillId="0" borderId="0" xfId="4371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6" fillId="6" borderId="0" xfId="0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0" fillId="3" borderId="0" xfId="0" applyFont="1" applyFill="1"/>
    <xf numFmtId="0" fontId="9" fillId="3" borderId="0" xfId="0" applyFont="1" applyFill="1"/>
    <xf numFmtId="0" fontId="6" fillId="0" borderId="0" xfId="0" quotePrefix="1" applyFont="1" applyAlignment="1">
      <alignment horizontal="center"/>
    </xf>
    <xf numFmtId="0" fontId="15" fillId="5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6" fillId="8" borderId="0" xfId="0" quotePrefix="1" applyFont="1" applyFill="1" applyAlignment="1">
      <alignment horizontal="left"/>
    </xf>
    <xf numFmtId="0" fontId="6" fillId="10" borderId="0" xfId="0" applyFont="1" applyFill="1" applyAlignment="1">
      <alignment horizontal="center"/>
    </xf>
    <xf numFmtId="0" fontId="6" fillId="10" borderId="0" xfId="0" applyFont="1" applyFill="1" applyAlignment="1">
      <alignment horizontal="left"/>
    </xf>
  </cellXfs>
  <cellStyles count="437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Hyperlink" xfId="4371" builtinId="8"/>
    <cellStyle name="Normal" xfId="0" builtinId="0"/>
  </cellStyles>
  <dxfs count="1">
    <dxf>
      <font>
        <b/>
        <i val="0"/>
        <color rgb="FFFF0000"/>
      </font>
    </dxf>
  </dxfs>
  <tableStyles count="0" defaultTableStyle="TableStyleMedium9" defaultPivotStyle="PivotStyleMedium4"/>
  <colors>
    <mruColors>
      <color rgb="FFF2DDDB"/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oracle.com/cd/E67482_01/oscar/pdf/45/OnlineHelp_45/helpOnPS2keyCod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FE35-A90B-3343-BA83-F7F50B48781F}">
  <dimension ref="A1:K121"/>
  <sheetViews>
    <sheetView tabSelected="1" topLeftCell="A59" zoomScale="108" workbookViewId="0">
      <selection activeCell="E94" sqref="E94"/>
    </sheetView>
  </sheetViews>
  <sheetFormatPr baseColWidth="10" defaultRowHeight="16"/>
  <cols>
    <col min="1" max="3" width="10.83203125" style="10"/>
    <col min="4" max="4" width="9.33203125" style="10" bestFit="1" customWidth="1"/>
    <col min="5" max="5" width="25" style="10" customWidth="1"/>
    <col min="6" max="7" width="16.6640625" style="10" customWidth="1"/>
    <col min="8" max="8" width="23.1640625" style="16" customWidth="1"/>
    <col min="9" max="9" width="5.6640625" style="16" customWidth="1"/>
    <col min="10" max="10" width="23.5" style="16" bestFit="1" customWidth="1"/>
    <col min="11" max="11" width="41" style="16" customWidth="1"/>
    <col min="12" max="16384" width="10.83203125" style="17"/>
  </cols>
  <sheetData>
    <row r="1" spans="1:11">
      <c r="B1" s="10" t="s">
        <v>9</v>
      </c>
      <c r="D1" s="15" t="s">
        <v>10</v>
      </c>
      <c r="J1" s="16" t="s">
        <v>204</v>
      </c>
    </row>
    <row r="3" spans="1:11">
      <c r="B3" s="10">
        <v>5</v>
      </c>
      <c r="C3" s="10">
        <v>10</v>
      </c>
      <c r="E3" s="10">
        <v>25</v>
      </c>
      <c r="F3" s="10">
        <v>10</v>
      </c>
      <c r="G3" s="10">
        <v>17</v>
      </c>
      <c r="H3" s="10">
        <v>20</v>
      </c>
      <c r="I3" s="10">
        <v>3</v>
      </c>
      <c r="J3" s="10">
        <v>4</v>
      </c>
      <c r="K3" s="10">
        <v>30</v>
      </c>
    </row>
    <row r="4" spans="1:11" ht="68">
      <c r="B4" s="18" t="s">
        <v>2</v>
      </c>
      <c r="C4" s="19" t="s">
        <v>203</v>
      </c>
      <c r="D4" s="19" t="s">
        <v>118</v>
      </c>
      <c r="E4" s="18" t="s">
        <v>3</v>
      </c>
      <c r="F4" s="19" t="s">
        <v>191</v>
      </c>
      <c r="G4" s="18" t="s">
        <v>151</v>
      </c>
      <c r="H4" s="20" t="s">
        <v>4</v>
      </c>
      <c r="I4" s="20" t="s">
        <v>192</v>
      </c>
      <c r="J4" s="21" t="s">
        <v>126</v>
      </c>
      <c r="K4" s="20" t="s">
        <v>1</v>
      </c>
    </row>
    <row r="5" spans="1:11" s="16" customFormat="1">
      <c r="A5" s="14" t="s">
        <v>34</v>
      </c>
      <c r="B5" s="7">
        <f t="shared" ref="B5:B16" si="0">CODE(A5)</f>
        <v>97</v>
      </c>
      <c r="C5" s="7" t="s">
        <v>5</v>
      </c>
      <c r="D5" s="7" t="s">
        <v>8</v>
      </c>
      <c r="E5" s="7" t="s">
        <v>205</v>
      </c>
      <c r="F5" s="7">
        <v>-1</v>
      </c>
      <c r="G5" s="7" t="s">
        <v>152</v>
      </c>
      <c r="H5" s="8" t="s">
        <v>11</v>
      </c>
      <c r="I5" s="8"/>
      <c r="J5" s="8">
        <v>0</v>
      </c>
      <c r="K5" s="8" t="s">
        <v>22</v>
      </c>
    </row>
    <row r="6" spans="1:11" s="16" customFormat="1">
      <c r="A6" s="14" t="s">
        <v>42</v>
      </c>
      <c r="B6" s="7">
        <f t="shared" si="0"/>
        <v>118</v>
      </c>
      <c r="C6" s="7" t="s">
        <v>5</v>
      </c>
      <c r="D6" s="7" t="s">
        <v>8</v>
      </c>
      <c r="E6" s="7" t="s">
        <v>205</v>
      </c>
      <c r="F6" s="7">
        <v>-1</v>
      </c>
      <c r="G6" s="7" t="s">
        <v>152</v>
      </c>
      <c r="H6" s="8" t="s">
        <v>6</v>
      </c>
      <c r="I6" s="8"/>
      <c r="J6" s="8">
        <v>1</v>
      </c>
      <c r="K6" s="8" t="s">
        <v>29</v>
      </c>
    </row>
    <row r="7" spans="1:11" s="16" customFormat="1">
      <c r="A7" s="14" t="s">
        <v>39</v>
      </c>
      <c r="B7" s="7">
        <f t="shared" si="0"/>
        <v>113</v>
      </c>
      <c r="C7" s="7" t="s">
        <v>5</v>
      </c>
      <c r="D7" s="7" t="s">
        <v>8</v>
      </c>
      <c r="E7" s="7" t="s">
        <v>205</v>
      </c>
      <c r="F7" s="7">
        <v>-1</v>
      </c>
      <c r="G7" s="7" t="s">
        <v>152</v>
      </c>
      <c r="H7" s="8" t="s">
        <v>7</v>
      </c>
      <c r="I7" s="8"/>
      <c r="J7" s="8">
        <v>2</v>
      </c>
      <c r="K7" s="8" t="s">
        <v>26</v>
      </c>
    </row>
    <row r="8" spans="1:11" s="16" customFormat="1">
      <c r="A8" s="14" t="s">
        <v>37</v>
      </c>
      <c r="B8" s="7">
        <f t="shared" si="0"/>
        <v>111</v>
      </c>
      <c r="C8" s="7" t="s">
        <v>5</v>
      </c>
      <c r="D8" s="7" t="s">
        <v>8</v>
      </c>
      <c r="E8" s="7" t="s">
        <v>205</v>
      </c>
      <c r="F8" s="7">
        <v>-1</v>
      </c>
      <c r="G8" s="7" t="s">
        <v>152</v>
      </c>
      <c r="H8" s="8" t="s">
        <v>14</v>
      </c>
      <c r="I8" s="8"/>
      <c r="J8" s="8">
        <v>3</v>
      </c>
      <c r="K8" s="8" t="s">
        <v>25</v>
      </c>
    </row>
    <row r="9" spans="1:11" s="16" customFormat="1">
      <c r="A9" s="14" t="s">
        <v>36</v>
      </c>
      <c r="B9" s="7">
        <f t="shared" si="0"/>
        <v>108</v>
      </c>
      <c r="C9" s="7" t="s">
        <v>5</v>
      </c>
      <c r="D9" s="7" t="s">
        <v>8</v>
      </c>
      <c r="E9" s="7" t="s">
        <v>205</v>
      </c>
      <c r="F9" s="7">
        <v>-1</v>
      </c>
      <c r="G9" s="7" t="s">
        <v>152</v>
      </c>
      <c r="H9" s="8" t="s">
        <v>13</v>
      </c>
      <c r="I9" s="8"/>
      <c r="J9" s="8">
        <v>4</v>
      </c>
      <c r="K9" s="8" t="s">
        <v>24</v>
      </c>
    </row>
    <row r="10" spans="1:11" s="16" customFormat="1">
      <c r="A10" s="14" t="s">
        <v>44</v>
      </c>
      <c r="B10" s="7">
        <f t="shared" si="0"/>
        <v>120</v>
      </c>
      <c r="C10" s="7" t="s">
        <v>100</v>
      </c>
      <c r="D10" s="7" t="s">
        <v>8</v>
      </c>
      <c r="E10" s="7" t="s">
        <v>205</v>
      </c>
      <c r="F10" s="7">
        <v>-1</v>
      </c>
      <c r="G10" s="7" t="b">
        <v>0</v>
      </c>
      <c r="H10" s="8" t="s">
        <v>19</v>
      </c>
      <c r="I10" s="8"/>
      <c r="J10" s="8">
        <v>5</v>
      </c>
      <c r="K10" s="8" t="s">
        <v>31</v>
      </c>
    </row>
    <row r="11" spans="1:11" s="16" customFormat="1">
      <c r="A11" s="14" t="s">
        <v>87</v>
      </c>
      <c r="B11" s="7">
        <f t="shared" si="0"/>
        <v>109</v>
      </c>
      <c r="C11" s="7" t="s">
        <v>5</v>
      </c>
      <c r="D11" s="7" t="s">
        <v>8</v>
      </c>
      <c r="E11" s="7" t="s">
        <v>205</v>
      </c>
      <c r="F11" s="7">
        <v>-1</v>
      </c>
      <c r="G11" s="7" t="s">
        <v>152</v>
      </c>
      <c r="H11" s="8" t="s">
        <v>85</v>
      </c>
      <c r="I11" s="8"/>
      <c r="J11" s="8">
        <v>6</v>
      </c>
      <c r="K11" s="8" t="s">
        <v>86</v>
      </c>
    </row>
    <row r="12" spans="1:11" s="16" customFormat="1">
      <c r="A12" s="14" t="s">
        <v>90</v>
      </c>
      <c r="B12" s="7">
        <f t="shared" si="0"/>
        <v>114</v>
      </c>
      <c r="C12" s="7" t="s">
        <v>5</v>
      </c>
      <c r="D12" s="7" t="s">
        <v>8</v>
      </c>
      <c r="E12" s="7" t="s">
        <v>205</v>
      </c>
      <c r="F12" s="7">
        <v>-1</v>
      </c>
      <c r="G12" s="7" t="s">
        <v>152</v>
      </c>
      <c r="H12" s="8" t="s">
        <v>88</v>
      </c>
      <c r="I12" s="8"/>
      <c r="J12" s="8">
        <v>7</v>
      </c>
      <c r="K12" s="8" t="s">
        <v>89</v>
      </c>
    </row>
    <row r="13" spans="1:11" s="16" customFormat="1">
      <c r="A13" s="14" t="s">
        <v>76</v>
      </c>
      <c r="B13" s="7">
        <f t="shared" si="0"/>
        <v>100</v>
      </c>
      <c r="C13" s="7" t="s">
        <v>5</v>
      </c>
      <c r="D13" s="7" t="s">
        <v>8</v>
      </c>
      <c r="E13" s="7" t="s">
        <v>205</v>
      </c>
      <c r="F13" s="7">
        <v>-1</v>
      </c>
      <c r="G13" s="7" t="s">
        <v>152</v>
      </c>
      <c r="H13" s="8" t="s">
        <v>115</v>
      </c>
      <c r="I13" s="8"/>
      <c r="J13" s="8">
        <v>8</v>
      </c>
      <c r="K13" s="8" t="s">
        <v>98</v>
      </c>
    </row>
    <row r="14" spans="1:11" s="16" customFormat="1">
      <c r="A14" s="14" t="s">
        <v>40</v>
      </c>
      <c r="B14" s="7">
        <f t="shared" si="0"/>
        <v>115</v>
      </c>
      <c r="C14" s="7" t="s">
        <v>5</v>
      </c>
      <c r="D14" s="7" t="s">
        <v>8</v>
      </c>
      <c r="E14" s="7" t="s">
        <v>205</v>
      </c>
      <c r="F14" s="7">
        <v>-1</v>
      </c>
      <c r="G14" s="7" t="s">
        <v>152</v>
      </c>
      <c r="H14" s="8" t="s">
        <v>16</v>
      </c>
      <c r="I14" s="8"/>
      <c r="J14" s="8">
        <v>9</v>
      </c>
      <c r="K14" s="8" t="s">
        <v>27</v>
      </c>
    </row>
    <row r="15" spans="1:11" s="16" customFormat="1">
      <c r="A15" s="14" t="s">
        <v>35</v>
      </c>
      <c r="B15" s="7">
        <f t="shared" si="0"/>
        <v>99</v>
      </c>
      <c r="C15" s="7" t="s">
        <v>5</v>
      </c>
      <c r="D15" s="7" t="s">
        <v>8</v>
      </c>
      <c r="E15" s="7" t="s">
        <v>205</v>
      </c>
      <c r="F15" s="7">
        <v>-1</v>
      </c>
      <c r="G15" s="7" t="s">
        <v>152</v>
      </c>
      <c r="H15" s="8" t="s">
        <v>12</v>
      </c>
      <c r="I15" s="8"/>
      <c r="J15" s="8">
        <v>10</v>
      </c>
      <c r="K15" s="8" t="s">
        <v>23</v>
      </c>
    </row>
    <row r="16" spans="1:11" s="16" customFormat="1">
      <c r="A16" s="14" t="s">
        <v>41</v>
      </c>
      <c r="B16" s="7">
        <f t="shared" si="0"/>
        <v>116</v>
      </c>
      <c r="C16" s="7" t="s">
        <v>5</v>
      </c>
      <c r="D16" s="7" t="s">
        <v>8</v>
      </c>
      <c r="E16" s="7" t="s">
        <v>205</v>
      </c>
      <c r="F16" s="7">
        <v>-1</v>
      </c>
      <c r="G16" s="7" t="s">
        <v>152</v>
      </c>
      <c r="H16" s="8" t="s">
        <v>17</v>
      </c>
      <c r="I16" s="8"/>
      <c r="J16" s="8">
        <v>11</v>
      </c>
      <c r="K16" s="8" t="s">
        <v>28</v>
      </c>
    </row>
    <row r="17" spans="1:11" s="16" customFormat="1">
      <c r="A17" s="14" t="s">
        <v>94</v>
      </c>
      <c r="B17" s="30">
        <v>65293</v>
      </c>
      <c r="C17" s="7" t="s">
        <v>100</v>
      </c>
      <c r="D17" s="7" t="s">
        <v>92</v>
      </c>
      <c r="E17" s="7" t="s">
        <v>205</v>
      </c>
      <c r="F17" s="7">
        <v>-1</v>
      </c>
      <c r="G17" s="7" t="b">
        <v>0</v>
      </c>
      <c r="H17" s="8" t="s">
        <v>93</v>
      </c>
      <c r="I17" s="8"/>
      <c r="J17" s="8">
        <v>12</v>
      </c>
      <c r="K17" s="8" t="s">
        <v>91</v>
      </c>
    </row>
    <row r="18" spans="1:11" s="16" customFormat="1">
      <c r="A18" s="14" t="s">
        <v>43</v>
      </c>
      <c r="B18" s="7">
        <f t="shared" ref="B18:B50" si="1">CODE(A18)</f>
        <v>119</v>
      </c>
      <c r="C18" s="7" t="s">
        <v>100</v>
      </c>
      <c r="D18" s="7" t="s">
        <v>92</v>
      </c>
      <c r="E18" s="7" t="s">
        <v>205</v>
      </c>
      <c r="F18" s="7">
        <v>-1</v>
      </c>
      <c r="G18" s="7" t="s">
        <v>152</v>
      </c>
      <c r="H18" s="8" t="s">
        <v>18</v>
      </c>
      <c r="I18" s="8"/>
      <c r="J18" s="8">
        <v>13</v>
      </c>
      <c r="K18" s="8" t="s">
        <v>30</v>
      </c>
    </row>
    <row r="19" spans="1:11" s="16" customFormat="1">
      <c r="A19" s="14" t="s">
        <v>73</v>
      </c>
      <c r="B19" s="7">
        <f t="shared" si="1"/>
        <v>110</v>
      </c>
      <c r="C19" s="7" t="s">
        <v>100</v>
      </c>
      <c r="D19" s="7" t="s">
        <v>92</v>
      </c>
      <c r="E19" s="7" t="s">
        <v>205</v>
      </c>
      <c r="F19" s="7">
        <v>-1</v>
      </c>
      <c r="G19" s="7" t="s">
        <v>152</v>
      </c>
      <c r="H19" s="8" t="s">
        <v>74</v>
      </c>
      <c r="I19" s="8"/>
      <c r="J19" s="8">
        <v>14</v>
      </c>
      <c r="K19" s="9" t="s">
        <v>75</v>
      </c>
    </row>
    <row r="20" spans="1:11" s="16" customFormat="1">
      <c r="A20" s="14" t="s">
        <v>97</v>
      </c>
      <c r="B20" s="7">
        <f t="shared" si="1"/>
        <v>101</v>
      </c>
      <c r="C20" s="7" t="s">
        <v>100</v>
      </c>
      <c r="D20" s="7" t="s">
        <v>92</v>
      </c>
      <c r="E20" s="7" t="s">
        <v>205</v>
      </c>
      <c r="F20" s="7">
        <v>-1</v>
      </c>
      <c r="G20" s="7" t="s">
        <v>152</v>
      </c>
      <c r="H20" s="8" t="s">
        <v>95</v>
      </c>
      <c r="I20" s="8"/>
      <c r="J20" s="8">
        <v>15</v>
      </c>
      <c r="K20" s="8" t="s">
        <v>96</v>
      </c>
    </row>
    <row r="21" spans="1:11" s="16" customFormat="1">
      <c r="A21" s="29" t="s">
        <v>175</v>
      </c>
      <c r="B21" s="12">
        <f t="shared" si="1"/>
        <v>62</v>
      </c>
      <c r="C21" s="12" t="s">
        <v>5</v>
      </c>
      <c r="D21" s="12" t="s">
        <v>201</v>
      </c>
      <c r="E21" s="12" t="s">
        <v>205</v>
      </c>
      <c r="F21" s="12">
        <v>-1</v>
      </c>
      <c r="G21" s="12" t="s">
        <v>152</v>
      </c>
      <c r="H21" s="13" t="s">
        <v>0</v>
      </c>
      <c r="I21" s="13"/>
      <c r="J21" s="13">
        <v>-1</v>
      </c>
      <c r="K21" s="13" t="s">
        <v>21</v>
      </c>
    </row>
    <row r="22" spans="1:11" s="16" customFormat="1">
      <c r="A22" s="10" t="s">
        <v>62</v>
      </c>
      <c r="B22" s="12">
        <f t="shared" si="1"/>
        <v>89</v>
      </c>
      <c r="C22" s="12" t="s">
        <v>5</v>
      </c>
      <c r="D22" s="12" t="s">
        <v>201</v>
      </c>
      <c r="E22" s="12" t="s">
        <v>205</v>
      </c>
      <c r="F22" s="12">
        <v>-1</v>
      </c>
      <c r="G22" s="12" t="s">
        <v>152</v>
      </c>
      <c r="H22" s="13" t="s">
        <v>20</v>
      </c>
      <c r="I22" s="13"/>
      <c r="J22" s="13">
        <v>-1</v>
      </c>
      <c r="K22" s="13" t="s">
        <v>32</v>
      </c>
    </row>
    <row r="23" spans="1:11" s="16" customFormat="1">
      <c r="A23" s="10" t="s">
        <v>103</v>
      </c>
      <c r="B23" s="12">
        <f t="shared" si="1"/>
        <v>105</v>
      </c>
      <c r="C23" s="12" t="s">
        <v>5</v>
      </c>
      <c r="D23" s="12" t="s">
        <v>201</v>
      </c>
      <c r="E23" s="12" t="s">
        <v>205</v>
      </c>
      <c r="F23" s="12">
        <v>-1</v>
      </c>
      <c r="G23" s="12" t="s">
        <v>152</v>
      </c>
      <c r="H23" s="13" t="s">
        <v>108</v>
      </c>
      <c r="I23" s="13"/>
      <c r="J23" s="13">
        <v>-1</v>
      </c>
      <c r="K23" s="33" t="s">
        <v>103</v>
      </c>
    </row>
    <row r="24" spans="1:11" s="16" customFormat="1">
      <c r="A24" s="10" t="s">
        <v>65</v>
      </c>
      <c r="B24" s="12">
        <f t="shared" si="1"/>
        <v>88</v>
      </c>
      <c r="C24" s="12" t="s">
        <v>5</v>
      </c>
      <c r="D24" s="12" t="s">
        <v>201</v>
      </c>
      <c r="E24" s="12" t="s">
        <v>205</v>
      </c>
      <c r="F24" s="12">
        <v>-1</v>
      </c>
      <c r="G24" s="12" t="s">
        <v>152</v>
      </c>
      <c r="H24" s="13" t="s">
        <v>79</v>
      </c>
      <c r="I24" s="13"/>
      <c r="J24" s="13">
        <v>-1</v>
      </c>
      <c r="K24" s="13" t="s">
        <v>66</v>
      </c>
    </row>
    <row r="25" spans="1:11" s="16" customFormat="1">
      <c r="A25" s="10" t="s">
        <v>111</v>
      </c>
      <c r="B25" s="12">
        <f t="shared" si="1"/>
        <v>82</v>
      </c>
      <c r="C25" s="12" t="s">
        <v>5</v>
      </c>
      <c r="D25" s="12" t="s">
        <v>201</v>
      </c>
      <c r="E25" s="12" t="s">
        <v>205</v>
      </c>
      <c r="F25" s="12">
        <v>-1</v>
      </c>
      <c r="G25" s="12" t="s">
        <v>152</v>
      </c>
      <c r="H25" s="13" t="s">
        <v>67</v>
      </c>
      <c r="I25" s="13"/>
      <c r="J25" s="13">
        <v>-1</v>
      </c>
      <c r="K25" s="33" t="s">
        <v>81</v>
      </c>
    </row>
    <row r="26" spans="1:11" s="16" customFormat="1">
      <c r="A26" s="10" t="s">
        <v>61</v>
      </c>
      <c r="B26" s="12">
        <f t="shared" si="1"/>
        <v>80</v>
      </c>
      <c r="C26" s="12" t="s">
        <v>5</v>
      </c>
      <c r="D26" s="12" t="s">
        <v>201</v>
      </c>
      <c r="E26" s="12" t="s">
        <v>205</v>
      </c>
      <c r="F26" s="12">
        <v>-1</v>
      </c>
      <c r="G26" s="12" t="s">
        <v>152</v>
      </c>
      <c r="H26" s="13" t="s">
        <v>68</v>
      </c>
      <c r="I26" s="13"/>
      <c r="J26" s="13">
        <v>-1</v>
      </c>
      <c r="K26" s="33" t="s">
        <v>80</v>
      </c>
    </row>
    <row r="27" spans="1:11" s="16" customFormat="1">
      <c r="A27" s="10" t="s">
        <v>38</v>
      </c>
      <c r="B27" s="12">
        <f t="shared" si="1"/>
        <v>112</v>
      </c>
      <c r="C27" s="12" t="s">
        <v>5</v>
      </c>
      <c r="D27" s="12" t="s">
        <v>201</v>
      </c>
      <c r="E27" s="12" t="s">
        <v>205</v>
      </c>
      <c r="F27" s="12">
        <v>-1</v>
      </c>
      <c r="G27" s="12" t="s">
        <v>152</v>
      </c>
      <c r="H27" s="13" t="s">
        <v>114</v>
      </c>
      <c r="I27" s="13"/>
      <c r="J27" s="13">
        <v>-1</v>
      </c>
      <c r="K27" s="13" t="s">
        <v>125</v>
      </c>
    </row>
    <row r="28" spans="1:11" s="16" customFormat="1">
      <c r="A28" s="10" t="s">
        <v>104</v>
      </c>
      <c r="B28" s="12">
        <f t="shared" si="1"/>
        <v>86</v>
      </c>
      <c r="C28" s="12" t="s">
        <v>5</v>
      </c>
      <c r="D28" s="12" t="s">
        <v>201</v>
      </c>
      <c r="E28" s="12" t="s">
        <v>205</v>
      </c>
      <c r="F28" s="12">
        <v>-1</v>
      </c>
      <c r="G28" s="12" t="s">
        <v>152</v>
      </c>
      <c r="H28" s="13" t="s">
        <v>6</v>
      </c>
      <c r="I28" s="13"/>
      <c r="J28" s="13">
        <v>-1</v>
      </c>
      <c r="K28" s="13" t="s">
        <v>105</v>
      </c>
    </row>
    <row r="29" spans="1:11" s="16" customFormat="1">
      <c r="A29" s="10" t="s">
        <v>45</v>
      </c>
      <c r="B29" s="12">
        <f t="shared" si="1"/>
        <v>121</v>
      </c>
      <c r="C29" s="12" t="s">
        <v>5</v>
      </c>
      <c r="D29" s="12" t="s">
        <v>201</v>
      </c>
      <c r="E29" s="12" t="s">
        <v>205</v>
      </c>
      <c r="F29" s="12">
        <v>-1</v>
      </c>
      <c r="G29" s="12" t="s">
        <v>152</v>
      </c>
      <c r="H29" s="13" t="s">
        <v>63</v>
      </c>
      <c r="I29" s="13"/>
      <c r="J29" s="13">
        <v>-1</v>
      </c>
      <c r="K29" s="13" t="s">
        <v>64</v>
      </c>
    </row>
    <row r="30" spans="1:11" s="16" customFormat="1">
      <c r="A30" s="10" t="s">
        <v>53</v>
      </c>
      <c r="B30" s="12">
        <f t="shared" si="1"/>
        <v>67</v>
      </c>
      <c r="C30" s="12" t="s">
        <v>5</v>
      </c>
      <c r="D30" s="12" t="s">
        <v>201</v>
      </c>
      <c r="E30" s="12" t="s">
        <v>205</v>
      </c>
      <c r="F30" s="12">
        <v>-1</v>
      </c>
      <c r="G30" s="12" t="s">
        <v>152</v>
      </c>
      <c r="H30" s="13" t="s">
        <v>47</v>
      </c>
      <c r="I30" s="13"/>
      <c r="J30" s="13">
        <v>-1</v>
      </c>
      <c r="K30" s="13" t="s">
        <v>50</v>
      </c>
    </row>
    <row r="31" spans="1:11" s="16" customFormat="1">
      <c r="A31" s="10" t="s">
        <v>54</v>
      </c>
      <c r="B31" s="12">
        <f t="shared" si="1"/>
        <v>83</v>
      </c>
      <c r="C31" s="12" t="s">
        <v>5</v>
      </c>
      <c r="D31" s="12" t="s">
        <v>201</v>
      </c>
      <c r="E31" s="12" t="s">
        <v>205</v>
      </c>
      <c r="F31" s="12">
        <v>-1</v>
      </c>
      <c r="G31" s="12" t="s">
        <v>152</v>
      </c>
      <c r="H31" s="13" t="s">
        <v>48</v>
      </c>
      <c r="I31" s="13"/>
      <c r="J31" s="13">
        <v>-1</v>
      </c>
      <c r="K31" s="13" t="s">
        <v>51</v>
      </c>
    </row>
    <row r="32" spans="1:11" s="16" customFormat="1">
      <c r="A32" s="10" t="s">
        <v>55</v>
      </c>
      <c r="B32" s="12">
        <f t="shared" si="1"/>
        <v>84</v>
      </c>
      <c r="C32" s="12" t="s">
        <v>5</v>
      </c>
      <c r="D32" s="12" t="s">
        <v>201</v>
      </c>
      <c r="E32" s="12" t="s">
        <v>205</v>
      </c>
      <c r="F32" s="12">
        <v>-1</v>
      </c>
      <c r="G32" s="12" t="s">
        <v>152</v>
      </c>
      <c r="H32" s="13" t="s">
        <v>49</v>
      </c>
      <c r="I32" s="13"/>
      <c r="J32" s="13">
        <v>-1</v>
      </c>
      <c r="K32" s="13" t="s">
        <v>52</v>
      </c>
    </row>
    <row r="33" spans="1:11" s="16" customFormat="1">
      <c r="A33" s="10" t="s">
        <v>56</v>
      </c>
      <c r="B33" s="12">
        <f t="shared" si="1"/>
        <v>76</v>
      </c>
      <c r="C33" s="12" t="s">
        <v>5</v>
      </c>
      <c r="D33" s="12" t="s">
        <v>201</v>
      </c>
      <c r="E33" s="12" t="s">
        <v>205</v>
      </c>
      <c r="F33" s="12">
        <v>-1</v>
      </c>
      <c r="G33" s="12" t="s">
        <v>152</v>
      </c>
      <c r="H33" s="13" t="s">
        <v>57</v>
      </c>
      <c r="I33" s="13"/>
      <c r="J33" s="13">
        <v>-1</v>
      </c>
      <c r="K33" s="13" t="s">
        <v>60</v>
      </c>
    </row>
    <row r="34" spans="1:11" s="16" customFormat="1">
      <c r="A34" s="10" t="s">
        <v>58</v>
      </c>
      <c r="B34" s="12">
        <f t="shared" si="1"/>
        <v>79</v>
      </c>
      <c r="C34" s="12" t="s">
        <v>5</v>
      </c>
      <c r="D34" s="12" t="s">
        <v>201</v>
      </c>
      <c r="E34" s="12" t="s">
        <v>205</v>
      </c>
      <c r="F34" s="12">
        <v>-1</v>
      </c>
      <c r="G34" s="12" t="s">
        <v>152</v>
      </c>
      <c r="H34" s="13" t="s">
        <v>59</v>
      </c>
      <c r="I34" s="13"/>
      <c r="J34" s="13">
        <v>-1</v>
      </c>
      <c r="K34" s="13" t="s">
        <v>99</v>
      </c>
    </row>
    <row r="35" spans="1:11" s="16" customFormat="1">
      <c r="A35" s="10" t="s">
        <v>83</v>
      </c>
      <c r="B35" s="12">
        <f t="shared" si="1"/>
        <v>81</v>
      </c>
      <c r="C35" s="12" t="s">
        <v>5</v>
      </c>
      <c r="D35" s="12" t="s">
        <v>201</v>
      </c>
      <c r="E35" s="12" t="s">
        <v>205</v>
      </c>
      <c r="F35" s="12">
        <v>-1</v>
      </c>
      <c r="G35" s="12" t="s">
        <v>152</v>
      </c>
      <c r="H35" s="13" t="s">
        <v>15</v>
      </c>
      <c r="I35" s="13"/>
      <c r="J35" s="13">
        <v>-1</v>
      </c>
      <c r="K35" s="13" t="s">
        <v>84</v>
      </c>
    </row>
    <row r="36" spans="1:11" s="16" customFormat="1">
      <c r="A36" s="10" t="s">
        <v>70</v>
      </c>
      <c r="B36" s="12">
        <f t="shared" si="1"/>
        <v>68</v>
      </c>
      <c r="C36" s="12" t="s">
        <v>5</v>
      </c>
      <c r="D36" s="12" t="s">
        <v>201</v>
      </c>
      <c r="E36" s="12" t="s">
        <v>205</v>
      </c>
      <c r="F36" s="12">
        <v>-1</v>
      </c>
      <c r="G36" s="12" t="s">
        <v>152</v>
      </c>
      <c r="H36" s="13" t="s">
        <v>119</v>
      </c>
      <c r="I36" s="13"/>
      <c r="J36" s="13">
        <v>-1</v>
      </c>
      <c r="K36" s="13" t="s">
        <v>120</v>
      </c>
    </row>
    <row r="37" spans="1:11" s="16" customFormat="1">
      <c r="A37" s="10" t="s">
        <v>101</v>
      </c>
      <c r="B37" s="12">
        <f t="shared" si="1"/>
        <v>73</v>
      </c>
      <c r="C37" s="12" t="s">
        <v>100</v>
      </c>
      <c r="D37" s="12" t="s">
        <v>201</v>
      </c>
      <c r="E37" s="12" t="s">
        <v>207</v>
      </c>
      <c r="F37" s="12">
        <v>-1</v>
      </c>
      <c r="G37" s="12" t="b">
        <v>0</v>
      </c>
      <c r="H37" s="33" t="s">
        <v>71</v>
      </c>
      <c r="I37" s="33"/>
      <c r="J37" s="33">
        <v>-1</v>
      </c>
      <c r="K37" s="33" t="s">
        <v>102</v>
      </c>
    </row>
    <row r="38" spans="1:11" s="16" customFormat="1">
      <c r="A38" s="10" t="s">
        <v>107</v>
      </c>
      <c r="B38" s="12">
        <f t="shared" si="1"/>
        <v>74</v>
      </c>
      <c r="C38" s="12" t="s">
        <v>100</v>
      </c>
      <c r="D38" s="12" t="s">
        <v>201</v>
      </c>
      <c r="E38" s="12" t="s">
        <v>207</v>
      </c>
      <c r="F38" s="12">
        <v>-1</v>
      </c>
      <c r="G38" s="12" t="b">
        <v>0</v>
      </c>
      <c r="H38" s="33" t="s">
        <v>78</v>
      </c>
      <c r="I38" s="33"/>
      <c r="J38" s="33">
        <v>-1</v>
      </c>
      <c r="K38" s="33" t="s">
        <v>77</v>
      </c>
    </row>
    <row r="39" spans="1:11" s="16" customFormat="1">
      <c r="A39" s="10" t="s">
        <v>82</v>
      </c>
      <c r="B39" s="12">
        <f t="shared" si="1"/>
        <v>75</v>
      </c>
      <c r="C39" s="12" t="s">
        <v>100</v>
      </c>
      <c r="D39" s="12" t="s">
        <v>201</v>
      </c>
      <c r="E39" s="12" t="s">
        <v>207</v>
      </c>
      <c r="F39" s="12">
        <v>-1</v>
      </c>
      <c r="G39" s="12" t="b">
        <v>0</v>
      </c>
      <c r="H39" s="33" t="s">
        <v>72</v>
      </c>
      <c r="I39" s="33"/>
      <c r="J39" s="33">
        <v>-1</v>
      </c>
      <c r="K39" s="33" t="s">
        <v>110</v>
      </c>
    </row>
    <row r="40" spans="1:11" s="16" customFormat="1">
      <c r="A40" s="10" t="s">
        <v>106</v>
      </c>
      <c r="B40" s="12">
        <f t="shared" si="1"/>
        <v>77</v>
      </c>
      <c r="C40" s="12" t="s">
        <v>100</v>
      </c>
      <c r="D40" s="7" t="s">
        <v>8</v>
      </c>
      <c r="E40" s="12" t="s">
        <v>207</v>
      </c>
      <c r="F40" s="12">
        <v>-1</v>
      </c>
      <c r="G40" s="12" t="b">
        <v>0</v>
      </c>
      <c r="H40" s="33" t="s">
        <v>69</v>
      </c>
      <c r="I40" s="33"/>
      <c r="J40" s="33">
        <v>-1</v>
      </c>
      <c r="K40" s="33" t="s">
        <v>109</v>
      </c>
    </row>
    <row r="41" spans="1:11" s="16" customFormat="1">
      <c r="A41" s="10" t="s">
        <v>122</v>
      </c>
      <c r="B41" s="12">
        <f t="shared" si="1"/>
        <v>70</v>
      </c>
      <c r="C41" s="12" t="s">
        <v>100</v>
      </c>
      <c r="D41" s="12" t="s">
        <v>201</v>
      </c>
      <c r="E41" s="12" t="s">
        <v>207</v>
      </c>
      <c r="F41" s="12">
        <v>-1</v>
      </c>
      <c r="G41" s="12" t="b">
        <v>0</v>
      </c>
      <c r="H41" s="33" t="s">
        <v>123</v>
      </c>
      <c r="I41" s="33"/>
      <c r="J41" s="33">
        <v>-1</v>
      </c>
      <c r="K41" s="33" t="s">
        <v>124</v>
      </c>
    </row>
    <row r="42" spans="1:11" s="16" customFormat="1">
      <c r="A42" s="10" t="s">
        <v>136</v>
      </c>
      <c r="B42" s="12">
        <f t="shared" si="1"/>
        <v>37</v>
      </c>
      <c r="C42" s="12" t="s">
        <v>5</v>
      </c>
      <c r="D42" s="12" t="s">
        <v>201</v>
      </c>
      <c r="E42" s="12" t="s">
        <v>205</v>
      </c>
      <c r="F42" s="12">
        <v>-1</v>
      </c>
      <c r="G42" s="12" t="s">
        <v>152</v>
      </c>
      <c r="H42" s="13" t="s">
        <v>139</v>
      </c>
      <c r="I42" s="13"/>
      <c r="J42" s="13">
        <v>-1</v>
      </c>
      <c r="K42" s="13" t="s">
        <v>142</v>
      </c>
    </row>
    <row r="43" spans="1:11" s="16" customFormat="1">
      <c r="A43" s="10" t="s">
        <v>137</v>
      </c>
      <c r="B43" s="12">
        <f t="shared" si="1"/>
        <v>33</v>
      </c>
      <c r="C43" s="12" t="s">
        <v>5</v>
      </c>
      <c r="D43" s="12" t="s">
        <v>201</v>
      </c>
      <c r="E43" s="12" t="s">
        <v>205</v>
      </c>
      <c r="F43" s="12">
        <v>-1</v>
      </c>
      <c r="G43" s="12" t="s">
        <v>152</v>
      </c>
      <c r="H43" s="13" t="s">
        <v>140</v>
      </c>
      <c r="I43" s="13"/>
      <c r="J43" s="13">
        <v>-1</v>
      </c>
      <c r="K43" s="13" t="s">
        <v>143</v>
      </c>
    </row>
    <row r="44" spans="1:11" s="16" customFormat="1">
      <c r="A44" s="10" t="s">
        <v>138</v>
      </c>
      <c r="B44" s="12">
        <f t="shared" si="1"/>
        <v>85</v>
      </c>
      <c r="C44" s="12" t="s">
        <v>5</v>
      </c>
      <c r="D44" s="12" t="s">
        <v>201</v>
      </c>
      <c r="E44" s="22" t="s">
        <v>206</v>
      </c>
      <c r="F44" s="12">
        <v>-1</v>
      </c>
      <c r="G44" s="12" t="b">
        <v>0</v>
      </c>
      <c r="H44" s="13" t="s">
        <v>141</v>
      </c>
      <c r="I44" s="13"/>
      <c r="J44" s="13">
        <v>-1</v>
      </c>
      <c r="K44" s="13" t="s">
        <v>144</v>
      </c>
    </row>
    <row r="45" spans="1:11" s="16" customFormat="1">
      <c r="A45" s="29" t="s">
        <v>145</v>
      </c>
      <c r="B45" s="12">
        <f t="shared" si="1"/>
        <v>39</v>
      </c>
      <c r="C45" s="12" t="s">
        <v>5</v>
      </c>
      <c r="D45" s="7" t="s">
        <v>8</v>
      </c>
      <c r="E45" s="12" t="s">
        <v>205</v>
      </c>
      <c r="F45" s="12">
        <v>-1</v>
      </c>
      <c r="G45" s="12" t="b">
        <v>0</v>
      </c>
      <c r="H45" s="13" t="s">
        <v>147</v>
      </c>
      <c r="I45" s="13" t="s">
        <v>112</v>
      </c>
      <c r="J45" s="13">
        <v>5</v>
      </c>
      <c r="K45" s="13" t="s">
        <v>148</v>
      </c>
    </row>
    <row r="46" spans="1:11" s="16" customFormat="1">
      <c r="A46" s="10" t="s">
        <v>146</v>
      </c>
      <c r="B46" s="12">
        <f t="shared" si="1"/>
        <v>71</v>
      </c>
      <c r="C46" s="12" t="s">
        <v>5</v>
      </c>
      <c r="D46" s="7" t="s">
        <v>8</v>
      </c>
      <c r="E46" s="12" t="s">
        <v>205</v>
      </c>
      <c r="F46" s="12">
        <v>-1</v>
      </c>
      <c r="G46" s="12" t="b">
        <v>0</v>
      </c>
      <c r="H46" s="13" t="s">
        <v>149</v>
      </c>
      <c r="I46" s="13" t="s">
        <v>113</v>
      </c>
      <c r="J46" s="13">
        <v>5</v>
      </c>
      <c r="K46" s="13" t="s">
        <v>150</v>
      </c>
    </row>
    <row r="47" spans="1:11" s="16" customFormat="1">
      <c r="A47" s="10" t="s">
        <v>153</v>
      </c>
      <c r="B47" s="12">
        <f t="shared" si="1"/>
        <v>65</v>
      </c>
      <c r="C47" s="31" t="s">
        <v>5</v>
      </c>
      <c r="D47" s="12" t="s">
        <v>201</v>
      </c>
      <c r="E47" s="12" t="s">
        <v>205</v>
      </c>
      <c r="F47" s="12">
        <v>-1</v>
      </c>
      <c r="G47" s="12" t="s">
        <v>152</v>
      </c>
      <c r="H47" s="13" t="s">
        <v>166</v>
      </c>
      <c r="I47" s="13"/>
      <c r="J47" s="13">
        <v>-1</v>
      </c>
      <c r="K47" s="13" t="s">
        <v>154</v>
      </c>
    </row>
    <row r="48" spans="1:11" s="16" customFormat="1">
      <c r="A48" s="10" t="s">
        <v>156</v>
      </c>
      <c r="B48" s="12">
        <f t="shared" si="1"/>
        <v>90</v>
      </c>
      <c r="C48" s="31" t="s">
        <v>5</v>
      </c>
      <c r="D48" s="12" t="s">
        <v>201</v>
      </c>
      <c r="E48" s="12" t="s">
        <v>205</v>
      </c>
      <c r="F48" s="12">
        <v>-1</v>
      </c>
      <c r="G48" s="12" t="s">
        <v>152</v>
      </c>
      <c r="H48" s="13" t="s">
        <v>165</v>
      </c>
      <c r="I48" s="13"/>
      <c r="J48" s="13">
        <v>-1</v>
      </c>
      <c r="K48" s="13" t="s">
        <v>174</v>
      </c>
    </row>
    <row r="49" spans="1:11" s="16" customFormat="1">
      <c r="A49" s="10" t="s">
        <v>173</v>
      </c>
      <c r="B49" s="12">
        <f t="shared" si="1"/>
        <v>124</v>
      </c>
      <c r="C49" s="31" t="s">
        <v>5</v>
      </c>
      <c r="D49" s="12" t="s">
        <v>201</v>
      </c>
      <c r="E49" s="12" t="s">
        <v>205</v>
      </c>
      <c r="F49" s="12">
        <v>-1</v>
      </c>
      <c r="G49" s="12" t="s">
        <v>152</v>
      </c>
      <c r="H49" s="13" t="s">
        <v>165</v>
      </c>
      <c r="I49" s="13"/>
      <c r="J49" s="13">
        <v>-1</v>
      </c>
      <c r="K49" s="13" t="s">
        <v>179</v>
      </c>
    </row>
    <row r="50" spans="1:11" s="16" customFormat="1">
      <c r="A50" s="10" t="s">
        <v>155</v>
      </c>
      <c r="B50" s="12">
        <f t="shared" si="1"/>
        <v>106</v>
      </c>
      <c r="C50" s="31" t="s">
        <v>5</v>
      </c>
      <c r="D50" s="12" t="s">
        <v>201</v>
      </c>
      <c r="E50" s="12" t="s">
        <v>205</v>
      </c>
      <c r="F50" s="12">
        <v>-1</v>
      </c>
      <c r="G50" s="12" t="s">
        <v>152</v>
      </c>
      <c r="H50" s="13" t="s">
        <v>108</v>
      </c>
      <c r="I50" s="13"/>
      <c r="J50" s="13">
        <v>-1</v>
      </c>
      <c r="K50" s="33" t="s">
        <v>155</v>
      </c>
    </row>
    <row r="51" spans="1:11" s="16" customFormat="1">
      <c r="A51" s="10" t="s">
        <v>157</v>
      </c>
      <c r="B51" s="32">
        <v>65476</v>
      </c>
      <c r="C51" s="31" t="s">
        <v>5</v>
      </c>
      <c r="D51" s="12" t="s">
        <v>201</v>
      </c>
      <c r="E51" s="12" t="s">
        <v>205</v>
      </c>
      <c r="F51" s="12">
        <v>-1</v>
      </c>
      <c r="G51" s="12" t="s">
        <v>152</v>
      </c>
      <c r="H51" s="13" t="s">
        <v>161</v>
      </c>
      <c r="I51" s="13"/>
      <c r="J51" s="13">
        <v>-1</v>
      </c>
      <c r="K51" s="33" t="s">
        <v>167</v>
      </c>
    </row>
    <row r="52" spans="1:11" s="16" customFormat="1">
      <c r="A52" s="10" t="s">
        <v>158</v>
      </c>
      <c r="B52" s="32">
        <v>65477</v>
      </c>
      <c r="C52" s="31" t="s">
        <v>5</v>
      </c>
      <c r="D52" s="12" t="s">
        <v>201</v>
      </c>
      <c r="E52" s="12" t="s">
        <v>205</v>
      </c>
      <c r="F52" s="12">
        <v>-1</v>
      </c>
      <c r="G52" s="12" t="s">
        <v>152</v>
      </c>
      <c r="H52" s="13" t="s">
        <v>162</v>
      </c>
      <c r="I52" s="13"/>
      <c r="J52" s="13">
        <v>-1</v>
      </c>
      <c r="K52" s="33" t="s">
        <v>168</v>
      </c>
    </row>
    <row r="53" spans="1:11" s="16" customFormat="1">
      <c r="A53" s="10" t="s">
        <v>159</v>
      </c>
      <c r="B53" s="32">
        <v>65478</v>
      </c>
      <c r="C53" s="31" t="s">
        <v>5</v>
      </c>
      <c r="D53" s="12" t="s">
        <v>201</v>
      </c>
      <c r="E53" s="12" t="s">
        <v>205</v>
      </c>
      <c r="F53" s="12" t="s">
        <v>182</v>
      </c>
      <c r="G53" s="12" t="s">
        <v>152</v>
      </c>
      <c r="H53" s="13" t="s">
        <v>163</v>
      </c>
      <c r="I53" s="13"/>
      <c r="J53" s="13">
        <v>-1</v>
      </c>
      <c r="K53" s="33" t="s">
        <v>169</v>
      </c>
    </row>
    <row r="54" spans="1:11" s="16" customFormat="1">
      <c r="A54" s="10" t="s">
        <v>160</v>
      </c>
      <c r="B54" s="32">
        <v>65479</v>
      </c>
      <c r="C54" s="31" t="s">
        <v>5</v>
      </c>
      <c r="D54" s="12" t="s">
        <v>201</v>
      </c>
      <c r="E54" s="12" t="s">
        <v>205</v>
      </c>
      <c r="F54" s="12">
        <v>-1</v>
      </c>
      <c r="G54" s="12" t="s">
        <v>152</v>
      </c>
      <c r="H54" s="13" t="s">
        <v>164</v>
      </c>
      <c r="I54" s="13"/>
      <c r="J54" s="13">
        <v>-1</v>
      </c>
      <c r="K54" s="33" t="s">
        <v>170</v>
      </c>
    </row>
    <row r="55" spans="1:11" s="16" customFormat="1">
      <c r="A55" s="10" t="s">
        <v>171</v>
      </c>
      <c r="B55" s="12">
        <f t="shared" ref="B55:B59" si="2">CODE(A55)</f>
        <v>87</v>
      </c>
      <c r="C55" s="31" t="s">
        <v>5</v>
      </c>
      <c r="D55" s="12" t="s">
        <v>201</v>
      </c>
      <c r="E55" s="12" t="s">
        <v>205</v>
      </c>
      <c r="F55" s="12">
        <v>-1</v>
      </c>
      <c r="G55" s="12" t="s">
        <v>152</v>
      </c>
      <c r="H55" s="13" t="s">
        <v>181</v>
      </c>
      <c r="I55" s="13"/>
      <c r="J55" s="13">
        <v>-1</v>
      </c>
      <c r="K55" s="13" t="s">
        <v>172</v>
      </c>
    </row>
    <row r="56" spans="1:11" s="16" customFormat="1">
      <c r="A56" s="29" t="s">
        <v>33</v>
      </c>
      <c r="B56" s="12">
        <f t="shared" si="2"/>
        <v>61</v>
      </c>
      <c r="C56" s="31" t="s">
        <v>5</v>
      </c>
      <c r="D56" s="12" t="s">
        <v>201</v>
      </c>
      <c r="E56" s="12" t="s">
        <v>205</v>
      </c>
      <c r="F56" s="12">
        <v>-1</v>
      </c>
      <c r="G56" s="12" t="s">
        <v>152</v>
      </c>
      <c r="H56" s="13" t="s">
        <v>164</v>
      </c>
      <c r="I56" s="13"/>
      <c r="J56" s="13">
        <v>-1</v>
      </c>
      <c r="K56" s="33" t="s">
        <v>178</v>
      </c>
    </row>
    <row r="57" spans="1:11" s="16" customFormat="1">
      <c r="A57" s="29" t="s">
        <v>176</v>
      </c>
      <c r="B57" s="12">
        <f t="shared" si="2"/>
        <v>69</v>
      </c>
      <c r="C57" s="31" t="s">
        <v>5</v>
      </c>
      <c r="D57" s="12" t="s">
        <v>201</v>
      </c>
      <c r="E57" s="12" t="s">
        <v>205</v>
      </c>
      <c r="F57" s="12">
        <v>-1</v>
      </c>
      <c r="G57" s="12" t="s">
        <v>152</v>
      </c>
      <c r="H57" s="13" t="s">
        <v>180</v>
      </c>
      <c r="I57" s="13"/>
      <c r="J57" s="13">
        <v>-1</v>
      </c>
      <c r="K57" s="33" t="s">
        <v>177</v>
      </c>
    </row>
    <row r="58" spans="1:11" s="16" customFormat="1">
      <c r="A58" s="14" t="s">
        <v>185</v>
      </c>
      <c r="B58" s="12">
        <f t="shared" si="2"/>
        <v>78</v>
      </c>
      <c r="C58" s="12" t="s">
        <v>5</v>
      </c>
      <c r="D58" s="12" t="s">
        <v>201</v>
      </c>
      <c r="E58" s="12" t="s">
        <v>205</v>
      </c>
      <c r="F58" s="12" t="s">
        <v>188</v>
      </c>
      <c r="G58" s="12" t="b">
        <v>0</v>
      </c>
      <c r="H58" s="13" t="s">
        <v>187</v>
      </c>
      <c r="I58" s="13" t="s">
        <v>112</v>
      </c>
      <c r="J58" s="13">
        <v>35</v>
      </c>
      <c r="K58" s="13" t="s">
        <v>189</v>
      </c>
    </row>
    <row r="59" spans="1:11" s="16" customFormat="1">
      <c r="A59" s="14" t="s">
        <v>183</v>
      </c>
      <c r="B59" s="12">
        <f t="shared" si="2"/>
        <v>66</v>
      </c>
      <c r="C59" s="12" t="s">
        <v>5</v>
      </c>
      <c r="D59" s="12" t="s">
        <v>201</v>
      </c>
      <c r="E59" s="12" t="s">
        <v>205</v>
      </c>
      <c r="F59" s="12" t="s">
        <v>188</v>
      </c>
      <c r="G59" s="12" t="s">
        <v>152</v>
      </c>
      <c r="H59" s="13" t="s">
        <v>184</v>
      </c>
      <c r="I59" s="13"/>
      <c r="J59" s="13">
        <v>-1</v>
      </c>
      <c r="K59" s="13" t="s">
        <v>190</v>
      </c>
    </row>
    <row r="60" spans="1:11" s="16" customFormat="1">
      <c r="A60" s="10" t="s">
        <v>194</v>
      </c>
      <c r="B60" s="12">
        <f t="shared" ref="B60:B62" si="3">CODE(A60)</f>
        <v>117</v>
      </c>
      <c r="C60" s="12" t="s">
        <v>5</v>
      </c>
      <c r="D60" s="12" t="s">
        <v>201</v>
      </c>
      <c r="E60" s="12" t="s">
        <v>205</v>
      </c>
      <c r="F60" s="12" t="s">
        <v>188</v>
      </c>
      <c r="G60" s="12" t="b">
        <v>0</v>
      </c>
      <c r="H60" s="13" t="s">
        <v>187</v>
      </c>
      <c r="I60" s="13" t="s">
        <v>112</v>
      </c>
      <c r="J60" s="13">
        <v>16</v>
      </c>
      <c r="K60" s="13" t="s">
        <v>195</v>
      </c>
    </row>
    <row r="61" spans="1:11" s="16" customFormat="1">
      <c r="A61" s="10" t="s">
        <v>196</v>
      </c>
      <c r="B61" s="12">
        <f t="shared" ref="B61" si="4">CODE(A61)</f>
        <v>72</v>
      </c>
      <c r="C61" s="12" t="s">
        <v>100</v>
      </c>
      <c r="D61" s="12" t="s">
        <v>201</v>
      </c>
      <c r="E61" s="12" t="s">
        <v>207</v>
      </c>
      <c r="F61" s="12">
        <v>-1</v>
      </c>
      <c r="G61" s="12" t="b">
        <v>0</v>
      </c>
      <c r="H61" s="33" t="s">
        <v>202</v>
      </c>
      <c r="I61" s="33"/>
      <c r="J61" s="33">
        <v>-1</v>
      </c>
      <c r="K61" s="13" t="s">
        <v>198</v>
      </c>
    </row>
    <row r="62" spans="1:11" s="16" customFormat="1">
      <c r="A62" s="10" t="s">
        <v>197</v>
      </c>
      <c r="B62" s="12">
        <f t="shared" si="3"/>
        <v>98</v>
      </c>
      <c r="C62" s="12" t="s">
        <v>100</v>
      </c>
      <c r="D62" s="12" t="s">
        <v>201</v>
      </c>
      <c r="E62" s="12" t="s">
        <v>207</v>
      </c>
      <c r="F62" s="12">
        <v>-1</v>
      </c>
      <c r="G62" s="12" t="b">
        <v>0</v>
      </c>
      <c r="H62" s="33" t="s">
        <v>200</v>
      </c>
      <c r="I62" s="33"/>
      <c r="J62" s="33">
        <v>-1</v>
      </c>
      <c r="K62" s="13" t="s">
        <v>199</v>
      </c>
    </row>
    <row r="63" spans="1:11" s="16" customFormat="1">
      <c r="A63" s="10"/>
      <c r="B63" s="10"/>
      <c r="C63" s="10"/>
      <c r="D63" s="10"/>
      <c r="E63" s="10"/>
      <c r="F63" s="10"/>
      <c r="G63" s="10"/>
    </row>
    <row r="64" spans="1:11" s="16" customFormat="1">
      <c r="A64" s="10"/>
      <c r="B64" s="10"/>
      <c r="C64" s="10"/>
      <c r="D64" s="10"/>
      <c r="E64" s="10"/>
      <c r="F64" s="10"/>
      <c r="G64" s="10"/>
    </row>
    <row r="65" spans="1:11" s="16" customFormat="1">
      <c r="A65" s="10"/>
      <c r="B65" s="10"/>
      <c r="C65" s="10"/>
      <c r="D65" s="10"/>
      <c r="E65" s="10"/>
      <c r="F65" s="10"/>
      <c r="G65" s="10"/>
    </row>
    <row r="66" spans="1:11" s="16" customFormat="1">
      <c r="A66" s="14" t="str">
        <f t="shared" ref="A66:A75" si="5">INDEX($A$5:$A$65,MATCH(H66,$H$5:$H$65,0))</f>
        <v>Q</v>
      </c>
      <c r="B66" s="34">
        <f>CODE(A66)</f>
        <v>81</v>
      </c>
      <c r="C66" s="34" t="s">
        <v>5</v>
      </c>
      <c r="D66" s="34" t="s">
        <v>46</v>
      </c>
      <c r="E66" s="34" t="s">
        <v>205</v>
      </c>
      <c r="F66" s="34">
        <v>-1</v>
      </c>
      <c r="G66" s="34" t="s">
        <v>152</v>
      </c>
      <c r="H66" s="35" t="s">
        <v>15</v>
      </c>
      <c r="I66" s="35"/>
      <c r="J66" s="35">
        <v>0</v>
      </c>
      <c r="K66" s="35" t="str">
        <f t="shared" ref="K66:K75" si="6">INDEX($K$5:$K$65,MATCH(H66,$H$5:$H$65,0))</f>
        <v>s[Q]uare</v>
      </c>
    </row>
    <row r="67" spans="1:11" s="16" customFormat="1">
      <c r="A67" s="14" t="str">
        <f t="shared" si="5"/>
        <v>q</v>
      </c>
      <c r="B67" s="34">
        <f t="shared" ref="B67:B86" si="7">CODE(A67)</f>
        <v>113</v>
      </c>
      <c r="C67" s="34" t="s">
        <v>5</v>
      </c>
      <c r="D67" s="34" t="s">
        <v>46</v>
      </c>
      <c r="E67" s="34" t="s">
        <v>205</v>
      </c>
      <c r="F67" s="34">
        <v>-1</v>
      </c>
      <c r="G67" s="34" t="s">
        <v>152</v>
      </c>
      <c r="H67" s="35" t="s">
        <v>7</v>
      </c>
      <c r="I67" s="35"/>
      <c r="J67" s="35">
        <v>1</v>
      </c>
      <c r="K67" s="35" t="str">
        <f t="shared" si="6"/>
        <v>s[q]rt</v>
      </c>
    </row>
    <row r="68" spans="1:11" s="16" customFormat="1">
      <c r="A68" s="14" t="str">
        <f t="shared" si="5"/>
        <v>v</v>
      </c>
      <c r="B68" s="34">
        <f t="shared" si="7"/>
        <v>118</v>
      </c>
      <c r="C68" s="34" t="s">
        <v>5</v>
      </c>
      <c r="D68" s="34" t="s">
        <v>46</v>
      </c>
      <c r="E68" s="34" t="s">
        <v>205</v>
      </c>
      <c r="F68" s="34">
        <v>-1</v>
      </c>
      <c r="G68" s="34" t="s">
        <v>152</v>
      </c>
      <c r="H68" s="35" t="s">
        <v>6</v>
      </c>
      <c r="I68" s="35"/>
      <c r="J68" s="35">
        <v>2</v>
      </c>
      <c r="K68" s="35" t="str">
        <f t="shared" si="6"/>
        <v>in[v]erse</v>
      </c>
    </row>
    <row r="69" spans="1:11" s="16" customFormat="1">
      <c r="A69" s="14" t="str">
        <f t="shared" si="5"/>
        <v>Y</v>
      </c>
      <c r="B69" s="34">
        <f t="shared" si="7"/>
        <v>89</v>
      </c>
      <c r="C69" s="34" t="s">
        <v>5</v>
      </c>
      <c r="D69" s="34" t="s">
        <v>46</v>
      </c>
      <c r="E69" s="34" t="s">
        <v>205</v>
      </c>
      <c r="F69" s="34">
        <v>-1</v>
      </c>
      <c r="G69" s="34" t="s">
        <v>152</v>
      </c>
      <c r="H69" s="35" t="s">
        <v>20</v>
      </c>
      <c r="I69" s="35"/>
      <c r="J69" s="35">
        <v>3</v>
      </c>
      <c r="K69" s="35" t="str">
        <f t="shared" si="6"/>
        <v>[y]^x</v>
      </c>
    </row>
    <row r="70" spans="1:11" s="16" customFormat="1">
      <c r="A70" s="14" t="str">
        <f t="shared" si="5"/>
        <v>o</v>
      </c>
      <c r="B70" s="34">
        <f t="shared" si="7"/>
        <v>111</v>
      </c>
      <c r="C70" s="34" t="s">
        <v>5</v>
      </c>
      <c r="D70" s="34" t="s">
        <v>46</v>
      </c>
      <c r="E70" s="34" t="s">
        <v>205</v>
      </c>
      <c r="F70" s="34">
        <v>-1</v>
      </c>
      <c r="G70" s="34" t="s">
        <v>152</v>
      </c>
      <c r="H70" s="35" t="s">
        <v>14</v>
      </c>
      <c r="I70" s="35"/>
      <c r="J70" s="35">
        <v>4</v>
      </c>
      <c r="K70" s="35" t="str">
        <f t="shared" si="6"/>
        <v>l[o]g</v>
      </c>
    </row>
    <row r="71" spans="1:11" s="16" customFormat="1">
      <c r="A71" s="14" t="str">
        <f t="shared" si="5"/>
        <v>l</v>
      </c>
      <c r="B71" s="34">
        <f t="shared" si="7"/>
        <v>108</v>
      </c>
      <c r="C71" s="34" t="s">
        <v>5</v>
      </c>
      <c r="D71" s="34" t="s">
        <v>46</v>
      </c>
      <c r="E71" s="34" t="s">
        <v>205</v>
      </c>
      <c r="F71" s="34">
        <v>-1</v>
      </c>
      <c r="G71" s="34" t="s">
        <v>152</v>
      </c>
      <c r="H71" s="35" t="s">
        <v>13</v>
      </c>
      <c r="I71" s="35"/>
      <c r="J71" s="35">
        <v>5</v>
      </c>
      <c r="K71" s="35" t="str">
        <f t="shared" si="6"/>
        <v>[l]n</v>
      </c>
    </row>
    <row r="72" spans="1:11" s="16" customFormat="1">
      <c r="A72" s="14" t="str">
        <f t="shared" si="5"/>
        <v>m</v>
      </c>
      <c r="B72" s="34">
        <f t="shared" si="7"/>
        <v>109</v>
      </c>
      <c r="C72" s="34" t="s">
        <v>5</v>
      </c>
      <c r="D72" s="34" t="s">
        <v>46</v>
      </c>
      <c r="E72" s="34" t="s">
        <v>205</v>
      </c>
      <c r="F72" s="34">
        <v>-1</v>
      </c>
      <c r="G72" s="34" t="s">
        <v>152</v>
      </c>
      <c r="H72" s="35" t="s">
        <v>85</v>
      </c>
      <c r="I72" s="35"/>
      <c r="J72" s="35">
        <v>6</v>
      </c>
      <c r="K72" s="35" t="str">
        <f t="shared" si="6"/>
        <v>[m]emory</v>
      </c>
    </row>
    <row r="73" spans="1:11" s="16" customFormat="1">
      <c r="A73" s="14" t="str">
        <f t="shared" si="5"/>
        <v>r</v>
      </c>
      <c r="B73" s="34">
        <f t="shared" si="7"/>
        <v>114</v>
      </c>
      <c r="C73" s="34" t="s">
        <v>5</v>
      </c>
      <c r="D73" s="34" t="s">
        <v>46</v>
      </c>
      <c r="E73" s="34" t="s">
        <v>205</v>
      </c>
      <c r="F73" s="34">
        <v>-1</v>
      </c>
      <c r="G73" s="34" t="s">
        <v>152</v>
      </c>
      <c r="H73" s="35" t="s">
        <v>88</v>
      </c>
      <c r="I73" s="35"/>
      <c r="J73" s="35">
        <v>7</v>
      </c>
      <c r="K73" s="35" t="str">
        <f t="shared" si="6"/>
        <v>[r]cl</v>
      </c>
    </row>
    <row r="74" spans="1:11" s="16" customFormat="1">
      <c r="A74" s="14" t="str">
        <f t="shared" si="5"/>
        <v>d</v>
      </c>
      <c r="B74" s="34">
        <f t="shared" si="7"/>
        <v>100</v>
      </c>
      <c r="C74" s="34" t="s">
        <v>5</v>
      </c>
      <c r="D74" s="34" t="s">
        <v>46</v>
      </c>
      <c r="E74" s="34" t="s">
        <v>205</v>
      </c>
      <c r="F74" s="34">
        <v>-1</v>
      </c>
      <c r="G74" s="34" t="s">
        <v>152</v>
      </c>
      <c r="H74" s="35" t="s">
        <v>115</v>
      </c>
      <c r="I74" s="35"/>
      <c r="J74" s="35">
        <v>8</v>
      </c>
      <c r="K74" s="35" t="str">
        <f t="shared" si="6"/>
        <v>[d]own</v>
      </c>
    </row>
    <row r="75" spans="1:11" s="16" customFormat="1">
      <c r="A75" s="14" t="str">
        <f t="shared" si="5"/>
        <v>&gt;</v>
      </c>
      <c r="B75" s="12">
        <f t="shared" si="7"/>
        <v>62</v>
      </c>
      <c r="C75" s="12" t="s">
        <v>5</v>
      </c>
      <c r="D75" s="12" t="s">
        <v>46</v>
      </c>
      <c r="E75" s="12" t="s">
        <v>205</v>
      </c>
      <c r="F75" s="12">
        <v>-1</v>
      </c>
      <c r="G75" s="12" t="s">
        <v>152</v>
      </c>
      <c r="H75" s="13" t="s">
        <v>0</v>
      </c>
      <c r="I75" s="13"/>
      <c r="J75" s="13">
        <v>-1</v>
      </c>
      <c r="K75" s="13" t="str">
        <f t="shared" si="6"/>
        <v>[=]&gt;D,R,G</v>
      </c>
    </row>
    <row r="76" spans="1:11" s="16" customFormat="1">
      <c r="A76" s="11" t="s">
        <v>112</v>
      </c>
      <c r="B76" s="34">
        <f t="shared" si="7"/>
        <v>102</v>
      </c>
      <c r="C76" s="34" t="s">
        <v>100</v>
      </c>
      <c r="D76" s="34" t="s">
        <v>92</v>
      </c>
      <c r="E76" s="34" t="s">
        <v>205</v>
      </c>
      <c r="F76" s="34">
        <v>-1</v>
      </c>
      <c r="G76" s="34" t="s">
        <v>152</v>
      </c>
      <c r="H76" s="13" t="s">
        <v>116</v>
      </c>
      <c r="I76" s="35"/>
      <c r="J76" s="35">
        <v>10</v>
      </c>
      <c r="K76" s="13" t="s">
        <v>112</v>
      </c>
    </row>
    <row r="77" spans="1:11" s="16" customFormat="1">
      <c r="A77" s="11" t="s">
        <v>113</v>
      </c>
      <c r="B77" s="34">
        <f t="shared" si="7"/>
        <v>103</v>
      </c>
      <c r="C77" s="34" t="s">
        <v>100</v>
      </c>
      <c r="D77" s="34" t="s">
        <v>92</v>
      </c>
      <c r="E77" s="34" t="s">
        <v>205</v>
      </c>
      <c r="F77" s="34">
        <v>-1</v>
      </c>
      <c r="G77" s="34" t="s">
        <v>152</v>
      </c>
      <c r="H77" s="13" t="s">
        <v>117</v>
      </c>
      <c r="I77" s="35"/>
      <c r="J77" s="35">
        <v>11</v>
      </c>
      <c r="K77" s="13" t="s">
        <v>113</v>
      </c>
    </row>
    <row r="78" spans="1:11" s="16" customFormat="1">
      <c r="A78" s="14" t="str">
        <f t="shared" ref="A78:A83" si="8">INDEX($A$5:$A$65,MATCH(H78,$H$5:$H$65,0))</f>
        <v>ENTER</v>
      </c>
      <c r="B78" s="34">
        <f t="shared" si="7"/>
        <v>69</v>
      </c>
      <c r="C78" s="34" t="s">
        <v>100</v>
      </c>
      <c r="D78" s="34" t="s">
        <v>92</v>
      </c>
      <c r="E78" s="34" t="s">
        <v>205</v>
      </c>
      <c r="F78" s="34">
        <v>-1</v>
      </c>
      <c r="G78" s="34" t="b">
        <v>0</v>
      </c>
      <c r="H78" s="35" t="s">
        <v>93</v>
      </c>
      <c r="I78" s="35"/>
      <c r="J78" s="35">
        <v>12</v>
      </c>
      <c r="K78" s="35" t="str">
        <f t="shared" ref="K78:K83" si="9">INDEX($K$5:$K$65,MATCH(H78,$H$5:$H$65,0))</f>
        <v>key</v>
      </c>
    </row>
    <row r="79" spans="1:11" s="16" customFormat="1">
      <c r="A79" s="14" t="str">
        <f t="shared" si="8"/>
        <v>w</v>
      </c>
      <c r="B79" s="34">
        <f t="shared" si="7"/>
        <v>119</v>
      </c>
      <c r="C79" s="34" t="s">
        <v>100</v>
      </c>
      <c r="D79" s="34" t="s">
        <v>92</v>
      </c>
      <c r="E79" s="34" t="s">
        <v>205</v>
      </c>
      <c r="F79" s="34">
        <v>-1</v>
      </c>
      <c r="G79" s="34" t="s">
        <v>152</v>
      </c>
      <c r="H79" s="35" t="s">
        <v>18</v>
      </c>
      <c r="I79" s="35"/>
      <c r="J79" s="35">
        <v>13</v>
      </c>
      <c r="K79" s="35" t="str">
        <f t="shared" si="9"/>
        <v>s[w]ap</v>
      </c>
    </row>
    <row r="80" spans="1:11" s="16" customFormat="1">
      <c r="A80" s="14" t="str">
        <f t="shared" si="8"/>
        <v>n</v>
      </c>
      <c r="B80" s="34">
        <f t="shared" si="7"/>
        <v>110</v>
      </c>
      <c r="C80" s="34" t="s">
        <v>100</v>
      </c>
      <c r="D80" s="34" t="s">
        <v>92</v>
      </c>
      <c r="E80" s="34" t="s">
        <v>205</v>
      </c>
      <c r="F80" s="34">
        <v>-1</v>
      </c>
      <c r="G80" s="34" t="s">
        <v>152</v>
      </c>
      <c r="H80" s="35" t="s">
        <v>74</v>
      </c>
      <c r="I80" s="35"/>
      <c r="J80" s="35">
        <v>14</v>
      </c>
      <c r="K80" s="35" t="str">
        <f t="shared" si="9"/>
        <v>CHS [n]egative</v>
      </c>
    </row>
    <row r="81" spans="1:11" s="16" customFormat="1">
      <c r="A81" s="14" t="str">
        <f t="shared" si="8"/>
        <v>e</v>
      </c>
      <c r="B81" s="34">
        <f t="shared" si="7"/>
        <v>101</v>
      </c>
      <c r="C81" s="34" t="s">
        <v>100</v>
      </c>
      <c r="D81" s="34" t="s">
        <v>92</v>
      </c>
      <c r="E81" s="34" t="s">
        <v>205</v>
      </c>
      <c r="F81" s="34">
        <v>-1</v>
      </c>
      <c r="G81" s="34" t="s">
        <v>152</v>
      </c>
      <c r="H81" s="35" t="s">
        <v>95</v>
      </c>
      <c r="I81" s="35"/>
      <c r="J81" s="35">
        <v>15</v>
      </c>
      <c r="K81" s="35" t="str">
        <f t="shared" si="9"/>
        <v>[e]xponent</v>
      </c>
    </row>
    <row r="82" spans="1:11" s="16" customFormat="1">
      <c r="A82" s="14" t="str">
        <f t="shared" si="8"/>
        <v>a</v>
      </c>
      <c r="B82" s="12">
        <f t="shared" si="7"/>
        <v>97</v>
      </c>
      <c r="C82" s="12" t="s">
        <v>5</v>
      </c>
      <c r="D82" s="12" t="s">
        <v>46</v>
      </c>
      <c r="E82" s="12" t="s">
        <v>205</v>
      </c>
      <c r="F82" s="12">
        <v>-1</v>
      </c>
      <c r="G82" s="12" t="s">
        <v>152</v>
      </c>
      <c r="H82" s="13" t="s">
        <v>11</v>
      </c>
      <c r="I82" s="13"/>
      <c r="J82" s="13">
        <v>-1</v>
      </c>
      <c r="K82" s="13" t="str">
        <f t="shared" si="9"/>
        <v>[a]ccumulate</v>
      </c>
    </row>
    <row r="83" spans="1:11" s="16" customFormat="1">
      <c r="A83" s="14" t="str">
        <f t="shared" si="8"/>
        <v>x</v>
      </c>
      <c r="B83" s="34">
        <f t="shared" si="7"/>
        <v>120</v>
      </c>
      <c r="C83" s="34" t="s">
        <v>100</v>
      </c>
      <c r="D83" s="34" t="s">
        <v>46</v>
      </c>
      <c r="E83" s="34" t="s">
        <v>205</v>
      </c>
      <c r="F83" s="34">
        <v>-1</v>
      </c>
      <c r="G83" s="34" t="b">
        <v>0</v>
      </c>
      <c r="H83" s="35" t="s">
        <v>19</v>
      </c>
      <c r="I83" s="35"/>
      <c r="J83" s="35">
        <v>17</v>
      </c>
      <c r="K83" s="35" t="str">
        <f t="shared" si="9"/>
        <v>[x]eq</v>
      </c>
    </row>
    <row r="84" spans="1:11" s="16" customFormat="1">
      <c r="A84" s="14" t="str">
        <f t="shared" ref="A84:A85" si="10">INDEX($A$5:$A$65,MATCH(H84,$H$5:$H$65,0))</f>
        <v>'</v>
      </c>
      <c r="B84" s="7">
        <f t="shared" si="7"/>
        <v>39</v>
      </c>
      <c r="C84" s="7" t="s">
        <v>5</v>
      </c>
      <c r="D84" s="34" t="s">
        <v>46</v>
      </c>
      <c r="E84" s="34" t="s">
        <v>205</v>
      </c>
      <c r="F84" s="7">
        <v>-1</v>
      </c>
      <c r="G84" s="7" t="b">
        <v>0</v>
      </c>
      <c r="H84" s="8" t="s">
        <v>147</v>
      </c>
      <c r="I84" s="8" t="s">
        <v>112</v>
      </c>
      <c r="J84" s="8">
        <v>17</v>
      </c>
      <c r="K84" s="8" t="s">
        <v>148</v>
      </c>
    </row>
    <row r="85" spans="1:11" s="16" customFormat="1">
      <c r="A85" s="14" t="str">
        <f t="shared" si="10"/>
        <v>G</v>
      </c>
      <c r="B85" s="7">
        <f t="shared" si="7"/>
        <v>71</v>
      </c>
      <c r="C85" s="7" t="s">
        <v>5</v>
      </c>
      <c r="D85" s="34" t="s">
        <v>46</v>
      </c>
      <c r="E85" s="34" t="s">
        <v>205</v>
      </c>
      <c r="F85" s="7">
        <v>-1</v>
      </c>
      <c r="G85" s="7" t="b">
        <v>0</v>
      </c>
      <c r="H85" s="8" t="s">
        <v>149</v>
      </c>
      <c r="I85" s="8" t="s">
        <v>113</v>
      </c>
      <c r="J85" s="8">
        <v>17</v>
      </c>
      <c r="K85" s="8" t="s">
        <v>150</v>
      </c>
    </row>
    <row r="86" spans="1:11" s="16" customFormat="1">
      <c r="A86" s="11" t="s">
        <v>106</v>
      </c>
      <c r="B86" s="12">
        <f t="shared" si="7"/>
        <v>77</v>
      </c>
      <c r="C86" s="12" t="s">
        <v>100</v>
      </c>
      <c r="D86" s="12" t="s">
        <v>46</v>
      </c>
      <c r="E86" s="12" t="s">
        <v>207</v>
      </c>
      <c r="F86" s="12">
        <v>-1</v>
      </c>
      <c r="G86" s="12" t="b">
        <v>0</v>
      </c>
      <c r="H86" s="33" t="s">
        <v>121</v>
      </c>
      <c r="I86" s="33"/>
      <c r="J86" s="13">
        <v>-1</v>
      </c>
      <c r="K86" s="13" t="s">
        <v>186</v>
      </c>
    </row>
    <row r="87" spans="1:11" s="16" customFormat="1">
      <c r="A87" s="14" t="s">
        <v>40</v>
      </c>
      <c r="B87" s="12">
        <v>115</v>
      </c>
      <c r="C87" s="12" t="s">
        <v>5</v>
      </c>
      <c r="D87" s="12" t="s">
        <v>46</v>
      </c>
      <c r="E87" s="12" t="s">
        <v>205</v>
      </c>
      <c r="F87" s="12">
        <v>-1</v>
      </c>
      <c r="G87" s="12" t="s">
        <v>152</v>
      </c>
      <c r="H87" s="13" t="s">
        <v>16</v>
      </c>
      <c r="I87" s="13"/>
      <c r="J87" s="13">
        <v>-1</v>
      </c>
      <c r="K87" s="13" t="s">
        <v>27</v>
      </c>
    </row>
    <row r="88" spans="1:11" s="16" customFormat="1">
      <c r="A88" s="14" t="s">
        <v>35</v>
      </c>
      <c r="B88" s="12">
        <v>99</v>
      </c>
      <c r="C88" s="12" t="s">
        <v>5</v>
      </c>
      <c r="D88" s="12" t="s">
        <v>46</v>
      </c>
      <c r="E88" s="12" t="s">
        <v>205</v>
      </c>
      <c r="F88" s="12">
        <v>-1</v>
      </c>
      <c r="G88" s="12" t="s">
        <v>152</v>
      </c>
      <c r="H88" s="13" t="s">
        <v>12</v>
      </c>
      <c r="I88" s="13"/>
      <c r="J88" s="13">
        <v>-1</v>
      </c>
      <c r="K88" s="13" t="s">
        <v>23</v>
      </c>
    </row>
    <row r="89" spans="1:11" s="16" customFormat="1">
      <c r="A89" s="14" t="s">
        <v>41</v>
      </c>
      <c r="B89" s="12">
        <v>116</v>
      </c>
      <c r="C89" s="12" t="s">
        <v>5</v>
      </c>
      <c r="D89" s="12" t="s">
        <v>46</v>
      </c>
      <c r="E89" s="12" t="s">
        <v>205</v>
      </c>
      <c r="F89" s="12">
        <v>-1</v>
      </c>
      <c r="G89" s="12" t="s">
        <v>152</v>
      </c>
      <c r="H89" s="13" t="s">
        <v>17</v>
      </c>
      <c r="I89" s="13"/>
      <c r="J89" s="13">
        <v>-1</v>
      </c>
      <c r="K89" s="13" t="s">
        <v>28</v>
      </c>
    </row>
    <row r="90" spans="1:11" s="16" customFormat="1">
      <c r="A90" s="14" t="s">
        <v>104</v>
      </c>
      <c r="B90" s="12">
        <v>86</v>
      </c>
      <c r="C90" s="12" t="s">
        <v>5</v>
      </c>
      <c r="D90" s="12" t="s">
        <v>46</v>
      </c>
      <c r="E90" s="12" t="s">
        <v>205</v>
      </c>
      <c r="F90" s="12">
        <v>-1</v>
      </c>
      <c r="G90" s="12" t="s">
        <v>152</v>
      </c>
      <c r="H90" s="13" t="s">
        <v>6</v>
      </c>
      <c r="I90" s="13"/>
      <c r="J90" s="13">
        <v>-1</v>
      </c>
      <c r="K90" s="13" t="s">
        <v>29</v>
      </c>
    </row>
    <row r="91" spans="1:11" s="16" customFormat="1">
      <c r="A91" s="10"/>
      <c r="B91" s="10"/>
      <c r="C91" s="10"/>
      <c r="D91" s="10"/>
      <c r="E91" s="10"/>
      <c r="F91" s="10"/>
      <c r="G91" s="10"/>
    </row>
    <row r="92" spans="1:11" s="16" customFormat="1">
      <c r="A92" s="10"/>
      <c r="B92" s="10"/>
      <c r="C92" s="10"/>
      <c r="D92" s="10"/>
      <c r="E92" s="10"/>
      <c r="F92" s="10"/>
      <c r="G92" s="10"/>
    </row>
    <row r="93" spans="1:11" s="16" customFormat="1">
      <c r="A93" s="10"/>
      <c r="B93" s="10"/>
      <c r="C93" s="10"/>
      <c r="D93" s="10"/>
      <c r="E93" s="10"/>
      <c r="F93" s="10"/>
      <c r="G93" s="10"/>
    </row>
    <row r="94" spans="1:11" s="16" customFormat="1">
      <c r="A94" s="10"/>
      <c r="B94" s="10"/>
      <c r="C94" s="10"/>
      <c r="D94" s="10"/>
      <c r="E94" s="10"/>
      <c r="F94" s="10"/>
      <c r="G94" s="10"/>
    </row>
    <row r="95" spans="1:11" s="16" customFormat="1">
      <c r="A95" s="10"/>
      <c r="B95" s="10"/>
      <c r="C95" s="10"/>
      <c r="D95" s="10"/>
      <c r="E95" s="10"/>
      <c r="F95" s="10"/>
      <c r="G95" s="10"/>
    </row>
    <row r="96" spans="1:11" s="16" customFormat="1">
      <c r="A96" s="10"/>
      <c r="B96" s="10"/>
      <c r="C96" s="10"/>
      <c r="D96" s="10"/>
      <c r="E96" s="10"/>
      <c r="F96" s="10"/>
      <c r="G96" s="10"/>
    </row>
    <row r="97" spans="1:7" s="16" customFormat="1">
      <c r="A97" s="10"/>
      <c r="B97" s="10"/>
      <c r="C97" s="10"/>
      <c r="D97" s="10"/>
      <c r="E97" s="10"/>
      <c r="F97" s="10"/>
      <c r="G97" s="10"/>
    </row>
    <row r="98" spans="1:7" s="16" customFormat="1">
      <c r="A98" s="10"/>
      <c r="B98" s="10"/>
      <c r="C98" s="10"/>
      <c r="D98" s="10"/>
      <c r="E98" s="10"/>
      <c r="F98" s="10"/>
      <c r="G98" s="10"/>
    </row>
    <row r="99" spans="1:7" s="16" customFormat="1">
      <c r="A99" s="10"/>
      <c r="B99" s="10"/>
      <c r="C99" s="10"/>
      <c r="D99" s="10"/>
      <c r="E99" s="10"/>
      <c r="F99" s="10"/>
      <c r="G99" s="10"/>
    </row>
    <row r="100" spans="1:7" s="16" customFormat="1">
      <c r="A100" s="10"/>
      <c r="B100" s="10"/>
      <c r="C100" s="10"/>
      <c r="D100" s="10"/>
      <c r="E100" s="10"/>
      <c r="F100" s="10"/>
      <c r="G100" s="10"/>
    </row>
    <row r="101" spans="1:7" s="16" customFormat="1">
      <c r="A101" s="10"/>
      <c r="B101" s="10"/>
      <c r="C101" s="10"/>
      <c r="D101" s="10"/>
      <c r="E101" s="10"/>
      <c r="F101" s="10"/>
      <c r="G101" s="10"/>
    </row>
    <row r="102" spans="1:7" s="16" customFormat="1">
      <c r="A102" s="10"/>
      <c r="B102" s="10"/>
      <c r="C102" s="10"/>
      <c r="D102" s="10"/>
      <c r="E102" s="10"/>
      <c r="F102" s="10"/>
      <c r="G102" s="10"/>
    </row>
    <row r="103" spans="1:7" s="16" customFormat="1">
      <c r="A103" s="10"/>
      <c r="B103" s="10"/>
      <c r="C103" s="10"/>
      <c r="D103" s="10"/>
      <c r="E103" s="10"/>
      <c r="F103" s="10"/>
      <c r="G103" s="10"/>
    </row>
    <row r="104" spans="1:7" s="16" customFormat="1">
      <c r="A104" s="10"/>
      <c r="B104" s="10"/>
      <c r="C104" s="10"/>
      <c r="D104" s="10"/>
      <c r="E104" s="10"/>
      <c r="F104" s="10"/>
      <c r="G104" s="10"/>
    </row>
    <row r="105" spans="1:7" s="16" customFormat="1">
      <c r="A105" s="10"/>
      <c r="B105" s="10"/>
      <c r="C105" s="10"/>
      <c r="D105" s="10"/>
      <c r="E105" s="10"/>
      <c r="F105" s="10"/>
      <c r="G105" s="10"/>
    </row>
    <row r="106" spans="1:7" s="16" customFormat="1">
      <c r="A106" s="10"/>
      <c r="B106" s="10"/>
      <c r="C106" s="10"/>
      <c r="D106" s="10"/>
      <c r="E106" s="10"/>
      <c r="F106" s="10"/>
      <c r="G106" s="10"/>
    </row>
    <row r="107" spans="1:7" s="16" customFormat="1">
      <c r="A107" s="10"/>
      <c r="B107" s="10"/>
      <c r="C107" s="10"/>
      <c r="D107" s="10"/>
      <c r="E107" s="10"/>
      <c r="F107" s="10"/>
      <c r="G107" s="10"/>
    </row>
    <row r="108" spans="1:7" s="16" customFormat="1">
      <c r="A108" s="10"/>
      <c r="B108" s="10"/>
      <c r="C108" s="10"/>
      <c r="D108" s="10"/>
      <c r="E108" s="10"/>
      <c r="F108" s="10"/>
      <c r="G108" s="10"/>
    </row>
    <row r="109" spans="1:7" s="16" customFormat="1">
      <c r="A109" s="10"/>
      <c r="B109" s="10"/>
      <c r="C109" s="10"/>
      <c r="D109" s="10"/>
      <c r="E109" s="10"/>
      <c r="F109" s="10"/>
      <c r="G109" s="10"/>
    </row>
    <row r="110" spans="1:7" s="16" customFormat="1">
      <c r="A110" s="10"/>
      <c r="B110" s="10"/>
      <c r="C110" s="10"/>
      <c r="D110" s="10"/>
      <c r="E110" s="10"/>
      <c r="F110" s="10"/>
      <c r="G110" s="10"/>
    </row>
    <row r="111" spans="1:7" s="16" customFormat="1">
      <c r="A111" s="10"/>
      <c r="B111" s="10"/>
      <c r="C111" s="10"/>
      <c r="D111" s="10"/>
      <c r="E111" s="10"/>
      <c r="F111" s="10"/>
      <c r="G111" s="10"/>
    </row>
    <row r="112" spans="1:7" s="16" customFormat="1">
      <c r="A112" s="10"/>
      <c r="B112" s="10"/>
      <c r="C112" s="10"/>
      <c r="D112" s="10"/>
      <c r="E112" s="10"/>
      <c r="F112" s="10"/>
      <c r="G112" s="10"/>
    </row>
    <row r="113" spans="1:7" s="16" customFormat="1">
      <c r="A113" s="10"/>
      <c r="B113" s="10"/>
      <c r="C113" s="10"/>
      <c r="D113" s="10"/>
      <c r="E113" s="10"/>
      <c r="F113" s="10"/>
      <c r="G113" s="10"/>
    </row>
    <row r="114" spans="1:7" s="16" customFormat="1">
      <c r="A114" s="10"/>
      <c r="B114" s="10"/>
      <c r="C114" s="10"/>
      <c r="D114" s="10"/>
      <c r="E114" s="10"/>
      <c r="F114" s="10"/>
      <c r="G114" s="10"/>
    </row>
    <row r="115" spans="1:7" s="16" customFormat="1">
      <c r="A115" s="10"/>
      <c r="B115" s="10"/>
      <c r="C115" s="10"/>
      <c r="D115" s="10"/>
      <c r="E115" s="10"/>
      <c r="F115" s="10"/>
      <c r="G115" s="10"/>
    </row>
    <row r="116" spans="1:7" s="16" customFormat="1">
      <c r="A116" s="10"/>
      <c r="B116" s="10"/>
      <c r="C116" s="10"/>
      <c r="D116" s="10"/>
      <c r="E116" s="10"/>
      <c r="F116" s="10"/>
      <c r="G116" s="10"/>
    </row>
    <row r="117" spans="1:7" s="16" customFormat="1">
      <c r="A117" s="10"/>
      <c r="B117" s="10"/>
      <c r="C117" s="10"/>
      <c r="D117" s="10"/>
      <c r="E117" s="10"/>
      <c r="F117" s="10"/>
      <c r="G117" s="10"/>
    </row>
    <row r="118" spans="1:7" s="16" customFormat="1">
      <c r="A118" s="10"/>
      <c r="B118" s="10"/>
      <c r="C118" s="10"/>
      <c r="D118" s="10"/>
      <c r="E118" s="10"/>
      <c r="F118" s="10"/>
      <c r="G118" s="10"/>
    </row>
    <row r="119" spans="1:7" s="16" customFormat="1">
      <c r="A119" s="10"/>
      <c r="B119" s="10"/>
      <c r="C119" s="10"/>
      <c r="D119" s="10"/>
      <c r="E119" s="10"/>
      <c r="F119" s="10"/>
      <c r="G119" s="10"/>
    </row>
    <row r="120" spans="1:7" s="16" customFormat="1">
      <c r="A120" s="10"/>
      <c r="B120" s="10"/>
      <c r="C120" s="10"/>
      <c r="D120" s="10"/>
      <c r="E120" s="10"/>
      <c r="F120" s="10"/>
      <c r="G120" s="10"/>
    </row>
    <row r="121" spans="1:7" s="16" customFormat="1">
      <c r="A121" s="10"/>
      <c r="B121" s="10"/>
      <c r="C121" s="10"/>
      <c r="D121" s="10"/>
      <c r="E121" s="10"/>
      <c r="F121" s="10"/>
      <c r="G121" s="10"/>
    </row>
  </sheetData>
  <autoFilter ref="B4:N30" xr:uid="{9A19FE35-A90B-3343-BA83-F7F50B48781F}"/>
  <sortState xmlns:xlrd2="http://schemas.microsoft.com/office/spreadsheetml/2017/richdata2" ref="A5:N40">
    <sortCondition ref="M5:M40"/>
    <sortCondition ref="L5:L40"/>
  </sortState>
  <phoneticPr fontId="5" type="noConversion"/>
  <conditionalFormatting sqref="C1:C1048576">
    <cfRule type="containsText" dxfId="0" priority="4" operator="containsText" text="!">
      <formula>NOT(ISERROR(SEARCH("!",C1)))</formula>
    </cfRule>
  </conditionalFormatting>
  <hyperlinks>
    <hyperlink ref="D1" r:id="rId1" xr:uid="{132F4920-1B75-1845-8F5C-F64DE0D37601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41"/>
  <sheetViews>
    <sheetView topLeftCell="K1" zoomScale="118" workbookViewId="0">
      <selection activeCell="L5" sqref="L5:L90"/>
    </sheetView>
  </sheetViews>
  <sheetFormatPr baseColWidth="10" defaultColWidth="10.83203125" defaultRowHeight="16"/>
  <cols>
    <col min="1" max="1" width="4.1640625" bestFit="1" customWidth="1"/>
    <col min="2" max="2" width="9.33203125" bestFit="1" customWidth="1"/>
    <col min="3" max="3" width="20.6640625" style="5" customWidth="1"/>
    <col min="4" max="4" width="52" customWidth="1"/>
    <col min="5" max="6" width="13.83203125" customWidth="1"/>
    <col min="7" max="7" width="12.83203125" customWidth="1"/>
    <col min="8" max="8" width="20.83203125" bestFit="1" customWidth="1"/>
    <col min="9" max="9" width="6.33203125" customWidth="1"/>
    <col min="10" max="10" width="20.83203125" customWidth="1"/>
    <col min="11" max="11" width="23.33203125" bestFit="1" customWidth="1"/>
    <col min="12" max="12" width="196.1640625" style="1" bestFit="1" customWidth="1"/>
    <col min="13" max="13" width="10.83203125" customWidth="1"/>
    <col min="14" max="19" width="3.1640625" customWidth="1"/>
  </cols>
  <sheetData>
    <row r="1" spans="1:12">
      <c r="L1" s="4" t="s">
        <v>193</v>
      </c>
    </row>
    <row r="2" spans="1:12">
      <c r="L2" s="3" t="str">
        <f>SUBSTITUTE(SUBSTITUTE(SUBSTITUTE(SUBSTITUTE(SUBSTITUTE(SUBSTITUTE($L$1,"61",A2),"CM_NORMAL",E2),"ITM_DRG",H2),"nn = comm",K2),"exitIfNim",B2),"allowCondition",D2)</f>
        <v>if(shortCutCommand(w, event_keyval, , , , 9999, XX, KK, , ITM_AAA,  ))        {return true;} else        //</v>
      </c>
    </row>
    <row r="3" spans="1:12">
      <c r="L3" s="2"/>
    </row>
    <row r="4" spans="1:12">
      <c r="C4" s="5">
        <v>60</v>
      </c>
      <c r="L4" s="2"/>
    </row>
    <row r="5" spans="1:12">
      <c r="A5" s="6" t="str">
        <f>REPT(" ",Sheet2!$B$3-LEN(Sheet2!B5))&amp;Sheet2!B5</f>
        <v xml:space="preserve">   97</v>
      </c>
      <c r="B5" s="6" t="str">
        <f>REPT(" ",Sheet2!$C$3-LEN(Sheet2!C5))&amp;Sheet2!C5</f>
        <v xml:space="preserve"> ExitIfNim</v>
      </c>
      <c r="C5" s="5" t="str">
        <f>IF(Sheet2!D5="Std","FALSE",
IF(Sheet2!D5="Both","shortcutProfile == USER_C47 || shortcutProfile == USER_R47",
"shortcutProfile == USER_"&amp;Sheet2!D5))</f>
        <v>shortcutProfile == USER_C47</v>
      </c>
      <c r="D5" s="6" t="str">
        <f t="shared" ref="D5" si="0">REPT( " ",$C$4-LEN(C5) ) &amp;C5</f>
        <v xml:space="preserve">                                 shortcutProfile == USER_C47</v>
      </c>
      <c r="E5" s="6" t="str">
        <f>REPT(" ",Sheet2!$E$3-LEN(Sheet2!E5))&amp;Sheet2!E5</f>
        <v xml:space="preserve">                  0b01101</v>
      </c>
      <c r="F5" s="6" t="str">
        <f>REPT(" ",Sheet2!$F$3-LEN(Sheet2!F5))&amp;Sheet2!F5</f>
        <v xml:space="preserve">        -1</v>
      </c>
      <c r="G5" s="6" t="str">
        <f>REPT(" ",Sheet2!$G$3-LEN(Sheet2!G5))&amp;Sheet2!G5</f>
        <v xml:space="preserve">         tam.mode</v>
      </c>
      <c r="H5" s="6" t="str">
        <f>REPT(" ",Sheet2!$H$3-LEN(Sheet2!H5))&amp;Sheet2!H5</f>
        <v xml:space="preserve">       ITM_SIGMAPLUS</v>
      </c>
      <c r="I5" s="6" t="str">
        <f>REPT(" ",Sheet2!$I$3-LEN(Sheet2!I5))&amp;""""&amp;Sheet2!I5&amp;""""</f>
        <v xml:space="preserve">   ""</v>
      </c>
      <c r="J5" s="6" t="str">
        <f>REPT(" ",Sheet2!$J$3-LEN(TEXT(Sheet2!J5,"00")))&amp;""""&amp;TEXT(Sheet2!J5,"00")&amp;""""</f>
        <v xml:space="preserve">  "00"</v>
      </c>
      <c r="K5" s="6" t="str">
        <f>REPT(" ",Sheet2!$K$3-LEN(Sheet2!K5))&amp;Sheet2!K5</f>
        <v xml:space="preserve">                  [a]ccumulate</v>
      </c>
      <c r="L5" s="3" t="str">
        <f>IF(Sheet2!B5="","",SUBSTITUTE(SUBSTITUTE(SUBSTITUTE(SUBSTITUTE(SUBSTITUTE(SUBSTITUTE(SUBSTITUTE(SUBSTITUTE(SUBSTITUTE(SUBSTITUTE($L$1,"61",A5),"CM_NORMAL",E5),"ITM_DRG",H5),"nn = comm",K5),"exitIfNim",B5),"allowCondition",D5),"KK",J5),"9999",G5),"ITM_AAA",F5),"XX",I5))</f>
        <v>if(shortCutCommand(w, event_keyval,    97,                                  shortcutProfile == USER_C47,  ExitIfNim,          tam.mode,    "",   "00",                   0b01101,         -1,        ITM_SIGMAPLUS ))        {return true;} else        //                  [a]ccumulate</v>
      </c>
    </row>
    <row r="6" spans="1:12">
      <c r="A6" s="6" t="str">
        <f>REPT(" ",Sheet2!$B$3-LEN(Sheet2!B6))&amp;Sheet2!B6</f>
        <v xml:space="preserve">  118</v>
      </c>
      <c r="B6" s="6" t="str">
        <f>REPT(" ",Sheet2!$C$3-LEN(Sheet2!C6))&amp;Sheet2!C6</f>
        <v xml:space="preserve"> ExitIfNim</v>
      </c>
      <c r="C6" s="5" t="str">
        <f>IF(Sheet2!D6="Std","FALSE",
IF(Sheet2!D6="Both","shortcutProfile == USER_C47 || shortcutProfile == USER_R47",
"shortcutProfile == USER_"&amp;Sheet2!D6))</f>
        <v>shortcutProfile == USER_C47</v>
      </c>
      <c r="D6" s="6" t="str">
        <f t="shared" ref="D6:D69" si="1">REPT( " ",$C$4-LEN(C6) ) &amp;C6</f>
        <v xml:space="preserve">                                 shortcutProfile == USER_C47</v>
      </c>
      <c r="E6" s="6" t="str">
        <f>REPT(" ",Sheet2!$E$3-LEN(Sheet2!E6))&amp;Sheet2!E6</f>
        <v xml:space="preserve">                  0b01101</v>
      </c>
      <c r="F6" s="6" t="str">
        <f>REPT(" ",Sheet2!$F$3-LEN(Sheet2!F6))&amp;Sheet2!F6</f>
        <v xml:space="preserve">        -1</v>
      </c>
      <c r="G6" s="6" t="str">
        <f>REPT(" ",Sheet2!$G$3-LEN(Sheet2!G6))&amp;Sheet2!G6</f>
        <v xml:space="preserve">         tam.mode</v>
      </c>
      <c r="H6" s="6" t="str">
        <f>REPT(" ",Sheet2!$H$3-LEN(Sheet2!H6))&amp;Sheet2!H6</f>
        <v xml:space="preserve">            ITM_1ONX</v>
      </c>
      <c r="I6" s="6" t="str">
        <f>REPT(" ",Sheet2!$I$3-LEN(Sheet2!I6))&amp;""""&amp;Sheet2!I6&amp;""""</f>
        <v xml:space="preserve">   ""</v>
      </c>
      <c r="J6" s="6" t="str">
        <f>REPT(" ",Sheet2!$J$3-LEN(TEXT(Sheet2!J6,"00")))&amp;""""&amp;TEXT(Sheet2!J6,"00")&amp;""""</f>
        <v xml:space="preserve">  "01"</v>
      </c>
      <c r="K6" s="6" t="str">
        <f>REPT(" ",Sheet2!$K$3-LEN(Sheet2!K6))&amp;Sheet2!K6</f>
        <v xml:space="preserve">                     in[v]erse</v>
      </c>
      <c r="L6" s="3" t="str">
        <f>IF(Sheet2!B6="","",SUBSTITUTE(SUBSTITUTE(SUBSTITUTE(SUBSTITUTE(SUBSTITUTE(SUBSTITUTE(SUBSTITUTE(SUBSTITUTE(SUBSTITUTE(SUBSTITUTE($L$1,"61",A6),"CM_NORMAL",E6),"ITM_DRG",H6),"nn = comm",K6),"exitIfNim",B6),"allowCondition",D6),"KK",J6),"9999",G6),"ITM_AAA",F6),"XX",I6))</f>
        <v>if(shortCutCommand(w, event_keyval,   118,                                  shortcutProfile == USER_C47,  ExitIfNim,          tam.mode,    "",   "01",                   0b01101,         -1,             ITM_1ONX ))        {return true;} else        //                     in[v]erse</v>
      </c>
    </row>
    <row r="7" spans="1:12">
      <c r="A7" s="6" t="str">
        <f>REPT(" ",Sheet2!$B$3-LEN(Sheet2!B7))&amp;Sheet2!B7</f>
        <v xml:space="preserve">  113</v>
      </c>
      <c r="B7" s="6" t="str">
        <f>REPT(" ",Sheet2!$C$3-LEN(Sheet2!C7))&amp;Sheet2!C7</f>
        <v xml:space="preserve"> ExitIfNim</v>
      </c>
      <c r="C7" s="5" t="str">
        <f>IF(Sheet2!D7="Std","FALSE",
IF(Sheet2!D7="Both","shortcutProfile == USER_C47 || shortcutProfile == USER_R47",
"shortcutProfile == USER_"&amp;Sheet2!D7))</f>
        <v>shortcutProfile == USER_C47</v>
      </c>
      <c r="D7" s="6" t="str">
        <f t="shared" si="1"/>
        <v xml:space="preserve">                                 shortcutProfile == USER_C47</v>
      </c>
      <c r="E7" s="6" t="str">
        <f>REPT(" ",Sheet2!$E$3-LEN(Sheet2!E7))&amp;Sheet2!E7</f>
        <v xml:space="preserve">                  0b01101</v>
      </c>
      <c r="F7" s="6" t="str">
        <f>REPT(" ",Sheet2!$F$3-LEN(Sheet2!F7))&amp;Sheet2!F7</f>
        <v xml:space="preserve">        -1</v>
      </c>
      <c r="G7" s="6" t="str">
        <f>REPT(" ",Sheet2!$G$3-LEN(Sheet2!G7))&amp;Sheet2!G7</f>
        <v xml:space="preserve">         tam.mode</v>
      </c>
      <c r="H7" s="6" t="str">
        <f>REPT(" ",Sheet2!$H$3-LEN(Sheet2!H7))&amp;Sheet2!H7</f>
        <v xml:space="preserve">     ITM_SQUAREROOTX</v>
      </c>
      <c r="I7" s="6" t="str">
        <f>REPT(" ",Sheet2!$I$3-LEN(Sheet2!I7))&amp;""""&amp;Sheet2!I7&amp;""""</f>
        <v xml:space="preserve">   ""</v>
      </c>
      <c r="J7" s="6" t="str">
        <f>REPT(" ",Sheet2!$J$3-LEN(TEXT(Sheet2!J7,"00")))&amp;""""&amp;TEXT(Sheet2!J7,"00")&amp;""""</f>
        <v xml:space="preserve">  "02"</v>
      </c>
      <c r="K7" s="6" t="str">
        <f>REPT(" ",Sheet2!$K$3-LEN(Sheet2!K7))&amp;Sheet2!K7</f>
        <v xml:space="preserve">                        s[q]rt</v>
      </c>
      <c r="L7" s="3" t="str">
        <f>IF(Sheet2!B7="","",SUBSTITUTE(SUBSTITUTE(SUBSTITUTE(SUBSTITUTE(SUBSTITUTE(SUBSTITUTE(SUBSTITUTE(SUBSTITUTE(SUBSTITUTE(SUBSTITUTE($L$1,"61",A7),"CM_NORMAL",E7),"ITM_DRG",H7),"nn = comm",K7),"exitIfNim",B7),"allowCondition",D7),"KK",J7),"9999",G7),"ITM_AAA",F7),"XX",I7))</f>
        <v>if(shortCutCommand(w, event_keyval,   113,                                  shortcutProfile == USER_C47,  ExitIfNim,          tam.mode,    "",   "02",                   0b01101,         -1,      ITM_SQUAREROOTX ))        {return true;} else        //                        s[q]rt</v>
      </c>
    </row>
    <row r="8" spans="1:12">
      <c r="A8" s="6" t="str">
        <f>REPT(" ",Sheet2!$B$3-LEN(Sheet2!B8))&amp;Sheet2!B8</f>
        <v xml:space="preserve">  111</v>
      </c>
      <c r="B8" s="6" t="str">
        <f>REPT(" ",Sheet2!$C$3-LEN(Sheet2!C8))&amp;Sheet2!C8</f>
        <v xml:space="preserve"> ExitIfNim</v>
      </c>
      <c r="C8" s="5" t="str">
        <f>IF(Sheet2!D8="Std","FALSE",
IF(Sheet2!D8="Both","shortcutProfile == USER_C47 || shortcutProfile == USER_R47",
"shortcutProfile == USER_"&amp;Sheet2!D8))</f>
        <v>shortcutProfile == USER_C47</v>
      </c>
      <c r="D8" s="6" t="str">
        <f t="shared" si="1"/>
        <v xml:space="preserve">                                 shortcutProfile == USER_C47</v>
      </c>
      <c r="E8" s="6" t="str">
        <f>REPT(" ",Sheet2!$E$3-LEN(Sheet2!E8))&amp;Sheet2!E8</f>
        <v xml:space="preserve">                  0b01101</v>
      </c>
      <c r="F8" s="6" t="str">
        <f>REPT(" ",Sheet2!$F$3-LEN(Sheet2!F8))&amp;Sheet2!F8</f>
        <v xml:space="preserve">        -1</v>
      </c>
      <c r="G8" s="6" t="str">
        <f>REPT(" ",Sheet2!$G$3-LEN(Sheet2!G8))&amp;Sheet2!G8</f>
        <v xml:space="preserve">         tam.mode</v>
      </c>
      <c r="H8" s="6" t="str">
        <f>REPT(" ",Sheet2!$H$3-LEN(Sheet2!H8))&amp;Sheet2!H8</f>
        <v xml:space="preserve">           ITM_LOG10</v>
      </c>
      <c r="I8" s="6" t="str">
        <f>REPT(" ",Sheet2!$I$3-LEN(Sheet2!I8))&amp;""""&amp;Sheet2!I8&amp;""""</f>
        <v xml:space="preserve">   ""</v>
      </c>
      <c r="J8" s="6" t="str">
        <f>REPT(" ",Sheet2!$J$3-LEN(TEXT(Sheet2!J8,"00")))&amp;""""&amp;TEXT(Sheet2!J8,"00")&amp;""""</f>
        <v xml:space="preserve">  "03"</v>
      </c>
      <c r="K8" s="6" t="str">
        <f>REPT(" ",Sheet2!$K$3-LEN(Sheet2!K8))&amp;Sheet2!K8</f>
        <v xml:space="preserve">                         l[o]g</v>
      </c>
      <c r="L8" s="3" t="str">
        <f>IF(Sheet2!B8="","",SUBSTITUTE(SUBSTITUTE(SUBSTITUTE(SUBSTITUTE(SUBSTITUTE(SUBSTITUTE(SUBSTITUTE(SUBSTITUTE(SUBSTITUTE(SUBSTITUTE($L$1,"61",A8),"CM_NORMAL",E8),"ITM_DRG",H8),"nn = comm",K8),"exitIfNim",B8),"allowCondition",D8),"KK",J8),"9999",G8),"ITM_AAA",F8),"XX",I8))</f>
        <v>if(shortCutCommand(w, event_keyval,   111,                                  shortcutProfile == USER_C47,  ExitIfNim,          tam.mode,    "",   "03",                   0b01101,         -1,            ITM_LOG10 ))        {return true;} else        //                         l[o]g</v>
      </c>
    </row>
    <row r="9" spans="1:12">
      <c r="A9" s="6" t="str">
        <f>REPT(" ",Sheet2!$B$3-LEN(Sheet2!B9))&amp;Sheet2!B9</f>
        <v xml:space="preserve">  108</v>
      </c>
      <c r="B9" s="6" t="str">
        <f>REPT(" ",Sheet2!$C$3-LEN(Sheet2!C9))&amp;Sheet2!C9</f>
        <v xml:space="preserve"> ExitIfNim</v>
      </c>
      <c r="C9" s="5" t="str">
        <f>IF(Sheet2!D9="Std","FALSE",
IF(Sheet2!D9="Both","shortcutProfile == USER_C47 || shortcutProfile == USER_R47",
"shortcutProfile == USER_"&amp;Sheet2!D9))</f>
        <v>shortcutProfile == USER_C47</v>
      </c>
      <c r="D9" s="6" t="str">
        <f t="shared" si="1"/>
        <v xml:space="preserve">                                 shortcutProfile == USER_C47</v>
      </c>
      <c r="E9" s="6" t="str">
        <f>REPT(" ",Sheet2!$E$3-LEN(Sheet2!E9))&amp;Sheet2!E9</f>
        <v xml:space="preserve">                  0b01101</v>
      </c>
      <c r="F9" s="6" t="str">
        <f>REPT(" ",Sheet2!$F$3-LEN(Sheet2!F9))&amp;Sheet2!F9</f>
        <v xml:space="preserve">        -1</v>
      </c>
      <c r="G9" s="6" t="str">
        <f>REPT(" ",Sheet2!$G$3-LEN(Sheet2!G9))&amp;Sheet2!G9</f>
        <v xml:space="preserve">         tam.mode</v>
      </c>
      <c r="H9" s="6" t="str">
        <f>REPT(" ",Sheet2!$H$3-LEN(Sheet2!H9))&amp;Sheet2!H9</f>
        <v xml:space="preserve">              ITM_LN</v>
      </c>
      <c r="I9" s="6" t="str">
        <f>REPT(" ",Sheet2!$I$3-LEN(Sheet2!I9))&amp;""""&amp;Sheet2!I9&amp;""""</f>
        <v xml:space="preserve">   ""</v>
      </c>
      <c r="J9" s="6" t="str">
        <f>REPT(" ",Sheet2!$J$3-LEN(TEXT(Sheet2!J9,"00")))&amp;""""&amp;TEXT(Sheet2!J9,"00")&amp;""""</f>
        <v xml:space="preserve">  "04"</v>
      </c>
      <c r="K9" s="6" t="str">
        <f>REPT(" ",Sheet2!$K$3-LEN(Sheet2!K9))&amp;Sheet2!K9</f>
        <v xml:space="preserve">                          [l]n</v>
      </c>
      <c r="L9" s="3" t="str">
        <f>IF(Sheet2!B9="","",SUBSTITUTE(SUBSTITUTE(SUBSTITUTE(SUBSTITUTE(SUBSTITUTE(SUBSTITUTE(SUBSTITUTE(SUBSTITUTE(SUBSTITUTE(SUBSTITUTE($L$1,"61",A9),"CM_NORMAL",E9),"ITM_DRG",H9),"nn = comm",K9),"exitIfNim",B9),"allowCondition",D9),"KK",J9),"9999",G9),"ITM_AAA",F9),"XX",I9))</f>
        <v>if(shortCutCommand(w, event_keyval,   108,                                  shortcutProfile == USER_C47,  ExitIfNim,          tam.mode,    "",   "04",                   0b01101,         -1,               ITM_LN ))        {return true;} else        //                          [l]n</v>
      </c>
    </row>
    <row r="10" spans="1:12">
      <c r="A10" s="6" t="str">
        <f>REPT(" ",Sheet2!$B$3-LEN(Sheet2!B10))&amp;Sheet2!B10</f>
        <v xml:space="preserve">  120</v>
      </c>
      <c r="B10" s="6" t="str">
        <f>REPT(" ",Sheet2!$C$3-LEN(Sheet2!C10))&amp;Sheet2!C10</f>
        <v>!ExitIfNim</v>
      </c>
      <c r="C10" s="5" t="str">
        <f>IF(Sheet2!D10="Std","FALSE",
IF(Sheet2!D10="Both","shortcutProfile == USER_C47 || shortcutProfile == USER_R47",
"shortcutProfile == USER_"&amp;Sheet2!D10))</f>
        <v>shortcutProfile == USER_C47</v>
      </c>
      <c r="D10" s="6" t="str">
        <f t="shared" si="1"/>
        <v xml:space="preserve">                                 shortcutProfile == USER_C47</v>
      </c>
      <c r="E10" s="6" t="str">
        <f>REPT(" ",Sheet2!$E$3-LEN(Sheet2!E10))&amp;Sheet2!E10</f>
        <v xml:space="preserve">                  0b01101</v>
      </c>
      <c r="F10" s="6" t="str">
        <f>REPT(" ",Sheet2!$F$3-LEN(Sheet2!F10))&amp;Sheet2!F10</f>
        <v xml:space="preserve">        -1</v>
      </c>
      <c r="G10" s="6" t="str">
        <f>REPT(" ",Sheet2!$G$3-LEN(Sheet2!G10))&amp;Sheet2!G10</f>
        <v xml:space="preserve">            FALSE</v>
      </c>
      <c r="H10" s="6" t="str">
        <f>REPT(" ",Sheet2!$H$3-LEN(Sheet2!H10))&amp;Sheet2!H10</f>
        <v xml:space="preserve">             ITM_XEQ</v>
      </c>
      <c r="I10" s="6" t="str">
        <f>REPT(" ",Sheet2!$I$3-LEN(Sheet2!I10))&amp;""""&amp;Sheet2!I10&amp;""""</f>
        <v xml:space="preserve">   ""</v>
      </c>
      <c r="J10" s="6" t="str">
        <f>REPT(" ",Sheet2!$J$3-LEN(TEXT(Sheet2!J10,"00")))&amp;""""&amp;TEXT(Sheet2!J10,"00")&amp;""""</f>
        <v xml:space="preserve">  "05"</v>
      </c>
      <c r="K10" s="6" t="str">
        <f>REPT(" ",Sheet2!$K$3-LEN(Sheet2!K10))&amp;Sheet2!K10</f>
        <v xml:space="preserve">                         [x]eq</v>
      </c>
      <c r="L10" s="3" t="str">
        <f>IF(Sheet2!B10="","",SUBSTITUTE(SUBSTITUTE(SUBSTITUTE(SUBSTITUTE(SUBSTITUTE(SUBSTITUTE(SUBSTITUTE(SUBSTITUTE(SUBSTITUTE(SUBSTITUTE($L$1,"61",A10),"CM_NORMAL",E10),"ITM_DRG",H10),"nn = comm",K10),"exitIfNim",B10),"allowCondition",D10),"KK",J10),"9999",G10),"ITM_AAA",F10),"XX",I10))</f>
        <v>if(shortCutCommand(w, event_keyval,   120,                                  shortcutProfile == USER_C47, !ExitIfNim,             FALSE,    "",   "05",                   0b01101,         -1,              ITM_XEQ ))        {return true;} else        //                         [x]eq</v>
      </c>
    </row>
    <row r="11" spans="1:12">
      <c r="A11" s="6" t="str">
        <f>REPT(" ",Sheet2!$B$3-LEN(Sheet2!B11))&amp;Sheet2!B11</f>
        <v xml:space="preserve">  109</v>
      </c>
      <c r="B11" s="6" t="str">
        <f>REPT(" ",Sheet2!$C$3-LEN(Sheet2!C11))&amp;Sheet2!C11</f>
        <v xml:space="preserve"> ExitIfNim</v>
      </c>
      <c r="C11" s="5" t="str">
        <f>IF(Sheet2!D11="Std","FALSE",
IF(Sheet2!D11="Both","shortcutProfile == USER_C47 || shortcutProfile == USER_R47",
"shortcutProfile == USER_"&amp;Sheet2!D11))</f>
        <v>shortcutProfile == USER_C47</v>
      </c>
      <c r="D11" s="6" t="str">
        <f t="shared" si="1"/>
        <v xml:space="preserve">                                 shortcutProfile == USER_C47</v>
      </c>
      <c r="E11" s="6" t="str">
        <f>REPT(" ",Sheet2!$E$3-LEN(Sheet2!E11))&amp;Sheet2!E11</f>
        <v xml:space="preserve">                  0b01101</v>
      </c>
      <c r="F11" s="6" t="str">
        <f>REPT(" ",Sheet2!$F$3-LEN(Sheet2!F11))&amp;Sheet2!F11</f>
        <v xml:space="preserve">        -1</v>
      </c>
      <c r="G11" s="6" t="str">
        <f>REPT(" ",Sheet2!$G$3-LEN(Sheet2!G11))&amp;Sheet2!G11</f>
        <v xml:space="preserve">         tam.mode</v>
      </c>
      <c r="H11" s="6" t="str">
        <f>REPT(" ",Sheet2!$H$3-LEN(Sheet2!H11))&amp;Sheet2!H11</f>
        <v xml:space="preserve">             ITM_STO</v>
      </c>
      <c r="I11" s="6" t="str">
        <f>REPT(" ",Sheet2!$I$3-LEN(Sheet2!I11))&amp;""""&amp;Sheet2!I11&amp;""""</f>
        <v xml:space="preserve">   ""</v>
      </c>
      <c r="J11" s="6" t="str">
        <f>REPT(" ",Sheet2!$J$3-LEN(TEXT(Sheet2!J11,"00")))&amp;""""&amp;TEXT(Sheet2!J11,"00")&amp;""""</f>
        <v xml:space="preserve">  "06"</v>
      </c>
      <c r="K11" s="6" t="str">
        <f>REPT(" ",Sheet2!$K$3-LEN(Sheet2!K11))&amp;Sheet2!K11</f>
        <v xml:space="preserve">                      [m]emory</v>
      </c>
      <c r="L11" s="3" t="str">
        <f>IF(Sheet2!B11="","",SUBSTITUTE(SUBSTITUTE(SUBSTITUTE(SUBSTITUTE(SUBSTITUTE(SUBSTITUTE(SUBSTITUTE(SUBSTITUTE(SUBSTITUTE(SUBSTITUTE($L$1,"61",A11),"CM_NORMAL",E11),"ITM_DRG",H11),"nn = comm",K11),"exitIfNim",B11),"allowCondition",D11),"KK",J11),"9999",G11),"ITM_AAA",F11),"XX",I11))</f>
        <v>if(shortCutCommand(w, event_keyval,   109,                                  shortcutProfile == USER_C47,  ExitIfNim,          tam.mode,    "",   "06",                   0b01101,         -1,              ITM_STO ))        {return true;} else        //                      [m]emory</v>
      </c>
    </row>
    <row r="12" spans="1:12">
      <c r="A12" s="6" t="str">
        <f>REPT(" ",Sheet2!$B$3-LEN(Sheet2!B12))&amp;Sheet2!B12</f>
        <v xml:space="preserve">  114</v>
      </c>
      <c r="B12" s="6" t="str">
        <f>REPT(" ",Sheet2!$C$3-LEN(Sheet2!C12))&amp;Sheet2!C12</f>
        <v xml:space="preserve"> ExitIfNim</v>
      </c>
      <c r="C12" s="5" t="str">
        <f>IF(Sheet2!D12="Std","FALSE",
IF(Sheet2!D12="Both","shortcutProfile == USER_C47 || shortcutProfile == USER_R47",
"shortcutProfile == USER_"&amp;Sheet2!D12))</f>
        <v>shortcutProfile == USER_C47</v>
      </c>
      <c r="D12" s="6" t="str">
        <f t="shared" si="1"/>
        <v xml:space="preserve">                                 shortcutProfile == USER_C47</v>
      </c>
      <c r="E12" s="6" t="str">
        <f>REPT(" ",Sheet2!$E$3-LEN(Sheet2!E12))&amp;Sheet2!E12</f>
        <v xml:space="preserve">                  0b01101</v>
      </c>
      <c r="F12" s="6" t="str">
        <f>REPT(" ",Sheet2!$F$3-LEN(Sheet2!F12))&amp;Sheet2!F12</f>
        <v xml:space="preserve">        -1</v>
      </c>
      <c r="G12" s="6" t="str">
        <f>REPT(" ",Sheet2!$G$3-LEN(Sheet2!G12))&amp;Sheet2!G12</f>
        <v xml:space="preserve">         tam.mode</v>
      </c>
      <c r="H12" s="6" t="str">
        <f>REPT(" ",Sheet2!$H$3-LEN(Sheet2!H12))&amp;Sheet2!H12</f>
        <v xml:space="preserve">             ITM_RCL</v>
      </c>
      <c r="I12" s="6" t="str">
        <f>REPT(" ",Sheet2!$I$3-LEN(Sheet2!I12))&amp;""""&amp;Sheet2!I12&amp;""""</f>
        <v xml:space="preserve">   ""</v>
      </c>
      <c r="J12" s="6" t="str">
        <f>REPT(" ",Sheet2!$J$3-LEN(TEXT(Sheet2!J12,"00")))&amp;""""&amp;TEXT(Sheet2!J12,"00")&amp;""""</f>
        <v xml:space="preserve">  "07"</v>
      </c>
      <c r="K12" s="6" t="str">
        <f>REPT(" ",Sheet2!$K$3-LEN(Sheet2!K12))&amp;Sheet2!K12</f>
        <v xml:space="preserve">                         [r]cl</v>
      </c>
      <c r="L12" s="3" t="str">
        <f>IF(Sheet2!B12="","",SUBSTITUTE(SUBSTITUTE(SUBSTITUTE(SUBSTITUTE(SUBSTITUTE(SUBSTITUTE(SUBSTITUTE(SUBSTITUTE(SUBSTITUTE(SUBSTITUTE($L$1,"61",A12),"CM_NORMAL",E12),"ITM_DRG",H12),"nn = comm",K12),"exitIfNim",B12),"allowCondition",D12),"KK",J12),"9999",G12),"ITM_AAA",F12),"XX",I12))</f>
        <v>if(shortCutCommand(w, event_keyval,   114,                                  shortcutProfile == USER_C47,  ExitIfNim,          tam.mode,    "",   "07",                   0b01101,         -1,              ITM_RCL ))        {return true;} else        //                         [r]cl</v>
      </c>
    </row>
    <row r="13" spans="1:12">
      <c r="A13" s="6" t="str">
        <f>REPT(" ",Sheet2!$B$3-LEN(Sheet2!B13))&amp;Sheet2!B13</f>
        <v xml:space="preserve">  100</v>
      </c>
      <c r="B13" s="6" t="str">
        <f>REPT(" ",Sheet2!$C$3-LEN(Sheet2!C13))&amp;Sheet2!C13</f>
        <v xml:space="preserve"> ExitIfNim</v>
      </c>
      <c r="C13" s="5" t="str">
        <f>IF(Sheet2!D13="Std","FALSE",
IF(Sheet2!D13="Both","shortcutProfile == USER_C47 || shortcutProfile == USER_R47",
"shortcutProfile == USER_"&amp;Sheet2!D13))</f>
        <v>shortcutProfile == USER_C47</v>
      </c>
      <c r="D13" s="6" t="str">
        <f t="shared" si="1"/>
        <v xml:space="preserve">                                 shortcutProfile == USER_C47</v>
      </c>
      <c r="E13" s="6" t="str">
        <f>REPT(" ",Sheet2!$E$3-LEN(Sheet2!E13))&amp;Sheet2!E13</f>
        <v xml:space="preserve">                  0b01101</v>
      </c>
      <c r="F13" s="6" t="str">
        <f>REPT(" ",Sheet2!$F$3-LEN(Sheet2!F13))&amp;Sheet2!F13</f>
        <v xml:space="preserve">        -1</v>
      </c>
      <c r="G13" s="6" t="str">
        <f>REPT(" ",Sheet2!$G$3-LEN(Sheet2!G13))&amp;Sheet2!G13</f>
        <v xml:space="preserve">         tam.mode</v>
      </c>
      <c r="H13" s="6" t="str">
        <f>REPT(" ",Sheet2!$H$3-LEN(Sheet2!H13))&amp;Sheet2!H13</f>
        <v xml:space="preserve">           ITM_Rdown</v>
      </c>
      <c r="I13" s="6" t="str">
        <f>REPT(" ",Sheet2!$I$3-LEN(Sheet2!I13))&amp;""""&amp;Sheet2!I13&amp;""""</f>
        <v xml:space="preserve">   ""</v>
      </c>
      <c r="J13" s="6" t="str">
        <f>REPT(" ",Sheet2!$J$3-LEN(TEXT(Sheet2!J13,"00")))&amp;""""&amp;TEXT(Sheet2!J13,"00")&amp;""""</f>
        <v xml:space="preserve">  "08"</v>
      </c>
      <c r="K13" s="6" t="str">
        <f>REPT(" ",Sheet2!$K$3-LEN(Sheet2!K13))&amp;Sheet2!K13</f>
        <v xml:space="preserve">                        [d]own</v>
      </c>
      <c r="L13" s="3" t="str">
        <f>IF(Sheet2!B13="","",SUBSTITUTE(SUBSTITUTE(SUBSTITUTE(SUBSTITUTE(SUBSTITUTE(SUBSTITUTE(SUBSTITUTE(SUBSTITUTE(SUBSTITUTE(SUBSTITUTE($L$1,"61",A13),"CM_NORMAL",E13),"ITM_DRG",H13),"nn = comm",K13),"exitIfNim",B13),"allowCondition",D13),"KK",J13),"9999",G13),"ITM_AAA",F13),"XX",I13))</f>
        <v>if(shortCutCommand(w, event_keyval,   100,                                  shortcutProfile == USER_C47,  ExitIfNim,          tam.mode,    "",   "08",                   0b01101,         -1,            ITM_Rdown ))        {return true;} else        //                        [d]own</v>
      </c>
    </row>
    <row r="14" spans="1:12">
      <c r="A14" s="6" t="str">
        <f>REPT(" ",Sheet2!$B$3-LEN(Sheet2!B14))&amp;Sheet2!B14</f>
        <v xml:space="preserve">  115</v>
      </c>
      <c r="B14" s="6" t="str">
        <f>REPT(" ",Sheet2!$C$3-LEN(Sheet2!C14))&amp;Sheet2!C14</f>
        <v xml:space="preserve"> ExitIfNim</v>
      </c>
      <c r="C14" s="5" t="str">
        <f>IF(Sheet2!D14="Std","FALSE",
IF(Sheet2!D14="Both","shortcutProfile == USER_C47 || shortcutProfile == USER_R47",
"shortcutProfile == USER_"&amp;Sheet2!D14))</f>
        <v>shortcutProfile == USER_C47</v>
      </c>
      <c r="D14" s="6" t="str">
        <f t="shared" si="1"/>
        <v xml:space="preserve">                                 shortcutProfile == USER_C47</v>
      </c>
      <c r="E14" s="6" t="str">
        <f>REPT(" ",Sheet2!$E$3-LEN(Sheet2!E14))&amp;Sheet2!E14</f>
        <v xml:space="preserve">                  0b01101</v>
      </c>
      <c r="F14" s="6" t="str">
        <f>REPT(" ",Sheet2!$F$3-LEN(Sheet2!F14))&amp;Sheet2!F14</f>
        <v xml:space="preserve">        -1</v>
      </c>
      <c r="G14" s="6" t="str">
        <f>REPT(" ",Sheet2!$G$3-LEN(Sheet2!G14))&amp;Sheet2!G14</f>
        <v xml:space="preserve">         tam.mode</v>
      </c>
      <c r="H14" s="6" t="str">
        <f>REPT(" ",Sheet2!$H$3-LEN(Sheet2!H14))&amp;Sheet2!H14</f>
        <v xml:space="preserve">             ITM_sin</v>
      </c>
      <c r="I14" s="6" t="str">
        <f>REPT(" ",Sheet2!$I$3-LEN(Sheet2!I14))&amp;""""&amp;Sheet2!I14&amp;""""</f>
        <v xml:space="preserve">   ""</v>
      </c>
      <c r="J14" s="6" t="str">
        <f>REPT(" ",Sheet2!$J$3-LEN(TEXT(Sheet2!J14,"00")))&amp;""""&amp;TEXT(Sheet2!J14,"00")&amp;""""</f>
        <v xml:space="preserve">  "09"</v>
      </c>
      <c r="K14" s="6" t="str">
        <f>REPT(" ",Sheet2!$K$3-LEN(Sheet2!K14))&amp;Sheet2!K14</f>
        <v xml:space="preserve">                        [s]ine</v>
      </c>
      <c r="L14" s="3" t="str">
        <f>IF(Sheet2!B14="","",SUBSTITUTE(SUBSTITUTE(SUBSTITUTE(SUBSTITUTE(SUBSTITUTE(SUBSTITUTE(SUBSTITUTE(SUBSTITUTE(SUBSTITUTE(SUBSTITUTE($L$1,"61",A14),"CM_NORMAL",E14),"ITM_DRG",H14),"nn = comm",K14),"exitIfNim",B14),"allowCondition",D14),"KK",J14),"9999",G14),"ITM_AAA",F14),"XX",I14))</f>
        <v>if(shortCutCommand(w, event_keyval,   115,                                  shortcutProfile == USER_C47,  ExitIfNim,          tam.mode,    "",   "09",                   0b01101,         -1,              ITM_sin ))        {return true;} else        //                        [s]ine</v>
      </c>
    </row>
    <row r="15" spans="1:12">
      <c r="A15" s="6" t="str">
        <f>REPT(" ",Sheet2!$B$3-LEN(Sheet2!B15))&amp;Sheet2!B15</f>
        <v xml:space="preserve">   99</v>
      </c>
      <c r="B15" s="6" t="str">
        <f>REPT(" ",Sheet2!$C$3-LEN(Sheet2!C15))&amp;Sheet2!C15</f>
        <v xml:space="preserve"> ExitIfNim</v>
      </c>
      <c r="C15" s="5" t="str">
        <f>IF(Sheet2!D15="Std","FALSE",
IF(Sheet2!D15="Both","shortcutProfile == USER_C47 || shortcutProfile == USER_R47",
"shortcutProfile == USER_"&amp;Sheet2!D15))</f>
        <v>shortcutProfile == USER_C47</v>
      </c>
      <c r="D15" s="6" t="str">
        <f t="shared" si="1"/>
        <v xml:space="preserve">                                 shortcutProfile == USER_C47</v>
      </c>
      <c r="E15" s="6" t="str">
        <f>REPT(" ",Sheet2!$E$3-LEN(Sheet2!E15))&amp;Sheet2!E15</f>
        <v xml:space="preserve">                  0b01101</v>
      </c>
      <c r="F15" s="6" t="str">
        <f>REPT(" ",Sheet2!$F$3-LEN(Sheet2!F15))&amp;Sheet2!F15</f>
        <v xml:space="preserve">        -1</v>
      </c>
      <c r="G15" s="6" t="str">
        <f>REPT(" ",Sheet2!$G$3-LEN(Sheet2!G15))&amp;Sheet2!G15</f>
        <v xml:space="preserve">         tam.mode</v>
      </c>
      <c r="H15" s="6" t="str">
        <f>REPT(" ",Sheet2!$H$3-LEN(Sheet2!H15))&amp;Sheet2!H15</f>
        <v xml:space="preserve">             ITM_cos</v>
      </c>
      <c r="I15" s="6" t="str">
        <f>REPT(" ",Sheet2!$I$3-LEN(Sheet2!I15))&amp;""""&amp;Sheet2!I15&amp;""""</f>
        <v xml:space="preserve">   ""</v>
      </c>
      <c r="J15" s="6" t="str">
        <f>REPT(" ",Sheet2!$J$3-LEN(TEXT(Sheet2!J15,"00")))&amp;""""&amp;TEXT(Sheet2!J15,"00")&amp;""""</f>
        <v xml:space="preserve">  "10"</v>
      </c>
      <c r="K15" s="6" t="str">
        <f>REPT(" ",Sheet2!$K$3-LEN(Sheet2!K15))&amp;Sheet2!K15</f>
        <v xml:space="preserve">                      [c]osine</v>
      </c>
      <c r="L15" s="3" t="str">
        <f>IF(Sheet2!B15="","",SUBSTITUTE(SUBSTITUTE(SUBSTITUTE(SUBSTITUTE(SUBSTITUTE(SUBSTITUTE(SUBSTITUTE(SUBSTITUTE(SUBSTITUTE(SUBSTITUTE($L$1,"61",A15),"CM_NORMAL",E15),"ITM_DRG",H15),"nn = comm",K15),"exitIfNim",B15),"allowCondition",D15),"KK",J15),"9999",G15),"ITM_AAA",F15),"XX",I15))</f>
        <v>if(shortCutCommand(w, event_keyval,    99,                                  shortcutProfile == USER_C47,  ExitIfNim,          tam.mode,    "",   "10",                   0b01101,         -1,              ITM_cos ))        {return true;} else        //                      [c]osine</v>
      </c>
    </row>
    <row r="16" spans="1:12">
      <c r="A16" s="6" t="str">
        <f>REPT(" ",Sheet2!$B$3-LEN(Sheet2!B16))&amp;Sheet2!B16</f>
        <v xml:space="preserve">  116</v>
      </c>
      <c r="B16" s="6" t="str">
        <f>REPT(" ",Sheet2!$C$3-LEN(Sheet2!C16))&amp;Sheet2!C16</f>
        <v xml:space="preserve"> ExitIfNim</v>
      </c>
      <c r="C16" s="5" t="str">
        <f>IF(Sheet2!D16="Std","FALSE",
IF(Sheet2!D16="Both","shortcutProfile == USER_C47 || shortcutProfile == USER_R47",
"shortcutProfile == USER_"&amp;Sheet2!D16))</f>
        <v>shortcutProfile == USER_C47</v>
      </c>
      <c r="D16" s="6" t="str">
        <f t="shared" si="1"/>
        <v xml:space="preserve">                                 shortcutProfile == USER_C47</v>
      </c>
      <c r="E16" s="6" t="str">
        <f>REPT(" ",Sheet2!$E$3-LEN(Sheet2!E16))&amp;Sheet2!E16</f>
        <v xml:space="preserve">                  0b01101</v>
      </c>
      <c r="F16" s="6" t="str">
        <f>REPT(" ",Sheet2!$F$3-LEN(Sheet2!F16))&amp;Sheet2!F16</f>
        <v xml:space="preserve">        -1</v>
      </c>
      <c r="G16" s="6" t="str">
        <f>REPT(" ",Sheet2!$G$3-LEN(Sheet2!G16))&amp;Sheet2!G16</f>
        <v xml:space="preserve">         tam.mode</v>
      </c>
      <c r="H16" s="6" t="str">
        <f>REPT(" ",Sheet2!$H$3-LEN(Sheet2!H16))&amp;Sheet2!H16</f>
        <v xml:space="preserve">             ITM_tan</v>
      </c>
      <c r="I16" s="6" t="str">
        <f>REPT(" ",Sheet2!$I$3-LEN(Sheet2!I16))&amp;""""&amp;Sheet2!I16&amp;""""</f>
        <v xml:space="preserve">   ""</v>
      </c>
      <c r="J16" s="6" t="str">
        <f>REPT(" ",Sheet2!$J$3-LEN(TEXT(Sheet2!J16,"00")))&amp;""""&amp;TEXT(Sheet2!J16,"00")&amp;""""</f>
        <v xml:space="preserve">  "11"</v>
      </c>
      <c r="K16" s="6" t="str">
        <f>REPT(" ",Sheet2!$K$3-LEN(Sheet2!K16))&amp;Sheet2!K16</f>
        <v xml:space="preserve">                     [t]angent</v>
      </c>
      <c r="L16" s="3" t="str">
        <f>IF(Sheet2!B16="","",SUBSTITUTE(SUBSTITUTE(SUBSTITUTE(SUBSTITUTE(SUBSTITUTE(SUBSTITUTE(SUBSTITUTE(SUBSTITUTE(SUBSTITUTE(SUBSTITUTE($L$1,"61",A16),"CM_NORMAL",E16),"ITM_DRG",H16),"nn = comm",K16),"exitIfNim",B16),"allowCondition",D16),"KK",J16),"9999",G16),"ITM_AAA",F16),"XX",I16))</f>
        <v>if(shortCutCommand(w, event_keyval,   116,                                  shortcutProfile == USER_C47,  ExitIfNim,          tam.mode,    "",   "11",                   0b01101,         -1,              ITM_tan ))        {return true;} else        //                     [t]angent</v>
      </c>
    </row>
    <row r="17" spans="1:12">
      <c r="A17" s="6" t="str">
        <f>REPT(" ",Sheet2!$B$3-LEN(Sheet2!B17))&amp;Sheet2!B17</f>
        <v>65293</v>
      </c>
      <c r="B17" s="6" t="str">
        <f>REPT(" ",Sheet2!$C$3-LEN(Sheet2!C17))&amp;Sheet2!C17</f>
        <v>!ExitIfNim</v>
      </c>
      <c r="C17" s="5" t="str">
        <f>IF(Sheet2!D17="Std","FALSE",
IF(Sheet2!D17="Both","shortcutProfile == USER_C47 || shortcutProfile == USER_R47",
"shortcutProfile == USER_"&amp;Sheet2!D17))</f>
        <v>FALSE</v>
      </c>
      <c r="D17" s="6" t="str">
        <f t="shared" si="1"/>
        <v xml:space="preserve">                                                       FALSE</v>
      </c>
      <c r="E17" s="6" t="str">
        <f>REPT(" ",Sheet2!$E$3-LEN(Sheet2!E17))&amp;Sheet2!E17</f>
        <v xml:space="preserve">                  0b01101</v>
      </c>
      <c r="F17" s="6" t="str">
        <f>REPT(" ",Sheet2!$F$3-LEN(Sheet2!F17))&amp;Sheet2!F17</f>
        <v xml:space="preserve">        -1</v>
      </c>
      <c r="G17" s="6" t="str">
        <f>REPT(" ",Sheet2!$G$3-LEN(Sheet2!G17))&amp;Sheet2!G17</f>
        <v xml:space="preserve">            FALSE</v>
      </c>
      <c r="H17" s="6" t="str">
        <f>REPT(" ",Sheet2!$H$3-LEN(Sheet2!H17))&amp;Sheet2!H17</f>
        <v xml:space="preserve">           ITM_ENTER</v>
      </c>
      <c r="I17" s="6" t="str">
        <f>REPT(" ",Sheet2!$I$3-LEN(Sheet2!I17))&amp;""""&amp;Sheet2!I17&amp;""""</f>
        <v xml:space="preserve">   ""</v>
      </c>
      <c r="J17" s="6" t="str">
        <f>REPT(" ",Sheet2!$J$3-LEN(TEXT(Sheet2!J17,"00")))&amp;""""&amp;TEXT(Sheet2!J17,"00")&amp;""""</f>
        <v xml:space="preserve">  "12"</v>
      </c>
      <c r="K17" s="6" t="str">
        <f>REPT(" ",Sheet2!$K$3-LEN(Sheet2!K17))&amp;Sheet2!K17</f>
        <v xml:space="preserve">                           key</v>
      </c>
      <c r="L17" s="3" t="str">
        <f>IF(Sheet2!B17="","",SUBSTITUTE(SUBSTITUTE(SUBSTITUTE(SUBSTITUTE(SUBSTITUTE(SUBSTITUTE(SUBSTITUTE(SUBSTITUTE(SUBSTITUTE(SUBSTITUTE($L$1,"61",A17),"CM_NORMAL",E17),"ITM_DRG",H17),"nn = comm",K17),"exitIfNim",B17),"allowCondition",D17),"KK",J17),"9999",G17),"ITM_AAA",F17),"XX",I17))</f>
        <v>if(shortCutCommand(w, event_keyval, 65293,                                                        FALSE, !ExitIfNim,             FALSE,    "",   "12",                   0b01101,         -1,            ITM_ENTER ))        {return true;} else        //                           key</v>
      </c>
    </row>
    <row r="18" spans="1:12">
      <c r="A18" s="6" t="str">
        <f>REPT(" ",Sheet2!$B$3-LEN(Sheet2!B18))&amp;Sheet2!B18</f>
        <v xml:space="preserve">  119</v>
      </c>
      <c r="B18" s="6" t="str">
        <f>REPT(" ",Sheet2!$C$3-LEN(Sheet2!C18))&amp;Sheet2!C18</f>
        <v>!ExitIfNim</v>
      </c>
      <c r="C18" s="5" t="str">
        <f>IF(Sheet2!D18="Std","FALSE",
IF(Sheet2!D18="Both","shortcutProfile == USER_C47 || shortcutProfile == USER_R47",
"shortcutProfile == USER_"&amp;Sheet2!D18))</f>
        <v>FALSE</v>
      </c>
      <c r="D18" s="6" t="str">
        <f t="shared" si="1"/>
        <v xml:space="preserve">                                                       FALSE</v>
      </c>
      <c r="E18" s="6" t="str">
        <f>REPT(" ",Sheet2!$E$3-LEN(Sheet2!E18))&amp;Sheet2!E18</f>
        <v xml:space="preserve">                  0b01101</v>
      </c>
      <c r="F18" s="6" t="str">
        <f>REPT(" ",Sheet2!$F$3-LEN(Sheet2!F18))&amp;Sheet2!F18</f>
        <v xml:space="preserve">        -1</v>
      </c>
      <c r="G18" s="6" t="str">
        <f>REPT(" ",Sheet2!$G$3-LEN(Sheet2!G18))&amp;Sheet2!G18</f>
        <v xml:space="preserve">         tam.mode</v>
      </c>
      <c r="H18" s="6" t="str">
        <f>REPT(" ",Sheet2!$H$3-LEN(Sheet2!H18))&amp;Sheet2!H18</f>
        <v xml:space="preserve">            ITM_XexY</v>
      </c>
      <c r="I18" s="6" t="str">
        <f>REPT(" ",Sheet2!$I$3-LEN(Sheet2!I18))&amp;""""&amp;Sheet2!I18&amp;""""</f>
        <v xml:space="preserve">   ""</v>
      </c>
      <c r="J18" s="6" t="str">
        <f>REPT(" ",Sheet2!$J$3-LEN(TEXT(Sheet2!J18,"00")))&amp;""""&amp;TEXT(Sheet2!J18,"00")&amp;""""</f>
        <v xml:space="preserve">  "13"</v>
      </c>
      <c r="K18" s="6" t="str">
        <f>REPT(" ",Sheet2!$K$3-LEN(Sheet2!K18))&amp;Sheet2!K18</f>
        <v xml:space="preserve">                        s[w]ap</v>
      </c>
      <c r="L18" s="3" t="str">
        <f>IF(Sheet2!B18="","",SUBSTITUTE(SUBSTITUTE(SUBSTITUTE(SUBSTITUTE(SUBSTITUTE(SUBSTITUTE(SUBSTITUTE(SUBSTITUTE(SUBSTITUTE(SUBSTITUTE($L$1,"61",A18),"CM_NORMAL",E18),"ITM_DRG",H18),"nn = comm",K18),"exitIfNim",B18),"allowCondition",D18),"KK",J18),"9999",G18),"ITM_AAA",F18),"XX",I18))</f>
        <v>if(shortCutCommand(w, event_keyval,   119,                                                        FALSE, !ExitIfNim,          tam.mode,    "",   "13",                   0b01101,         -1,             ITM_XexY ))        {return true;} else        //                        s[w]ap</v>
      </c>
    </row>
    <row r="19" spans="1:12">
      <c r="A19" s="6" t="str">
        <f>REPT(" ",Sheet2!$B$3-LEN(Sheet2!B19))&amp;Sheet2!B19</f>
        <v xml:space="preserve">  110</v>
      </c>
      <c r="B19" s="6" t="str">
        <f>REPT(" ",Sheet2!$C$3-LEN(Sheet2!C19))&amp;Sheet2!C19</f>
        <v>!ExitIfNim</v>
      </c>
      <c r="C19" s="5" t="str">
        <f>IF(Sheet2!D19="Std","FALSE",
IF(Sheet2!D19="Both","shortcutProfile == USER_C47 || shortcutProfile == USER_R47",
"shortcutProfile == USER_"&amp;Sheet2!D19))</f>
        <v>FALSE</v>
      </c>
      <c r="D19" s="6" t="str">
        <f t="shared" si="1"/>
        <v xml:space="preserve">                                                       FALSE</v>
      </c>
      <c r="E19" s="6" t="str">
        <f>REPT(" ",Sheet2!$E$3-LEN(Sheet2!E19))&amp;Sheet2!E19</f>
        <v xml:space="preserve">                  0b01101</v>
      </c>
      <c r="F19" s="6" t="str">
        <f>REPT(" ",Sheet2!$F$3-LEN(Sheet2!F19))&amp;Sheet2!F19</f>
        <v xml:space="preserve">        -1</v>
      </c>
      <c r="G19" s="6" t="str">
        <f>REPT(" ",Sheet2!$G$3-LEN(Sheet2!G19))&amp;Sheet2!G19</f>
        <v xml:space="preserve">         tam.mode</v>
      </c>
      <c r="H19" s="6" t="str">
        <f>REPT(" ",Sheet2!$H$3-LEN(Sheet2!H19))&amp;Sheet2!H19</f>
        <v xml:space="preserve">             ITM_CHS</v>
      </c>
      <c r="I19" s="6" t="str">
        <f>REPT(" ",Sheet2!$I$3-LEN(Sheet2!I19))&amp;""""&amp;Sheet2!I19&amp;""""</f>
        <v xml:space="preserve">   ""</v>
      </c>
      <c r="J19" s="6" t="str">
        <f>REPT(" ",Sheet2!$J$3-LEN(TEXT(Sheet2!J19,"00")))&amp;""""&amp;TEXT(Sheet2!J19,"00")&amp;""""</f>
        <v xml:space="preserve">  "14"</v>
      </c>
      <c r="K19" s="6" t="str">
        <f>REPT(" ",Sheet2!$K$3-LEN(Sheet2!K19))&amp;Sheet2!K19</f>
        <v xml:space="preserve">                CHS [n]egative</v>
      </c>
      <c r="L19" s="3" t="str">
        <f>IF(Sheet2!B19="","",SUBSTITUTE(SUBSTITUTE(SUBSTITUTE(SUBSTITUTE(SUBSTITUTE(SUBSTITUTE(SUBSTITUTE(SUBSTITUTE(SUBSTITUTE(SUBSTITUTE($L$1,"61",A19),"CM_NORMAL",E19),"ITM_DRG",H19),"nn = comm",K19),"exitIfNim",B19),"allowCondition",D19),"KK",J19),"9999",G19),"ITM_AAA",F19),"XX",I19))</f>
        <v>if(shortCutCommand(w, event_keyval,   110,                                                        FALSE, !ExitIfNim,          tam.mode,    "",   "14",                   0b01101,         -1,              ITM_CHS ))        {return true;} else        //                CHS [n]egative</v>
      </c>
    </row>
    <row r="20" spans="1:12">
      <c r="A20" s="6" t="str">
        <f>REPT(" ",Sheet2!$B$3-LEN(Sheet2!B20))&amp;Sheet2!B20</f>
        <v xml:space="preserve">  101</v>
      </c>
      <c r="B20" s="6" t="str">
        <f>REPT(" ",Sheet2!$C$3-LEN(Sheet2!C20))&amp;Sheet2!C20</f>
        <v>!ExitIfNim</v>
      </c>
      <c r="C20" s="5" t="str">
        <f>IF(Sheet2!D20="Std","FALSE",
IF(Sheet2!D20="Both","shortcutProfile == USER_C47 || shortcutProfile == USER_R47",
"shortcutProfile == USER_"&amp;Sheet2!D20))</f>
        <v>FALSE</v>
      </c>
      <c r="D20" s="6" t="str">
        <f t="shared" si="1"/>
        <v xml:space="preserve">                                                       FALSE</v>
      </c>
      <c r="E20" s="6" t="str">
        <f>REPT(" ",Sheet2!$E$3-LEN(Sheet2!E20))&amp;Sheet2!E20</f>
        <v xml:space="preserve">                  0b01101</v>
      </c>
      <c r="F20" s="6" t="str">
        <f>REPT(" ",Sheet2!$F$3-LEN(Sheet2!F20))&amp;Sheet2!F20</f>
        <v xml:space="preserve">        -1</v>
      </c>
      <c r="G20" s="6" t="str">
        <f>REPT(" ",Sheet2!$G$3-LEN(Sheet2!G20))&amp;Sheet2!G20</f>
        <v xml:space="preserve">         tam.mode</v>
      </c>
      <c r="H20" s="6" t="str">
        <f>REPT(" ",Sheet2!$H$3-LEN(Sheet2!H20))&amp;Sheet2!H20</f>
        <v xml:space="preserve">        ITM_EXPONENT</v>
      </c>
      <c r="I20" s="6" t="str">
        <f>REPT(" ",Sheet2!$I$3-LEN(Sheet2!I20))&amp;""""&amp;Sheet2!I20&amp;""""</f>
        <v xml:space="preserve">   ""</v>
      </c>
      <c r="J20" s="6" t="str">
        <f>REPT(" ",Sheet2!$J$3-LEN(TEXT(Sheet2!J20,"00")))&amp;""""&amp;TEXT(Sheet2!J20,"00")&amp;""""</f>
        <v xml:space="preserve">  "15"</v>
      </c>
      <c r="K20" s="6" t="str">
        <f>REPT(" ",Sheet2!$K$3-LEN(Sheet2!K20))&amp;Sheet2!K20</f>
        <v xml:space="preserve">                    [e]xponent</v>
      </c>
      <c r="L20" s="3" t="str">
        <f>IF(Sheet2!B20="","",SUBSTITUTE(SUBSTITUTE(SUBSTITUTE(SUBSTITUTE(SUBSTITUTE(SUBSTITUTE(SUBSTITUTE(SUBSTITUTE(SUBSTITUTE(SUBSTITUTE($L$1,"61",A20),"CM_NORMAL",E20),"ITM_DRG",H20),"nn = comm",K20),"exitIfNim",B20),"allowCondition",D20),"KK",J20),"9999",G20),"ITM_AAA",F20),"XX",I20))</f>
        <v>if(shortCutCommand(w, event_keyval,   101,                                                        FALSE, !ExitIfNim,          tam.mode,    "",   "15",                   0b01101,         -1,         ITM_EXPONENT ))        {return true;} else        //                    [e]xponent</v>
      </c>
    </row>
    <row r="21" spans="1:12">
      <c r="A21" s="6" t="str">
        <f>REPT(" ",Sheet2!$B$3-LEN(Sheet2!B21))&amp;Sheet2!B21</f>
        <v xml:space="preserve">   62</v>
      </c>
      <c r="B21" s="6" t="str">
        <f>REPT(" ",Sheet2!$C$3-LEN(Sheet2!C21))&amp;Sheet2!C21</f>
        <v xml:space="preserve"> ExitIfNim</v>
      </c>
      <c r="C21" s="5" t="str">
        <f>IF(Sheet2!D21="Std","FALSE",
IF(Sheet2!D21="Both","shortcutProfile == USER_C47 || shortcutProfile == USER_R47",
"shortcutProfile == USER_"&amp;Sheet2!D21))</f>
        <v>shortcutProfile == USER_C47 || shortcutProfile == USER_R47</v>
      </c>
      <c r="D21" s="6" t="str">
        <f t="shared" si="1"/>
        <v xml:space="preserve">  shortcutProfile == USER_C47 || shortcutProfile == USER_R47</v>
      </c>
      <c r="E21" s="6" t="str">
        <f>REPT(" ",Sheet2!$E$3-LEN(Sheet2!E21))&amp;Sheet2!E21</f>
        <v xml:space="preserve">                  0b01101</v>
      </c>
      <c r="F21" s="6" t="str">
        <f>REPT(" ",Sheet2!$F$3-LEN(Sheet2!F21))&amp;Sheet2!F21</f>
        <v xml:space="preserve">        -1</v>
      </c>
      <c r="G21" s="6" t="str">
        <f>REPT(" ",Sheet2!$G$3-LEN(Sheet2!G21))&amp;Sheet2!G21</f>
        <v xml:space="preserve">         tam.mode</v>
      </c>
      <c r="H21" s="6" t="str">
        <f>REPT(" ",Sheet2!$H$3-LEN(Sheet2!H21))&amp;Sheet2!H21</f>
        <v xml:space="preserve">             ITM_DRG</v>
      </c>
      <c r="I21" s="6" t="str">
        <f>REPT(" ",Sheet2!$I$3-LEN(Sheet2!I21))&amp;""""&amp;Sheet2!I21&amp;""""</f>
        <v xml:space="preserve">   ""</v>
      </c>
      <c r="J21" s="6" t="str">
        <f>REPT(" ",Sheet2!$J$3-LEN(TEXT(Sheet2!J21,"00")))&amp;""""&amp;TEXT(Sheet2!J21,"00")&amp;""""</f>
        <v xml:space="preserve"> "-01"</v>
      </c>
      <c r="K21" s="6" t="str">
        <f>REPT(" ",Sheet2!$K$3-LEN(Sheet2!K21))&amp;Sheet2!K21</f>
        <v xml:space="preserve">                     [=]&gt;D,R,G</v>
      </c>
      <c r="L21" s="3" t="str">
        <f>IF(Sheet2!B21="","",SUBSTITUTE(SUBSTITUTE(SUBSTITUTE(SUBSTITUTE(SUBSTITUTE(SUBSTITUTE(SUBSTITUTE(SUBSTITUTE(SUBSTITUTE(SUBSTITUTE($L$1,"61",A21),"CM_NORMAL",E21),"ITM_DRG",H21),"nn = comm",K21),"exitIfNim",B21),"allowCondition",D21),"KK",J21),"9999",G21),"ITM_AAA",F21),"XX",I21))</f>
        <v>if(shortCutCommand(w, event_keyval,    62,   shortcutProfile == USER_C47 || shortcutProfile == USER_R47,  ExitIfNim,          tam.mode,    "",  "-01",                   0b01101,         -1,              ITM_DRG ))        {return true;} else        //                     [=]&gt;D,R,G</v>
      </c>
    </row>
    <row r="22" spans="1:12">
      <c r="A22" s="6" t="str">
        <f>REPT(" ",Sheet2!$B$3-LEN(Sheet2!B22))&amp;Sheet2!B22</f>
        <v xml:space="preserve">   89</v>
      </c>
      <c r="B22" s="6" t="str">
        <f>REPT(" ",Sheet2!$C$3-LEN(Sheet2!C22))&amp;Sheet2!C22</f>
        <v xml:space="preserve"> ExitIfNim</v>
      </c>
      <c r="C22" s="5" t="str">
        <f>IF(Sheet2!D22="Std","FALSE",
IF(Sheet2!D22="Both","shortcutProfile == USER_C47 || shortcutProfile == USER_R47",
"shortcutProfile == USER_"&amp;Sheet2!D22))</f>
        <v>shortcutProfile == USER_C47 || shortcutProfile == USER_R47</v>
      </c>
      <c r="D22" s="6" t="str">
        <f t="shared" si="1"/>
        <v xml:space="preserve">  shortcutProfile == USER_C47 || shortcutProfile == USER_R47</v>
      </c>
      <c r="E22" s="6" t="str">
        <f>REPT(" ",Sheet2!$E$3-LEN(Sheet2!E22))&amp;Sheet2!E22</f>
        <v xml:space="preserve">                  0b01101</v>
      </c>
      <c r="F22" s="6" t="str">
        <f>REPT(" ",Sheet2!$F$3-LEN(Sheet2!F22))&amp;Sheet2!F22</f>
        <v xml:space="preserve">        -1</v>
      </c>
      <c r="G22" s="6" t="str">
        <f>REPT(" ",Sheet2!$G$3-LEN(Sheet2!G22))&amp;Sheet2!G22</f>
        <v xml:space="preserve">         tam.mode</v>
      </c>
      <c r="H22" s="6" t="str">
        <f>REPT(" ",Sheet2!$H$3-LEN(Sheet2!H22))&amp;Sheet2!H22</f>
        <v xml:space="preserve">              ITM_YX</v>
      </c>
      <c r="I22" s="6" t="str">
        <f>REPT(" ",Sheet2!$I$3-LEN(Sheet2!I22))&amp;""""&amp;Sheet2!I22&amp;""""</f>
        <v xml:space="preserve">   ""</v>
      </c>
      <c r="J22" s="6" t="str">
        <f>REPT(" ",Sheet2!$J$3-LEN(TEXT(Sheet2!J22,"00")))&amp;""""&amp;TEXT(Sheet2!J22,"00")&amp;""""</f>
        <v xml:space="preserve"> "-01"</v>
      </c>
      <c r="K22" s="6" t="str">
        <f>REPT(" ",Sheet2!$K$3-LEN(Sheet2!K22))&amp;Sheet2!K22</f>
        <v xml:space="preserve">                         [y]^x</v>
      </c>
      <c r="L22" s="3" t="str">
        <f>IF(Sheet2!B22="","",SUBSTITUTE(SUBSTITUTE(SUBSTITUTE(SUBSTITUTE(SUBSTITUTE(SUBSTITUTE(SUBSTITUTE(SUBSTITUTE(SUBSTITUTE(SUBSTITUTE($L$1,"61",A22),"CM_NORMAL",E22),"ITM_DRG",H22),"nn = comm",K22),"exitIfNim",B22),"allowCondition",D22),"KK",J22),"9999",G22),"ITM_AAA",F22),"XX",I22))</f>
        <v>if(shortCutCommand(w, event_keyval,    89,   shortcutProfile == USER_C47 || shortcutProfile == USER_R47,  ExitIfNim,          tam.mode,    "",  "-01",                   0b01101,         -1,               ITM_YX ))        {return true;} else        //                         [y]^x</v>
      </c>
    </row>
    <row r="23" spans="1:12">
      <c r="A23" s="6" t="str">
        <f>REPT(" ",Sheet2!$B$3-LEN(Sheet2!B23))&amp;Sheet2!B23</f>
        <v xml:space="preserve">  105</v>
      </c>
      <c r="B23" s="6" t="str">
        <f>REPT(" ",Sheet2!$C$3-LEN(Sheet2!C23))&amp;Sheet2!C23</f>
        <v xml:space="preserve"> ExitIfNim</v>
      </c>
      <c r="C23" s="5" t="str">
        <f>IF(Sheet2!D23="Std","FALSE",
IF(Sheet2!D23="Both","shortcutProfile == USER_C47 || shortcutProfile == USER_R47",
"shortcutProfile == USER_"&amp;Sheet2!D23))</f>
        <v>shortcutProfile == USER_C47 || shortcutProfile == USER_R47</v>
      </c>
      <c r="D23" s="6" t="str">
        <f t="shared" si="1"/>
        <v xml:space="preserve">  shortcutProfile == USER_C47 || shortcutProfile == USER_R47</v>
      </c>
      <c r="E23" s="6" t="str">
        <f>REPT(" ",Sheet2!$E$3-LEN(Sheet2!E23))&amp;Sheet2!E23</f>
        <v xml:space="preserve">                  0b01101</v>
      </c>
      <c r="F23" s="6" t="str">
        <f>REPT(" ",Sheet2!$F$3-LEN(Sheet2!F23))&amp;Sheet2!F23</f>
        <v xml:space="preserve">        -1</v>
      </c>
      <c r="G23" s="6" t="str">
        <f>REPT(" ",Sheet2!$G$3-LEN(Sheet2!G23))&amp;Sheet2!G23</f>
        <v xml:space="preserve">         tam.mode</v>
      </c>
      <c r="H23" s="6" t="str">
        <f>REPT(" ",Sheet2!$H$3-LEN(Sheet2!H23))&amp;Sheet2!H23</f>
        <v xml:space="preserve">            ITM_op_j</v>
      </c>
      <c r="I23" s="6" t="str">
        <f>REPT(" ",Sheet2!$I$3-LEN(Sheet2!I23))&amp;""""&amp;Sheet2!I23&amp;""""</f>
        <v xml:space="preserve">   ""</v>
      </c>
      <c r="J23" s="6" t="str">
        <f>REPT(" ",Sheet2!$J$3-LEN(TEXT(Sheet2!J23,"00")))&amp;""""&amp;TEXT(Sheet2!J23,"00")&amp;""""</f>
        <v xml:space="preserve"> "-01"</v>
      </c>
      <c r="K23" s="6" t="str">
        <f>REPT(" ",Sheet2!$K$3-LEN(Sheet2!K23))&amp;Sheet2!K23</f>
        <v xml:space="preserve">                             i</v>
      </c>
      <c r="L23" s="3" t="str">
        <f>IF(Sheet2!B23="","",SUBSTITUTE(SUBSTITUTE(SUBSTITUTE(SUBSTITUTE(SUBSTITUTE(SUBSTITUTE(SUBSTITUTE(SUBSTITUTE(SUBSTITUTE(SUBSTITUTE($L$1,"61",A23),"CM_NORMAL",E23),"ITM_DRG",H23),"nn = comm",K23),"exitIfNim",B23),"allowCondition",D23),"KK",J23),"9999",G23),"ITM_AAA",F23),"XX",I23))</f>
        <v>if(shortCutCommand(w, event_keyval,   105,   shortcutProfile == USER_C47 || shortcutProfile == USER_R47,  ExitIfNim,          tam.mode,    "",  "-01",                   0b01101,         -1,             ITM_op_j ))        {return true;} else        //                             i</v>
      </c>
    </row>
    <row r="24" spans="1:12">
      <c r="A24" s="6" t="str">
        <f>REPT(" ",Sheet2!$B$3-LEN(Sheet2!B24))&amp;Sheet2!B24</f>
        <v xml:space="preserve">   88</v>
      </c>
      <c r="B24" s="6" t="str">
        <f>REPT(" ",Sheet2!$C$3-LEN(Sheet2!C24))&amp;Sheet2!C24</f>
        <v xml:space="preserve"> ExitIfNim</v>
      </c>
      <c r="C24" s="5" t="str">
        <f>IF(Sheet2!D24="Std","FALSE",
IF(Sheet2!D24="Both","shortcutProfile == USER_C47 || shortcutProfile == USER_R47",
"shortcutProfile == USER_"&amp;Sheet2!D24))</f>
        <v>shortcutProfile == USER_C47 || shortcutProfile == USER_R47</v>
      </c>
      <c r="D24" s="6" t="str">
        <f t="shared" si="1"/>
        <v xml:space="preserve">  shortcutProfile == USER_C47 || shortcutProfile == USER_R47</v>
      </c>
      <c r="E24" s="6" t="str">
        <f>REPT(" ",Sheet2!$E$3-LEN(Sheet2!E24))&amp;Sheet2!E24</f>
        <v xml:space="preserve">                  0b01101</v>
      </c>
      <c r="F24" s="6" t="str">
        <f>REPT(" ",Sheet2!$F$3-LEN(Sheet2!F24))&amp;Sheet2!F24</f>
        <v xml:space="preserve">        -1</v>
      </c>
      <c r="G24" s="6" t="str">
        <f>REPT(" ",Sheet2!$G$3-LEN(Sheet2!G24))&amp;Sheet2!G24</f>
        <v xml:space="preserve">         tam.mode</v>
      </c>
      <c r="H24" s="6" t="str">
        <f>REPT(" ",Sheet2!$H$3-LEN(Sheet2!H24))&amp;Sheet2!H24</f>
        <v xml:space="preserve">         KEY_COMPLEX</v>
      </c>
      <c r="I24" s="6" t="str">
        <f>REPT(" ",Sheet2!$I$3-LEN(Sheet2!I24))&amp;""""&amp;Sheet2!I24&amp;""""</f>
        <v xml:space="preserve">   ""</v>
      </c>
      <c r="J24" s="6" t="str">
        <f>REPT(" ",Sheet2!$J$3-LEN(TEXT(Sheet2!J24,"00")))&amp;""""&amp;TEXT(Sheet2!J24,"00")&amp;""""</f>
        <v xml:space="preserve"> "-01"</v>
      </c>
      <c r="K24" s="6" t="str">
        <f>REPT(" ",Sheet2!$K$3-LEN(Sheet2!K24))&amp;Sheet2!K24</f>
        <v xml:space="preserve">                     comple[X]</v>
      </c>
      <c r="L24" s="3" t="str">
        <f>IF(Sheet2!B24="","",SUBSTITUTE(SUBSTITUTE(SUBSTITUTE(SUBSTITUTE(SUBSTITUTE(SUBSTITUTE(SUBSTITUTE(SUBSTITUTE(SUBSTITUTE(SUBSTITUTE($L$1,"61",A24),"CM_NORMAL",E24),"ITM_DRG",H24),"nn = comm",K24),"exitIfNim",B24),"allowCondition",D24),"KK",J24),"9999",G24),"ITM_AAA",F24),"XX",I24))</f>
        <v>if(shortCutCommand(w, event_keyval,    88,   shortcutProfile == USER_C47 || shortcutProfile == USER_R47,  ExitIfNim,          tam.mode,    "",  "-01",                   0b01101,         -1,          KEY_COMPLEX ))        {return true;} else        //                     comple[X]</v>
      </c>
    </row>
    <row r="25" spans="1:12">
      <c r="A25" s="6" t="str">
        <f>REPT(" ",Sheet2!$B$3-LEN(Sheet2!B25))&amp;Sheet2!B25</f>
        <v xml:space="preserve">   82</v>
      </c>
      <c r="B25" s="6" t="str">
        <f>REPT(" ",Sheet2!$C$3-LEN(Sheet2!C25))&amp;Sheet2!C25</f>
        <v xml:space="preserve"> ExitIfNim</v>
      </c>
      <c r="C25" s="5" t="str">
        <f>IF(Sheet2!D25="Std","FALSE",
IF(Sheet2!D25="Both","shortcutProfile == USER_C47 || shortcutProfile == USER_R47",
"shortcutProfile == USER_"&amp;Sheet2!D25))</f>
        <v>shortcutProfile == USER_C47 || shortcutProfile == USER_R47</v>
      </c>
      <c r="D25" s="6" t="str">
        <f t="shared" si="1"/>
        <v xml:space="preserve">  shortcutProfile == USER_C47 || shortcutProfile == USER_R47</v>
      </c>
      <c r="E25" s="6" t="str">
        <f>REPT(" ",Sheet2!$E$3-LEN(Sheet2!E25))&amp;Sheet2!E25</f>
        <v xml:space="preserve">                  0b01101</v>
      </c>
      <c r="F25" s="6" t="str">
        <f>REPT(" ",Sheet2!$F$3-LEN(Sheet2!F25))&amp;Sheet2!F25</f>
        <v xml:space="preserve">        -1</v>
      </c>
      <c r="G25" s="6" t="str">
        <f>REPT(" ",Sheet2!$G$3-LEN(Sheet2!G25))&amp;Sheet2!G25</f>
        <v xml:space="preserve">         tam.mode</v>
      </c>
      <c r="H25" s="6" t="str">
        <f>REPT(" ",Sheet2!$H$3-LEN(Sheet2!H25))&amp;Sheet2!H25</f>
        <v xml:space="preserve">          ITM_toREC2</v>
      </c>
      <c r="I25" s="6" t="str">
        <f>REPT(" ",Sheet2!$I$3-LEN(Sheet2!I25))&amp;""""&amp;Sheet2!I25&amp;""""</f>
        <v xml:space="preserve">   ""</v>
      </c>
      <c r="J25" s="6" t="str">
        <f>REPT(" ",Sheet2!$J$3-LEN(TEXT(Sheet2!J25,"00")))&amp;""""&amp;TEXT(Sheet2!J25,"00")&amp;""""</f>
        <v xml:space="preserve"> "-01"</v>
      </c>
      <c r="K25" s="6" t="str">
        <f>REPT(" ",Sheet2!$K$3-LEN(Sheet2!K25))&amp;Sheet2!K25</f>
        <v xml:space="preserve">                           -&gt;R</v>
      </c>
      <c r="L25" s="3" t="str">
        <f>IF(Sheet2!B25="","",SUBSTITUTE(SUBSTITUTE(SUBSTITUTE(SUBSTITUTE(SUBSTITUTE(SUBSTITUTE(SUBSTITUTE(SUBSTITUTE(SUBSTITUTE(SUBSTITUTE($L$1,"61",A25),"CM_NORMAL",E25),"ITM_DRG",H25),"nn = comm",K25),"exitIfNim",B25),"allowCondition",D25),"KK",J25),"9999",G25),"ITM_AAA",F25),"XX",I25))</f>
        <v>if(shortCutCommand(w, event_keyval,    82,   shortcutProfile == USER_C47 || shortcutProfile == USER_R47,  ExitIfNim,          tam.mode,    "",  "-01",                   0b01101,         -1,           ITM_toREC2 ))        {return true;} else        //                           -&gt;R</v>
      </c>
    </row>
    <row r="26" spans="1:12">
      <c r="A26" s="6" t="str">
        <f>REPT(" ",Sheet2!$B$3-LEN(Sheet2!B26))&amp;Sheet2!B26</f>
        <v xml:space="preserve">   80</v>
      </c>
      <c r="B26" s="6" t="str">
        <f>REPT(" ",Sheet2!$C$3-LEN(Sheet2!C26))&amp;Sheet2!C26</f>
        <v xml:space="preserve"> ExitIfNim</v>
      </c>
      <c r="C26" s="5" t="str">
        <f>IF(Sheet2!D26="Std","FALSE",
IF(Sheet2!D26="Both","shortcutProfile == USER_C47 || shortcutProfile == USER_R47",
"shortcutProfile == USER_"&amp;Sheet2!D26))</f>
        <v>shortcutProfile == USER_C47 || shortcutProfile == USER_R47</v>
      </c>
      <c r="D26" s="6" t="str">
        <f t="shared" si="1"/>
        <v xml:space="preserve">  shortcutProfile == USER_C47 || shortcutProfile == USER_R47</v>
      </c>
      <c r="E26" s="6" t="str">
        <f>REPT(" ",Sheet2!$E$3-LEN(Sheet2!E26))&amp;Sheet2!E26</f>
        <v xml:space="preserve">                  0b01101</v>
      </c>
      <c r="F26" s="6" t="str">
        <f>REPT(" ",Sheet2!$F$3-LEN(Sheet2!F26))&amp;Sheet2!F26</f>
        <v xml:space="preserve">        -1</v>
      </c>
      <c r="G26" s="6" t="str">
        <f>REPT(" ",Sheet2!$G$3-LEN(Sheet2!G26))&amp;Sheet2!G26</f>
        <v xml:space="preserve">         tam.mode</v>
      </c>
      <c r="H26" s="6" t="str">
        <f>REPT(" ",Sheet2!$H$3-LEN(Sheet2!H26))&amp;Sheet2!H26</f>
        <v xml:space="preserve">          ITM_toPOL2</v>
      </c>
      <c r="I26" s="6" t="str">
        <f>REPT(" ",Sheet2!$I$3-LEN(Sheet2!I26))&amp;""""&amp;Sheet2!I26&amp;""""</f>
        <v xml:space="preserve">   ""</v>
      </c>
      <c r="J26" s="6" t="str">
        <f>REPT(" ",Sheet2!$J$3-LEN(TEXT(Sheet2!J26,"00")))&amp;""""&amp;TEXT(Sheet2!J26,"00")&amp;""""</f>
        <v xml:space="preserve"> "-01"</v>
      </c>
      <c r="K26" s="6" t="str">
        <f>REPT(" ",Sheet2!$K$3-LEN(Sheet2!K26))&amp;Sheet2!K26</f>
        <v xml:space="preserve">                           -&gt;P</v>
      </c>
      <c r="L26" s="3" t="str">
        <f>IF(Sheet2!B26="","",SUBSTITUTE(SUBSTITUTE(SUBSTITUTE(SUBSTITUTE(SUBSTITUTE(SUBSTITUTE(SUBSTITUTE(SUBSTITUTE(SUBSTITUTE(SUBSTITUTE($L$1,"61",A26),"CM_NORMAL",E26),"ITM_DRG",H26),"nn = comm",K26),"exitIfNim",B26),"allowCondition",D26),"KK",J26),"9999",G26),"ITM_AAA",F26),"XX",I26))</f>
        <v>if(shortCutCommand(w, event_keyval,    80,   shortcutProfile == USER_C47 || shortcutProfile == USER_R47,  ExitIfNim,          tam.mode,    "",  "-01",                   0b01101,         -1,           ITM_toPOL2 ))        {return true;} else        //                           -&gt;P</v>
      </c>
    </row>
    <row r="27" spans="1:12">
      <c r="A27" s="6" t="str">
        <f>REPT(" ",Sheet2!$B$3-LEN(Sheet2!B27))&amp;Sheet2!B27</f>
        <v xml:space="preserve">  112</v>
      </c>
      <c r="B27" s="6" t="str">
        <f>REPT(" ",Sheet2!$C$3-LEN(Sheet2!C27))&amp;Sheet2!C27</f>
        <v xml:space="preserve"> ExitIfNim</v>
      </c>
      <c r="C27" s="5" t="str">
        <f>IF(Sheet2!D27="Std","FALSE",
IF(Sheet2!D27="Both","shortcutProfile == USER_C47 || shortcutProfile == USER_R47",
"shortcutProfile == USER_"&amp;Sheet2!D27))</f>
        <v>shortcutProfile == USER_C47 || shortcutProfile == USER_R47</v>
      </c>
      <c r="D27" s="6" t="str">
        <f t="shared" si="1"/>
        <v xml:space="preserve">  shortcutProfile == USER_C47 || shortcutProfile == USER_R47</v>
      </c>
      <c r="E27" s="6" t="str">
        <f>REPT(" ",Sheet2!$E$3-LEN(Sheet2!E27))&amp;Sheet2!E27</f>
        <v xml:space="preserve">                  0b01101</v>
      </c>
      <c r="F27" s="6" t="str">
        <f>REPT(" ",Sheet2!$F$3-LEN(Sheet2!F27))&amp;Sheet2!F27</f>
        <v xml:space="preserve">        -1</v>
      </c>
      <c r="G27" s="6" t="str">
        <f>REPT(" ",Sheet2!$G$3-LEN(Sheet2!G27))&amp;Sheet2!G27</f>
        <v xml:space="preserve">         tam.mode</v>
      </c>
      <c r="H27" s="6" t="str">
        <f>REPT(" ",Sheet2!$H$3-LEN(Sheet2!H27))&amp;Sheet2!H27</f>
        <v xml:space="preserve">         ITM_CONSTpi</v>
      </c>
      <c r="I27" s="6" t="str">
        <f>REPT(" ",Sheet2!$I$3-LEN(Sheet2!I27))&amp;""""&amp;Sheet2!I27&amp;""""</f>
        <v xml:space="preserve">   ""</v>
      </c>
      <c r="J27" s="6" t="str">
        <f>REPT(" ",Sheet2!$J$3-LEN(TEXT(Sheet2!J27,"00")))&amp;""""&amp;TEXT(Sheet2!J27,"00")&amp;""""</f>
        <v xml:space="preserve"> "-01"</v>
      </c>
      <c r="K27" s="6" t="str">
        <f>REPT(" ",Sheet2!$K$3-LEN(Sheet2!K27))&amp;Sheet2!K27</f>
        <v xml:space="preserve">                            pi</v>
      </c>
      <c r="L27" s="3" t="str">
        <f>IF(Sheet2!B27="","",SUBSTITUTE(SUBSTITUTE(SUBSTITUTE(SUBSTITUTE(SUBSTITUTE(SUBSTITUTE(SUBSTITUTE(SUBSTITUTE(SUBSTITUTE(SUBSTITUTE($L$1,"61",A27),"CM_NORMAL",E27),"ITM_DRG",H27),"nn = comm",K27),"exitIfNim",B27),"allowCondition",D27),"KK",J27),"9999",G27),"ITM_AAA",F27),"XX",I27))</f>
        <v>if(shortCutCommand(w, event_keyval,   112,   shortcutProfile == USER_C47 || shortcutProfile == USER_R47,  ExitIfNim,          tam.mode,    "",  "-01",                   0b01101,         -1,          ITM_CONSTpi ))        {return true;} else        //                            pi</v>
      </c>
    </row>
    <row r="28" spans="1:12">
      <c r="A28" s="6" t="str">
        <f>REPT(" ",Sheet2!$B$3-LEN(Sheet2!B28))&amp;Sheet2!B28</f>
        <v xml:space="preserve">   86</v>
      </c>
      <c r="B28" s="6" t="str">
        <f>REPT(" ",Sheet2!$C$3-LEN(Sheet2!C28))&amp;Sheet2!C28</f>
        <v xml:space="preserve"> ExitIfNim</v>
      </c>
      <c r="C28" s="5" t="str">
        <f>IF(Sheet2!D28="Std","FALSE",
IF(Sheet2!D28="Both","shortcutProfile == USER_C47 || shortcutProfile == USER_R47",
"shortcutProfile == USER_"&amp;Sheet2!D28))</f>
        <v>shortcutProfile == USER_C47 || shortcutProfile == USER_R47</v>
      </c>
      <c r="D28" s="6" t="str">
        <f t="shared" si="1"/>
        <v xml:space="preserve">  shortcutProfile == USER_C47 || shortcutProfile == USER_R47</v>
      </c>
      <c r="E28" s="6" t="str">
        <f>REPT(" ",Sheet2!$E$3-LEN(Sheet2!E28))&amp;Sheet2!E28</f>
        <v xml:space="preserve">                  0b01101</v>
      </c>
      <c r="F28" s="6" t="str">
        <f>REPT(" ",Sheet2!$F$3-LEN(Sheet2!F28))&amp;Sheet2!F28</f>
        <v xml:space="preserve">        -1</v>
      </c>
      <c r="G28" s="6" t="str">
        <f>REPT(" ",Sheet2!$G$3-LEN(Sheet2!G28))&amp;Sheet2!G28</f>
        <v xml:space="preserve">         tam.mode</v>
      </c>
      <c r="H28" s="6" t="str">
        <f>REPT(" ",Sheet2!$H$3-LEN(Sheet2!H28))&amp;Sheet2!H28</f>
        <v xml:space="preserve">            ITM_1ONX</v>
      </c>
      <c r="I28" s="6" t="str">
        <f>REPT(" ",Sheet2!$I$3-LEN(Sheet2!I28))&amp;""""&amp;Sheet2!I28&amp;""""</f>
        <v xml:space="preserve">   ""</v>
      </c>
      <c r="J28" s="6" t="str">
        <f>REPT(" ",Sheet2!$J$3-LEN(TEXT(Sheet2!J28,"00")))&amp;""""&amp;TEXT(Sheet2!J28,"00")&amp;""""</f>
        <v xml:space="preserve"> "-01"</v>
      </c>
      <c r="K28" s="6" t="str">
        <f>REPT(" ",Sheet2!$K$3-LEN(Sheet2!K28))&amp;Sheet2!K28</f>
        <v xml:space="preserve">                     in[V]erse</v>
      </c>
      <c r="L28" s="3" t="str">
        <f>IF(Sheet2!B28="","",SUBSTITUTE(SUBSTITUTE(SUBSTITUTE(SUBSTITUTE(SUBSTITUTE(SUBSTITUTE(SUBSTITUTE(SUBSTITUTE(SUBSTITUTE(SUBSTITUTE($L$1,"61",A28),"CM_NORMAL",E28),"ITM_DRG",H28),"nn = comm",K28),"exitIfNim",B28),"allowCondition",D28),"KK",J28),"9999",G28),"ITM_AAA",F28),"XX",I28))</f>
        <v>if(shortCutCommand(w, event_keyval,    86,   shortcutProfile == USER_C47 || shortcutProfile == USER_R47,  ExitIfNim,          tam.mode,    "",  "-01",                   0b01101,         -1,             ITM_1ONX ))        {return true;} else        //                     in[V]erse</v>
      </c>
    </row>
    <row r="29" spans="1:12">
      <c r="A29" s="6" t="str">
        <f>REPT(" ",Sheet2!$B$3-LEN(Sheet2!B29))&amp;Sheet2!B29</f>
        <v xml:space="preserve">  121</v>
      </c>
      <c r="B29" s="6" t="str">
        <f>REPT(" ",Sheet2!$C$3-LEN(Sheet2!C29))&amp;Sheet2!C29</f>
        <v xml:space="preserve"> ExitIfNim</v>
      </c>
      <c r="C29" s="5" t="str">
        <f>IF(Sheet2!D29="Std","FALSE",
IF(Sheet2!D29="Both","shortcutProfile == USER_C47 || shortcutProfile == USER_R47",
"shortcutProfile == USER_"&amp;Sheet2!D29))</f>
        <v>shortcutProfile == USER_C47 || shortcutProfile == USER_R47</v>
      </c>
      <c r="D29" s="6" t="str">
        <f t="shared" si="1"/>
        <v xml:space="preserve">  shortcutProfile == USER_C47 || shortcutProfile == USER_R47</v>
      </c>
      <c r="E29" s="6" t="str">
        <f>REPT(" ",Sheet2!$E$3-LEN(Sheet2!E29))&amp;Sheet2!E29</f>
        <v xml:space="preserve">                  0b01101</v>
      </c>
      <c r="F29" s="6" t="str">
        <f>REPT(" ",Sheet2!$F$3-LEN(Sheet2!F29))&amp;Sheet2!F29</f>
        <v xml:space="preserve">        -1</v>
      </c>
      <c r="G29" s="6" t="str">
        <f>REPT(" ",Sheet2!$G$3-LEN(Sheet2!G29))&amp;Sheet2!G29</f>
        <v xml:space="preserve">         tam.mode</v>
      </c>
      <c r="H29" s="6" t="str">
        <f>REPT(" ",Sheet2!$H$3-LEN(Sheet2!H29))&amp;Sheet2!H29</f>
        <v xml:space="preserve">         ITM_XTHROOT</v>
      </c>
      <c r="I29" s="6" t="str">
        <f>REPT(" ",Sheet2!$I$3-LEN(Sheet2!I29))&amp;""""&amp;Sheet2!I29&amp;""""</f>
        <v xml:space="preserve">   ""</v>
      </c>
      <c r="J29" s="6" t="str">
        <f>REPT(" ",Sheet2!$J$3-LEN(TEXT(Sheet2!J29,"00")))&amp;""""&amp;TEXT(Sheet2!J29,"00")&amp;""""</f>
        <v xml:space="preserve"> "-01"</v>
      </c>
      <c r="K29" s="6" t="str">
        <f>REPT(" ",Sheet2!$K$3-LEN(Sheet2!K29))&amp;Sheet2!K29</f>
        <v xml:space="preserve">               xth root of [Y]</v>
      </c>
      <c r="L29" s="3" t="str">
        <f>IF(Sheet2!B29="","",SUBSTITUTE(SUBSTITUTE(SUBSTITUTE(SUBSTITUTE(SUBSTITUTE(SUBSTITUTE(SUBSTITUTE(SUBSTITUTE(SUBSTITUTE(SUBSTITUTE($L$1,"61",A29),"CM_NORMAL",E29),"ITM_DRG",H29),"nn = comm",K29),"exitIfNim",B29),"allowCondition",D29),"KK",J29),"9999",G29),"ITM_AAA",F29),"XX",I29))</f>
        <v>if(shortCutCommand(w, event_keyval,   121,   shortcutProfile == USER_C47 || shortcutProfile == USER_R47,  ExitIfNim,          tam.mode,    "",  "-01",                   0b01101,         -1,          ITM_XTHROOT ))        {return true;} else        //               xth root of [Y]</v>
      </c>
    </row>
    <row r="30" spans="1:12">
      <c r="A30" s="6" t="str">
        <f>REPT(" ",Sheet2!$B$3-LEN(Sheet2!B30))&amp;Sheet2!B30</f>
        <v xml:space="preserve">   67</v>
      </c>
      <c r="B30" s="6" t="str">
        <f>REPT(" ",Sheet2!$C$3-LEN(Sheet2!C30))&amp;Sheet2!C30</f>
        <v xml:space="preserve"> ExitIfNim</v>
      </c>
      <c r="C30" s="5" t="str">
        <f>IF(Sheet2!D30="Std","FALSE",
IF(Sheet2!D30="Both","shortcutProfile == USER_C47 || shortcutProfile == USER_R47",
"shortcutProfile == USER_"&amp;Sheet2!D30))</f>
        <v>shortcutProfile == USER_C47 || shortcutProfile == USER_R47</v>
      </c>
      <c r="D30" s="6" t="str">
        <f t="shared" si="1"/>
        <v xml:space="preserve">  shortcutProfile == USER_C47 || shortcutProfile == USER_R47</v>
      </c>
      <c r="E30" s="6" t="str">
        <f>REPT(" ",Sheet2!$E$3-LEN(Sheet2!E30))&amp;Sheet2!E30</f>
        <v xml:space="preserve">                  0b01101</v>
      </c>
      <c r="F30" s="6" t="str">
        <f>REPT(" ",Sheet2!$F$3-LEN(Sheet2!F30))&amp;Sheet2!F30</f>
        <v xml:space="preserve">        -1</v>
      </c>
      <c r="G30" s="6" t="str">
        <f>REPT(" ",Sheet2!$G$3-LEN(Sheet2!G30))&amp;Sheet2!G30</f>
        <v xml:space="preserve">         tam.mode</v>
      </c>
      <c r="H30" s="6" t="str">
        <f>REPT(" ",Sheet2!$H$3-LEN(Sheet2!H30))&amp;Sheet2!H30</f>
        <v xml:space="preserve">          ITM_arccos</v>
      </c>
      <c r="I30" s="6" t="str">
        <f>REPT(" ",Sheet2!$I$3-LEN(Sheet2!I30))&amp;""""&amp;Sheet2!I30&amp;""""</f>
        <v xml:space="preserve">   ""</v>
      </c>
      <c r="J30" s="6" t="str">
        <f>REPT(" ",Sheet2!$J$3-LEN(TEXT(Sheet2!J30,"00")))&amp;""""&amp;TEXT(Sheet2!J30,"00")&amp;""""</f>
        <v xml:space="preserve"> "-01"</v>
      </c>
      <c r="K30" s="6" t="str">
        <f>REPT(" ",Sheet2!$K$3-LEN(Sheet2!K30))&amp;Sheet2!K30</f>
        <v xml:space="preserve">                   arc[C]osine</v>
      </c>
      <c r="L30" s="3" t="str">
        <f>IF(Sheet2!B30="","",SUBSTITUTE(SUBSTITUTE(SUBSTITUTE(SUBSTITUTE(SUBSTITUTE(SUBSTITUTE(SUBSTITUTE(SUBSTITUTE(SUBSTITUTE(SUBSTITUTE($L$1,"61",A30),"CM_NORMAL",E30),"ITM_DRG",H30),"nn = comm",K30),"exitIfNim",B30),"allowCondition",D30),"KK",J30),"9999",G30),"ITM_AAA",F30),"XX",I30))</f>
        <v>if(shortCutCommand(w, event_keyval,    67,   shortcutProfile == USER_C47 || shortcutProfile == USER_R47,  ExitIfNim,          tam.mode,    "",  "-01",                   0b01101,         -1,           ITM_arccos ))        {return true;} else        //                   arc[C]osine</v>
      </c>
    </row>
    <row r="31" spans="1:12">
      <c r="A31" s="6" t="str">
        <f>REPT(" ",Sheet2!$B$3-LEN(Sheet2!B31))&amp;Sheet2!B31</f>
        <v xml:space="preserve">   83</v>
      </c>
      <c r="B31" s="6" t="str">
        <f>REPT(" ",Sheet2!$C$3-LEN(Sheet2!C31))&amp;Sheet2!C31</f>
        <v xml:space="preserve"> ExitIfNim</v>
      </c>
      <c r="C31" s="5" t="str">
        <f>IF(Sheet2!D31="Std","FALSE",
IF(Sheet2!D31="Both","shortcutProfile == USER_C47 || shortcutProfile == USER_R47",
"shortcutProfile == USER_"&amp;Sheet2!D31))</f>
        <v>shortcutProfile == USER_C47 || shortcutProfile == USER_R47</v>
      </c>
      <c r="D31" s="6" t="str">
        <f t="shared" si="1"/>
        <v xml:space="preserve">  shortcutProfile == USER_C47 || shortcutProfile == USER_R47</v>
      </c>
      <c r="E31" s="6" t="str">
        <f>REPT(" ",Sheet2!$E$3-LEN(Sheet2!E31))&amp;Sheet2!E31</f>
        <v xml:space="preserve">                  0b01101</v>
      </c>
      <c r="F31" s="6" t="str">
        <f>REPT(" ",Sheet2!$F$3-LEN(Sheet2!F31))&amp;Sheet2!F31</f>
        <v xml:space="preserve">        -1</v>
      </c>
      <c r="G31" s="6" t="str">
        <f>REPT(" ",Sheet2!$G$3-LEN(Sheet2!G31))&amp;Sheet2!G31</f>
        <v xml:space="preserve">         tam.mode</v>
      </c>
      <c r="H31" s="6" t="str">
        <f>REPT(" ",Sheet2!$H$3-LEN(Sheet2!H31))&amp;Sheet2!H31</f>
        <v xml:space="preserve">          ITM_arcsin</v>
      </c>
      <c r="I31" s="6" t="str">
        <f>REPT(" ",Sheet2!$I$3-LEN(Sheet2!I31))&amp;""""&amp;Sheet2!I31&amp;""""</f>
        <v xml:space="preserve">   ""</v>
      </c>
      <c r="J31" s="6" t="str">
        <f>REPT(" ",Sheet2!$J$3-LEN(TEXT(Sheet2!J31,"00")))&amp;""""&amp;TEXT(Sheet2!J31,"00")&amp;""""</f>
        <v xml:space="preserve"> "-01"</v>
      </c>
      <c r="K31" s="6" t="str">
        <f>REPT(" ",Sheet2!$K$3-LEN(Sheet2!K31))&amp;Sheet2!K31</f>
        <v xml:space="preserve">                     arc[S]ine</v>
      </c>
      <c r="L31" s="3" t="str">
        <f>IF(Sheet2!B31="","",SUBSTITUTE(SUBSTITUTE(SUBSTITUTE(SUBSTITUTE(SUBSTITUTE(SUBSTITUTE(SUBSTITUTE(SUBSTITUTE(SUBSTITUTE(SUBSTITUTE($L$1,"61",A31),"CM_NORMAL",E31),"ITM_DRG",H31),"nn = comm",K31),"exitIfNim",B31),"allowCondition",D31),"KK",J31),"9999",G31),"ITM_AAA",F31),"XX",I31))</f>
        <v>if(shortCutCommand(w, event_keyval,    83,   shortcutProfile == USER_C47 || shortcutProfile == USER_R47,  ExitIfNim,          tam.mode,    "",  "-01",                   0b01101,         -1,           ITM_arcsin ))        {return true;} else        //                     arc[S]ine</v>
      </c>
    </row>
    <row r="32" spans="1:12">
      <c r="A32" s="6" t="str">
        <f>REPT(" ",Sheet2!$B$3-LEN(Sheet2!B32))&amp;Sheet2!B32</f>
        <v xml:space="preserve">   84</v>
      </c>
      <c r="B32" s="6" t="str">
        <f>REPT(" ",Sheet2!$C$3-LEN(Sheet2!C32))&amp;Sheet2!C32</f>
        <v xml:space="preserve"> ExitIfNim</v>
      </c>
      <c r="C32" s="5" t="str">
        <f>IF(Sheet2!D32="Std","FALSE",
IF(Sheet2!D32="Both","shortcutProfile == USER_C47 || shortcutProfile == USER_R47",
"shortcutProfile == USER_"&amp;Sheet2!D32))</f>
        <v>shortcutProfile == USER_C47 || shortcutProfile == USER_R47</v>
      </c>
      <c r="D32" s="6" t="str">
        <f t="shared" si="1"/>
        <v xml:space="preserve">  shortcutProfile == USER_C47 || shortcutProfile == USER_R47</v>
      </c>
      <c r="E32" s="6" t="str">
        <f>REPT(" ",Sheet2!$E$3-LEN(Sheet2!E32))&amp;Sheet2!E32</f>
        <v xml:space="preserve">                  0b01101</v>
      </c>
      <c r="F32" s="6" t="str">
        <f>REPT(" ",Sheet2!$F$3-LEN(Sheet2!F32))&amp;Sheet2!F32</f>
        <v xml:space="preserve">        -1</v>
      </c>
      <c r="G32" s="6" t="str">
        <f>REPT(" ",Sheet2!$G$3-LEN(Sheet2!G32))&amp;Sheet2!G32</f>
        <v xml:space="preserve">         tam.mode</v>
      </c>
      <c r="H32" s="6" t="str">
        <f>REPT(" ",Sheet2!$H$3-LEN(Sheet2!H32))&amp;Sheet2!H32</f>
        <v xml:space="preserve">          ITM_arctan</v>
      </c>
      <c r="I32" s="6" t="str">
        <f>REPT(" ",Sheet2!$I$3-LEN(Sheet2!I32))&amp;""""&amp;Sheet2!I32&amp;""""</f>
        <v xml:space="preserve">   ""</v>
      </c>
      <c r="J32" s="6" t="str">
        <f>REPT(" ",Sheet2!$J$3-LEN(TEXT(Sheet2!J32,"00")))&amp;""""&amp;TEXT(Sheet2!J32,"00")&amp;""""</f>
        <v xml:space="preserve"> "-01"</v>
      </c>
      <c r="K32" s="6" t="str">
        <f>REPT(" ",Sheet2!$K$3-LEN(Sheet2!K32))&amp;Sheet2!K32</f>
        <v xml:space="preserve">                  arc[T]angent</v>
      </c>
      <c r="L32" s="3" t="str">
        <f>IF(Sheet2!B32="","",SUBSTITUTE(SUBSTITUTE(SUBSTITUTE(SUBSTITUTE(SUBSTITUTE(SUBSTITUTE(SUBSTITUTE(SUBSTITUTE(SUBSTITUTE(SUBSTITUTE($L$1,"61",A32),"CM_NORMAL",E32),"ITM_DRG",H32),"nn = comm",K32),"exitIfNim",B32),"allowCondition",D32),"KK",J32),"9999",G32),"ITM_AAA",F32),"XX",I32))</f>
        <v>if(shortCutCommand(w, event_keyval,    84,   shortcutProfile == USER_C47 || shortcutProfile == USER_R47,  ExitIfNim,          tam.mode,    "",  "-01",                   0b01101,         -1,           ITM_arctan ))        {return true;} else        //                  arc[T]angent</v>
      </c>
    </row>
    <row r="33" spans="1:12">
      <c r="A33" s="6" t="str">
        <f>REPT(" ",Sheet2!$B$3-LEN(Sheet2!B33))&amp;Sheet2!B33</f>
        <v xml:space="preserve">   76</v>
      </c>
      <c r="B33" s="6" t="str">
        <f>REPT(" ",Sheet2!$C$3-LEN(Sheet2!C33))&amp;Sheet2!C33</f>
        <v xml:space="preserve"> ExitIfNim</v>
      </c>
      <c r="C33" s="5" t="str">
        <f>IF(Sheet2!D33="Std","FALSE",
IF(Sheet2!D33="Both","shortcutProfile == USER_C47 || shortcutProfile == USER_R47",
"shortcutProfile == USER_"&amp;Sheet2!D33))</f>
        <v>shortcutProfile == USER_C47 || shortcutProfile == USER_R47</v>
      </c>
      <c r="D33" s="6" t="str">
        <f t="shared" si="1"/>
        <v xml:space="preserve">  shortcutProfile == USER_C47 || shortcutProfile == USER_R47</v>
      </c>
      <c r="E33" s="6" t="str">
        <f>REPT(" ",Sheet2!$E$3-LEN(Sheet2!E33))&amp;Sheet2!E33</f>
        <v xml:space="preserve">                  0b01101</v>
      </c>
      <c r="F33" s="6" t="str">
        <f>REPT(" ",Sheet2!$F$3-LEN(Sheet2!F33))&amp;Sheet2!F33</f>
        <v xml:space="preserve">        -1</v>
      </c>
      <c r="G33" s="6" t="str">
        <f>REPT(" ",Sheet2!$G$3-LEN(Sheet2!G33))&amp;Sheet2!G33</f>
        <v xml:space="preserve">         tam.mode</v>
      </c>
      <c r="H33" s="6" t="str">
        <f>REPT(" ",Sheet2!$H$3-LEN(Sheet2!H33))&amp;Sheet2!H33</f>
        <v xml:space="preserve">             ITM_EXP</v>
      </c>
      <c r="I33" s="6" t="str">
        <f>REPT(" ",Sheet2!$I$3-LEN(Sheet2!I33))&amp;""""&amp;Sheet2!I33&amp;""""</f>
        <v xml:space="preserve">   ""</v>
      </c>
      <c r="J33" s="6" t="str">
        <f>REPT(" ",Sheet2!$J$3-LEN(TEXT(Sheet2!J33,"00")))&amp;""""&amp;TEXT(Sheet2!J33,"00")&amp;""""</f>
        <v xml:space="preserve"> "-01"</v>
      </c>
      <c r="K33" s="6" t="str">
        <f>REPT(" ",Sheet2!$K$3-LEN(Sheet2!K33))&amp;Sheet2!K33</f>
        <v xml:space="preserve">                  anti[L]n e^x</v>
      </c>
      <c r="L33" s="3" t="str">
        <f>IF(Sheet2!B33="","",SUBSTITUTE(SUBSTITUTE(SUBSTITUTE(SUBSTITUTE(SUBSTITUTE(SUBSTITUTE(SUBSTITUTE(SUBSTITUTE(SUBSTITUTE(SUBSTITUTE($L$1,"61",A33),"CM_NORMAL",E33),"ITM_DRG",H33),"nn = comm",K33),"exitIfNim",B33),"allowCondition",D33),"KK",J33),"9999",G33),"ITM_AAA",F33),"XX",I33))</f>
        <v>if(shortCutCommand(w, event_keyval,    76,   shortcutProfile == USER_C47 || shortcutProfile == USER_R47,  ExitIfNim,          tam.mode,    "",  "-01",                   0b01101,         -1,              ITM_EXP ))        {return true;} else        //                  anti[L]n e^x</v>
      </c>
    </row>
    <row r="34" spans="1:12">
      <c r="A34" s="6" t="str">
        <f>REPT(" ",Sheet2!$B$3-LEN(Sheet2!B34))&amp;Sheet2!B34</f>
        <v xml:space="preserve">   79</v>
      </c>
      <c r="B34" s="6" t="str">
        <f>REPT(" ",Sheet2!$C$3-LEN(Sheet2!C34))&amp;Sheet2!C34</f>
        <v xml:space="preserve"> ExitIfNim</v>
      </c>
      <c r="C34" s="5" t="str">
        <f>IF(Sheet2!D34="Std","FALSE",
IF(Sheet2!D34="Both","shortcutProfile == USER_C47 || shortcutProfile == USER_R47",
"shortcutProfile == USER_"&amp;Sheet2!D34))</f>
        <v>shortcutProfile == USER_C47 || shortcutProfile == USER_R47</v>
      </c>
      <c r="D34" s="6" t="str">
        <f t="shared" si="1"/>
        <v xml:space="preserve">  shortcutProfile == USER_C47 || shortcutProfile == USER_R47</v>
      </c>
      <c r="E34" s="6" t="str">
        <f>REPT(" ",Sheet2!$E$3-LEN(Sheet2!E34))&amp;Sheet2!E34</f>
        <v xml:space="preserve">                  0b01101</v>
      </c>
      <c r="F34" s="6" t="str">
        <f>REPT(" ",Sheet2!$F$3-LEN(Sheet2!F34))&amp;Sheet2!F34</f>
        <v xml:space="preserve">        -1</v>
      </c>
      <c r="G34" s="6" t="str">
        <f>REPT(" ",Sheet2!$G$3-LEN(Sheet2!G34))&amp;Sheet2!G34</f>
        <v xml:space="preserve">         tam.mode</v>
      </c>
      <c r="H34" s="6" t="str">
        <f>REPT(" ",Sheet2!$H$3-LEN(Sheet2!H34))&amp;Sheet2!H34</f>
        <v xml:space="preserve">             ITM_10x</v>
      </c>
      <c r="I34" s="6" t="str">
        <f>REPT(" ",Sheet2!$I$3-LEN(Sheet2!I34))&amp;""""&amp;Sheet2!I34&amp;""""</f>
        <v xml:space="preserve">   ""</v>
      </c>
      <c r="J34" s="6" t="str">
        <f>REPT(" ",Sheet2!$J$3-LEN(TEXT(Sheet2!J34,"00")))&amp;""""&amp;TEXT(Sheet2!J34,"00")&amp;""""</f>
        <v xml:space="preserve"> "-01"</v>
      </c>
      <c r="K34" s="6" t="str">
        <f>REPT(" ",Sheet2!$K$3-LEN(Sheet2!K34))&amp;Sheet2!K34</f>
        <v xml:space="preserve">                antil[O]g 10^x</v>
      </c>
      <c r="L34" s="3" t="str">
        <f>IF(Sheet2!B34="","",SUBSTITUTE(SUBSTITUTE(SUBSTITUTE(SUBSTITUTE(SUBSTITUTE(SUBSTITUTE(SUBSTITUTE(SUBSTITUTE(SUBSTITUTE(SUBSTITUTE($L$1,"61",A34),"CM_NORMAL",E34),"ITM_DRG",H34),"nn = comm",K34),"exitIfNim",B34),"allowCondition",D34),"KK",J34),"9999",G34),"ITM_AAA",F34),"XX",I34))</f>
        <v>if(shortCutCommand(w, event_keyval,    79,   shortcutProfile == USER_C47 || shortcutProfile == USER_R47,  ExitIfNim,          tam.mode,    "",  "-01",                   0b01101,         -1,              ITM_10x ))        {return true;} else        //                antil[O]g 10^x</v>
      </c>
    </row>
    <row r="35" spans="1:12">
      <c r="A35" s="6" t="str">
        <f>REPT(" ",Sheet2!$B$3-LEN(Sheet2!B35))&amp;Sheet2!B35</f>
        <v xml:space="preserve">   81</v>
      </c>
      <c r="B35" s="6" t="str">
        <f>REPT(" ",Sheet2!$C$3-LEN(Sheet2!C35))&amp;Sheet2!C35</f>
        <v xml:space="preserve"> ExitIfNim</v>
      </c>
      <c r="C35" s="5" t="str">
        <f>IF(Sheet2!D35="Std","FALSE",
IF(Sheet2!D35="Both","shortcutProfile == USER_C47 || shortcutProfile == USER_R47",
"shortcutProfile == USER_"&amp;Sheet2!D35))</f>
        <v>shortcutProfile == USER_C47 || shortcutProfile == USER_R47</v>
      </c>
      <c r="D35" s="6" t="str">
        <f t="shared" si="1"/>
        <v xml:space="preserve">  shortcutProfile == USER_C47 || shortcutProfile == USER_R47</v>
      </c>
      <c r="E35" s="6" t="str">
        <f>REPT(" ",Sheet2!$E$3-LEN(Sheet2!E35))&amp;Sheet2!E35</f>
        <v xml:space="preserve">                  0b01101</v>
      </c>
      <c r="F35" s="6" t="str">
        <f>REPT(" ",Sheet2!$F$3-LEN(Sheet2!F35))&amp;Sheet2!F35</f>
        <v xml:space="preserve">        -1</v>
      </c>
      <c r="G35" s="6" t="str">
        <f>REPT(" ",Sheet2!$G$3-LEN(Sheet2!G35))&amp;Sheet2!G35</f>
        <v xml:space="preserve">         tam.mode</v>
      </c>
      <c r="H35" s="6" t="str">
        <f>REPT(" ",Sheet2!$H$3-LEN(Sheet2!H35))&amp;Sheet2!H35</f>
        <v xml:space="preserve">          ITM_SQUARE</v>
      </c>
      <c r="I35" s="6" t="str">
        <f>REPT(" ",Sheet2!$I$3-LEN(Sheet2!I35))&amp;""""&amp;Sheet2!I35&amp;""""</f>
        <v xml:space="preserve">   ""</v>
      </c>
      <c r="J35" s="6" t="str">
        <f>REPT(" ",Sheet2!$J$3-LEN(TEXT(Sheet2!J35,"00")))&amp;""""&amp;TEXT(Sheet2!J35,"00")&amp;""""</f>
        <v xml:space="preserve"> "-01"</v>
      </c>
      <c r="K35" s="6" t="str">
        <f>REPT(" ",Sheet2!$K$3-LEN(Sheet2!K35))&amp;Sheet2!K35</f>
        <v xml:space="preserve">                      s[Q]uare</v>
      </c>
      <c r="L35" s="3" t="str">
        <f>IF(Sheet2!B35="","",SUBSTITUTE(SUBSTITUTE(SUBSTITUTE(SUBSTITUTE(SUBSTITUTE(SUBSTITUTE(SUBSTITUTE(SUBSTITUTE(SUBSTITUTE(SUBSTITUTE($L$1,"61",A35),"CM_NORMAL",E35),"ITM_DRG",H35),"nn = comm",K35),"exitIfNim",B35),"allowCondition",D35),"KK",J35),"9999",G35),"ITM_AAA",F35),"XX",I35))</f>
        <v>if(shortCutCommand(w, event_keyval,    81,   shortcutProfile == USER_C47 || shortcutProfile == USER_R47,  ExitIfNim,          tam.mode,    "",  "-01",                   0b01101,         -1,           ITM_SQUARE ))        {return true;} else        //                      s[Q]uare</v>
      </c>
    </row>
    <row r="36" spans="1:12">
      <c r="A36" s="6" t="str">
        <f>REPT(" ",Sheet2!$B$3-LEN(Sheet2!B36))&amp;Sheet2!B36</f>
        <v xml:space="preserve">   68</v>
      </c>
      <c r="B36" s="6" t="str">
        <f>REPT(" ",Sheet2!$C$3-LEN(Sheet2!C36))&amp;Sheet2!C36</f>
        <v xml:space="preserve"> ExitIfNim</v>
      </c>
      <c r="C36" s="5" t="str">
        <f>IF(Sheet2!D36="Std","FALSE",
IF(Sheet2!D36="Both","shortcutProfile == USER_C47 || shortcutProfile == USER_R47",
"shortcutProfile == USER_"&amp;Sheet2!D36))</f>
        <v>shortcutProfile == USER_C47 || shortcutProfile == USER_R47</v>
      </c>
      <c r="D36" s="6" t="str">
        <f t="shared" si="1"/>
        <v xml:space="preserve">  shortcutProfile == USER_C47 || shortcutProfile == USER_R47</v>
      </c>
      <c r="E36" s="6" t="str">
        <f>REPT(" ",Sheet2!$E$3-LEN(Sheet2!E36))&amp;Sheet2!E36</f>
        <v xml:space="preserve">                  0b01101</v>
      </c>
      <c r="F36" s="6" t="str">
        <f>REPT(" ",Sheet2!$F$3-LEN(Sheet2!F36))&amp;Sheet2!F36</f>
        <v xml:space="preserve">        -1</v>
      </c>
      <c r="G36" s="6" t="str">
        <f>REPT(" ",Sheet2!$G$3-LEN(Sheet2!G36))&amp;Sheet2!G36</f>
        <v xml:space="preserve">         tam.mode</v>
      </c>
      <c r="H36" s="6" t="str">
        <f>REPT(" ",Sheet2!$H$3-LEN(Sheet2!H36))&amp;Sheet2!H36</f>
        <v xml:space="preserve">             ITM_Rup</v>
      </c>
      <c r="I36" s="6" t="str">
        <f>REPT(" ",Sheet2!$I$3-LEN(Sheet2!I36))&amp;""""&amp;Sheet2!I36&amp;""""</f>
        <v xml:space="preserve">   ""</v>
      </c>
      <c r="J36" s="6" t="str">
        <f>REPT(" ",Sheet2!$J$3-LEN(TEXT(Sheet2!J36,"00")))&amp;""""&amp;TEXT(Sheet2!J36,"00")&amp;""""</f>
        <v xml:space="preserve"> "-01"</v>
      </c>
      <c r="K36" s="6" t="str">
        <f>REPT(" ",Sheet2!$K$3-LEN(Sheet2!K36))&amp;Sheet2!K36</f>
        <v xml:space="preserve">                        Up [D]</v>
      </c>
      <c r="L36" s="3" t="str">
        <f>IF(Sheet2!B36="","",SUBSTITUTE(SUBSTITUTE(SUBSTITUTE(SUBSTITUTE(SUBSTITUTE(SUBSTITUTE(SUBSTITUTE(SUBSTITUTE(SUBSTITUTE(SUBSTITUTE($L$1,"61",A36),"CM_NORMAL",E36),"ITM_DRG",H36),"nn = comm",K36),"exitIfNim",B36),"allowCondition",D36),"KK",J36),"9999",G36),"ITM_AAA",F36),"XX",I36))</f>
        <v>if(shortCutCommand(w, event_keyval,    68,   shortcutProfile == USER_C47 || shortcutProfile == USER_R47,  ExitIfNim,          tam.mode,    "",  "-01",                   0b01101,         -1,              ITM_Rup ))        {return true;} else        //                        Up [D]</v>
      </c>
    </row>
    <row r="37" spans="1:12">
      <c r="A37" s="6" t="str">
        <f>REPT(" ",Sheet2!$B$3-LEN(Sheet2!B37))&amp;Sheet2!B37</f>
        <v xml:space="preserve">   73</v>
      </c>
      <c r="B37" s="6" t="str">
        <f>REPT(" ",Sheet2!$C$3-LEN(Sheet2!C37))&amp;Sheet2!C37</f>
        <v>!ExitIfNim</v>
      </c>
      <c r="C37" s="5" t="str">
        <f>IF(Sheet2!D37="Std","FALSE",
IF(Sheet2!D37="Both","shortcutProfile == USER_C47 || shortcutProfile == USER_R47",
"shortcutProfile == USER_"&amp;Sheet2!D37))</f>
        <v>shortcutProfile == USER_C47 || shortcutProfile == USER_R47</v>
      </c>
      <c r="D37" s="6" t="str">
        <f t="shared" si="1"/>
        <v xml:space="preserve">  shortcutProfile == USER_C47 || shortcutProfile == USER_R47</v>
      </c>
      <c r="E37" s="6" t="str">
        <f>REPT(" ",Sheet2!$E$3-LEN(Sheet2!E37))&amp;Sheet2!E37</f>
        <v xml:space="preserve">    0b0000011000000001101</v>
      </c>
      <c r="F37" s="6" t="str">
        <f>REPT(" ",Sheet2!$F$3-LEN(Sheet2!F37))&amp;Sheet2!F37</f>
        <v xml:space="preserve">        -1</v>
      </c>
      <c r="G37" s="6" t="str">
        <f>REPT(" ",Sheet2!$G$3-LEN(Sheet2!G37))&amp;Sheet2!G37</f>
        <v xml:space="preserve">            FALSE</v>
      </c>
      <c r="H37" s="6" t="str">
        <f>REPT(" ",Sheet2!$H$3-LEN(Sheet2!H37))&amp;Sheet2!H37</f>
        <v xml:space="preserve">           -MNU_DISP</v>
      </c>
      <c r="I37" s="6" t="str">
        <f>REPT(" ",Sheet2!$I$3-LEN(Sheet2!I37))&amp;""""&amp;Sheet2!I37&amp;""""</f>
        <v xml:space="preserve">   ""</v>
      </c>
      <c r="J37" s="6" t="str">
        <f>REPT(" ",Sheet2!$J$3-LEN(TEXT(Sheet2!J37,"00")))&amp;""""&amp;TEXT(Sheet2!J37,"00")&amp;""""</f>
        <v xml:space="preserve"> "-01"</v>
      </c>
      <c r="K37" s="6" t="str">
        <f>REPT(" ",Sheet2!$K$3-LEN(Sheet2!K37))&amp;Sheet2!K37</f>
        <v xml:space="preserve">                        D[I]SP</v>
      </c>
      <c r="L37" s="3" t="str">
        <f>IF(Sheet2!B37="","",SUBSTITUTE(SUBSTITUTE(SUBSTITUTE(SUBSTITUTE(SUBSTITUTE(SUBSTITUTE(SUBSTITUTE(SUBSTITUTE(SUBSTITUTE(SUBSTITUTE($L$1,"61",A37),"CM_NORMAL",E37),"ITM_DRG",H37),"nn = comm",K37),"exitIfNim",B37),"allowCondition",D37),"KK",J37),"9999",G37),"ITM_AAA",F37),"XX",I37))</f>
        <v>if(shortCutCommand(w, event_keyval,    73,   shortcutProfile == USER_C47 || shortcutProfile == USER_R47, !ExitIfNim,             FALSE,    "",  "-01",     0b0000011000000001101,         -1,            -MNU_DISP ))        {return true;} else        //                        D[I]SP</v>
      </c>
    </row>
    <row r="38" spans="1:12">
      <c r="A38" s="6" t="str">
        <f>REPT(" ",Sheet2!$B$3-LEN(Sheet2!B38))&amp;Sheet2!B38</f>
        <v xml:space="preserve">   74</v>
      </c>
      <c r="B38" s="6" t="str">
        <f>REPT(" ",Sheet2!$C$3-LEN(Sheet2!C38))&amp;Sheet2!C38</f>
        <v>!ExitIfNim</v>
      </c>
      <c r="C38" s="5" t="str">
        <f>IF(Sheet2!D38="Std","FALSE",
IF(Sheet2!D38="Both","shortcutProfile == USER_C47 || shortcutProfile == USER_R47",
"shortcutProfile == USER_"&amp;Sheet2!D38))</f>
        <v>shortcutProfile == USER_C47 || shortcutProfile == USER_R47</v>
      </c>
      <c r="D38" s="6" t="str">
        <f t="shared" si="1"/>
        <v xml:space="preserve">  shortcutProfile == USER_C47 || shortcutProfile == USER_R47</v>
      </c>
      <c r="E38" s="6" t="str">
        <f>REPT(" ",Sheet2!$E$3-LEN(Sheet2!E38))&amp;Sheet2!E38</f>
        <v xml:space="preserve">    0b0000011000000001101</v>
      </c>
      <c r="F38" s="6" t="str">
        <f>REPT(" ",Sheet2!$F$3-LEN(Sheet2!F38))&amp;Sheet2!F38</f>
        <v xml:space="preserve">        -1</v>
      </c>
      <c r="G38" s="6" t="str">
        <f>REPT(" ",Sheet2!$G$3-LEN(Sheet2!G38))&amp;Sheet2!G38</f>
        <v xml:space="preserve">            FALSE</v>
      </c>
      <c r="H38" s="6" t="str">
        <f>REPT(" ",Sheet2!$H$3-LEN(Sheet2!H38))&amp;Sheet2!H38</f>
        <v xml:space="preserve">            -MNU_EXP</v>
      </c>
      <c r="I38" s="6" t="str">
        <f>REPT(" ",Sheet2!$I$3-LEN(Sheet2!I38))&amp;""""&amp;Sheet2!I38&amp;""""</f>
        <v xml:space="preserve">   ""</v>
      </c>
      <c r="J38" s="6" t="str">
        <f>REPT(" ",Sheet2!$J$3-LEN(TEXT(Sheet2!J38,"00")))&amp;""""&amp;TEXT(Sheet2!J38,"00")&amp;""""</f>
        <v xml:space="preserve"> "-01"</v>
      </c>
      <c r="K38" s="6" t="str">
        <f>REPT(" ",Sheet2!$K$3-LEN(Sheet2!K38))&amp;Sheet2!K38</f>
        <v xml:space="preserve">                           EXP</v>
      </c>
      <c r="L38" s="3" t="str">
        <f>IF(Sheet2!B38="","",SUBSTITUTE(SUBSTITUTE(SUBSTITUTE(SUBSTITUTE(SUBSTITUTE(SUBSTITUTE(SUBSTITUTE(SUBSTITUTE(SUBSTITUTE(SUBSTITUTE($L$1,"61",A38),"CM_NORMAL",E38),"ITM_DRG",H38),"nn = comm",K38),"exitIfNim",B38),"allowCondition",D38),"KK",J38),"9999",G38),"ITM_AAA",F38),"XX",I38))</f>
        <v>if(shortCutCommand(w, event_keyval,    74,   shortcutProfile == USER_C47 || shortcutProfile == USER_R47, !ExitIfNim,             FALSE,    "",  "-01",     0b0000011000000001101,         -1,             -MNU_EXP ))        {return true;} else        //                           EXP</v>
      </c>
    </row>
    <row r="39" spans="1:12">
      <c r="A39" s="6" t="str">
        <f>REPT(" ",Sheet2!$B$3-LEN(Sheet2!B39))&amp;Sheet2!B39</f>
        <v xml:space="preserve">   75</v>
      </c>
      <c r="B39" s="6" t="str">
        <f>REPT(" ",Sheet2!$C$3-LEN(Sheet2!C39))&amp;Sheet2!C39</f>
        <v>!ExitIfNim</v>
      </c>
      <c r="C39" s="5" t="str">
        <f>IF(Sheet2!D39="Std","FALSE",
IF(Sheet2!D39="Both","shortcutProfile == USER_C47 || shortcutProfile == USER_R47",
"shortcutProfile == USER_"&amp;Sheet2!D39))</f>
        <v>shortcutProfile == USER_C47 || shortcutProfile == USER_R47</v>
      </c>
      <c r="D39" s="6" t="str">
        <f t="shared" si="1"/>
        <v xml:space="preserve">  shortcutProfile == USER_C47 || shortcutProfile == USER_R47</v>
      </c>
      <c r="E39" s="6" t="str">
        <f>REPT(" ",Sheet2!$E$3-LEN(Sheet2!E39))&amp;Sheet2!E39</f>
        <v xml:space="preserve">    0b0000011000000001101</v>
      </c>
      <c r="F39" s="6" t="str">
        <f>REPT(" ",Sheet2!$F$3-LEN(Sheet2!F39))&amp;Sheet2!F39</f>
        <v xml:space="preserve">        -1</v>
      </c>
      <c r="G39" s="6" t="str">
        <f>REPT(" ",Sheet2!$G$3-LEN(Sheet2!G39))&amp;Sheet2!G39</f>
        <v xml:space="preserve">            FALSE</v>
      </c>
      <c r="H39" s="6" t="str">
        <f>REPT(" ",Sheet2!$H$3-LEN(Sheet2!H39))&amp;Sheet2!H39</f>
        <v xml:space="preserve">            -MNU_STK</v>
      </c>
      <c r="I39" s="6" t="str">
        <f>REPT(" ",Sheet2!$I$3-LEN(Sheet2!I39))&amp;""""&amp;Sheet2!I39&amp;""""</f>
        <v xml:space="preserve">   ""</v>
      </c>
      <c r="J39" s="6" t="str">
        <f>REPT(" ",Sheet2!$J$3-LEN(TEXT(Sheet2!J39,"00")))&amp;""""&amp;TEXT(Sheet2!J39,"00")&amp;""""</f>
        <v xml:space="preserve"> "-01"</v>
      </c>
      <c r="K39" s="6" t="str">
        <f>REPT(" ",Sheet2!$K$3-LEN(Sheet2!K39))&amp;Sheet2!K39</f>
        <v xml:space="preserve">                         ST[K]</v>
      </c>
      <c r="L39" s="3" t="str">
        <f>IF(Sheet2!B39="","",SUBSTITUTE(SUBSTITUTE(SUBSTITUTE(SUBSTITUTE(SUBSTITUTE(SUBSTITUTE(SUBSTITUTE(SUBSTITUTE(SUBSTITUTE(SUBSTITUTE($L$1,"61",A39),"CM_NORMAL",E39),"ITM_DRG",H39),"nn = comm",K39),"exitIfNim",B39),"allowCondition",D39),"KK",J39),"9999",G39),"ITM_AAA",F39),"XX",I39))</f>
        <v>if(shortCutCommand(w, event_keyval,    75,   shortcutProfile == USER_C47 || shortcutProfile == USER_R47, !ExitIfNim,             FALSE,    "",  "-01",     0b0000011000000001101,         -1,             -MNU_STK ))        {return true;} else        //                         ST[K]</v>
      </c>
    </row>
    <row r="40" spans="1:12">
      <c r="A40" s="6" t="str">
        <f>REPT(" ",Sheet2!$B$3-LEN(Sheet2!B40))&amp;Sheet2!B40</f>
        <v xml:space="preserve">   77</v>
      </c>
      <c r="B40" s="6" t="str">
        <f>REPT(" ",Sheet2!$C$3-LEN(Sheet2!C40))&amp;Sheet2!C40</f>
        <v>!ExitIfNim</v>
      </c>
      <c r="C40" s="5" t="str">
        <f>IF(Sheet2!D40="Std","FALSE",
IF(Sheet2!D40="Both","shortcutProfile == USER_C47 || shortcutProfile == USER_R47",
"shortcutProfile == USER_"&amp;Sheet2!D40))</f>
        <v>shortcutProfile == USER_C47</v>
      </c>
      <c r="D40" s="6" t="str">
        <f t="shared" si="1"/>
        <v xml:space="preserve">                                 shortcutProfile == USER_C47</v>
      </c>
      <c r="E40" s="6" t="str">
        <f>REPT(" ",Sheet2!$E$3-LEN(Sheet2!E40))&amp;Sheet2!E40</f>
        <v xml:space="preserve">    0b0000011000000001101</v>
      </c>
      <c r="F40" s="6" t="str">
        <f>REPT(" ",Sheet2!$F$3-LEN(Sheet2!F40))&amp;Sheet2!F40</f>
        <v xml:space="preserve">        -1</v>
      </c>
      <c r="G40" s="6" t="str">
        <f>REPT(" ",Sheet2!$G$3-LEN(Sheet2!G40))&amp;Sheet2!G40</f>
        <v xml:space="preserve">            FALSE</v>
      </c>
      <c r="H40" s="6" t="str">
        <f>REPT(" ",Sheet2!$H$3-LEN(Sheet2!H40))&amp;Sheet2!H40</f>
        <v xml:space="preserve">           -MNU_MODE</v>
      </c>
      <c r="I40" s="6" t="str">
        <f>REPT(" ",Sheet2!$I$3-LEN(Sheet2!I40))&amp;""""&amp;Sheet2!I40&amp;""""</f>
        <v xml:space="preserve">   ""</v>
      </c>
      <c r="J40" s="6" t="str">
        <f>REPT(" ",Sheet2!$J$3-LEN(TEXT(Sheet2!J40,"00")))&amp;""""&amp;TEXT(Sheet2!J40,"00")&amp;""""</f>
        <v xml:space="preserve"> "-01"</v>
      </c>
      <c r="K40" s="6" t="str">
        <f>REPT(" ",Sheet2!$K$3-LEN(Sheet2!K40))&amp;Sheet2!K40</f>
        <v xml:space="preserve">                        [M]ODE</v>
      </c>
      <c r="L40" s="3" t="str">
        <f>IF(Sheet2!B40="","",SUBSTITUTE(SUBSTITUTE(SUBSTITUTE(SUBSTITUTE(SUBSTITUTE(SUBSTITUTE(SUBSTITUTE(SUBSTITUTE(SUBSTITUTE(SUBSTITUTE($L$1,"61",A40),"CM_NORMAL",E40),"ITM_DRG",H40),"nn = comm",K40),"exitIfNim",B40),"allowCondition",D40),"KK",J40),"9999",G40),"ITM_AAA",F40),"XX",I40))</f>
        <v>if(shortCutCommand(w, event_keyval,    77,                                  shortcutProfile == USER_C47, !ExitIfNim,             FALSE,    "",  "-01",     0b0000011000000001101,         -1,            -MNU_MODE ))        {return true;} else        //                        [M]ODE</v>
      </c>
    </row>
    <row r="41" spans="1:12">
      <c r="A41" s="6" t="str">
        <f>REPT(" ",Sheet2!$B$3-LEN(Sheet2!B41))&amp;Sheet2!B41</f>
        <v xml:space="preserve">   70</v>
      </c>
      <c r="B41" s="6" t="str">
        <f>REPT(" ",Sheet2!$C$3-LEN(Sheet2!C41))&amp;Sheet2!C41</f>
        <v>!ExitIfNim</v>
      </c>
      <c r="C41" s="5" t="str">
        <f>IF(Sheet2!D41="Std","FALSE",
IF(Sheet2!D41="Both","shortcutProfile == USER_C47 || shortcutProfile == USER_R47",
"shortcutProfile == USER_"&amp;Sheet2!D41))</f>
        <v>shortcutProfile == USER_C47 || shortcutProfile == USER_R47</v>
      </c>
      <c r="D41" s="6" t="str">
        <f t="shared" si="1"/>
        <v xml:space="preserve">  shortcutProfile == USER_C47 || shortcutProfile == USER_R47</v>
      </c>
      <c r="E41" s="6" t="str">
        <f>REPT(" ",Sheet2!$E$3-LEN(Sheet2!E41))&amp;Sheet2!E41</f>
        <v xml:space="preserve">    0b0000011000000001101</v>
      </c>
      <c r="F41" s="6" t="str">
        <f>REPT(" ",Sheet2!$F$3-LEN(Sheet2!F41))&amp;Sheet2!F41</f>
        <v xml:space="preserve">        -1</v>
      </c>
      <c r="G41" s="6" t="str">
        <f>REPT(" ",Sheet2!$G$3-LEN(Sheet2!G41))&amp;Sheet2!G41</f>
        <v xml:space="preserve">            FALSE</v>
      </c>
      <c r="H41" s="6" t="str">
        <f>REPT(" ",Sheet2!$H$3-LEN(Sheet2!H41))&amp;Sheet2!H41</f>
        <v xml:space="preserve">         -MNU_PREFIX</v>
      </c>
      <c r="I41" s="6" t="str">
        <f>REPT(" ",Sheet2!$I$3-LEN(Sheet2!I41))&amp;""""&amp;Sheet2!I41&amp;""""</f>
        <v xml:space="preserve">   ""</v>
      </c>
      <c r="J41" s="6" t="str">
        <f>REPT(" ",Sheet2!$J$3-LEN(TEXT(Sheet2!J41,"00")))&amp;""""&amp;TEXT(Sheet2!J41,"00")&amp;""""</f>
        <v xml:space="preserve"> "-01"</v>
      </c>
      <c r="K41" s="6" t="str">
        <f>REPT(" ",Sheet2!$K$3-LEN(Sheet2!K41))&amp;Sheet2!K41</f>
        <v xml:space="preserve">                      PRE[F]IX</v>
      </c>
      <c r="L41" s="3" t="str">
        <f>IF(Sheet2!B41="","",SUBSTITUTE(SUBSTITUTE(SUBSTITUTE(SUBSTITUTE(SUBSTITUTE(SUBSTITUTE(SUBSTITUTE(SUBSTITUTE(SUBSTITUTE(SUBSTITUTE($L$1,"61",A41),"CM_NORMAL",E41),"ITM_DRG",H41),"nn = comm",K41),"exitIfNim",B41),"allowCondition",D41),"KK",J41),"9999",G41),"ITM_AAA",F41),"XX",I41))</f>
        <v>if(shortCutCommand(w, event_keyval,    70,   shortcutProfile == USER_C47 || shortcutProfile == USER_R47, !ExitIfNim,             FALSE,    "",  "-01",     0b0000011000000001101,         -1,          -MNU_PREFIX ))        {return true;} else        //                      PRE[F]IX</v>
      </c>
    </row>
    <row r="42" spans="1:12">
      <c r="A42" s="6" t="str">
        <f>REPT(" ",Sheet2!$B$3-LEN(Sheet2!B42))&amp;Sheet2!B42</f>
        <v xml:space="preserve">   37</v>
      </c>
      <c r="B42" s="6" t="str">
        <f>REPT(" ",Sheet2!$C$3-LEN(Sheet2!C42))&amp;Sheet2!C42</f>
        <v xml:space="preserve"> ExitIfNim</v>
      </c>
      <c r="C42" s="5" t="str">
        <f>IF(Sheet2!D42="Std","FALSE",
IF(Sheet2!D42="Both","shortcutProfile == USER_C47 || shortcutProfile == USER_R47",
"shortcutProfile == USER_"&amp;Sheet2!D42))</f>
        <v>shortcutProfile == USER_C47 || shortcutProfile == USER_R47</v>
      </c>
      <c r="D42" s="6" t="str">
        <f t="shared" si="1"/>
        <v xml:space="preserve">  shortcutProfile == USER_C47 || shortcutProfile == USER_R47</v>
      </c>
      <c r="E42" s="6" t="str">
        <f>REPT(" ",Sheet2!$E$3-LEN(Sheet2!E42))&amp;Sheet2!E42</f>
        <v xml:space="preserve">                  0b01101</v>
      </c>
      <c r="F42" s="6" t="str">
        <f>REPT(" ",Sheet2!$F$3-LEN(Sheet2!F42))&amp;Sheet2!F42</f>
        <v xml:space="preserve">        -1</v>
      </c>
      <c r="G42" s="6" t="str">
        <f>REPT(" ",Sheet2!$G$3-LEN(Sheet2!G42))&amp;Sheet2!G42</f>
        <v xml:space="preserve">         tam.mode</v>
      </c>
      <c r="H42" s="6" t="str">
        <f>REPT(" ",Sheet2!$H$3-LEN(Sheet2!H42))&amp;Sheet2!H42</f>
        <v xml:space="preserve">              ITM_PC</v>
      </c>
      <c r="I42" s="6" t="str">
        <f>REPT(" ",Sheet2!$I$3-LEN(Sheet2!I42))&amp;""""&amp;Sheet2!I42&amp;""""</f>
        <v xml:space="preserve">   ""</v>
      </c>
      <c r="J42" s="6" t="str">
        <f>REPT(" ",Sheet2!$J$3-LEN(TEXT(Sheet2!J42,"00")))&amp;""""&amp;TEXT(Sheet2!J42,"00")&amp;""""</f>
        <v xml:space="preserve"> "-01"</v>
      </c>
      <c r="K42" s="6" t="str">
        <f>REPT(" ",Sheet2!$K$3-LEN(Sheet2!K42))&amp;Sheet2!K42</f>
        <v xml:space="preserve">                           [%]</v>
      </c>
      <c r="L42" s="3" t="str">
        <f>IF(Sheet2!B42="","",SUBSTITUTE(SUBSTITUTE(SUBSTITUTE(SUBSTITUTE(SUBSTITUTE(SUBSTITUTE(SUBSTITUTE(SUBSTITUTE(SUBSTITUTE(SUBSTITUTE($L$1,"61",A42),"CM_NORMAL",E42),"ITM_DRG",H42),"nn = comm",K42),"exitIfNim",B42),"allowCondition",D42),"KK",J42),"9999",G42),"ITM_AAA",F42),"XX",I42))</f>
        <v>if(shortCutCommand(w, event_keyval,    37,   shortcutProfile == USER_C47 || shortcutProfile == USER_R47,  ExitIfNim,          tam.mode,    "",  "-01",                   0b01101,         -1,               ITM_PC ))        {return true;} else        //                           [%]</v>
      </c>
    </row>
    <row r="43" spans="1:12">
      <c r="A43" s="6" t="str">
        <f>REPT(" ",Sheet2!$B$3-LEN(Sheet2!B43))&amp;Sheet2!B43</f>
        <v xml:space="preserve">   33</v>
      </c>
      <c r="B43" s="6" t="str">
        <f>REPT(" ",Sheet2!$C$3-LEN(Sheet2!C43))&amp;Sheet2!C43</f>
        <v xml:space="preserve"> ExitIfNim</v>
      </c>
      <c r="C43" s="5" t="str">
        <f>IF(Sheet2!D43="Std","FALSE",
IF(Sheet2!D43="Both","shortcutProfile == USER_C47 || shortcutProfile == USER_R47",
"shortcutProfile == USER_"&amp;Sheet2!D43))</f>
        <v>shortcutProfile == USER_C47 || shortcutProfile == USER_R47</v>
      </c>
      <c r="D43" s="6" t="str">
        <f t="shared" si="1"/>
        <v xml:space="preserve">  shortcutProfile == USER_C47 || shortcutProfile == USER_R47</v>
      </c>
      <c r="E43" s="6" t="str">
        <f>REPT(" ",Sheet2!$E$3-LEN(Sheet2!E43))&amp;Sheet2!E43</f>
        <v xml:space="preserve">                  0b01101</v>
      </c>
      <c r="F43" s="6" t="str">
        <f>REPT(" ",Sheet2!$F$3-LEN(Sheet2!F43))&amp;Sheet2!F43</f>
        <v xml:space="preserve">        -1</v>
      </c>
      <c r="G43" s="6" t="str">
        <f>REPT(" ",Sheet2!$G$3-LEN(Sheet2!G43))&amp;Sheet2!G43</f>
        <v xml:space="preserve">         tam.mode</v>
      </c>
      <c r="H43" s="6" t="str">
        <f>REPT(" ",Sheet2!$H$3-LEN(Sheet2!H43))&amp;Sheet2!H43</f>
        <v xml:space="preserve">           ITM_XFACT</v>
      </c>
      <c r="I43" s="6" t="str">
        <f>REPT(" ",Sheet2!$I$3-LEN(Sheet2!I43))&amp;""""&amp;Sheet2!I43&amp;""""</f>
        <v xml:space="preserve">   ""</v>
      </c>
      <c r="J43" s="6" t="str">
        <f>REPT(" ",Sheet2!$J$3-LEN(TEXT(Sheet2!J43,"00")))&amp;""""&amp;TEXT(Sheet2!J43,"00")&amp;""""</f>
        <v xml:space="preserve"> "-01"</v>
      </c>
      <c r="K43" s="6" t="str">
        <f>REPT(" ",Sheet2!$K$3-LEN(Sheet2!K43))&amp;Sheet2!K43</f>
        <v xml:space="preserve">                          x[!]</v>
      </c>
      <c r="L43" s="3" t="str">
        <f>IF(Sheet2!B43="","",SUBSTITUTE(SUBSTITUTE(SUBSTITUTE(SUBSTITUTE(SUBSTITUTE(SUBSTITUTE(SUBSTITUTE(SUBSTITUTE(SUBSTITUTE(SUBSTITUTE($L$1,"61",A43),"CM_NORMAL",E43),"ITM_DRG",H43),"nn = comm",K43),"exitIfNim",B43),"allowCondition",D43),"KK",J43),"9999",G43),"ITM_AAA",F43),"XX",I43))</f>
        <v>if(shortCutCommand(w, event_keyval,    33,   shortcutProfile == USER_C47 || shortcutProfile == USER_R47,  ExitIfNim,          tam.mode,    "",  "-01",                   0b01101,         -1,            ITM_XFACT ))        {return true;} else        //                          x[!]</v>
      </c>
    </row>
    <row r="44" spans="1:12">
      <c r="A44" s="6" t="str">
        <f>REPT(" ",Sheet2!$B$3-LEN(Sheet2!B44))&amp;Sheet2!B44</f>
        <v xml:space="preserve">   85</v>
      </c>
      <c r="B44" s="6" t="str">
        <f>REPT(" ",Sheet2!$C$3-LEN(Sheet2!C44))&amp;Sheet2!C44</f>
        <v xml:space="preserve"> ExitIfNim</v>
      </c>
      <c r="C44" s="5" t="str">
        <f>IF(Sheet2!D44="Std","FALSE",
IF(Sheet2!D44="Both","shortcutProfile == USER_C47 || shortcutProfile == USER_R47",
"shortcutProfile == USER_"&amp;Sheet2!D44))</f>
        <v>shortcutProfile == USER_C47 || shortcutProfile == USER_R47</v>
      </c>
      <c r="D44" s="6" t="str">
        <f t="shared" si="1"/>
        <v xml:space="preserve">  shortcutProfile == USER_C47 || shortcutProfile == USER_R47</v>
      </c>
      <c r="E44" s="6" t="str">
        <f>REPT(" ",Sheet2!$E$3-LEN(Sheet2!E44))&amp;Sheet2!E44</f>
        <v xml:space="preserve">                   0xffff</v>
      </c>
      <c r="F44" s="6" t="str">
        <f>REPT(" ",Sheet2!$F$3-LEN(Sheet2!F44))&amp;Sheet2!F44</f>
        <v xml:space="preserve">        -1</v>
      </c>
      <c r="G44" s="6" t="str">
        <f>REPT(" ",Sheet2!$G$3-LEN(Sheet2!G44))&amp;Sheet2!G44</f>
        <v xml:space="preserve">            FALSE</v>
      </c>
      <c r="H44" s="6" t="str">
        <f>REPT(" ",Sheet2!$H$3-LEN(Sheet2!H44))&amp;Sheet2!H44</f>
        <v xml:space="preserve">        ITM_USERMODE</v>
      </c>
      <c r="I44" s="6" t="str">
        <f>REPT(" ",Sheet2!$I$3-LEN(Sheet2!I44))&amp;""""&amp;Sheet2!I44&amp;""""</f>
        <v xml:space="preserve">   ""</v>
      </c>
      <c r="J44" s="6" t="str">
        <f>REPT(" ",Sheet2!$J$3-LEN(TEXT(Sheet2!J44,"00")))&amp;""""&amp;TEXT(Sheet2!J44,"00")&amp;""""</f>
        <v xml:space="preserve"> "-01"</v>
      </c>
      <c r="K44" s="6" t="str">
        <f>REPT(" ",Sheet2!$K$3-LEN(Sheet2!K44))&amp;Sheet2!K44</f>
        <v xml:space="preserve">                        [U]SER</v>
      </c>
      <c r="L44" s="3" t="str">
        <f>IF(Sheet2!B44="","",SUBSTITUTE(SUBSTITUTE(SUBSTITUTE(SUBSTITUTE(SUBSTITUTE(SUBSTITUTE(SUBSTITUTE(SUBSTITUTE(SUBSTITUTE(SUBSTITUTE($L$1,"61",A44),"CM_NORMAL",E44),"ITM_DRG",H44),"nn = comm",K44),"exitIfNim",B44),"allowCondition",D44),"KK",J44),"9999",G44),"ITM_AAA",F44),"XX",I44))</f>
        <v>if(shortCutCommand(w, event_keyval,    85,   shortcutProfile == USER_C47 || shortcutProfile == USER_R47,  ExitIfNim,             FALSE,    "",  "-01",                    0xffff,         -1,         ITM_USERMODE ))        {return true;} else        //                        [U]SER</v>
      </c>
    </row>
    <row r="45" spans="1:12">
      <c r="A45" s="6" t="str">
        <f>REPT(" ",Sheet2!$B$3-LEN(Sheet2!B45))&amp;Sheet2!B45</f>
        <v xml:space="preserve">   39</v>
      </c>
      <c r="B45" s="6" t="str">
        <f>REPT(" ",Sheet2!$C$3-LEN(Sheet2!C45))&amp;Sheet2!C45</f>
        <v xml:space="preserve"> ExitIfNim</v>
      </c>
      <c r="C45" s="5" t="str">
        <f>IF(Sheet2!D45="Std","FALSE",
IF(Sheet2!D45="Both","shortcutProfile == USER_C47 || shortcutProfile == USER_R47",
"shortcutProfile == USER_"&amp;Sheet2!D45))</f>
        <v>shortcutProfile == USER_C47</v>
      </c>
      <c r="D45" s="6" t="str">
        <f t="shared" si="1"/>
        <v xml:space="preserve">                                 shortcutProfile == USER_C47</v>
      </c>
      <c r="E45" s="6" t="str">
        <f>REPT(" ",Sheet2!$E$3-LEN(Sheet2!E45))&amp;Sheet2!E45</f>
        <v xml:space="preserve">                  0b01101</v>
      </c>
      <c r="F45" s="6" t="str">
        <f>REPT(" ",Sheet2!$F$3-LEN(Sheet2!F45))&amp;Sheet2!F45</f>
        <v xml:space="preserve">        -1</v>
      </c>
      <c r="G45" s="6" t="str">
        <f>REPT(" ",Sheet2!$G$3-LEN(Sheet2!G45))&amp;Sheet2!G45</f>
        <v xml:space="preserve">            FALSE</v>
      </c>
      <c r="H45" s="6" t="str">
        <f>REPT(" ",Sheet2!$H$3-LEN(Sheet2!H45))&amp;Sheet2!H45</f>
        <v xml:space="preserve">             ITM_AIM</v>
      </c>
      <c r="I45" s="6" t="str">
        <f>REPT(" ",Sheet2!$I$3-LEN(Sheet2!I45))&amp;""""&amp;Sheet2!I45&amp;""""</f>
        <v xml:space="preserve">  "f"</v>
      </c>
      <c r="J45" s="6" t="str">
        <f>REPT(" ",Sheet2!$J$3-LEN(TEXT(Sheet2!J45,"00")))&amp;""""&amp;TEXT(Sheet2!J45,"00")&amp;""""</f>
        <v xml:space="preserve">  "05"</v>
      </c>
      <c r="K45" s="6" t="str">
        <f>REPT(" ",Sheet2!$K$3-LEN(Sheet2!K45))&amp;Sheet2!K45</f>
        <v xml:space="preserve">                     alpha [']</v>
      </c>
      <c r="L45" s="3" t="str">
        <f>IF(Sheet2!B45="","",SUBSTITUTE(SUBSTITUTE(SUBSTITUTE(SUBSTITUTE(SUBSTITUTE(SUBSTITUTE(SUBSTITUTE(SUBSTITUTE(SUBSTITUTE(SUBSTITUTE($L$1,"61",A45),"CM_NORMAL",E45),"ITM_DRG",H45),"nn = comm",K45),"exitIfNim",B45),"allowCondition",D45),"KK",J45),"9999",G45),"ITM_AAA",F45),"XX",I45))</f>
        <v>if(shortCutCommand(w, event_keyval,    39,                                  shortcutProfile == USER_C47,  ExitIfNim,             FALSE,   "f",   "05",                   0b01101,         -1,              ITM_AIM ))        {return true;} else        //                     alpha [']</v>
      </c>
    </row>
    <row r="46" spans="1:12">
      <c r="A46" s="6" t="str">
        <f>REPT(" ",Sheet2!$B$3-LEN(Sheet2!B46))&amp;Sheet2!B46</f>
        <v xml:space="preserve">   71</v>
      </c>
      <c r="B46" s="6" t="str">
        <f>REPT(" ",Sheet2!$C$3-LEN(Sheet2!C46))&amp;Sheet2!C46</f>
        <v xml:space="preserve"> ExitIfNim</v>
      </c>
      <c r="C46" s="5" t="str">
        <f>IF(Sheet2!D46="Std","FALSE",
IF(Sheet2!D46="Both","shortcutProfile == USER_C47 || shortcutProfile == USER_R47",
"shortcutProfile == USER_"&amp;Sheet2!D46))</f>
        <v>shortcutProfile == USER_C47</v>
      </c>
      <c r="D46" s="6" t="str">
        <f t="shared" si="1"/>
        <v xml:space="preserve">                                 shortcutProfile == USER_C47</v>
      </c>
      <c r="E46" s="6" t="str">
        <f>REPT(" ",Sheet2!$E$3-LEN(Sheet2!E46))&amp;Sheet2!E46</f>
        <v xml:space="preserve">                  0b01101</v>
      </c>
      <c r="F46" s="6" t="str">
        <f>REPT(" ",Sheet2!$F$3-LEN(Sheet2!F46))&amp;Sheet2!F46</f>
        <v xml:space="preserve">        -1</v>
      </c>
      <c r="G46" s="6" t="str">
        <f>REPT(" ",Sheet2!$G$3-LEN(Sheet2!G46))&amp;Sheet2!G46</f>
        <v xml:space="preserve">            FALSE</v>
      </c>
      <c r="H46" s="6" t="str">
        <f>REPT(" ",Sheet2!$H$3-LEN(Sheet2!H46))&amp;Sheet2!H46</f>
        <v xml:space="preserve">             ITM_GTO</v>
      </c>
      <c r="I46" s="6" t="str">
        <f>REPT(" ",Sheet2!$I$3-LEN(Sheet2!I46))&amp;""""&amp;Sheet2!I46&amp;""""</f>
        <v xml:space="preserve">  "g"</v>
      </c>
      <c r="J46" s="6" t="str">
        <f>REPT(" ",Sheet2!$J$3-LEN(TEXT(Sheet2!J46,"00")))&amp;""""&amp;TEXT(Sheet2!J46,"00")&amp;""""</f>
        <v xml:space="preserve">  "05"</v>
      </c>
      <c r="K46" s="6" t="str">
        <f>REPT(" ",Sheet2!$K$3-LEN(Sheet2!K46))&amp;Sheet2!K46</f>
        <v xml:space="preserve">                         [g]TO</v>
      </c>
      <c r="L46" s="3" t="str">
        <f>IF(Sheet2!B46="","",SUBSTITUTE(SUBSTITUTE(SUBSTITUTE(SUBSTITUTE(SUBSTITUTE(SUBSTITUTE(SUBSTITUTE(SUBSTITUTE(SUBSTITUTE(SUBSTITUTE($L$1,"61",A46),"CM_NORMAL",E46),"ITM_DRG",H46),"nn = comm",K46),"exitIfNim",B46),"allowCondition",D46),"KK",J46),"9999",G46),"ITM_AAA",F46),"XX",I46))</f>
        <v>if(shortCutCommand(w, event_keyval,    71,                                  shortcutProfile == USER_C47,  ExitIfNim,             FALSE,   "g",   "05",                   0b01101,         -1,              ITM_GTO ))        {return true;} else        //                         [g]TO</v>
      </c>
    </row>
    <row r="47" spans="1:12">
      <c r="A47" s="6" t="str">
        <f>REPT(" ",Sheet2!$B$3-LEN(Sheet2!B47))&amp;Sheet2!B47</f>
        <v xml:space="preserve">   65</v>
      </c>
      <c r="B47" s="6" t="str">
        <f>REPT(" ",Sheet2!$C$3-LEN(Sheet2!C47))&amp;Sheet2!C47</f>
        <v xml:space="preserve"> ExitIfNim</v>
      </c>
      <c r="C47" s="5" t="str">
        <f>IF(Sheet2!D47="Std","FALSE",
IF(Sheet2!D47="Both","shortcutProfile == USER_C47 || shortcutProfile == USER_R47",
"shortcutProfile == USER_"&amp;Sheet2!D47))</f>
        <v>shortcutProfile == USER_C47 || shortcutProfile == USER_R47</v>
      </c>
      <c r="D47" s="6" t="str">
        <f t="shared" si="1"/>
        <v xml:space="preserve">  shortcutProfile == USER_C47 || shortcutProfile == USER_R47</v>
      </c>
      <c r="E47" s="6" t="str">
        <f>REPT(" ",Sheet2!$E$3-LEN(Sheet2!E47))&amp;Sheet2!E47</f>
        <v xml:space="preserve">                  0b01101</v>
      </c>
      <c r="F47" s="6" t="str">
        <f>REPT(" ",Sheet2!$F$3-LEN(Sheet2!F47))&amp;Sheet2!F47</f>
        <v xml:space="preserve">        -1</v>
      </c>
      <c r="G47" s="6" t="str">
        <f>REPT(" ",Sheet2!$G$3-LEN(Sheet2!G47))&amp;Sheet2!G47</f>
        <v xml:space="preserve">         tam.mode</v>
      </c>
      <c r="H47" s="6" t="str">
        <f>REPT(" ",Sheet2!$H$3-LEN(Sheet2!H47))&amp;Sheet2!H47</f>
        <v xml:space="preserve">             ITM_ARG</v>
      </c>
      <c r="I47" s="6" t="str">
        <f>REPT(" ",Sheet2!$I$3-LEN(Sheet2!I47))&amp;""""&amp;Sheet2!I47&amp;""""</f>
        <v xml:space="preserve">   ""</v>
      </c>
      <c r="J47" s="6" t="str">
        <f>REPT(" ",Sheet2!$J$3-LEN(TEXT(Sheet2!J47,"00")))&amp;""""&amp;TEXT(Sheet2!J47,"00")&amp;""""</f>
        <v xml:space="preserve"> "-01"</v>
      </c>
      <c r="K47" s="6" t="str">
        <f>REPT(" ",Sheet2!$K$3-LEN(Sheet2!K47))&amp;Sheet2!K47</f>
        <v xml:space="preserve">                       [A]ngle</v>
      </c>
      <c r="L47" s="3" t="str">
        <f>IF(Sheet2!B47="","",SUBSTITUTE(SUBSTITUTE(SUBSTITUTE(SUBSTITUTE(SUBSTITUTE(SUBSTITUTE(SUBSTITUTE(SUBSTITUTE(SUBSTITUTE(SUBSTITUTE($L$1,"61",A47),"CM_NORMAL",E47),"ITM_DRG",H47),"nn = comm",K47),"exitIfNim",B47),"allowCondition",D47),"KK",J47),"9999",G47),"ITM_AAA",F47),"XX",I47))</f>
        <v>if(shortCutCommand(w, event_keyval,    65,   shortcutProfile == USER_C47 || shortcutProfile == USER_R47,  ExitIfNim,          tam.mode,    "",  "-01",                   0b01101,         -1,              ITM_ARG ))        {return true;} else        //                       [A]ngle</v>
      </c>
    </row>
    <row r="48" spans="1:12">
      <c r="A48" s="6" t="str">
        <f>REPT(" ",Sheet2!$B$3-LEN(Sheet2!B48))&amp;Sheet2!B48</f>
        <v xml:space="preserve">   90</v>
      </c>
      <c r="B48" s="6" t="str">
        <f>REPT(" ",Sheet2!$C$3-LEN(Sheet2!C48))&amp;Sheet2!C48</f>
        <v xml:space="preserve"> ExitIfNim</v>
      </c>
      <c r="C48" s="5" t="str">
        <f>IF(Sheet2!D48="Std","FALSE",
IF(Sheet2!D48="Both","shortcutProfile == USER_C47 || shortcutProfile == USER_R47",
"shortcutProfile == USER_"&amp;Sheet2!D48))</f>
        <v>shortcutProfile == USER_C47 || shortcutProfile == USER_R47</v>
      </c>
      <c r="D48" s="6" t="str">
        <f t="shared" si="1"/>
        <v xml:space="preserve">  shortcutProfile == USER_C47 || shortcutProfile == USER_R47</v>
      </c>
      <c r="E48" s="6" t="str">
        <f>REPT(" ",Sheet2!$E$3-LEN(Sheet2!E48))&amp;Sheet2!E48</f>
        <v xml:space="preserve">                  0b01101</v>
      </c>
      <c r="F48" s="6" t="str">
        <f>REPT(" ",Sheet2!$F$3-LEN(Sheet2!F48))&amp;Sheet2!F48</f>
        <v xml:space="preserve">        -1</v>
      </c>
      <c r="G48" s="6" t="str">
        <f>REPT(" ",Sheet2!$G$3-LEN(Sheet2!G48))&amp;Sheet2!G48</f>
        <v xml:space="preserve">         tam.mode</v>
      </c>
      <c r="H48" s="6" t="str">
        <f>REPT(" ",Sheet2!$H$3-LEN(Sheet2!H48))&amp;Sheet2!H48</f>
        <v xml:space="preserve">       ITM_MAGNITUDE</v>
      </c>
      <c r="I48" s="6" t="str">
        <f>REPT(" ",Sheet2!$I$3-LEN(Sheet2!I48))&amp;""""&amp;Sheet2!I48&amp;""""</f>
        <v xml:space="preserve">   ""</v>
      </c>
      <c r="J48" s="6" t="str">
        <f>REPT(" ",Sheet2!$J$3-LEN(TEXT(Sheet2!J48,"00")))&amp;""""&amp;TEXT(Sheet2!J48,"00")&amp;""""</f>
        <v xml:space="preserve"> "-01"</v>
      </c>
      <c r="K48" s="6" t="str">
        <f>REPT(" ",Sheet2!$K$3-LEN(Sheet2!K48))&amp;Sheet2!K48</f>
        <v xml:space="preserve">                        Si[Z]e</v>
      </c>
      <c r="L48" s="3" t="str">
        <f>IF(Sheet2!B48="","",SUBSTITUTE(SUBSTITUTE(SUBSTITUTE(SUBSTITUTE(SUBSTITUTE(SUBSTITUTE(SUBSTITUTE(SUBSTITUTE(SUBSTITUTE(SUBSTITUTE($L$1,"61",A48),"CM_NORMAL",E48),"ITM_DRG",H48),"nn = comm",K48),"exitIfNim",B48),"allowCondition",D48),"KK",J48),"9999",G48),"ITM_AAA",F48),"XX",I48))</f>
        <v>if(shortCutCommand(w, event_keyval,    90,   shortcutProfile == USER_C47 || shortcutProfile == USER_R47,  ExitIfNim,          tam.mode,    "",  "-01",                   0b01101,         -1,        ITM_MAGNITUDE ))        {return true;} else        //                        Si[Z]e</v>
      </c>
    </row>
    <row r="49" spans="1:12">
      <c r="A49" s="6" t="str">
        <f>REPT(" ",Sheet2!$B$3-LEN(Sheet2!B49))&amp;Sheet2!B49</f>
        <v xml:space="preserve">  124</v>
      </c>
      <c r="B49" s="6" t="str">
        <f>REPT(" ",Sheet2!$C$3-LEN(Sheet2!C49))&amp;Sheet2!C49</f>
        <v xml:space="preserve"> ExitIfNim</v>
      </c>
      <c r="C49" s="5" t="str">
        <f>IF(Sheet2!D49="Std","FALSE",
IF(Sheet2!D49="Both","shortcutProfile == USER_C47 || shortcutProfile == USER_R47",
"shortcutProfile == USER_"&amp;Sheet2!D49))</f>
        <v>shortcutProfile == USER_C47 || shortcutProfile == USER_R47</v>
      </c>
      <c r="D49" s="6" t="str">
        <f t="shared" si="1"/>
        <v xml:space="preserve">  shortcutProfile == USER_C47 || shortcutProfile == USER_R47</v>
      </c>
      <c r="E49" s="6" t="str">
        <f>REPT(" ",Sheet2!$E$3-LEN(Sheet2!E49))&amp;Sheet2!E49</f>
        <v xml:space="preserve">                  0b01101</v>
      </c>
      <c r="F49" s="6" t="str">
        <f>REPT(" ",Sheet2!$F$3-LEN(Sheet2!F49))&amp;Sheet2!F49</f>
        <v xml:space="preserve">        -1</v>
      </c>
      <c r="G49" s="6" t="str">
        <f>REPT(" ",Sheet2!$G$3-LEN(Sheet2!G49))&amp;Sheet2!G49</f>
        <v xml:space="preserve">         tam.mode</v>
      </c>
      <c r="H49" s="6" t="str">
        <f>REPT(" ",Sheet2!$H$3-LEN(Sheet2!H49))&amp;Sheet2!H49</f>
        <v xml:space="preserve">       ITM_MAGNITUDE</v>
      </c>
      <c r="I49" s="6" t="str">
        <f>REPT(" ",Sheet2!$I$3-LEN(Sheet2!I49))&amp;""""&amp;Sheet2!I49&amp;""""</f>
        <v xml:space="preserve">   ""</v>
      </c>
      <c r="J49" s="6" t="str">
        <f>REPT(" ",Sheet2!$J$3-LEN(TEXT(Sheet2!J49,"00")))&amp;""""&amp;TEXT(Sheet2!J49,"00")&amp;""""</f>
        <v xml:space="preserve"> "-01"</v>
      </c>
      <c r="K49" s="6" t="str">
        <f>REPT(" ",Sheet2!$K$3-LEN(Sheet2!K49))&amp;Sheet2!K49</f>
        <v xml:space="preserve">                Size [|] (dup)</v>
      </c>
      <c r="L49" s="3" t="str">
        <f>IF(Sheet2!B49="","",SUBSTITUTE(SUBSTITUTE(SUBSTITUTE(SUBSTITUTE(SUBSTITUTE(SUBSTITUTE(SUBSTITUTE(SUBSTITUTE(SUBSTITUTE(SUBSTITUTE($L$1,"61",A49),"CM_NORMAL",E49),"ITM_DRG",H49),"nn = comm",K49),"exitIfNim",B49),"allowCondition",D49),"KK",J49),"9999",G49),"ITM_AAA",F49),"XX",I49))</f>
        <v>if(shortCutCommand(w, event_keyval,   124,   shortcutProfile == USER_C47 || shortcutProfile == USER_R47,  ExitIfNim,          tam.mode,    "",  "-01",                   0b01101,         -1,        ITM_MAGNITUDE ))        {return true;} else        //                Size [|] (dup)</v>
      </c>
    </row>
    <row r="50" spans="1:12">
      <c r="A50" s="6" t="str">
        <f>REPT(" ",Sheet2!$B$3-LEN(Sheet2!B50))&amp;Sheet2!B50</f>
        <v xml:space="preserve">  106</v>
      </c>
      <c r="B50" s="6" t="str">
        <f>REPT(" ",Sheet2!$C$3-LEN(Sheet2!C50))&amp;Sheet2!C50</f>
        <v xml:space="preserve"> ExitIfNim</v>
      </c>
      <c r="C50" s="5" t="str">
        <f>IF(Sheet2!D50="Std","FALSE",
IF(Sheet2!D50="Both","shortcutProfile == USER_C47 || shortcutProfile == USER_R47",
"shortcutProfile == USER_"&amp;Sheet2!D50))</f>
        <v>shortcutProfile == USER_C47 || shortcutProfile == USER_R47</v>
      </c>
      <c r="D50" s="6" t="str">
        <f t="shared" si="1"/>
        <v xml:space="preserve">  shortcutProfile == USER_C47 || shortcutProfile == USER_R47</v>
      </c>
      <c r="E50" s="6" t="str">
        <f>REPT(" ",Sheet2!$E$3-LEN(Sheet2!E50))&amp;Sheet2!E50</f>
        <v xml:space="preserve">                  0b01101</v>
      </c>
      <c r="F50" s="6" t="str">
        <f>REPT(" ",Sheet2!$F$3-LEN(Sheet2!F50))&amp;Sheet2!F50</f>
        <v xml:space="preserve">        -1</v>
      </c>
      <c r="G50" s="6" t="str">
        <f>REPT(" ",Sheet2!$G$3-LEN(Sheet2!G50))&amp;Sheet2!G50</f>
        <v xml:space="preserve">         tam.mode</v>
      </c>
      <c r="H50" s="6" t="str">
        <f>REPT(" ",Sheet2!$H$3-LEN(Sheet2!H50))&amp;Sheet2!H50</f>
        <v xml:space="preserve">            ITM_op_j</v>
      </c>
      <c r="I50" s="6" t="str">
        <f>REPT(" ",Sheet2!$I$3-LEN(Sheet2!I50))&amp;""""&amp;Sheet2!I50&amp;""""</f>
        <v xml:space="preserve">   ""</v>
      </c>
      <c r="J50" s="6" t="str">
        <f>REPT(" ",Sheet2!$J$3-LEN(TEXT(Sheet2!J50,"00")))&amp;""""&amp;TEXT(Sheet2!J50,"00")&amp;""""</f>
        <v xml:space="preserve"> "-01"</v>
      </c>
      <c r="K50" s="6" t="str">
        <f>REPT(" ",Sheet2!$K$3-LEN(Sheet2!K50))&amp;Sheet2!K50</f>
        <v xml:space="preserve">                             j</v>
      </c>
      <c r="L50" s="3" t="str">
        <f>IF(Sheet2!B50="","",SUBSTITUTE(SUBSTITUTE(SUBSTITUTE(SUBSTITUTE(SUBSTITUTE(SUBSTITUTE(SUBSTITUTE(SUBSTITUTE(SUBSTITUTE(SUBSTITUTE($L$1,"61",A50),"CM_NORMAL",E50),"ITM_DRG",H50),"nn = comm",K50),"exitIfNim",B50),"allowCondition",D50),"KK",J50),"9999",G50),"ITM_AAA",F50),"XX",I50))</f>
        <v>if(shortCutCommand(w, event_keyval,   106,   shortcutProfile == USER_C47 || shortcutProfile == USER_R47,  ExitIfNim,          tam.mode,    "",  "-01",                   0b01101,         -1,             ITM_op_j ))        {return true;} else        //                             j</v>
      </c>
    </row>
    <row r="51" spans="1:12">
      <c r="A51" s="6" t="str">
        <f>REPT(" ",Sheet2!$B$3-LEN(Sheet2!B51))&amp;Sheet2!B51</f>
        <v>65476</v>
      </c>
      <c r="B51" s="6" t="str">
        <f>REPT(" ",Sheet2!$C$3-LEN(Sheet2!C51))&amp;Sheet2!C51</f>
        <v xml:space="preserve"> ExitIfNim</v>
      </c>
      <c r="C51" s="5" t="str">
        <f>IF(Sheet2!D51="Std","FALSE",
IF(Sheet2!D51="Both","shortcutProfile == USER_C47 || shortcutProfile == USER_R47",
"shortcutProfile == USER_"&amp;Sheet2!D51))</f>
        <v>shortcutProfile == USER_C47 || shortcutProfile == USER_R47</v>
      </c>
      <c r="D51" s="6" t="str">
        <f t="shared" si="1"/>
        <v xml:space="preserve">  shortcutProfile == USER_C47 || shortcutProfile == USER_R47</v>
      </c>
      <c r="E51" s="6" t="str">
        <f>REPT(" ",Sheet2!$E$3-LEN(Sheet2!E51))&amp;Sheet2!E51</f>
        <v xml:space="preserve">                  0b01101</v>
      </c>
      <c r="F51" s="6" t="str">
        <f>REPT(" ",Sheet2!$F$3-LEN(Sheet2!F51))&amp;Sheet2!F51</f>
        <v xml:space="preserve">        -1</v>
      </c>
      <c r="G51" s="6" t="str">
        <f>REPT(" ",Sheet2!$G$3-LEN(Sheet2!G51))&amp;Sheet2!G51</f>
        <v xml:space="preserve">         tam.mode</v>
      </c>
      <c r="H51" s="6" t="str">
        <f>REPT(" ",Sheet2!$H$3-LEN(Sheet2!H51))&amp;Sheet2!H51</f>
        <v xml:space="preserve">          ITM_TGLFRT</v>
      </c>
      <c r="I51" s="6" t="str">
        <f>REPT(" ",Sheet2!$I$3-LEN(Sheet2!I51))&amp;""""&amp;Sheet2!I51&amp;""""</f>
        <v xml:space="preserve">   ""</v>
      </c>
      <c r="J51" s="6" t="str">
        <f>REPT(" ",Sheet2!$J$3-LEN(TEXT(Sheet2!J51,"00")))&amp;""""&amp;TEXT(Sheet2!J51,"00")&amp;""""</f>
        <v xml:space="preserve"> "-01"</v>
      </c>
      <c r="K51" s="6" t="str">
        <f>REPT(" ",Sheet2!$K$3-LEN(Sheet2!K51))&amp;Sheet2!K51</f>
        <v xml:space="preserve">                          a/bc</v>
      </c>
      <c r="L51" s="3" t="str">
        <f>IF(Sheet2!B51="","",SUBSTITUTE(SUBSTITUTE(SUBSTITUTE(SUBSTITUTE(SUBSTITUTE(SUBSTITUTE(SUBSTITUTE(SUBSTITUTE(SUBSTITUTE(SUBSTITUTE($L$1,"61",A51),"CM_NORMAL",E51),"ITM_DRG",H51),"nn = comm",K51),"exitIfNim",B51),"allowCondition",D51),"KK",J51),"9999",G51),"ITM_AAA",F51),"XX",I51))</f>
        <v>if(shortCutCommand(w, event_keyval, 65476,   shortcutProfile == USER_C47 || shortcutProfile == USER_R47,  ExitIfNim,          tam.mode,    "",  "-01",                   0b01101,         -1,           ITM_TGLFRT ))        {return true;} else        //                          a/bc</v>
      </c>
    </row>
    <row r="52" spans="1:12">
      <c r="A52" s="6" t="str">
        <f>REPT(" ",Sheet2!$B$3-LEN(Sheet2!B52))&amp;Sheet2!B52</f>
        <v>65477</v>
      </c>
      <c r="B52" s="6" t="str">
        <f>REPT(" ",Sheet2!$C$3-LEN(Sheet2!C52))&amp;Sheet2!C52</f>
        <v xml:space="preserve"> ExitIfNim</v>
      </c>
      <c r="C52" s="5" t="str">
        <f>IF(Sheet2!D52="Std","FALSE",
IF(Sheet2!D52="Both","shortcutProfile == USER_C47 || shortcutProfile == USER_R47",
"shortcutProfile == USER_"&amp;Sheet2!D52))</f>
        <v>shortcutProfile == USER_C47 || shortcutProfile == USER_R47</v>
      </c>
      <c r="D52" s="6" t="str">
        <f t="shared" si="1"/>
        <v xml:space="preserve">  shortcutProfile == USER_C47 || shortcutProfile == USER_R47</v>
      </c>
      <c r="E52" s="6" t="str">
        <f>REPT(" ",Sheet2!$E$3-LEN(Sheet2!E52))&amp;Sheet2!E52</f>
        <v xml:space="preserve">                  0b01101</v>
      </c>
      <c r="F52" s="6" t="str">
        <f>REPT(" ",Sheet2!$F$3-LEN(Sheet2!F52))&amp;Sheet2!F52</f>
        <v xml:space="preserve">        -1</v>
      </c>
      <c r="G52" s="6" t="str">
        <f>REPT(" ",Sheet2!$G$3-LEN(Sheet2!G52))&amp;Sheet2!G52</f>
        <v xml:space="preserve">         tam.mode</v>
      </c>
      <c r="H52" s="6" t="str">
        <f>REPT(" ",Sheet2!$H$3-LEN(Sheet2!H52))&amp;Sheet2!H52</f>
        <v xml:space="preserve">         ITM_HASH_JM</v>
      </c>
      <c r="I52" s="6" t="str">
        <f>REPT(" ",Sheet2!$I$3-LEN(Sheet2!I52))&amp;""""&amp;Sheet2!I52&amp;""""</f>
        <v xml:space="preserve">   ""</v>
      </c>
      <c r="J52" s="6" t="str">
        <f>REPT(" ",Sheet2!$J$3-LEN(TEXT(Sheet2!J52,"00")))&amp;""""&amp;TEXT(Sheet2!J52,"00")&amp;""""</f>
        <v xml:space="preserve"> "-01"</v>
      </c>
      <c r="K52" s="6" t="str">
        <f>REPT(" ",Sheet2!$K$3-LEN(Sheet2!K52))&amp;Sheet2!K52</f>
        <v xml:space="preserve">                             #</v>
      </c>
      <c r="L52" s="3" t="str">
        <f>IF(Sheet2!B52="","",SUBSTITUTE(SUBSTITUTE(SUBSTITUTE(SUBSTITUTE(SUBSTITUTE(SUBSTITUTE(SUBSTITUTE(SUBSTITUTE(SUBSTITUTE(SUBSTITUTE($L$1,"61",A52),"CM_NORMAL",E52),"ITM_DRG",H52),"nn = comm",K52),"exitIfNim",B52),"allowCondition",D52),"KK",J52),"9999",G52),"ITM_AAA",F52),"XX",I52))</f>
        <v>if(shortCutCommand(w, event_keyval, 65477,   shortcutProfile == USER_C47 || shortcutProfile == USER_R47,  ExitIfNim,          tam.mode,    "",  "-01",                   0b01101,         -1,          ITM_HASH_JM ))        {return true;} else        //                             #</v>
      </c>
    </row>
    <row r="53" spans="1:12">
      <c r="A53" s="6" t="str">
        <f>REPT(" ",Sheet2!$B$3-LEN(Sheet2!B53))&amp;Sheet2!B53</f>
        <v>65478</v>
      </c>
      <c r="B53" s="6" t="str">
        <f>REPT(" ",Sheet2!$C$3-LEN(Sheet2!C53))&amp;Sheet2!C53</f>
        <v xml:space="preserve"> ExitIfNim</v>
      </c>
      <c r="C53" s="5" t="str">
        <f>IF(Sheet2!D53="Std","FALSE",
IF(Sheet2!D53="Both","shortcutProfile == USER_C47 || shortcutProfile == USER_R47",
"shortcutProfile == USER_"&amp;Sheet2!D53))</f>
        <v>shortcutProfile == USER_C47 || shortcutProfile == USER_R47</v>
      </c>
      <c r="D53" s="6" t="str">
        <f t="shared" si="1"/>
        <v xml:space="preserve">  shortcutProfile == USER_C47 || shortcutProfile == USER_R47</v>
      </c>
      <c r="E53" s="6" t="str">
        <f>REPT(" ",Sheet2!$E$3-LEN(Sheet2!E53))&amp;Sheet2!E53</f>
        <v xml:space="preserve">                  0b01101</v>
      </c>
      <c r="F53" s="6" t="str">
        <f>REPT(" ",Sheet2!$F$3-LEN(Sheet2!F53))&amp;Sheet2!F53</f>
        <v xml:space="preserve">    CM_NIM</v>
      </c>
      <c r="G53" s="6" t="str">
        <f>REPT(" ",Sheet2!$G$3-LEN(Sheet2!G53))&amp;Sheet2!G53</f>
        <v xml:space="preserve">         tam.mode</v>
      </c>
      <c r="H53" s="6" t="str">
        <f>REPT(" ",Sheet2!$H$3-LEN(Sheet2!H53))&amp;Sheet2!H53</f>
        <v xml:space="preserve">              ITM_ms</v>
      </c>
      <c r="I53" s="6" t="str">
        <f>REPT(" ",Sheet2!$I$3-LEN(Sheet2!I53))&amp;""""&amp;Sheet2!I53&amp;""""</f>
        <v xml:space="preserve">   ""</v>
      </c>
      <c r="J53" s="6" t="str">
        <f>REPT(" ",Sheet2!$J$3-LEN(TEXT(Sheet2!J53,"00")))&amp;""""&amp;TEXT(Sheet2!J53,"00")&amp;""""</f>
        <v xml:space="preserve"> "-01"</v>
      </c>
      <c r="K53" s="6" t="str">
        <f>REPT(" ",Sheet2!$K$3-LEN(Sheet2!K53))&amp;Sheet2!K53</f>
        <v xml:space="preserve">                           .ms</v>
      </c>
      <c r="L53" s="3" t="str">
        <f>IF(Sheet2!B53="","",SUBSTITUTE(SUBSTITUTE(SUBSTITUTE(SUBSTITUTE(SUBSTITUTE(SUBSTITUTE(SUBSTITUTE(SUBSTITUTE(SUBSTITUTE(SUBSTITUTE($L$1,"61",A53),"CM_NORMAL",E53),"ITM_DRG",H53),"nn = comm",K53),"exitIfNim",B53),"allowCondition",D53),"KK",J53),"9999",G53),"ITM_AAA",F53),"XX",I53))</f>
        <v>if(shortCutCommand(w, event_keyval, 65478,   shortcutProfile == USER_C47 || shortcutProfile == USER_R47,  ExitIfNim,          tam.mode,    "",  "-01",                   0b01101,     CM_NIM,               ITM_ms ))        {return true;} else        //                           .ms</v>
      </c>
    </row>
    <row r="54" spans="1:12">
      <c r="A54" s="6" t="str">
        <f>REPT(" ",Sheet2!$B$3-LEN(Sheet2!B54))&amp;Sheet2!B54</f>
        <v>65479</v>
      </c>
      <c r="B54" s="6" t="str">
        <f>REPT(" ",Sheet2!$C$3-LEN(Sheet2!C54))&amp;Sheet2!C54</f>
        <v xml:space="preserve"> ExitIfNim</v>
      </c>
      <c r="C54" s="5" t="str">
        <f>IF(Sheet2!D54="Std","FALSE",
IF(Sheet2!D54="Both","shortcutProfile == USER_C47 || shortcutProfile == USER_R47",
"shortcutProfile == USER_"&amp;Sheet2!D54))</f>
        <v>shortcutProfile == USER_C47 || shortcutProfile == USER_R47</v>
      </c>
      <c r="D54" s="6" t="str">
        <f t="shared" si="1"/>
        <v xml:space="preserve">  shortcutProfile == USER_C47 || shortcutProfile == USER_R47</v>
      </c>
      <c r="E54" s="6" t="str">
        <f>REPT(" ",Sheet2!$E$3-LEN(Sheet2!E54))&amp;Sheet2!E54</f>
        <v xml:space="preserve">                  0b01101</v>
      </c>
      <c r="F54" s="6" t="str">
        <f>REPT(" ",Sheet2!$F$3-LEN(Sheet2!F54))&amp;Sheet2!F54</f>
        <v xml:space="preserve">        -1</v>
      </c>
      <c r="G54" s="6" t="str">
        <f>REPT(" ",Sheet2!$G$3-LEN(Sheet2!G54))&amp;Sheet2!G54</f>
        <v xml:space="preserve">         tam.mode</v>
      </c>
      <c r="H54" s="6" t="str">
        <f>REPT(" ",Sheet2!$H$3-LEN(Sheet2!H54))&amp;Sheet2!H54</f>
        <v xml:space="preserve">            ITM_dotD</v>
      </c>
      <c r="I54" s="6" t="str">
        <f>REPT(" ",Sheet2!$I$3-LEN(Sheet2!I54))&amp;""""&amp;Sheet2!I54&amp;""""</f>
        <v xml:space="preserve">   ""</v>
      </c>
      <c r="J54" s="6" t="str">
        <f>REPT(" ",Sheet2!$J$3-LEN(TEXT(Sheet2!J54,"00")))&amp;""""&amp;TEXT(Sheet2!J54,"00")&amp;""""</f>
        <v xml:space="preserve"> "-01"</v>
      </c>
      <c r="K54" s="6" t="str">
        <f>REPT(" ",Sheet2!$K$3-LEN(Sheet2!K54))&amp;Sheet2!K54</f>
        <v xml:space="preserve">                            .d</v>
      </c>
      <c r="L54" s="3" t="str">
        <f>IF(Sheet2!B54="","",SUBSTITUTE(SUBSTITUTE(SUBSTITUTE(SUBSTITUTE(SUBSTITUTE(SUBSTITUTE(SUBSTITUTE(SUBSTITUTE(SUBSTITUTE(SUBSTITUTE($L$1,"61",A54),"CM_NORMAL",E54),"ITM_DRG",H54),"nn = comm",K54),"exitIfNim",B54),"allowCondition",D54),"KK",J54),"9999",G54),"ITM_AAA",F54),"XX",I54))</f>
        <v>if(shortCutCommand(w, event_keyval, 65479,   shortcutProfile == USER_C47 || shortcutProfile == USER_R47,  ExitIfNim,          tam.mode,    "",  "-01",                   0b01101,         -1,             ITM_dotD ))        {return true;} else        //                            .d</v>
      </c>
    </row>
    <row r="55" spans="1:12">
      <c r="A55" s="6" t="str">
        <f>REPT(" ",Sheet2!$B$3-LEN(Sheet2!B55))&amp;Sheet2!B55</f>
        <v xml:space="preserve">   87</v>
      </c>
      <c r="B55" s="6" t="str">
        <f>REPT(" ",Sheet2!$C$3-LEN(Sheet2!C55))&amp;Sheet2!C55</f>
        <v xml:space="preserve"> ExitIfNim</v>
      </c>
      <c r="C55" s="5" t="str">
        <f>IF(Sheet2!D55="Std","FALSE",
IF(Sheet2!D55="Both","shortcutProfile == USER_C47 || shortcutProfile == USER_R47",
"shortcutProfile == USER_"&amp;Sheet2!D55))</f>
        <v>shortcutProfile == USER_C47 || shortcutProfile == USER_R47</v>
      </c>
      <c r="D55" s="6" t="str">
        <f t="shared" si="1"/>
        <v xml:space="preserve">  shortcutProfile == USER_C47 || shortcutProfile == USER_R47</v>
      </c>
      <c r="E55" s="6" t="str">
        <f>REPT(" ",Sheet2!$E$3-LEN(Sheet2!E55))&amp;Sheet2!E55</f>
        <v xml:space="preserve">                  0b01101</v>
      </c>
      <c r="F55" s="6" t="str">
        <f>REPT(" ",Sheet2!$F$3-LEN(Sheet2!F55))&amp;Sheet2!F55</f>
        <v xml:space="preserve">        -1</v>
      </c>
      <c r="G55" s="6" t="str">
        <f>REPT(" ",Sheet2!$G$3-LEN(Sheet2!G55))&amp;Sheet2!G55</f>
        <v xml:space="preserve">         tam.mode</v>
      </c>
      <c r="H55" s="6" t="str">
        <f>REPT(" ",Sheet2!$H$3-LEN(Sheet2!H55))&amp;Sheet2!H55</f>
        <v xml:space="preserve">           ITM_LASTX</v>
      </c>
      <c r="I55" s="6" t="str">
        <f>REPT(" ",Sheet2!$I$3-LEN(Sheet2!I55))&amp;""""&amp;Sheet2!I55&amp;""""</f>
        <v xml:space="preserve">   ""</v>
      </c>
      <c r="J55" s="6" t="str">
        <f>REPT(" ",Sheet2!$J$3-LEN(TEXT(Sheet2!J55,"00")))&amp;""""&amp;TEXT(Sheet2!J55,"00")&amp;""""</f>
        <v xml:space="preserve"> "-01"</v>
      </c>
      <c r="K55" s="6" t="str">
        <f>REPT(" ",Sheet2!$K$3-LEN(Sheet2!K55))&amp;Sheet2!K55</f>
        <v xml:space="preserve">                        Last X</v>
      </c>
      <c r="L55" s="3" t="str">
        <f>IF(Sheet2!B55="","",SUBSTITUTE(SUBSTITUTE(SUBSTITUTE(SUBSTITUTE(SUBSTITUTE(SUBSTITUTE(SUBSTITUTE(SUBSTITUTE(SUBSTITUTE(SUBSTITUTE($L$1,"61",A55),"CM_NORMAL",E55),"ITM_DRG",H55),"nn = comm",K55),"exitIfNim",B55),"allowCondition",D55),"KK",J55),"9999",G55),"ITM_AAA",F55),"XX",I55))</f>
        <v>if(shortCutCommand(w, event_keyval,    87,   shortcutProfile == USER_C47 || shortcutProfile == USER_R47,  ExitIfNim,          tam.mode,    "",  "-01",                   0b01101,         -1,            ITM_LASTX ))        {return true;} else        //                        Last X</v>
      </c>
    </row>
    <row r="56" spans="1:12">
      <c r="A56" s="6" t="str">
        <f>REPT(" ",Sheet2!$B$3-LEN(Sheet2!B56))&amp;Sheet2!B56</f>
        <v xml:space="preserve">   61</v>
      </c>
      <c r="B56" s="6" t="str">
        <f>REPT(" ",Sheet2!$C$3-LEN(Sheet2!C56))&amp;Sheet2!C56</f>
        <v xml:space="preserve"> ExitIfNim</v>
      </c>
      <c r="C56" s="5" t="str">
        <f>IF(Sheet2!D56="Std","FALSE",
IF(Sheet2!D56="Both","shortcutProfile == USER_C47 || shortcutProfile == USER_R47",
"shortcutProfile == USER_"&amp;Sheet2!D56))</f>
        <v>shortcutProfile == USER_C47 || shortcutProfile == USER_R47</v>
      </c>
      <c r="D56" s="6" t="str">
        <f t="shared" si="1"/>
        <v xml:space="preserve">  shortcutProfile == USER_C47 || shortcutProfile == USER_R47</v>
      </c>
      <c r="E56" s="6" t="str">
        <f>REPT(" ",Sheet2!$E$3-LEN(Sheet2!E56))&amp;Sheet2!E56</f>
        <v xml:space="preserve">                  0b01101</v>
      </c>
      <c r="F56" s="6" t="str">
        <f>REPT(" ",Sheet2!$F$3-LEN(Sheet2!F56))&amp;Sheet2!F56</f>
        <v xml:space="preserve">        -1</v>
      </c>
      <c r="G56" s="6" t="str">
        <f>REPT(" ",Sheet2!$G$3-LEN(Sheet2!G56))&amp;Sheet2!G56</f>
        <v xml:space="preserve">         tam.mode</v>
      </c>
      <c r="H56" s="6" t="str">
        <f>REPT(" ",Sheet2!$H$3-LEN(Sheet2!H56))&amp;Sheet2!H56</f>
        <v xml:space="preserve">            ITM_dotD</v>
      </c>
      <c r="I56" s="6" t="str">
        <f>REPT(" ",Sheet2!$I$3-LEN(Sheet2!I56))&amp;""""&amp;Sheet2!I56&amp;""""</f>
        <v xml:space="preserve">   ""</v>
      </c>
      <c r="J56" s="6" t="str">
        <f>REPT(" ",Sheet2!$J$3-LEN(TEXT(Sheet2!J56,"00")))&amp;""""&amp;TEXT(Sheet2!J56,"00")&amp;""""</f>
        <v xml:space="preserve"> "-01"</v>
      </c>
      <c r="K56" s="6" t="str">
        <f>REPT(" ",Sheet2!$K$3-LEN(Sheet2!K56))&amp;Sheet2!K56</f>
        <v xml:space="preserve">                      .d (dup)</v>
      </c>
      <c r="L56" s="3" t="str">
        <f>IF(Sheet2!B56="","",SUBSTITUTE(SUBSTITUTE(SUBSTITUTE(SUBSTITUTE(SUBSTITUTE(SUBSTITUTE(SUBSTITUTE(SUBSTITUTE(SUBSTITUTE(SUBSTITUTE($L$1,"61",A56),"CM_NORMAL",E56),"ITM_DRG",H56),"nn = comm",K56),"exitIfNim",B56),"allowCondition",D56),"KK",J56),"9999",G56),"ITM_AAA",F56),"XX",I56))</f>
        <v>if(shortCutCommand(w, event_keyval,    61,   shortcutProfile == USER_C47 || shortcutProfile == USER_R47,  ExitIfNim,          tam.mode,    "",  "-01",                   0b01101,         -1,             ITM_dotD ))        {return true;} else        //                      .d (dup)</v>
      </c>
    </row>
    <row r="57" spans="1:12">
      <c r="A57" s="6" t="str">
        <f>REPT(" ",Sheet2!$B$3-LEN(Sheet2!B57))&amp;Sheet2!B57</f>
        <v xml:space="preserve">   69</v>
      </c>
      <c r="B57" s="6" t="str">
        <f>REPT(" ",Sheet2!$C$3-LEN(Sheet2!C57))&amp;Sheet2!C57</f>
        <v xml:space="preserve"> ExitIfNim</v>
      </c>
      <c r="C57" s="5" t="str">
        <f>IF(Sheet2!D57="Std","FALSE",
IF(Sheet2!D57="Both","shortcutProfile == USER_C47 || shortcutProfile == USER_R47",
"shortcutProfile == USER_"&amp;Sheet2!D57))</f>
        <v>shortcutProfile == USER_C47 || shortcutProfile == USER_R47</v>
      </c>
      <c r="D57" s="6" t="str">
        <f t="shared" si="1"/>
        <v xml:space="preserve">  shortcutProfile == USER_C47 || shortcutProfile == USER_R47</v>
      </c>
      <c r="E57" s="6" t="str">
        <f>REPT(" ",Sheet2!$E$3-LEN(Sheet2!E57))&amp;Sheet2!E57</f>
        <v xml:space="preserve">                  0b01101</v>
      </c>
      <c r="F57" s="6" t="str">
        <f>REPT(" ",Sheet2!$F$3-LEN(Sheet2!F57))&amp;Sheet2!F57</f>
        <v xml:space="preserve">        -1</v>
      </c>
      <c r="G57" s="6" t="str">
        <f>REPT(" ",Sheet2!$G$3-LEN(Sheet2!G57))&amp;Sheet2!G57</f>
        <v xml:space="preserve">         tam.mode</v>
      </c>
      <c r="H57" s="6" t="str">
        <f>REPT(" ",Sheet2!$H$3-LEN(Sheet2!H57))&amp;Sheet2!H57</f>
        <v xml:space="preserve">              CST_09</v>
      </c>
      <c r="I57" s="6" t="str">
        <f>REPT(" ",Sheet2!$I$3-LEN(Sheet2!I57))&amp;""""&amp;Sheet2!I57&amp;""""</f>
        <v xml:space="preserve">   ""</v>
      </c>
      <c r="J57" s="6" t="str">
        <f>REPT(" ",Sheet2!$J$3-LEN(TEXT(Sheet2!J57,"00")))&amp;""""&amp;TEXT(Sheet2!J57,"00")&amp;""""</f>
        <v xml:space="preserve"> "-01"</v>
      </c>
      <c r="K57" s="6" t="str">
        <f>REPT(" ",Sheet2!$K$3-LEN(Sheet2!K57))&amp;Sheet2!K57</f>
        <v xml:space="preserve">                     Euler's E</v>
      </c>
      <c r="L57" s="3" t="str">
        <f>IF(Sheet2!B57="","",SUBSTITUTE(SUBSTITUTE(SUBSTITUTE(SUBSTITUTE(SUBSTITUTE(SUBSTITUTE(SUBSTITUTE(SUBSTITUTE(SUBSTITUTE(SUBSTITUTE($L$1,"61",A57),"CM_NORMAL",E57),"ITM_DRG",H57),"nn = comm",K57),"exitIfNim",B57),"allowCondition",D57),"KK",J57),"9999",G57),"ITM_AAA",F57),"XX",I57))</f>
        <v>if(shortCutCommand(w, event_keyval,    69,   shortcutProfile == USER_C47 || shortcutProfile == USER_R47,  ExitIfNim,          tam.mode,    "",  "-01",                   0b01101,         -1,               CST_09 ))        {return true;} else        //                     Euler's E</v>
      </c>
    </row>
    <row r="58" spans="1:12">
      <c r="A58" s="6" t="str">
        <f>REPT(" ",Sheet2!$B$3-LEN(Sheet2!B58))&amp;Sheet2!B58</f>
        <v xml:space="preserve">   78</v>
      </c>
      <c r="B58" s="6" t="str">
        <f>REPT(" ",Sheet2!$C$3-LEN(Sheet2!C58))&amp;Sheet2!C58</f>
        <v xml:space="preserve"> ExitIfNim</v>
      </c>
      <c r="C58" s="5" t="str">
        <f>IF(Sheet2!D58="Std","FALSE",
IF(Sheet2!D58="Both","shortcutProfile == USER_C47 || shortcutProfile == USER_R47",
"shortcutProfile == USER_"&amp;Sheet2!D58))</f>
        <v>shortcutProfile == USER_C47 || shortcutProfile == USER_R47</v>
      </c>
      <c r="D58" s="6" t="str">
        <f t="shared" si="1"/>
        <v xml:space="preserve">  shortcutProfile == USER_C47 || shortcutProfile == USER_R47</v>
      </c>
      <c r="E58" s="6" t="str">
        <f>REPT(" ",Sheet2!$E$3-LEN(Sheet2!E58))&amp;Sheet2!E58</f>
        <v xml:space="preserve">                  0b01101</v>
      </c>
      <c r="F58" s="6" t="str">
        <f>REPT(" ",Sheet2!$F$3-LEN(Sheet2!F58))&amp;Sheet2!F58</f>
        <v xml:space="preserve">    CM_PEM</v>
      </c>
      <c r="G58" s="6" t="str">
        <f>REPT(" ",Sheet2!$G$3-LEN(Sheet2!G58))&amp;Sheet2!G58</f>
        <v xml:space="preserve">            FALSE</v>
      </c>
      <c r="H58" s="6" t="str">
        <f>REPT(" ",Sheet2!$H$3-LEN(Sheet2!H58))&amp;Sheet2!H58</f>
        <v xml:space="preserve">              ITM_PR</v>
      </c>
      <c r="I58" s="6" t="str">
        <f>REPT(" ",Sheet2!$I$3-LEN(Sheet2!I58))&amp;""""&amp;Sheet2!I58&amp;""""</f>
        <v xml:space="preserve">  "f"</v>
      </c>
      <c r="J58" s="6" t="str">
        <f>REPT(" ",Sheet2!$J$3-LEN(TEXT(Sheet2!J58,"00")))&amp;""""&amp;TEXT(Sheet2!J58,"00")&amp;""""</f>
        <v xml:space="preserve">  "35"</v>
      </c>
      <c r="K58" s="6" t="str">
        <f>REPT(" ",Sheet2!$K$3-LEN(Sheet2!K58))&amp;Sheet2!K58</f>
        <v xml:space="preserve">                       PRGM N]</v>
      </c>
      <c r="L58" s="3" t="str">
        <f>IF(Sheet2!B58="","",SUBSTITUTE(SUBSTITUTE(SUBSTITUTE(SUBSTITUTE(SUBSTITUTE(SUBSTITUTE(SUBSTITUTE(SUBSTITUTE(SUBSTITUTE(SUBSTITUTE($L$1,"61",A58),"CM_NORMAL",E58),"ITM_DRG",H58),"nn = comm",K58),"exitIfNim",B58),"allowCondition",D58),"KK",J58),"9999",G58),"ITM_AAA",F58),"XX",I58))</f>
        <v>if(shortCutCommand(w, event_keyval,    78,   shortcutProfile == USER_C47 || shortcutProfile == USER_R47,  ExitIfNim,             FALSE,   "f",   "35",                   0b01101,     CM_PEM,               ITM_PR ))        {return true;} else        //                       PRGM N]</v>
      </c>
    </row>
    <row r="59" spans="1:12">
      <c r="A59" s="6" t="str">
        <f>REPT(" ",Sheet2!$B$3-LEN(Sheet2!B59))&amp;Sheet2!B59</f>
        <v xml:space="preserve">   66</v>
      </c>
      <c r="B59" s="6" t="str">
        <f>REPT(" ",Sheet2!$C$3-LEN(Sheet2!C59))&amp;Sheet2!C59</f>
        <v xml:space="preserve"> ExitIfNim</v>
      </c>
      <c r="C59" s="5" t="str">
        <f>IF(Sheet2!D59="Std","FALSE",
IF(Sheet2!D59="Both","shortcutProfile == USER_C47 || shortcutProfile == USER_R47",
"shortcutProfile == USER_"&amp;Sheet2!D59))</f>
        <v>shortcutProfile == USER_C47 || shortcutProfile == USER_R47</v>
      </c>
      <c r="D59" s="6" t="str">
        <f t="shared" si="1"/>
        <v xml:space="preserve">  shortcutProfile == USER_C47 || shortcutProfile == USER_R47</v>
      </c>
      <c r="E59" s="6" t="str">
        <f>REPT(" ",Sheet2!$E$3-LEN(Sheet2!E59))&amp;Sheet2!E59</f>
        <v xml:space="preserve">                  0b01101</v>
      </c>
      <c r="F59" s="6" t="str">
        <f>REPT(" ",Sheet2!$F$3-LEN(Sheet2!F59))&amp;Sheet2!F59</f>
        <v xml:space="preserve">    CM_PEM</v>
      </c>
      <c r="G59" s="6" t="str">
        <f>REPT(" ",Sheet2!$G$3-LEN(Sheet2!G59))&amp;Sheet2!G59</f>
        <v xml:space="preserve">         tam.mode</v>
      </c>
      <c r="H59" s="6" t="str">
        <f>REPT(" ",Sheet2!$H$3-LEN(Sheet2!H59))&amp;Sheet2!H59</f>
        <v xml:space="preserve">             ITM_LBL</v>
      </c>
      <c r="I59" s="6" t="str">
        <f>REPT(" ",Sheet2!$I$3-LEN(Sheet2!I59))&amp;""""&amp;Sheet2!I59&amp;""""</f>
        <v xml:space="preserve">   ""</v>
      </c>
      <c r="J59" s="6" t="str">
        <f>REPT(" ",Sheet2!$J$3-LEN(TEXT(Sheet2!J59,"00")))&amp;""""&amp;TEXT(Sheet2!J59,"00")&amp;""""</f>
        <v xml:space="preserve"> "-01"</v>
      </c>
      <c r="K59" s="6" t="str">
        <f>REPT(" ",Sheet2!$K$3-LEN(Sheet2!K59))&amp;Sheet2!K59</f>
        <v xml:space="preserve">                       LBL [B]</v>
      </c>
      <c r="L59" s="3" t="str">
        <f>IF(Sheet2!B59="","",SUBSTITUTE(SUBSTITUTE(SUBSTITUTE(SUBSTITUTE(SUBSTITUTE(SUBSTITUTE(SUBSTITUTE(SUBSTITUTE(SUBSTITUTE(SUBSTITUTE($L$1,"61",A59),"CM_NORMAL",E59),"ITM_DRG",H59),"nn = comm",K59),"exitIfNim",B59),"allowCondition",D59),"KK",J59),"9999",G59),"ITM_AAA",F59),"XX",I59))</f>
        <v>if(shortCutCommand(w, event_keyval,    66,   shortcutProfile == USER_C47 || shortcutProfile == USER_R47,  ExitIfNim,          tam.mode,    "",  "-01",                   0b01101,     CM_PEM,              ITM_LBL ))        {return true;} else        //                       LBL [B]</v>
      </c>
    </row>
    <row r="60" spans="1:12">
      <c r="A60" s="6" t="str">
        <f>REPT(" ",Sheet2!$B$3-LEN(Sheet2!B60))&amp;Sheet2!B60</f>
        <v xml:space="preserve">  117</v>
      </c>
      <c r="B60" s="6" t="str">
        <f>REPT(" ",Sheet2!$C$3-LEN(Sheet2!C60))&amp;Sheet2!C60</f>
        <v xml:space="preserve"> ExitIfNim</v>
      </c>
      <c r="C60" s="5" t="str">
        <f>IF(Sheet2!D60="Std","FALSE",
IF(Sheet2!D60="Both","shortcutProfile == USER_C47 || shortcutProfile == USER_R47",
"shortcutProfile == USER_"&amp;Sheet2!D60))</f>
        <v>shortcutProfile == USER_C47 || shortcutProfile == USER_R47</v>
      </c>
      <c r="D60" s="6" t="str">
        <f t="shared" si="1"/>
        <v xml:space="preserve">  shortcutProfile == USER_C47 || shortcutProfile == USER_R47</v>
      </c>
      <c r="E60" s="6" t="str">
        <f>REPT(" ",Sheet2!$E$3-LEN(Sheet2!E60))&amp;Sheet2!E60</f>
        <v xml:space="preserve">                  0b01101</v>
      </c>
      <c r="F60" s="6" t="str">
        <f>REPT(" ",Sheet2!$F$3-LEN(Sheet2!F60))&amp;Sheet2!F60</f>
        <v xml:space="preserve">    CM_PEM</v>
      </c>
      <c r="G60" s="6" t="str">
        <f>REPT(" ",Sheet2!$G$3-LEN(Sheet2!G60))&amp;Sheet2!G60</f>
        <v xml:space="preserve">            FALSE</v>
      </c>
      <c r="H60" s="6" t="str">
        <f>REPT(" ",Sheet2!$H$3-LEN(Sheet2!H60))&amp;Sheet2!H60</f>
        <v xml:space="preserve">              ITM_PR</v>
      </c>
      <c r="I60" s="6" t="str">
        <f>REPT(" ",Sheet2!$I$3-LEN(Sheet2!I60))&amp;""""&amp;Sheet2!I60&amp;""""</f>
        <v xml:space="preserve">  "f"</v>
      </c>
      <c r="J60" s="6" t="str">
        <f>REPT(" ",Sheet2!$J$3-LEN(TEXT(Sheet2!J60,"00")))&amp;""""&amp;TEXT(Sheet2!J60,"00")&amp;""""</f>
        <v xml:space="preserve">  "16"</v>
      </c>
      <c r="K60" s="6" t="str">
        <f>REPT(" ",Sheet2!$K$3-LEN(Sheet2!K60))&amp;Sheet2!K60</f>
        <v xml:space="preserve">                        [u]ndo</v>
      </c>
      <c r="L60" s="3" t="str">
        <f>IF(Sheet2!B60="","",SUBSTITUTE(SUBSTITUTE(SUBSTITUTE(SUBSTITUTE(SUBSTITUTE(SUBSTITUTE(SUBSTITUTE(SUBSTITUTE(SUBSTITUTE(SUBSTITUTE($L$1,"61",A60),"CM_NORMAL",E60),"ITM_DRG",H60),"nn = comm",K60),"exitIfNim",B60),"allowCondition",D60),"KK",J60),"9999",G60),"ITM_AAA",F60),"XX",I60))</f>
        <v>if(shortCutCommand(w, event_keyval,   117,   shortcutProfile == USER_C47 || shortcutProfile == USER_R47,  ExitIfNim,             FALSE,   "f",   "16",                   0b01101,     CM_PEM,               ITM_PR ))        {return true;} else        //                        [u]ndo</v>
      </c>
    </row>
    <row r="61" spans="1:12">
      <c r="A61" s="6" t="str">
        <f>REPT(" ",Sheet2!$B$3-LEN(Sheet2!B61))&amp;Sheet2!B61</f>
        <v xml:space="preserve">   72</v>
      </c>
      <c r="B61" s="6" t="str">
        <f>REPT(" ",Sheet2!$C$3-LEN(Sheet2!C61))&amp;Sheet2!C61</f>
        <v>!ExitIfNim</v>
      </c>
      <c r="C61" s="5" t="str">
        <f>IF(Sheet2!D61="Std","FALSE",
IF(Sheet2!D61="Both","shortcutProfile == USER_C47 || shortcutProfile == USER_R47",
"shortcutProfile == USER_"&amp;Sheet2!D61))</f>
        <v>shortcutProfile == USER_C47 || shortcutProfile == USER_R47</v>
      </c>
      <c r="D61" s="6" t="str">
        <f t="shared" si="1"/>
        <v xml:space="preserve">  shortcutProfile == USER_C47 || shortcutProfile == USER_R47</v>
      </c>
      <c r="E61" s="6" t="str">
        <f>REPT(" ",Sheet2!$E$3-LEN(Sheet2!E61))&amp;Sheet2!E61</f>
        <v xml:space="preserve">    0b0000011000000001101</v>
      </c>
      <c r="F61" s="6" t="str">
        <f>REPT(" ",Sheet2!$F$3-LEN(Sheet2!F61))&amp;Sheet2!F61</f>
        <v xml:space="preserve">        -1</v>
      </c>
      <c r="G61" s="6" t="str">
        <f>REPT(" ",Sheet2!$G$3-LEN(Sheet2!G61))&amp;Sheet2!G61</f>
        <v xml:space="preserve">            FALSE</v>
      </c>
      <c r="H61" s="6" t="str">
        <f>REPT(" ",Sheet2!$H$3-LEN(Sheet2!H61))&amp;Sheet2!H61</f>
        <v xml:space="preserve">           -MNU_HOME</v>
      </c>
      <c r="I61" s="6" t="str">
        <f>REPT(" ",Sheet2!$I$3-LEN(Sheet2!I61))&amp;""""&amp;Sheet2!I61&amp;""""</f>
        <v xml:space="preserve">   ""</v>
      </c>
      <c r="J61" s="6" t="str">
        <f>REPT(" ",Sheet2!$J$3-LEN(TEXT(Sheet2!J61,"00")))&amp;""""&amp;TEXT(Sheet2!J61,"00")&amp;""""</f>
        <v xml:space="preserve"> "-01"</v>
      </c>
      <c r="K61" s="6" t="str">
        <f>REPT(" ",Sheet2!$K$3-LEN(Sheet2!K61))&amp;Sheet2!K61</f>
        <v xml:space="preserve">                        [H]ome</v>
      </c>
      <c r="L61" s="3" t="str">
        <f>IF(Sheet2!B61="","",SUBSTITUTE(SUBSTITUTE(SUBSTITUTE(SUBSTITUTE(SUBSTITUTE(SUBSTITUTE(SUBSTITUTE(SUBSTITUTE(SUBSTITUTE(SUBSTITUTE($L$1,"61",A61),"CM_NORMAL",E61),"ITM_DRG",H61),"nn = comm",K61),"exitIfNim",B61),"allowCondition",D61),"KK",J61),"9999",G61),"ITM_AAA",F61),"XX",I61))</f>
        <v>if(shortCutCommand(w, event_keyval,    72,   shortcutProfile == USER_C47 || shortcutProfile == USER_R47, !ExitIfNim,             FALSE,    "",  "-01",     0b0000011000000001101,         -1,            -MNU_HOME ))        {return true;} else        //                        [H]ome</v>
      </c>
    </row>
    <row r="62" spans="1:12">
      <c r="A62" s="6" t="str">
        <f>REPT(" ",Sheet2!$B$3-LEN(Sheet2!B62))&amp;Sheet2!B62</f>
        <v xml:space="preserve">   98</v>
      </c>
      <c r="B62" s="6" t="str">
        <f>REPT(" ",Sheet2!$C$3-LEN(Sheet2!C62))&amp;Sheet2!C62</f>
        <v>!ExitIfNim</v>
      </c>
      <c r="C62" s="5" t="str">
        <f>IF(Sheet2!D62="Std","FALSE",
IF(Sheet2!D62="Both","shortcutProfile == USER_C47 || shortcutProfile == USER_R47",
"shortcutProfile == USER_"&amp;Sheet2!D62))</f>
        <v>shortcutProfile == USER_C47 || shortcutProfile == USER_R47</v>
      </c>
      <c r="D62" s="6" t="str">
        <f t="shared" si="1"/>
        <v xml:space="preserve">  shortcutProfile == USER_C47 || shortcutProfile == USER_R47</v>
      </c>
      <c r="E62" s="6" t="str">
        <f>REPT(" ",Sheet2!$E$3-LEN(Sheet2!E62))&amp;Sheet2!E62</f>
        <v xml:space="preserve">    0b0000011000000001101</v>
      </c>
      <c r="F62" s="6" t="str">
        <f>REPT(" ",Sheet2!$F$3-LEN(Sheet2!F62))&amp;Sheet2!F62</f>
        <v xml:space="preserve">        -1</v>
      </c>
      <c r="G62" s="6" t="str">
        <f>REPT(" ",Sheet2!$G$3-LEN(Sheet2!G62))&amp;Sheet2!G62</f>
        <v xml:space="preserve">            FALSE</v>
      </c>
      <c r="H62" s="6" t="str">
        <f>REPT(" ",Sheet2!$H$3-LEN(Sheet2!H62))&amp;Sheet2!H62</f>
        <v xml:space="preserve">         -MNU_MyMenu</v>
      </c>
      <c r="I62" s="6" t="str">
        <f>REPT(" ",Sheet2!$I$3-LEN(Sheet2!I62))&amp;""""&amp;Sheet2!I62&amp;""""</f>
        <v xml:space="preserve">   ""</v>
      </c>
      <c r="J62" s="6" t="str">
        <f>REPT(" ",Sheet2!$J$3-LEN(TEXT(Sheet2!J62,"00")))&amp;""""&amp;TEXT(Sheet2!J62,"00")&amp;""""</f>
        <v xml:space="preserve"> "-01"</v>
      </c>
      <c r="K62" s="6" t="str">
        <f>REPT(" ",Sheet2!$K$3-LEN(Sheet2!K62))&amp;Sheet2!K62</f>
        <v xml:space="preserve">                    MyMenu [b]</v>
      </c>
      <c r="L62" s="3" t="str">
        <f>IF(Sheet2!B62="","",SUBSTITUTE(SUBSTITUTE(SUBSTITUTE(SUBSTITUTE(SUBSTITUTE(SUBSTITUTE(SUBSTITUTE(SUBSTITUTE(SUBSTITUTE(SUBSTITUTE($L$1,"61",A62),"CM_NORMAL",E62),"ITM_DRG",H62),"nn = comm",K62),"exitIfNim",B62),"allowCondition",D62),"KK",J62),"9999",G62),"ITM_AAA",F62),"XX",I62))</f>
        <v>if(shortCutCommand(w, event_keyval,    98,   shortcutProfile == USER_C47 || shortcutProfile == USER_R47, !ExitIfNim,             FALSE,    "",  "-01",     0b0000011000000001101,         -1,          -MNU_MyMenu ))        {return true;} else        //                    MyMenu [b]</v>
      </c>
    </row>
    <row r="63" spans="1:12">
      <c r="A63" s="6" t="str">
        <f>REPT(" ",Sheet2!$B$3-LEN(Sheet2!B63))&amp;Sheet2!B63</f>
        <v xml:space="preserve">     </v>
      </c>
      <c r="B63" s="6" t="str">
        <f>REPT(" ",Sheet2!$C$3-LEN(Sheet2!C63))&amp;Sheet2!C63</f>
        <v xml:space="preserve">          </v>
      </c>
      <c r="C63" s="5" t="str">
        <f>IF(Sheet2!D63="Std","FALSE",
IF(Sheet2!D63="Both","shortcutProfile == USER_C47 || shortcutProfile == USER_R47",
"shortcutProfile == USER_"&amp;Sheet2!D63))</f>
        <v>shortcutProfile == USER_</v>
      </c>
      <c r="D63" s="6" t="str">
        <f t="shared" si="1"/>
        <v xml:space="preserve">                                    shortcutProfile == USER_</v>
      </c>
      <c r="E63" s="6" t="str">
        <f>REPT(" ",Sheet2!$E$3-LEN(Sheet2!E63))&amp;Sheet2!E63</f>
        <v xml:space="preserve">                         </v>
      </c>
      <c r="F63" s="6" t="str">
        <f>REPT(" ",Sheet2!$F$3-LEN(Sheet2!F63))&amp;Sheet2!F63</f>
        <v xml:space="preserve">          </v>
      </c>
      <c r="G63" s="6" t="str">
        <f>REPT(" ",Sheet2!$G$3-LEN(Sheet2!G63))&amp;Sheet2!G63</f>
        <v xml:space="preserve">                 </v>
      </c>
      <c r="H63" s="6" t="str">
        <f>REPT(" ",Sheet2!$H$3-LEN(Sheet2!H63))&amp;Sheet2!H63</f>
        <v xml:space="preserve">                    </v>
      </c>
      <c r="I63" s="6" t="str">
        <f>REPT(" ",Sheet2!$I$3-LEN(Sheet2!I63))&amp;""""&amp;Sheet2!I63&amp;""""</f>
        <v xml:space="preserve">   ""</v>
      </c>
      <c r="J63" s="6" t="str">
        <f>REPT(" ",Sheet2!$J$3-LEN(TEXT(Sheet2!J63,"00")))&amp;""""&amp;TEXT(Sheet2!J63,"00")&amp;""""</f>
        <v xml:space="preserve">  "00"</v>
      </c>
      <c r="K63" s="6" t="str">
        <f>REPT(" ",Sheet2!$K$3-LEN(Sheet2!K63))&amp;Sheet2!K63</f>
        <v xml:space="preserve">                              </v>
      </c>
      <c r="L63" s="3" t="str">
        <f>IF(Sheet2!B63="","",SUBSTITUTE(SUBSTITUTE(SUBSTITUTE(SUBSTITUTE(SUBSTITUTE(SUBSTITUTE(SUBSTITUTE(SUBSTITUTE(SUBSTITUTE(SUBSTITUTE($L$1,"61",A63),"CM_NORMAL",E63),"ITM_DRG",H63),"nn = comm",K63),"exitIfNim",B63),"allowCondition",D63),"KK",J63),"9999",G63),"ITM_AAA",F63),"XX",I63))</f>
        <v/>
      </c>
    </row>
    <row r="64" spans="1:12">
      <c r="A64" s="6" t="str">
        <f>REPT(" ",Sheet2!$B$3-LEN(Sheet2!B64))&amp;Sheet2!B64</f>
        <v xml:space="preserve">     </v>
      </c>
      <c r="B64" s="6" t="str">
        <f>REPT(" ",Sheet2!$C$3-LEN(Sheet2!C64))&amp;Sheet2!C64</f>
        <v xml:space="preserve">          </v>
      </c>
      <c r="C64" s="5" t="str">
        <f>IF(Sheet2!D64="Std","FALSE",
IF(Sheet2!D64="Both","shortcutProfile == USER_C47 || shortcutProfile == USER_R47",
"shortcutProfile == USER_"&amp;Sheet2!D64))</f>
        <v>shortcutProfile == USER_</v>
      </c>
      <c r="D64" s="6" t="str">
        <f t="shared" si="1"/>
        <v xml:space="preserve">                                    shortcutProfile == USER_</v>
      </c>
      <c r="E64" s="6" t="str">
        <f>REPT(" ",Sheet2!$E$3-LEN(Sheet2!E64))&amp;Sheet2!E64</f>
        <v xml:space="preserve">                         </v>
      </c>
      <c r="F64" s="6" t="str">
        <f>REPT(" ",Sheet2!$F$3-LEN(Sheet2!F64))&amp;Sheet2!F64</f>
        <v xml:space="preserve">          </v>
      </c>
      <c r="G64" s="6" t="str">
        <f>REPT(" ",Sheet2!$G$3-LEN(Sheet2!G64))&amp;Sheet2!G64</f>
        <v xml:space="preserve">                 </v>
      </c>
      <c r="H64" s="6" t="str">
        <f>REPT(" ",Sheet2!$H$3-LEN(Sheet2!H64))&amp;Sheet2!H64</f>
        <v xml:space="preserve">                    </v>
      </c>
      <c r="I64" s="6" t="str">
        <f>REPT(" ",Sheet2!$I$3-LEN(Sheet2!I64))&amp;""""&amp;Sheet2!I64&amp;""""</f>
        <v xml:space="preserve">   ""</v>
      </c>
      <c r="J64" s="6" t="str">
        <f>REPT(" ",Sheet2!$J$3-LEN(TEXT(Sheet2!J64,"00")))&amp;""""&amp;TEXT(Sheet2!J64,"00")&amp;""""</f>
        <v xml:space="preserve">  "00"</v>
      </c>
      <c r="K64" s="6" t="str">
        <f>REPT(" ",Sheet2!$K$3-LEN(Sheet2!K64))&amp;Sheet2!K64</f>
        <v xml:space="preserve">                              </v>
      </c>
      <c r="L64" s="3" t="str">
        <f>IF(Sheet2!B64="","",SUBSTITUTE(SUBSTITUTE(SUBSTITUTE(SUBSTITUTE(SUBSTITUTE(SUBSTITUTE(SUBSTITUTE(SUBSTITUTE(SUBSTITUTE(SUBSTITUTE($L$1,"61",A64),"CM_NORMAL",E64),"ITM_DRG",H64),"nn = comm",K64),"exitIfNim",B64),"allowCondition",D64),"KK",J64),"9999",G64),"ITM_AAA",F64),"XX",I64))</f>
        <v/>
      </c>
    </row>
    <row r="65" spans="1:12">
      <c r="A65" s="6" t="str">
        <f>REPT(" ",Sheet2!$B$3-LEN(Sheet2!B65))&amp;Sheet2!B65</f>
        <v xml:space="preserve">     </v>
      </c>
      <c r="B65" s="6" t="str">
        <f>REPT(" ",Sheet2!$C$3-LEN(Sheet2!C65))&amp;Sheet2!C65</f>
        <v xml:space="preserve">          </v>
      </c>
      <c r="C65" s="5" t="str">
        <f>IF(Sheet2!D65="Std","FALSE",
IF(Sheet2!D65="Both","shortcutProfile == USER_C47 || shortcutProfile == USER_R47",
"shortcutProfile == USER_"&amp;Sheet2!D65))</f>
        <v>shortcutProfile == USER_</v>
      </c>
      <c r="D65" s="6" t="str">
        <f t="shared" si="1"/>
        <v xml:space="preserve">                                    shortcutProfile == USER_</v>
      </c>
      <c r="E65" s="6" t="str">
        <f>REPT(" ",Sheet2!$E$3-LEN(Sheet2!E65))&amp;Sheet2!E65</f>
        <v xml:space="preserve">                         </v>
      </c>
      <c r="F65" s="6" t="str">
        <f>REPT(" ",Sheet2!$F$3-LEN(Sheet2!F65))&amp;Sheet2!F65</f>
        <v xml:space="preserve">          </v>
      </c>
      <c r="G65" s="6" t="str">
        <f>REPT(" ",Sheet2!$G$3-LEN(Sheet2!G65))&amp;Sheet2!G65</f>
        <v xml:space="preserve">                 </v>
      </c>
      <c r="H65" s="6" t="str">
        <f>REPT(" ",Sheet2!$H$3-LEN(Sheet2!H65))&amp;Sheet2!H65</f>
        <v xml:space="preserve">                    </v>
      </c>
      <c r="I65" s="6" t="str">
        <f>REPT(" ",Sheet2!$I$3-LEN(Sheet2!I65))&amp;""""&amp;Sheet2!I65&amp;""""</f>
        <v xml:space="preserve">   ""</v>
      </c>
      <c r="J65" s="6" t="str">
        <f>REPT(" ",Sheet2!$J$3-LEN(TEXT(Sheet2!J65,"00")))&amp;""""&amp;TEXT(Sheet2!J65,"00")&amp;""""</f>
        <v xml:space="preserve">  "00"</v>
      </c>
      <c r="K65" s="6" t="str">
        <f>REPT(" ",Sheet2!$K$3-LEN(Sheet2!K65))&amp;Sheet2!K65</f>
        <v xml:space="preserve">                              </v>
      </c>
      <c r="L65" s="3" t="str">
        <f>IF(Sheet2!B65="","",SUBSTITUTE(SUBSTITUTE(SUBSTITUTE(SUBSTITUTE(SUBSTITUTE(SUBSTITUTE(SUBSTITUTE(SUBSTITUTE(SUBSTITUTE(SUBSTITUTE($L$1,"61",A65),"CM_NORMAL",E65),"ITM_DRG",H65),"nn = comm",K65),"exitIfNim",B65),"allowCondition",D65),"KK",J65),"9999",G65),"ITM_AAA",F65),"XX",I65))</f>
        <v/>
      </c>
    </row>
    <row r="66" spans="1:12">
      <c r="A66" s="6" t="str">
        <f>REPT(" ",Sheet2!$B$3-LEN(Sheet2!B66))&amp;Sheet2!B66</f>
        <v xml:space="preserve">   81</v>
      </c>
      <c r="B66" s="6" t="str">
        <f>REPT(" ",Sheet2!$C$3-LEN(Sheet2!C66))&amp;Sheet2!C66</f>
        <v xml:space="preserve"> ExitIfNim</v>
      </c>
      <c r="C66" s="5" t="str">
        <f>IF(Sheet2!D66="Std","FALSE",
IF(Sheet2!D66="Both","shortcutProfile == USER_C47 || shortcutProfile == USER_R47",
"shortcutProfile == USER_"&amp;Sheet2!D66))</f>
        <v>shortcutProfile == USER_R47</v>
      </c>
      <c r="D66" s="6" t="str">
        <f t="shared" si="1"/>
        <v xml:space="preserve">                                 shortcutProfile == USER_R47</v>
      </c>
      <c r="E66" s="6" t="str">
        <f>REPT(" ",Sheet2!$E$3-LEN(Sheet2!E66))&amp;Sheet2!E66</f>
        <v xml:space="preserve">                  0b01101</v>
      </c>
      <c r="F66" s="6" t="str">
        <f>REPT(" ",Sheet2!$F$3-LEN(Sheet2!F66))&amp;Sheet2!F66</f>
        <v xml:space="preserve">        -1</v>
      </c>
      <c r="G66" s="6" t="str">
        <f>REPT(" ",Sheet2!$G$3-LEN(Sheet2!G66))&amp;Sheet2!G66</f>
        <v xml:space="preserve">         tam.mode</v>
      </c>
      <c r="H66" s="6" t="str">
        <f>REPT(" ",Sheet2!$H$3-LEN(Sheet2!H66))&amp;Sheet2!H66</f>
        <v xml:space="preserve">          ITM_SQUARE</v>
      </c>
      <c r="I66" s="6" t="str">
        <f>REPT(" ",Sheet2!$I$3-LEN(Sheet2!I66))&amp;""""&amp;Sheet2!I66&amp;""""</f>
        <v xml:space="preserve">   ""</v>
      </c>
      <c r="J66" s="6" t="str">
        <f>REPT(" ",Sheet2!$J$3-LEN(TEXT(Sheet2!J66,"00")))&amp;""""&amp;TEXT(Sheet2!J66,"00")&amp;""""</f>
        <v xml:space="preserve">  "00"</v>
      </c>
      <c r="K66" s="6" t="str">
        <f>REPT(" ",Sheet2!$K$3-LEN(Sheet2!K66))&amp;Sheet2!K66</f>
        <v xml:space="preserve">                      s[Q]uare</v>
      </c>
      <c r="L66" s="3" t="str">
        <f>IF(Sheet2!B66="","",SUBSTITUTE(SUBSTITUTE(SUBSTITUTE(SUBSTITUTE(SUBSTITUTE(SUBSTITUTE(SUBSTITUTE(SUBSTITUTE(SUBSTITUTE(SUBSTITUTE($L$1,"61",A66),"CM_NORMAL",E66),"ITM_DRG",H66),"nn = comm",K66),"exitIfNim",B66),"allowCondition",D66),"KK",J66),"9999",G66),"ITM_AAA",F66),"XX",I66))</f>
        <v>if(shortCutCommand(w, event_keyval,    81,                                  shortcutProfile == USER_R47,  ExitIfNim,          tam.mode,    "",   "00",                   0b01101,         -1,           ITM_SQUARE ))        {return true;} else        //                      s[Q]uare</v>
      </c>
    </row>
    <row r="67" spans="1:12">
      <c r="A67" s="6" t="str">
        <f>REPT(" ",Sheet2!$B$3-LEN(Sheet2!B67))&amp;Sheet2!B67</f>
        <v xml:space="preserve">  113</v>
      </c>
      <c r="B67" s="6" t="str">
        <f>REPT(" ",Sheet2!$C$3-LEN(Sheet2!C67))&amp;Sheet2!C67</f>
        <v xml:space="preserve"> ExitIfNim</v>
      </c>
      <c r="C67" s="5" t="str">
        <f>IF(Sheet2!D67="Std","FALSE",
IF(Sheet2!D67="Both","shortcutProfile == USER_C47 || shortcutProfile == USER_R47",
"shortcutProfile == USER_"&amp;Sheet2!D67))</f>
        <v>shortcutProfile == USER_R47</v>
      </c>
      <c r="D67" s="6" t="str">
        <f t="shared" si="1"/>
        <v xml:space="preserve">                                 shortcutProfile == USER_R47</v>
      </c>
      <c r="E67" s="6" t="str">
        <f>REPT(" ",Sheet2!$E$3-LEN(Sheet2!E67))&amp;Sheet2!E67</f>
        <v xml:space="preserve">                  0b01101</v>
      </c>
      <c r="F67" s="6" t="str">
        <f>REPT(" ",Sheet2!$F$3-LEN(Sheet2!F67))&amp;Sheet2!F67</f>
        <v xml:space="preserve">        -1</v>
      </c>
      <c r="G67" s="6" t="str">
        <f>REPT(" ",Sheet2!$G$3-LEN(Sheet2!G67))&amp;Sheet2!G67</f>
        <v xml:space="preserve">         tam.mode</v>
      </c>
      <c r="H67" s="6" t="str">
        <f>REPT(" ",Sheet2!$H$3-LEN(Sheet2!H67))&amp;Sheet2!H67</f>
        <v xml:space="preserve">     ITM_SQUAREROOTX</v>
      </c>
      <c r="I67" s="6" t="str">
        <f>REPT(" ",Sheet2!$I$3-LEN(Sheet2!I67))&amp;""""&amp;Sheet2!I67&amp;""""</f>
        <v xml:space="preserve">   ""</v>
      </c>
      <c r="J67" s="6" t="str">
        <f>REPT(" ",Sheet2!$J$3-LEN(TEXT(Sheet2!J67,"00")))&amp;""""&amp;TEXT(Sheet2!J67,"00")&amp;""""</f>
        <v xml:space="preserve">  "01"</v>
      </c>
      <c r="K67" s="6" t="str">
        <f>REPT(" ",Sheet2!$K$3-LEN(Sheet2!K67))&amp;Sheet2!K67</f>
        <v xml:space="preserve">                        s[q]rt</v>
      </c>
      <c r="L67" s="3" t="str">
        <f>IF(Sheet2!B67="","",SUBSTITUTE(SUBSTITUTE(SUBSTITUTE(SUBSTITUTE(SUBSTITUTE(SUBSTITUTE(SUBSTITUTE(SUBSTITUTE(SUBSTITUTE(SUBSTITUTE($L$1,"61",A67),"CM_NORMAL",E67),"ITM_DRG",H67),"nn = comm",K67),"exitIfNim",B67),"allowCondition",D67),"KK",J67),"9999",G67),"ITM_AAA",F67),"XX",I67))</f>
        <v>if(shortCutCommand(w, event_keyval,   113,                                  shortcutProfile == USER_R47,  ExitIfNim,          tam.mode,    "",   "01",                   0b01101,         -1,      ITM_SQUAREROOTX ))        {return true;} else        //                        s[q]rt</v>
      </c>
    </row>
    <row r="68" spans="1:12">
      <c r="A68" s="6" t="str">
        <f>REPT(" ",Sheet2!$B$3-LEN(Sheet2!B68))&amp;Sheet2!B68</f>
        <v xml:space="preserve">  118</v>
      </c>
      <c r="B68" s="6" t="str">
        <f>REPT(" ",Sheet2!$C$3-LEN(Sheet2!C68))&amp;Sheet2!C68</f>
        <v xml:space="preserve"> ExitIfNim</v>
      </c>
      <c r="C68" s="5" t="str">
        <f>IF(Sheet2!D68="Std","FALSE",
IF(Sheet2!D68="Both","shortcutProfile == USER_C47 || shortcutProfile == USER_R47",
"shortcutProfile == USER_"&amp;Sheet2!D68))</f>
        <v>shortcutProfile == USER_R47</v>
      </c>
      <c r="D68" s="6" t="str">
        <f t="shared" si="1"/>
        <v xml:space="preserve">                                 shortcutProfile == USER_R47</v>
      </c>
      <c r="E68" s="6" t="str">
        <f>REPT(" ",Sheet2!$E$3-LEN(Sheet2!E68))&amp;Sheet2!E68</f>
        <v xml:space="preserve">                  0b01101</v>
      </c>
      <c r="F68" s="6" t="str">
        <f>REPT(" ",Sheet2!$F$3-LEN(Sheet2!F68))&amp;Sheet2!F68</f>
        <v xml:space="preserve">        -1</v>
      </c>
      <c r="G68" s="6" t="str">
        <f>REPT(" ",Sheet2!$G$3-LEN(Sheet2!G68))&amp;Sheet2!G68</f>
        <v xml:space="preserve">         tam.mode</v>
      </c>
      <c r="H68" s="6" t="str">
        <f>REPT(" ",Sheet2!$H$3-LEN(Sheet2!H68))&amp;Sheet2!H68</f>
        <v xml:space="preserve">            ITM_1ONX</v>
      </c>
      <c r="I68" s="6" t="str">
        <f>REPT(" ",Sheet2!$I$3-LEN(Sheet2!I68))&amp;""""&amp;Sheet2!I68&amp;""""</f>
        <v xml:space="preserve">   ""</v>
      </c>
      <c r="J68" s="6" t="str">
        <f>REPT(" ",Sheet2!$J$3-LEN(TEXT(Sheet2!J68,"00")))&amp;""""&amp;TEXT(Sheet2!J68,"00")&amp;""""</f>
        <v xml:space="preserve">  "02"</v>
      </c>
      <c r="K68" s="6" t="str">
        <f>REPT(" ",Sheet2!$K$3-LEN(Sheet2!K68))&amp;Sheet2!K68</f>
        <v xml:space="preserve">                     in[v]erse</v>
      </c>
      <c r="L68" s="3" t="str">
        <f>IF(Sheet2!B68="","",SUBSTITUTE(SUBSTITUTE(SUBSTITUTE(SUBSTITUTE(SUBSTITUTE(SUBSTITUTE(SUBSTITUTE(SUBSTITUTE(SUBSTITUTE(SUBSTITUTE($L$1,"61",A68),"CM_NORMAL",E68),"ITM_DRG",H68),"nn = comm",K68),"exitIfNim",B68),"allowCondition",D68),"KK",J68),"9999",G68),"ITM_AAA",F68),"XX",I68))</f>
        <v>if(shortCutCommand(w, event_keyval,   118,                                  shortcutProfile == USER_R47,  ExitIfNim,          tam.mode,    "",   "02",                   0b01101,         -1,             ITM_1ONX ))        {return true;} else        //                     in[v]erse</v>
      </c>
    </row>
    <row r="69" spans="1:12">
      <c r="A69" s="6" t="str">
        <f>REPT(" ",Sheet2!$B$3-LEN(Sheet2!B69))&amp;Sheet2!B69</f>
        <v xml:space="preserve">   89</v>
      </c>
      <c r="B69" s="6" t="str">
        <f>REPT(" ",Sheet2!$C$3-LEN(Sheet2!C69))&amp;Sheet2!C69</f>
        <v xml:space="preserve"> ExitIfNim</v>
      </c>
      <c r="C69" s="5" t="str">
        <f>IF(Sheet2!D69="Std","FALSE",
IF(Sheet2!D69="Both","shortcutProfile == USER_C47 || shortcutProfile == USER_R47",
"shortcutProfile == USER_"&amp;Sheet2!D69))</f>
        <v>shortcutProfile == USER_R47</v>
      </c>
      <c r="D69" s="6" t="str">
        <f t="shared" si="1"/>
        <v xml:space="preserve">                                 shortcutProfile == USER_R47</v>
      </c>
      <c r="E69" s="6" t="str">
        <f>REPT(" ",Sheet2!$E$3-LEN(Sheet2!E69))&amp;Sheet2!E69</f>
        <v xml:space="preserve">                  0b01101</v>
      </c>
      <c r="F69" s="6" t="str">
        <f>REPT(" ",Sheet2!$F$3-LEN(Sheet2!F69))&amp;Sheet2!F69</f>
        <v xml:space="preserve">        -1</v>
      </c>
      <c r="G69" s="6" t="str">
        <f>REPT(" ",Sheet2!$G$3-LEN(Sheet2!G69))&amp;Sheet2!G69</f>
        <v xml:space="preserve">         tam.mode</v>
      </c>
      <c r="H69" s="6" t="str">
        <f>REPT(" ",Sheet2!$H$3-LEN(Sheet2!H69))&amp;Sheet2!H69</f>
        <v xml:space="preserve">              ITM_YX</v>
      </c>
      <c r="I69" s="6" t="str">
        <f>REPT(" ",Sheet2!$I$3-LEN(Sheet2!I69))&amp;""""&amp;Sheet2!I69&amp;""""</f>
        <v xml:space="preserve">   ""</v>
      </c>
      <c r="J69" s="6" t="str">
        <f>REPT(" ",Sheet2!$J$3-LEN(TEXT(Sheet2!J69,"00")))&amp;""""&amp;TEXT(Sheet2!J69,"00")&amp;""""</f>
        <v xml:space="preserve">  "03"</v>
      </c>
      <c r="K69" s="6" t="str">
        <f>REPT(" ",Sheet2!$K$3-LEN(Sheet2!K69))&amp;Sheet2!K69</f>
        <v xml:space="preserve">                         [y]^x</v>
      </c>
      <c r="L69" s="3" t="str">
        <f>IF(Sheet2!B69="","",SUBSTITUTE(SUBSTITUTE(SUBSTITUTE(SUBSTITUTE(SUBSTITUTE(SUBSTITUTE(SUBSTITUTE(SUBSTITUTE(SUBSTITUTE(SUBSTITUTE($L$1,"61",A69),"CM_NORMAL",E69),"ITM_DRG",H69),"nn = comm",K69),"exitIfNim",B69),"allowCondition",D69),"KK",J69),"9999",G69),"ITM_AAA",F69),"XX",I69))</f>
        <v>if(shortCutCommand(w, event_keyval,    89,                                  shortcutProfile == USER_R47,  ExitIfNim,          tam.mode,    "",   "03",                   0b01101,         -1,               ITM_YX ))        {return true;} else        //                         [y]^x</v>
      </c>
    </row>
    <row r="70" spans="1:12">
      <c r="A70" s="6" t="str">
        <f>REPT(" ",Sheet2!$B$3-LEN(Sheet2!B70))&amp;Sheet2!B70</f>
        <v xml:space="preserve">  111</v>
      </c>
      <c r="B70" s="6" t="str">
        <f>REPT(" ",Sheet2!$C$3-LEN(Sheet2!C70))&amp;Sheet2!C70</f>
        <v xml:space="preserve"> ExitIfNim</v>
      </c>
      <c r="C70" s="5" t="str">
        <f>IF(Sheet2!D70="Std","FALSE",
IF(Sheet2!D70="Both","shortcutProfile == USER_C47 || shortcutProfile == USER_R47",
"shortcutProfile == USER_"&amp;Sheet2!D70))</f>
        <v>shortcutProfile == USER_R47</v>
      </c>
      <c r="D70" s="6" t="str">
        <f t="shared" ref="D70:D129" si="2">REPT( " ",$C$4-LEN(C70) ) &amp;C70</f>
        <v xml:space="preserve">                                 shortcutProfile == USER_R47</v>
      </c>
      <c r="E70" s="6" t="str">
        <f>REPT(" ",Sheet2!$E$3-LEN(Sheet2!E70))&amp;Sheet2!E70</f>
        <v xml:space="preserve">                  0b01101</v>
      </c>
      <c r="F70" s="6" t="str">
        <f>REPT(" ",Sheet2!$F$3-LEN(Sheet2!F70))&amp;Sheet2!F70</f>
        <v xml:space="preserve">        -1</v>
      </c>
      <c r="G70" s="6" t="str">
        <f>REPT(" ",Sheet2!$G$3-LEN(Sheet2!G70))&amp;Sheet2!G70</f>
        <v xml:space="preserve">         tam.mode</v>
      </c>
      <c r="H70" s="6" t="str">
        <f>REPT(" ",Sheet2!$H$3-LEN(Sheet2!H70))&amp;Sheet2!H70</f>
        <v xml:space="preserve">           ITM_LOG10</v>
      </c>
      <c r="I70" s="6" t="str">
        <f>REPT(" ",Sheet2!$I$3-LEN(Sheet2!I70))&amp;""""&amp;Sheet2!I70&amp;""""</f>
        <v xml:space="preserve">   ""</v>
      </c>
      <c r="J70" s="6" t="str">
        <f>REPT(" ",Sheet2!$J$3-LEN(TEXT(Sheet2!J70,"00")))&amp;""""&amp;TEXT(Sheet2!J70,"00")&amp;""""</f>
        <v xml:space="preserve">  "04"</v>
      </c>
      <c r="K70" s="6" t="str">
        <f>REPT(" ",Sheet2!$K$3-LEN(Sheet2!K70))&amp;Sheet2!K70</f>
        <v xml:space="preserve">                         l[o]g</v>
      </c>
      <c r="L70" s="3" t="str">
        <f>IF(Sheet2!B70="","",SUBSTITUTE(SUBSTITUTE(SUBSTITUTE(SUBSTITUTE(SUBSTITUTE(SUBSTITUTE(SUBSTITUTE(SUBSTITUTE(SUBSTITUTE(SUBSTITUTE($L$1,"61",A70),"CM_NORMAL",E70),"ITM_DRG",H70),"nn = comm",K70),"exitIfNim",B70),"allowCondition",D70),"KK",J70),"9999",G70),"ITM_AAA",F70),"XX",I70))</f>
        <v>if(shortCutCommand(w, event_keyval,   111,                                  shortcutProfile == USER_R47,  ExitIfNim,          tam.mode,    "",   "04",                   0b01101,         -1,            ITM_LOG10 ))        {return true;} else        //                         l[o]g</v>
      </c>
    </row>
    <row r="71" spans="1:12">
      <c r="A71" s="6" t="str">
        <f>REPT(" ",Sheet2!$B$3-LEN(Sheet2!B71))&amp;Sheet2!B71</f>
        <v xml:space="preserve">  108</v>
      </c>
      <c r="B71" s="6" t="str">
        <f>REPT(" ",Sheet2!$C$3-LEN(Sheet2!C71))&amp;Sheet2!C71</f>
        <v xml:space="preserve"> ExitIfNim</v>
      </c>
      <c r="C71" s="5" t="str">
        <f>IF(Sheet2!D71="Std","FALSE",
IF(Sheet2!D71="Both","shortcutProfile == USER_C47 || shortcutProfile == USER_R47",
"shortcutProfile == USER_"&amp;Sheet2!D71))</f>
        <v>shortcutProfile == USER_R47</v>
      </c>
      <c r="D71" s="6" t="str">
        <f t="shared" si="2"/>
        <v xml:space="preserve">                                 shortcutProfile == USER_R47</v>
      </c>
      <c r="E71" s="6" t="str">
        <f>REPT(" ",Sheet2!$E$3-LEN(Sheet2!E71))&amp;Sheet2!E71</f>
        <v xml:space="preserve">                  0b01101</v>
      </c>
      <c r="F71" s="6" t="str">
        <f>REPT(" ",Sheet2!$F$3-LEN(Sheet2!F71))&amp;Sheet2!F71</f>
        <v xml:space="preserve">        -1</v>
      </c>
      <c r="G71" s="6" t="str">
        <f>REPT(" ",Sheet2!$G$3-LEN(Sheet2!G71))&amp;Sheet2!G71</f>
        <v xml:space="preserve">         tam.mode</v>
      </c>
      <c r="H71" s="6" t="str">
        <f>REPT(" ",Sheet2!$H$3-LEN(Sheet2!H71))&amp;Sheet2!H71</f>
        <v xml:space="preserve">              ITM_LN</v>
      </c>
      <c r="I71" s="6" t="str">
        <f>REPT(" ",Sheet2!$I$3-LEN(Sheet2!I71))&amp;""""&amp;Sheet2!I71&amp;""""</f>
        <v xml:space="preserve">   ""</v>
      </c>
      <c r="J71" s="6" t="str">
        <f>REPT(" ",Sheet2!$J$3-LEN(TEXT(Sheet2!J71,"00")))&amp;""""&amp;TEXT(Sheet2!J71,"00")&amp;""""</f>
        <v xml:space="preserve">  "05"</v>
      </c>
      <c r="K71" s="6" t="str">
        <f>REPT(" ",Sheet2!$K$3-LEN(Sheet2!K71))&amp;Sheet2!K71</f>
        <v xml:space="preserve">                          [l]n</v>
      </c>
      <c r="L71" s="3" t="str">
        <f>IF(Sheet2!B71="","",SUBSTITUTE(SUBSTITUTE(SUBSTITUTE(SUBSTITUTE(SUBSTITUTE(SUBSTITUTE(SUBSTITUTE(SUBSTITUTE(SUBSTITUTE(SUBSTITUTE($L$1,"61",A71),"CM_NORMAL",E71),"ITM_DRG",H71),"nn = comm",K71),"exitIfNim",B71),"allowCondition",D71),"KK",J71),"9999",G71),"ITM_AAA",F71),"XX",I71))</f>
        <v>if(shortCutCommand(w, event_keyval,   108,                                  shortcutProfile == USER_R47,  ExitIfNim,          tam.mode,    "",   "05",                   0b01101,         -1,               ITM_LN ))        {return true;} else        //                          [l]n</v>
      </c>
    </row>
    <row r="72" spans="1:12">
      <c r="A72" s="6" t="str">
        <f>REPT(" ",Sheet2!$B$3-LEN(Sheet2!B72))&amp;Sheet2!B72</f>
        <v xml:space="preserve">  109</v>
      </c>
      <c r="B72" s="6" t="str">
        <f>REPT(" ",Sheet2!$C$3-LEN(Sheet2!C72))&amp;Sheet2!C72</f>
        <v xml:space="preserve"> ExitIfNim</v>
      </c>
      <c r="C72" s="5" t="str">
        <f>IF(Sheet2!D72="Std","FALSE",
IF(Sheet2!D72="Both","shortcutProfile == USER_C47 || shortcutProfile == USER_R47",
"shortcutProfile == USER_"&amp;Sheet2!D72))</f>
        <v>shortcutProfile == USER_R47</v>
      </c>
      <c r="D72" s="6" t="str">
        <f t="shared" si="2"/>
        <v xml:space="preserve">                                 shortcutProfile == USER_R47</v>
      </c>
      <c r="E72" s="6" t="str">
        <f>REPT(" ",Sheet2!$E$3-LEN(Sheet2!E72))&amp;Sheet2!E72</f>
        <v xml:space="preserve">                  0b01101</v>
      </c>
      <c r="F72" s="6" t="str">
        <f>REPT(" ",Sheet2!$F$3-LEN(Sheet2!F72))&amp;Sheet2!F72</f>
        <v xml:space="preserve">        -1</v>
      </c>
      <c r="G72" s="6" t="str">
        <f>REPT(" ",Sheet2!$G$3-LEN(Sheet2!G72))&amp;Sheet2!G72</f>
        <v xml:space="preserve">         tam.mode</v>
      </c>
      <c r="H72" s="6" t="str">
        <f>REPT(" ",Sheet2!$H$3-LEN(Sheet2!H72))&amp;Sheet2!H72</f>
        <v xml:space="preserve">             ITM_STO</v>
      </c>
      <c r="I72" s="6" t="str">
        <f>REPT(" ",Sheet2!$I$3-LEN(Sheet2!I72))&amp;""""&amp;Sheet2!I72&amp;""""</f>
        <v xml:space="preserve">   ""</v>
      </c>
      <c r="J72" s="6" t="str">
        <f>REPT(" ",Sheet2!$J$3-LEN(TEXT(Sheet2!J72,"00")))&amp;""""&amp;TEXT(Sheet2!J72,"00")&amp;""""</f>
        <v xml:space="preserve">  "06"</v>
      </c>
      <c r="K72" s="6" t="str">
        <f>REPT(" ",Sheet2!$K$3-LEN(Sheet2!K72))&amp;Sheet2!K72</f>
        <v xml:space="preserve">                      [m]emory</v>
      </c>
      <c r="L72" s="3" t="str">
        <f>IF(Sheet2!B72="","",SUBSTITUTE(SUBSTITUTE(SUBSTITUTE(SUBSTITUTE(SUBSTITUTE(SUBSTITUTE(SUBSTITUTE(SUBSTITUTE(SUBSTITUTE(SUBSTITUTE($L$1,"61",A72),"CM_NORMAL",E72),"ITM_DRG",H72),"nn = comm",K72),"exitIfNim",B72),"allowCondition",D72),"KK",J72),"9999",G72),"ITM_AAA",F72),"XX",I72))</f>
        <v>if(shortCutCommand(w, event_keyval,   109,                                  shortcutProfile == USER_R47,  ExitIfNim,          tam.mode,    "",   "06",                   0b01101,         -1,              ITM_STO ))        {return true;} else        //                      [m]emory</v>
      </c>
    </row>
    <row r="73" spans="1:12">
      <c r="A73" s="6" t="str">
        <f>REPT(" ",Sheet2!$B$3-LEN(Sheet2!B73))&amp;Sheet2!B73</f>
        <v xml:space="preserve">  114</v>
      </c>
      <c r="B73" s="6" t="str">
        <f>REPT(" ",Sheet2!$C$3-LEN(Sheet2!C73))&amp;Sheet2!C73</f>
        <v xml:space="preserve"> ExitIfNim</v>
      </c>
      <c r="C73" s="5" t="str">
        <f>IF(Sheet2!D73="Std","FALSE",
IF(Sheet2!D73="Both","shortcutProfile == USER_C47 || shortcutProfile == USER_R47",
"shortcutProfile == USER_"&amp;Sheet2!D73))</f>
        <v>shortcutProfile == USER_R47</v>
      </c>
      <c r="D73" s="6" t="str">
        <f t="shared" si="2"/>
        <v xml:space="preserve">                                 shortcutProfile == USER_R47</v>
      </c>
      <c r="E73" s="6" t="str">
        <f>REPT(" ",Sheet2!$E$3-LEN(Sheet2!E73))&amp;Sheet2!E73</f>
        <v xml:space="preserve">                  0b01101</v>
      </c>
      <c r="F73" s="6" t="str">
        <f>REPT(" ",Sheet2!$F$3-LEN(Sheet2!F73))&amp;Sheet2!F73</f>
        <v xml:space="preserve">        -1</v>
      </c>
      <c r="G73" s="6" t="str">
        <f>REPT(" ",Sheet2!$G$3-LEN(Sheet2!G73))&amp;Sheet2!G73</f>
        <v xml:space="preserve">         tam.mode</v>
      </c>
      <c r="H73" s="6" t="str">
        <f>REPT(" ",Sheet2!$H$3-LEN(Sheet2!H73))&amp;Sheet2!H73</f>
        <v xml:space="preserve">             ITM_RCL</v>
      </c>
      <c r="I73" s="6" t="str">
        <f>REPT(" ",Sheet2!$I$3-LEN(Sheet2!I73))&amp;""""&amp;Sheet2!I73&amp;""""</f>
        <v xml:space="preserve">   ""</v>
      </c>
      <c r="J73" s="6" t="str">
        <f>REPT(" ",Sheet2!$J$3-LEN(TEXT(Sheet2!J73,"00")))&amp;""""&amp;TEXT(Sheet2!J73,"00")&amp;""""</f>
        <v xml:space="preserve">  "07"</v>
      </c>
      <c r="K73" s="6" t="str">
        <f>REPT(" ",Sheet2!$K$3-LEN(Sheet2!K73))&amp;Sheet2!K73</f>
        <v xml:space="preserve">                         [r]cl</v>
      </c>
      <c r="L73" s="3" t="str">
        <f>IF(Sheet2!B73="","",SUBSTITUTE(SUBSTITUTE(SUBSTITUTE(SUBSTITUTE(SUBSTITUTE(SUBSTITUTE(SUBSTITUTE(SUBSTITUTE(SUBSTITUTE(SUBSTITUTE($L$1,"61",A73),"CM_NORMAL",E73),"ITM_DRG",H73),"nn = comm",K73),"exitIfNim",B73),"allowCondition",D73),"KK",J73),"9999",G73),"ITM_AAA",F73),"XX",I73))</f>
        <v>if(shortCutCommand(w, event_keyval,   114,                                  shortcutProfile == USER_R47,  ExitIfNim,          tam.mode,    "",   "07",                   0b01101,         -1,              ITM_RCL ))        {return true;} else        //                         [r]cl</v>
      </c>
    </row>
    <row r="74" spans="1:12">
      <c r="A74" s="6" t="str">
        <f>REPT(" ",Sheet2!$B$3-LEN(Sheet2!B74))&amp;Sheet2!B74</f>
        <v xml:space="preserve">  100</v>
      </c>
      <c r="B74" s="6" t="str">
        <f>REPT(" ",Sheet2!$C$3-LEN(Sheet2!C74))&amp;Sheet2!C74</f>
        <v xml:space="preserve"> ExitIfNim</v>
      </c>
      <c r="C74" s="5" t="str">
        <f>IF(Sheet2!D74="Std","FALSE",
IF(Sheet2!D74="Both","shortcutProfile == USER_C47 || shortcutProfile == USER_R47",
"shortcutProfile == USER_"&amp;Sheet2!D74))</f>
        <v>shortcutProfile == USER_R47</v>
      </c>
      <c r="D74" s="6" t="str">
        <f t="shared" si="2"/>
        <v xml:space="preserve">                                 shortcutProfile == USER_R47</v>
      </c>
      <c r="E74" s="6" t="str">
        <f>REPT(" ",Sheet2!$E$3-LEN(Sheet2!E74))&amp;Sheet2!E74</f>
        <v xml:space="preserve">                  0b01101</v>
      </c>
      <c r="F74" s="6" t="str">
        <f>REPT(" ",Sheet2!$F$3-LEN(Sheet2!F74))&amp;Sheet2!F74</f>
        <v xml:space="preserve">        -1</v>
      </c>
      <c r="G74" s="6" t="str">
        <f>REPT(" ",Sheet2!$G$3-LEN(Sheet2!G74))&amp;Sheet2!G74</f>
        <v xml:space="preserve">         tam.mode</v>
      </c>
      <c r="H74" s="6" t="str">
        <f>REPT(" ",Sheet2!$H$3-LEN(Sheet2!H74))&amp;Sheet2!H74</f>
        <v xml:space="preserve">           ITM_Rdown</v>
      </c>
      <c r="I74" s="6" t="str">
        <f>REPT(" ",Sheet2!$I$3-LEN(Sheet2!I74))&amp;""""&amp;Sheet2!I74&amp;""""</f>
        <v xml:space="preserve">   ""</v>
      </c>
      <c r="J74" s="6" t="str">
        <f>REPT(" ",Sheet2!$J$3-LEN(TEXT(Sheet2!J74,"00")))&amp;""""&amp;TEXT(Sheet2!J74,"00")&amp;""""</f>
        <v xml:space="preserve">  "08"</v>
      </c>
      <c r="K74" s="6" t="str">
        <f>REPT(" ",Sheet2!$K$3-LEN(Sheet2!K74))&amp;Sheet2!K74</f>
        <v xml:space="preserve">                        [d]own</v>
      </c>
      <c r="L74" s="3" t="str">
        <f>IF(Sheet2!B74="","",SUBSTITUTE(SUBSTITUTE(SUBSTITUTE(SUBSTITUTE(SUBSTITUTE(SUBSTITUTE(SUBSTITUTE(SUBSTITUTE(SUBSTITUTE(SUBSTITUTE($L$1,"61",A74),"CM_NORMAL",E74),"ITM_DRG",H74),"nn = comm",K74),"exitIfNim",B74),"allowCondition",D74),"KK",J74),"9999",G74),"ITM_AAA",F74),"XX",I74))</f>
        <v>if(shortCutCommand(w, event_keyval,   100,                                  shortcutProfile == USER_R47,  ExitIfNim,          tam.mode,    "",   "08",                   0b01101,         -1,            ITM_Rdown ))        {return true;} else        //                        [d]own</v>
      </c>
    </row>
    <row r="75" spans="1:12">
      <c r="A75" s="6" t="str">
        <f>REPT(" ",Sheet2!$B$3-LEN(Sheet2!B75))&amp;Sheet2!B75</f>
        <v xml:space="preserve">   62</v>
      </c>
      <c r="B75" s="6" t="str">
        <f>REPT(" ",Sheet2!$C$3-LEN(Sheet2!C75))&amp;Sheet2!C75</f>
        <v xml:space="preserve"> ExitIfNim</v>
      </c>
      <c r="C75" s="5" t="str">
        <f>IF(Sheet2!D75="Std","FALSE",
IF(Sheet2!D75="Both","shortcutProfile == USER_C47 || shortcutProfile == USER_R47",
"shortcutProfile == USER_"&amp;Sheet2!D75))</f>
        <v>shortcutProfile == USER_R47</v>
      </c>
      <c r="D75" s="6" t="str">
        <f t="shared" si="2"/>
        <v xml:space="preserve">                                 shortcutProfile == USER_R47</v>
      </c>
      <c r="E75" s="6" t="str">
        <f>REPT(" ",Sheet2!$E$3-LEN(Sheet2!E75))&amp;Sheet2!E75</f>
        <v xml:space="preserve">                  0b01101</v>
      </c>
      <c r="F75" s="6" t="str">
        <f>REPT(" ",Sheet2!$F$3-LEN(Sheet2!F75))&amp;Sheet2!F75</f>
        <v xml:space="preserve">        -1</v>
      </c>
      <c r="G75" s="6" t="str">
        <f>REPT(" ",Sheet2!$G$3-LEN(Sheet2!G75))&amp;Sheet2!G75</f>
        <v xml:space="preserve">         tam.mode</v>
      </c>
      <c r="H75" s="6" t="str">
        <f>REPT(" ",Sheet2!$H$3-LEN(Sheet2!H75))&amp;Sheet2!H75</f>
        <v xml:space="preserve">             ITM_DRG</v>
      </c>
      <c r="I75" s="6" t="str">
        <f>REPT(" ",Sheet2!$I$3-LEN(Sheet2!I75))&amp;""""&amp;Sheet2!I75&amp;""""</f>
        <v xml:space="preserve">   ""</v>
      </c>
      <c r="J75" s="6" t="str">
        <f>REPT(" ",Sheet2!$J$3-LEN(TEXT(Sheet2!J75,"00")))&amp;""""&amp;TEXT(Sheet2!J75,"00")&amp;""""</f>
        <v xml:space="preserve"> "-01"</v>
      </c>
      <c r="K75" s="6" t="str">
        <f>REPT(" ",Sheet2!$K$3-LEN(Sheet2!K75))&amp;Sheet2!K75</f>
        <v xml:space="preserve">                     [=]&gt;D,R,G</v>
      </c>
      <c r="L75" s="3" t="str">
        <f>IF(Sheet2!B75="","",SUBSTITUTE(SUBSTITUTE(SUBSTITUTE(SUBSTITUTE(SUBSTITUTE(SUBSTITUTE(SUBSTITUTE(SUBSTITUTE(SUBSTITUTE(SUBSTITUTE($L$1,"61",A75),"CM_NORMAL",E75),"ITM_DRG",H75),"nn = comm",K75),"exitIfNim",B75),"allowCondition",D75),"KK",J75),"9999",G75),"ITM_AAA",F75),"XX",I75))</f>
        <v>if(shortCutCommand(w, event_keyval,    62,                                  shortcutProfile == USER_R47,  ExitIfNim,          tam.mode,    "",  "-01",                   0b01101,         -1,              ITM_DRG ))        {return true;} else        //                     [=]&gt;D,R,G</v>
      </c>
    </row>
    <row r="76" spans="1:12">
      <c r="A76" s="6" t="str">
        <f>REPT(" ",Sheet2!$B$3-LEN(Sheet2!B76))&amp;Sheet2!B76</f>
        <v xml:space="preserve">  102</v>
      </c>
      <c r="B76" s="6" t="str">
        <f>REPT(" ",Sheet2!$C$3-LEN(Sheet2!C76))&amp;Sheet2!C76</f>
        <v>!ExitIfNim</v>
      </c>
      <c r="C76" s="5" t="str">
        <f>IF(Sheet2!D76="Std","FALSE",
IF(Sheet2!D76="Both","shortcutProfile == USER_C47 || shortcutProfile == USER_R47",
"shortcutProfile == USER_"&amp;Sheet2!D76))</f>
        <v>FALSE</v>
      </c>
      <c r="D76" s="6" t="str">
        <f t="shared" si="2"/>
        <v xml:space="preserve">                                                       FALSE</v>
      </c>
      <c r="E76" s="6" t="str">
        <f>REPT(" ",Sheet2!$E$3-LEN(Sheet2!E76))&amp;Sheet2!E76</f>
        <v xml:space="preserve">                  0b01101</v>
      </c>
      <c r="F76" s="6" t="str">
        <f>REPT(" ",Sheet2!$F$3-LEN(Sheet2!F76))&amp;Sheet2!F76</f>
        <v xml:space="preserve">        -1</v>
      </c>
      <c r="G76" s="6" t="str">
        <f>REPT(" ",Sheet2!$G$3-LEN(Sheet2!G76))&amp;Sheet2!G76</f>
        <v xml:space="preserve">         tam.mode</v>
      </c>
      <c r="H76" s="6" t="str">
        <f>REPT(" ",Sheet2!$H$3-LEN(Sheet2!H76))&amp;Sheet2!H76</f>
        <v xml:space="preserve">          ITM_SHIFTf</v>
      </c>
      <c r="I76" s="6" t="str">
        <f>REPT(" ",Sheet2!$I$3-LEN(Sheet2!I76))&amp;""""&amp;Sheet2!I76&amp;""""</f>
        <v xml:space="preserve">   ""</v>
      </c>
      <c r="J76" s="6" t="str">
        <f>REPT(" ",Sheet2!$J$3-LEN(TEXT(Sheet2!J76,"00")))&amp;""""&amp;TEXT(Sheet2!J76,"00")&amp;""""</f>
        <v xml:space="preserve">  "10"</v>
      </c>
      <c r="K76" s="6" t="str">
        <f>REPT(" ",Sheet2!$K$3-LEN(Sheet2!K76))&amp;Sheet2!K76</f>
        <v xml:space="preserve">                             f</v>
      </c>
      <c r="L76" s="3" t="str">
        <f>IF(Sheet2!B76="","",SUBSTITUTE(SUBSTITUTE(SUBSTITUTE(SUBSTITUTE(SUBSTITUTE(SUBSTITUTE(SUBSTITUTE(SUBSTITUTE(SUBSTITUTE(SUBSTITUTE($L$1,"61",A76),"CM_NORMAL",E76),"ITM_DRG",H76),"nn = comm",K76),"exitIfNim",B76),"allowCondition",D76),"KK",J76),"9999",G76),"ITM_AAA",F76),"XX",I76))</f>
        <v>if(shortCutCommand(w, event_keyval,   102,                                                        FALSE, !ExitIfNim,          tam.mode,    "",   "10",                   0b01101,         -1,           ITM_SHIFTf ))        {return true;} else        //                             f</v>
      </c>
    </row>
    <row r="77" spans="1:12">
      <c r="A77" s="6" t="str">
        <f>REPT(" ",Sheet2!$B$3-LEN(Sheet2!B77))&amp;Sheet2!B77</f>
        <v xml:space="preserve">  103</v>
      </c>
      <c r="B77" s="6" t="str">
        <f>REPT(" ",Sheet2!$C$3-LEN(Sheet2!C77))&amp;Sheet2!C77</f>
        <v>!ExitIfNim</v>
      </c>
      <c r="C77" s="5" t="str">
        <f>IF(Sheet2!D77="Std","FALSE",
IF(Sheet2!D77="Both","shortcutProfile == USER_C47 || shortcutProfile == USER_R47",
"shortcutProfile == USER_"&amp;Sheet2!D77))</f>
        <v>FALSE</v>
      </c>
      <c r="D77" s="6" t="str">
        <f t="shared" si="2"/>
        <v xml:space="preserve">                                                       FALSE</v>
      </c>
      <c r="E77" s="6" t="str">
        <f>REPT(" ",Sheet2!$E$3-LEN(Sheet2!E77))&amp;Sheet2!E77</f>
        <v xml:space="preserve">                  0b01101</v>
      </c>
      <c r="F77" s="6" t="str">
        <f>REPT(" ",Sheet2!$F$3-LEN(Sheet2!F77))&amp;Sheet2!F77</f>
        <v xml:space="preserve">        -1</v>
      </c>
      <c r="G77" s="6" t="str">
        <f>REPT(" ",Sheet2!$G$3-LEN(Sheet2!G77))&amp;Sheet2!G77</f>
        <v xml:space="preserve">         tam.mode</v>
      </c>
      <c r="H77" s="6" t="str">
        <f>REPT(" ",Sheet2!$H$3-LEN(Sheet2!H77))&amp;Sheet2!H77</f>
        <v xml:space="preserve">          ITM_SHIFTg</v>
      </c>
      <c r="I77" s="6" t="str">
        <f>REPT(" ",Sheet2!$I$3-LEN(Sheet2!I77))&amp;""""&amp;Sheet2!I77&amp;""""</f>
        <v xml:space="preserve">   ""</v>
      </c>
      <c r="J77" s="6" t="str">
        <f>REPT(" ",Sheet2!$J$3-LEN(TEXT(Sheet2!J77,"00")))&amp;""""&amp;TEXT(Sheet2!J77,"00")&amp;""""</f>
        <v xml:space="preserve">  "11"</v>
      </c>
      <c r="K77" s="6" t="str">
        <f>REPT(" ",Sheet2!$K$3-LEN(Sheet2!K77))&amp;Sheet2!K77</f>
        <v xml:space="preserve">                             g</v>
      </c>
      <c r="L77" s="3" t="str">
        <f>IF(Sheet2!B77="","",SUBSTITUTE(SUBSTITUTE(SUBSTITUTE(SUBSTITUTE(SUBSTITUTE(SUBSTITUTE(SUBSTITUTE(SUBSTITUTE(SUBSTITUTE(SUBSTITUTE($L$1,"61",A77),"CM_NORMAL",E77),"ITM_DRG",H77),"nn = comm",K77),"exitIfNim",B77),"allowCondition",D77),"KK",J77),"9999",G77),"ITM_AAA",F77),"XX",I77))</f>
        <v>if(shortCutCommand(w, event_keyval,   103,                                                        FALSE, !ExitIfNim,          tam.mode,    "",   "11",                   0b01101,         -1,           ITM_SHIFTg ))        {return true;} else        //                             g</v>
      </c>
    </row>
    <row r="78" spans="1:12">
      <c r="A78" s="6" t="str">
        <f>REPT(" ",Sheet2!$B$3-LEN(Sheet2!B78))&amp;Sheet2!B78</f>
        <v xml:space="preserve">   69</v>
      </c>
      <c r="B78" s="6" t="str">
        <f>REPT(" ",Sheet2!$C$3-LEN(Sheet2!C78))&amp;Sheet2!C78</f>
        <v>!ExitIfNim</v>
      </c>
      <c r="C78" s="5" t="str">
        <f>IF(Sheet2!D78="Std","FALSE",
IF(Sheet2!D78="Both","shortcutProfile == USER_C47 || shortcutProfile == USER_R47",
"shortcutProfile == USER_"&amp;Sheet2!D78))</f>
        <v>FALSE</v>
      </c>
      <c r="D78" s="6" t="str">
        <f t="shared" si="2"/>
        <v xml:space="preserve">                                                       FALSE</v>
      </c>
      <c r="E78" s="6" t="str">
        <f>REPT(" ",Sheet2!$E$3-LEN(Sheet2!E78))&amp;Sheet2!E78</f>
        <v xml:space="preserve">                  0b01101</v>
      </c>
      <c r="F78" s="6" t="str">
        <f>REPT(" ",Sheet2!$F$3-LEN(Sheet2!F78))&amp;Sheet2!F78</f>
        <v xml:space="preserve">        -1</v>
      </c>
      <c r="G78" s="6" t="str">
        <f>REPT(" ",Sheet2!$G$3-LEN(Sheet2!G78))&amp;Sheet2!G78</f>
        <v xml:space="preserve">            FALSE</v>
      </c>
      <c r="H78" s="6" t="str">
        <f>REPT(" ",Sheet2!$H$3-LEN(Sheet2!H78))&amp;Sheet2!H78</f>
        <v xml:space="preserve">           ITM_ENTER</v>
      </c>
      <c r="I78" s="6" t="str">
        <f>REPT(" ",Sheet2!$I$3-LEN(Sheet2!I78))&amp;""""&amp;Sheet2!I78&amp;""""</f>
        <v xml:space="preserve">   ""</v>
      </c>
      <c r="J78" s="6" t="str">
        <f>REPT(" ",Sheet2!$J$3-LEN(TEXT(Sheet2!J78,"00")))&amp;""""&amp;TEXT(Sheet2!J78,"00")&amp;""""</f>
        <v xml:space="preserve">  "12"</v>
      </c>
      <c r="K78" s="6" t="str">
        <f>REPT(" ",Sheet2!$K$3-LEN(Sheet2!K78))&amp;Sheet2!K78</f>
        <v xml:space="preserve">                           key</v>
      </c>
      <c r="L78" s="3" t="str">
        <f>IF(Sheet2!B78="","",SUBSTITUTE(SUBSTITUTE(SUBSTITUTE(SUBSTITUTE(SUBSTITUTE(SUBSTITUTE(SUBSTITUTE(SUBSTITUTE(SUBSTITUTE(SUBSTITUTE($L$1,"61",A78),"CM_NORMAL",E78),"ITM_DRG",H78),"nn = comm",K78),"exitIfNim",B78),"allowCondition",D78),"KK",J78),"9999",G78),"ITM_AAA",F78),"XX",I78))</f>
        <v>if(shortCutCommand(w, event_keyval,    69,                                                        FALSE, !ExitIfNim,             FALSE,    "",   "12",                   0b01101,         -1,            ITM_ENTER ))        {return true;} else        //                           key</v>
      </c>
    </row>
    <row r="79" spans="1:12">
      <c r="A79" s="6" t="str">
        <f>REPT(" ",Sheet2!$B$3-LEN(Sheet2!B79))&amp;Sheet2!B79</f>
        <v xml:space="preserve">  119</v>
      </c>
      <c r="B79" s="6" t="str">
        <f>REPT(" ",Sheet2!$C$3-LEN(Sheet2!C79))&amp;Sheet2!C79</f>
        <v>!ExitIfNim</v>
      </c>
      <c r="C79" s="5" t="str">
        <f>IF(Sheet2!D79="Std","FALSE",
IF(Sheet2!D79="Both","shortcutProfile == USER_C47 || shortcutProfile == USER_R47",
"shortcutProfile == USER_"&amp;Sheet2!D79))</f>
        <v>FALSE</v>
      </c>
      <c r="D79" s="6" t="str">
        <f t="shared" si="2"/>
        <v xml:space="preserve">                                                       FALSE</v>
      </c>
      <c r="E79" s="6" t="str">
        <f>REPT(" ",Sheet2!$E$3-LEN(Sheet2!E79))&amp;Sheet2!E79</f>
        <v xml:space="preserve">                  0b01101</v>
      </c>
      <c r="F79" s="6" t="str">
        <f>REPT(" ",Sheet2!$F$3-LEN(Sheet2!F79))&amp;Sheet2!F79</f>
        <v xml:space="preserve">        -1</v>
      </c>
      <c r="G79" s="6" t="str">
        <f>REPT(" ",Sheet2!$G$3-LEN(Sheet2!G79))&amp;Sheet2!G79</f>
        <v xml:space="preserve">         tam.mode</v>
      </c>
      <c r="H79" s="6" t="str">
        <f>REPT(" ",Sheet2!$H$3-LEN(Sheet2!H79))&amp;Sheet2!H79</f>
        <v xml:space="preserve">            ITM_XexY</v>
      </c>
      <c r="I79" s="6" t="str">
        <f>REPT(" ",Sheet2!$I$3-LEN(Sheet2!I79))&amp;""""&amp;Sheet2!I79&amp;""""</f>
        <v xml:space="preserve">   ""</v>
      </c>
      <c r="J79" s="6" t="str">
        <f>REPT(" ",Sheet2!$J$3-LEN(TEXT(Sheet2!J79,"00")))&amp;""""&amp;TEXT(Sheet2!J79,"00")&amp;""""</f>
        <v xml:space="preserve">  "13"</v>
      </c>
      <c r="K79" s="6" t="str">
        <f>REPT(" ",Sheet2!$K$3-LEN(Sheet2!K79))&amp;Sheet2!K79</f>
        <v xml:space="preserve">                        s[w]ap</v>
      </c>
      <c r="L79" s="3" t="str">
        <f>IF(Sheet2!B79="","",SUBSTITUTE(SUBSTITUTE(SUBSTITUTE(SUBSTITUTE(SUBSTITUTE(SUBSTITUTE(SUBSTITUTE(SUBSTITUTE(SUBSTITUTE(SUBSTITUTE($L$1,"61",A79),"CM_NORMAL",E79),"ITM_DRG",H79),"nn = comm",K79),"exitIfNim",B79),"allowCondition",D79),"KK",J79),"9999",G79),"ITM_AAA",F79),"XX",I79))</f>
        <v>if(shortCutCommand(w, event_keyval,   119,                                                        FALSE, !ExitIfNim,          tam.mode,    "",   "13",                   0b01101,         -1,             ITM_XexY ))        {return true;} else        //                        s[w]ap</v>
      </c>
    </row>
    <row r="80" spans="1:12">
      <c r="A80" s="6" t="str">
        <f>REPT(" ",Sheet2!$B$3-LEN(Sheet2!B80))&amp;Sheet2!B80</f>
        <v xml:space="preserve">  110</v>
      </c>
      <c r="B80" s="6" t="str">
        <f>REPT(" ",Sheet2!$C$3-LEN(Sheet2!C80))&amp;Sheet2!C80</f>
        <v>!ExitIfNim</v>
      </c>
      <c r="C80" s="5" t="str">
        <f>IF(Sheet2!D80="Std","FALSE",
IF(Sheet2!D80="Both","shortcutProfile == USER_C47 || shortcutProfile == USER_R47",
"shortcutProfile == USER_"&amp;Sheet2!D80))</f>
        <v>FALSE</v>
      </c>
      <c r="D80" s="6" t="str">
        <f t="shared" si="2"/>
        <v xml:space="preserve">                                                       FALSE</v>
      </c>
      <c r="E80" s="6" t="str">
        <f>REPT(" ",Sheet2!$E$3-LEN(Sheet2!E80))&amp;Sheet2!E80</f>
        <v xml:space="preserve">                  0b01101</v>
      </c>
      <c r="F80" s="6" t="str">
        <f>REPT(" ",Sheet2!$F$3-LEN(Sheet2!F80))&amp;Sheet2!F80</f>
        <v xml:space="preserve">        -1</v>
      </c>
      <c r="G80" s="6" t="str">
        <f>REPT(" ",Sheet2!$G$3-LEN(Sheet2!G80))&amp;Sheet2!G80</f>
        <v xml:space="preserve">         tam.mode</v>
      </c>
      <c r="H80" s="6" t="str">
        <f>REPT(" ",Sheet2!$H$3-LEN(Sheet2!H80))&amp;Sheet2!H80</f>
        <v xml:space="preserve">             ITM_CHS</v>
      </c>
      <c r="I80" s="6" t="str">
        <f>REPT(" ",Sheet2!$I$3-LEN(Sheet2!I80))&amp;""""&amp;Sheet2!I80&amp;""""</f>
        <v xml:space="preserve">   ""</v>
      </c>
      <c r="J80" s="6" t="str">
        <f>REPT(" ",Sheet2!$J$3-LEN(TEXT(Sheet2!J80,"00")))&amp;""""&amp;TEXT(Sheet2!J80,"00")&amp;""""</f>
        <v xml:space="preserve">  "14"</v>
      </c>
      <c r="K80" s="6" t="str">
        <f>REPT(" ",Sheet2!$K$3-LEN(Sheet2!K80))&amp;Sheet2!K80</f>
        <v xml:space="preserve">                CHS [n]egative</v>
      </c>
      <c r="L80" s="3" t="str">
        <f>IF(Sheet2!B80="","",SUBSTITUTE(SUBSTITUTE(SUBSTITUTE(SUBSTITUTE(SUBSTITUTE(SUBSTITUTE(SUBSTITUTE(SUBSTITUTE(SUBSTITUTE(SUBSTITUTE($L$1,"61",A80),"CM_NORMAL",E80),"ITM_DRG",H80),"nn = comm",K80),"exitIfNim",B80),"allowCondition",D80),"KK",J80),"9999",G80),"ITM_AAA",F80),"XX",I80))</f>
        <v>if(shortCutCommand(w, event_keyval,   110,                                                        FALSE, !ExitIfNim,          tam.mode,    "",   "14",                   0b01101,         -1,              ITM_CHS ))        {return true;} else        //                CHS [n]egative</v>
      </c>
    </row>
    <row r="81" spans="1:12">
      <c r="A81" s="6" t="str">
        <f>REPT(" ",Sheet2!$B$3-LEN(Sheet2!B81))&amp;Sheet2!B81</f>
        <v xml:space="preserve">  101</v>
      </c>
      <c r="B81" s="6" t="str">
        <f>REPT(" ",Sheet2!$C$3-LEN(Sheet2!C81))&amp;Sheet2!C81</f>
        <v>!ExitIfNim</v>
      </c>
      <c r="C81" s="5" t="str">
        <f>IF(Sheet2!D81="Std","FALSE",
IF(Sheet2!D81="Both","shortcutProfile == USER_C47 || shortcutProfile == USER_R47",
"shortcutProfile == USER_"&amp;Sheet2!D81))</f>
        <v>FALSE</v>
      </c>
      <c r="D81" s="6" t="str">
        <f t="shared" si="2"/>
        <v xml:space="preserve">                                                       FALSE</v>
      </c>
      <c r="E81" s="6" t="str">
        <f>REPT(" ",Sheet2!$E$3-LEN(Sheet2!E81))&amp;Sheet2!E81</f>
        <v xml:space="preserve">                  0b01101</v>
      </c>
      <c r="F81" s="6" t="str">
        <f>REPT(" ",Sheet2!$F$3-LEN(Sheet2!F81))&amp;Sheet2!F81</f>
        <v xml:space="preserve">        -1</v>
      </c>
      <c r="G81" s="6" t="str">
        <f>REPT(" ",Sheet2!$G$3-LEN(Sheet2!G81))&amp;Sheet2!G81</f>
        <v xml:space="preserve">         tam.mode</v>
      </c>
      <c r="H81" s="6" t="str">
        <f>REPT(" ",Sheet2!$H$3-LEN(Sheet2!H81))&amp;Sheet2!H81</f>
        <v xml:space="preserve">        ITM_EXPONENT</v>
      </c>
      <c r="I81" s="6" t="str">
        <f>REPT(" ",Sheet2!$I$3-LEN(Sheet2!I81))&amp;""""&amp;Sheet2!I81&amp;""""</f>
        <v xml:space="preserve">   ""</v>
      </c>
      <c r="J81" s="6" t="str">
        <f>REPT(" ",Sheet2!$J$3-LEN(TEXT(Sheet2!J81,"00")))&amp;""""&amp;TEXT(Sheet2!J81,"00")&amp;""""</f>
        <v xml:space="preserve">  "15"</v>
      </c>
      <c r="K81" s="6" t="str">
        <f>REPT(" ",Sheet2!$K$3-LEN(Sheet2!K81))&amp;Sheet2!K81</f>
        <v xml:space="preserve">                    [e]xponent</v>
      </c>
      <c r="L81" s="3" t="str">
        <f>IF(Sheet2!B81="","",SUBSTITUTE(SUBSTITUTE(SUBSTITUTE(SUBSTITUTE(SUBSTITUTE(SUBSTITUTE(SUBSTITUTE(SUBSTITUTE(SUBSTITUTE(SUBSTITUTE($L$1,"61",A81),"CM_NORMAL",E81),"ITM_DRG",H81),"nn = comm",K81),"exitIfNim",B81),"allowCondition",D81),"KK",J81),"9999",G81),"ITM_AAA",F81),"XX",I81))</f>
        <v>if(shortCutCommand(w, event_keyval,   101,                                                        FALSE, !ExitIfNim,          tam.mode,    "",   "15",                   0b01101,         -1,         ITM_EXPONENT ))        {return true;} else        //                    [e]xponent</v>
      </c>
    </row>
    <row r="82" spans="1:12">
      <c r="A82" s="6" t="str">
        <f>REPT(" ",Sheet2!$B$3-LEN(Sheet2!B82))&amp;Sheet2!B82</f>
        <v xml:space="preserve">   97</v>
      </c>
      <c r="B82" s="6" t="str">
        <f>REPT(" ",Sheet2!$C$3-LEN(Sheet2!C82))&amp;Sheet2!C82</f>
        <v xml:space="preserve"> ExitIfNim</v>
      </c>
      <c r="C82" s="5" t="str">
        <f>IF(Sheet2!D82="Std","FALSE",
IF(Sheet2!D82="Both","shortcutProfile == USER_C47 || shortcutProfile == USER_R47",
"shortcutProfile == USER_"&amp;Sheet2!D82))</f>
        <v>shortcutProfile == USER_R47</v>
      </c>
      <c r="D82" s="6" t="str">
        <f t="shared" si="2"/>
        <v xml:space="preserve">                                 shortcutProfile == USER_R47</v>
      </c>
      <c r="E82" s="6" t="str">
        <f>REPT(" ",Sheet2!$E$3-LEN(Sheet2!E82))&amp;Sheet2!E82</f>
        <v xml:space="preserve">                  0b01101</v>
      </c>
      <c r="F82" s="6" t="str">
        <f>REPT(" ",Sheet2!$F$3-LEN(Sheet2!F82))&amp;Sheet2!F82</f>
        <v xml:space="preserve">        -1</v>
      </c>
      <c r="G82" s="6" t="str">
        <f>REPT(" ",Sheet2!$G$3-LEN(Sheet2!G82))&amp;Sheet2!G82</f>
        <v xml:space="preserve">         tam.mode</v>
      </c>
      <c r="H82" s="6" t="str">
        <f>REPT(" ",Sheet2!$H$3-LEN(Sheet2!H82))&amp;Sheet2!H82</f>
        <v xml:space="preserve">       ITM_SIGMAPLUS</v>
      </c>
      <c r="I82" s="6" t="str">
        <f>REPT(" ",Sheet2!$I$3-LEN(Sheet2!I82))&amp;""""&amp;Sheet2!I82&amp;""""</f>
        <v xml:space="preserve">   ""</v>
      </c>
      <c r="J82" s="6" t="str">
        <f>REPT(" ",Sheet2!$J$3-LEN(TEXT(Sheet2!J82,"00")))&amp;""""&amp;TEXT(Sheet2!J82,"00")&amp;""""</f>
        <v xml:space="preserve"> "-01"</v>
      </c>
      <c r="K82" s="6" t="str">
        <f>REPT(" ",Sheet2!$K$3-LEN(Sheet2!K82))&amp;Sheet2!K82</f>
        <v xml:space="preserve">                  [a]ccumulate</v>
      </c>
      <c r="L82" s="3" t="str">
        <f>IF(Sheet2!B82="","",SUBSTITUTE(SUBSTITUTE(SUBSTITUTE(SUBSTITUTE(SUBSTITUTE(SUBSTITUTE(SUBSTITUTE(SUBSTITUTE(SUBSTITUTE(SUBSTITUTE($L$1,"61",A82),"CM_NORMAL",E82),"ITM_DRG",H82),"nn = comm",K82),"exitIfNim",B82),"allowCondition",D82),"KK",J82),"9999",G82),"ITM_AAA",F82),"XX",I82))</f>
        <v>if(shortCutCommand(w, event_keyval,    97,                                  shortcutProfile == USER_R47,  ExitIfNim,          tam.mode,    "",  "-01",                   0b01101,         -1,        ITM_SIGMAPLUS ))        {return true;} else        //                  [a]ccumulate</v>
      </c>
    </row>
    <row r="83" spans="1:12">
      <c r="A83" s="6" t="str">
        <f>REPT(" ",Sheet2!$B$3-LEN(Sheet2!B83))&amp;Sheet2!B83</f>
        <v xml:space="preserve">  120</v>
      </c>
      <c r="B83" s="6" t="str">
        <f>REPT(" ",Sheet2!$C$3-LEN(Sheet2!C83))&amp;Sheet2!C83</f>
        <v>!ExitIfNim</v>
      </c>
      <c r="C83" s="5" t="str">
        <f>IF(Sheet2!D83="Std","FALSE",
IF(Sheet2!D83="Both","shortcutProfile == USER_C47 || shortcutProfile == USER_R47",
"shortcutProfile == USER_"&amp;Sheet2!D83))</f>
        <v>shortcutProfile == USER_R47</v>
      </c>
      <c r="D83" s="6" t="str">
        <f t="shared" si="2"/>
        <v xml:space="preserve">                                 shortcutProfile == USER_R47</v>
      </c>
      <c r="E83" s="6" t="str">
        <f>REPT(" ",Sheet2!$E$3-LEN(Sheet2!E83))&amp;Sheet2!E83</f>
        <v xml:space="preserve">                  0b01101</v>
      </c>
      <c r="F83" s="6" t="str">
        <f>REPT(" ",Sheet2!$F$3-LEN(Sheet2!F83))&amp;Sheet2!F83</f>
        <v xml:space="preserve">        -1</v>
      </c>
      <c r="G83" s="6" t="str">
        <f>REPT(" ",Sheet2!$G$3-LEN(Sheet2!G83))&amp;Sheet2!G83</f>
        <v xml:space="preserve">            FALSE</v>
      </c>
      <c r="H83" s="6" t="str">
        <f>REPT(" ",Sheet2!$H$3-LEN(Sheet2!H83))&amp;Sheet2!H83</f>
        <v xml:space="preserve">             ITM_XEQ</v>
      </c>
      <c r="I83" s="6" t="str">
        <f>REPT(" ",Sheet2!$I$3-LEN(Sheet2!I83))&amp;""""&amp;Sheet2!I83&amp;""""</f>
        <v xml:space="preserve">   ""</v>
      </c>
      <c r="J83" s="6" t="str">
        <f>REPT(" ",Sheet2!$J$3-LEN(TEXT(Sheet2!J83,"00")))&amp;""""&amp;TEXT(Sheet2!J83,"00")&amp;""""</f>
        <v xml:space="preserve">  "17"</v>
      </c>
      <c r="K83" s="6" t="str">
        <f>REPT(" ",Sheet2!$K$3-LEN(Sheet2!K83))&amp;Sheet2!K83</f>
        <v xml:space="preserve">                         [x]eq</v>
      </c>
      <c r="L83" s="3" t="str">
        <f>IF(Sheet2!B83="","",SUBSTITUTE(SUBSTITUTE(SUBSTITUTE(SUBSTITUTE(SUBSTITUTE(SUBSTITUTE(SUBSTITUTE(SUBSTITUTE(SUBSTITUTE(SUBSTITUTE($L$1,"61",A83),"CM_NORMAL",E83),"ITM_DRG",H83),"nn = comm",K83),"exitIfNim",B83),"allowCondition",D83),"KK",J83),"9999",G83),"ITM_AAA",F83),"XX",I83))</f>
        <v>if(shortCutCommand(w, event_keyval,   120,                                  shortcutProfile == USER_R47, !ExitIfNim,             FALSE,    "",   "17",                   0b01101,         -1,              ITM_XEQ ))        {return true;} else        //                         [x]eq</v>
      </c>
    </row>
    <row r="84" spans="1:12">
      <c r="A84" s="6" t="str">
        <f>REPT(" ",Sheet2!$B$3-LEN(Sheet2!B84))&amp;Sheet2!B84</f>
        <v xml:space="preserve">   39</v>
      </c>
      <c r="B84" s="6" t="str">
        <f>REPT(" ",Sheet2!$C$3-LEN(Sheet2!C84))&amp;Sheet2!C84</f>
        <v xml:space="preserve"> ExitIfNim</v>
      </c>
      <c r="C84" s="5" t="str">
        <f>IF(Sheet2!D84="Std","FALSE",
IF(Sheet2!D84="Both","shortcutProfile == USER_C47 || shortcutProfile == USER_R47",
"shortcutProfile == USER_"&amp;Sheet2!D84))</f>
        <v>shortcutProfile == USER_R47</v>
      </c>
      <c r="D84" s="6" t="str">
        <f t="shared" si="2"/>
        <v xml:space="preserve">                                 shortcutProfile == USER_R47</v>
      </c>
      <c r="E84" s="6" t="str">
        <f>REPT(" ",Sheet2!$E$3-LEN(Sheet2!E84))&amp;Sheet2!E84</f>
        <v xml:space="preserve">                  0b01101</v>
      </c>
      <c r="F84" s="6" t="str">
        <f>REPT(" ",Sheet2!$F$3-LEN(Sheet2!F84))&amp;Sheet2!F84</f>
        <v xml:space="preserve">        -1</v>
      </c>
      <c r="G84" s="6" t="str">
        <f>REPT(" ",Sheet2!$G$3-LEN(Sheet2!G84))&amp;Sheet2!G84</f>
        <v xml:space="preserve">            FALSE</v>
      </c>
      <c r="H84" s="6" t="str">
        <f>REPT(" ",Sheet2!$H$3-LEN(Sheet2!H84))&amp;Sheet2!H84</f>
        <v xml:space="preserve">             ITM_AIM</v>
      </c>
      <c r="I84" s="6" t="str">
        <f>REPT(" ",Sheet2!$I$3-LEN(Sheet2!I84))&amp;""""&amp;Sheet2!I84&amp;""""</f>
        <v xml:space="preserve">  "f"</v>
      </c>
      <c r="J84" s="6" t="str">
        <f>REPT(" ",Sheet2!$J$3-LEN(TEXT(Sheet2!J84,"00")))&amp;""""&amp;TEXT(Sheet2!J84,"00")&amp;""""</f>
        <v xml:space="preserve">  "17"</v>
      </c>
      <c r="K84" s="6" t="str">
        <f>REPT(" ",Sheet2!$K$3-LEN(Sheet2!K84))&amp;Sheet2!K84</f>
        <v xml:space="preserve">                     alpha [']</v>
      </c>
      <c r="L84" s="3" t="str">
        <f>IF(Sheet2!B84="","",SUBSTITUTE(SUBSTITUTE(SUBSTITUTE(SUBSTITUTE(SUBSTITUTE(SUBSTITUTE(SUBSTITUTE(SUBSTITUTE(SUBSTITUTE(SUBSTITUTE($L$1,"61",A84),"CM_NORMAL",E84),"ITM_DRG",H84),"nn = comm",K84),"exitIfNim",B84),"allowCondition",D84),"KK",J84),"9999",G84),"ITM_AAA",F84),"XX",I84))</f>
        <v>if(shortCutCommand(w, event_keyval,    39,                                  shortcutProfile == USER_R47,  ExitIfNim,             FALSE,   "f",   "17",                   0b01101,         -1,              ITM_AIM ))        {return true;} else        //                     alpha [']</v>
      </c>
    </row>
    <row r="85" spans="1:12">
      <c r="A85" s="6" t="str">
        <f>REPT(" ",Sheet2!$B$3-LEN(Sheet2!B85))&amp;Sheet2!B85</f>
        <v xml:space="preserve">   71</v>
      </c>
      <c r="B85" s="6" t="str">
        <f>REPT(" ",Sheet2!$C$3-LEN(Sheet2!C85))&amp;Sheet2!C85</f>
        <v xml:space="preserve"> ExitIfNim</v>
      </c>
      <c r="C85" s="5" t="str">
        <f>IF(Sheet2!D85="Std","FALSE",
IF(Sheet2!D85="Both","shortcutProfile == USER_C47 || shortcutProfile == USER_R47",
"shortcutProfile == USER_"&amp;Sheet2!D85))</f>
        <v>shortcutProfile == USER_R47</v>
      </c>
      <c r="D85" s="6" t="str">
        <f t="shared" si="2"/>
        <v xml:space="preserve">                                 shortcutProfile == USER_R47</v>
      </c>
      <c r="E85" s="6" t="str">
        <f>REPT(" ",Sheet2!$E$3-LEN(Sheet2!E85))&amp;Sheet2!E85</f>
        <v xml:space="preserve">                  0b01101</v>
      </c>
      <c r="F85" s="6" t="str">
        <f>REPT(" ",Sheet2!$F$3-LEN(Sheet2!F85))&amp;Sheet2!F85</f>
        <v xml:space="preserve">        -1</v>
      </c>
      <c r="G85" s="6" t="str">
        <f>REPT(" ",Sheet2!$G$3-LEN(Sheet2!G85))&amp;Sheet2!G85</f>
        <v xml:space="preserve">            FALSE</v>
      </c>
      <c r="H85" s="6" t="str">
        <f>REPT(" ",Sheet2!$H$3-LEN(Sheet2!H85))&amp;Sheet2!H85</f>
        <v xml:space="preserve">             ITM_GTO</v>
      </c>
      <c r="I85" s="6" t="str">
        <f>REPT(" ",Sheet2!$I$3-LEN(Sheet2!I85))&amp;""""&amp;Sheet2!I85&amp;""""</f>
        <v xml:space="preserve">  "g"</v>
      </c>
      <c r="J85" s="6" t="str">
        <f>REPT(" ",Sheet2!$J$3-LEN(TEXT(Sheet2!J85,"00")))&amp;""""&amp;TEXT(Sheet2!J85,"00")&amp;""""</f>
        <v xml:space="preserve">  "17"</v>
      </c>
      <c r="K85" s="6" t="str">
        <f>REPT(" ",Sheet2!$K$3-LEN(Sheet2!K85))&amp;Sheet2!K85</f>
        <v xml:space="preserve">                         [g]TO</v>
      </c>
      <c r="L85" s="3" t="str">
        <f>IF(Sheet2!B85="","",SUBSTITUTE(SUBSTITUTE(SUBSTITUTE(SUBSTITUTE(SUBSTITUTE(SUBSTITUTE(SUBSTITUTE(SUBSTITUTE(SUBSTITUTE(SUBSTITUTE($L$1,"61",A85),"CM_NORMAL",E85),"ITM_DRG",H85),"nn = comm",K85),"exitIfNim",B85),"allowCondition",D85),"KK",J85),"9999",G85),"ITM_AAA",F85),"XX",I85))</f>
        <v>if(shortCutCommand(w, event_keyval,    71,                                  shortcutProfile == USER_R47,  ExitIfNim,             FALSE,   "g",   "17",                   0b01101,         -1,              ITM_GTO ))        {return true;} else        //                         [g]TO</v>
      </c>
    </row>
    <row r="86" spans="1:12">
      <c r="A86" s="6" t="str">
        <f>REPT(" ",Sheet2!$B$3-LEN(Sheet2!B86))&amp;Sheet2!B86</f>
        <v xml:space="preserve">   77</v>
      </c>
      <c r="B86" s="6" t="str">
        <f>REPT(" ",Sheet2!$C$3-LEN(Sheet2!C86))&amp;Sheet2!C86</f>
        <v>!ExitIfNim</v>
      </c>
      <c r="C86" s="5" t="str">
        <f>IF(Sheet2!D86="Std","FALSE",
IF(Sheet2!D86="Both","shortcutProfile == USER_C47 || shortcutProfile == USER_R47",
"shortcutProfile == USER_"&amp;Sheet2!D86))</f>
        <v>shortcutProfile == USER_R47</v>
      </c>
      <c r="D86" s="6" t="str">
        <f t="shared" si="2"/>
        <v xml:space="preserve">                                 shortcutProfile == USER_R47</v>
      </c>
      <c r="E86" s="6" t="str">
        <f>REPT(" ",Sheet2!$E$3-LEN(Sheet2!E86))&amp;Sheet2!E86</f>
        <v xml:space="preserve">    0b0000011000000001101</v>
      </c>
      <c r="F86" s="6" t="str">
        <f>REPT(" ",Sheet2!$F$3-LEN(Sheet2!F86))&amp;Sheet2!F86</f>
        <v xml:space="preserve">        -1</v>
      </c>
      <c r="G86" s="6" t="str">
        <f>REPT(" ",Sheet2!$G$3-LEN(Sheet2!G86))&amp;Sheet2!G86</f>
        <v xml:space="preserve">            FALSE</v>
      </c>
      <c r="H86" s="6" t="str">
        <f>REPT(" ",Sheet2!$H$3-LEN(Sheet2!H86))&amp;Sheet2!H86</f>
        <v xml:space="preserve">           -MNU_PREF</v>
      </c>
      <c r="I86" s="6" t="str">
        <f>REPT(" ",Sheet2!$I$3-LEN(Sheet2!I86))&amp;""""&amp;Sheet2!I86&amp;""""</f>
        <v xml:space="preserve">   ""</v>
      </c>
      <c r="J86" s="6" t="str">
        <f>REPT(" ",Sheet2!$J$3-LEN(TEXT(Sheet2!J86,"00")))&amp;""""&amp;TEXT(Sheet2!J86,"00")&amp;""""</f>
        <v xml:space="preserve"> "-01"</v>
      </c>
      <c r="K86" s="6" t="str">
        <f>REPT(" ",Sheet2!$K$3-LEN(Sheet2!K86))&amp;Sheet2!K86</f>
        <v xml:space="preserve">                      PREF [M}</v>
      </c>
      <c r="L86" s="3" t="str">
        <f>IF(Sheet2!B86="","",SUBSTITUTE(SUBSTITUTE(SUBSTITUTE(SUBSTITUTE(SUBSTITUTE(SUBSTITUTE(SUBSTITUTE(SUBSTITUTE(SUBSTITUTE(SUBSTITUTE($L$1,"61",A86),"CM_NORMAL",E86),"ITM_DRG",H86),"nn = comm",K86),"exitIfNim",B86),"allowCondition",D86),"KK",J86),"9999",G86),"ITM_AAA",F86),"XX",I86))</f>
        <v>if(shortCutCommand(w, event_keyval,    77,                                  shortcutProfile == USER_R47, !ExitIfNim,             FALSE,    "",  "-01",     0b0000011000000001101,         -1,            -MNU_PREF ))        {return true;} else        //                      PREF [M}</v>
      </c>
    </row>
    <row r="87" spans="1:12">
      <c r="A87" s="6" t="str">
        <f>REPT(" ",Sheet2!$B$3-LEN(Sheet2!B87))&amp;Sheet2!B87</f>
        <v xml:space="preserve">  115</v>
      </c>
      <c r="B87" s="6" t="str">
        <f>REPT(" ",Sheet2!$C$3-LEN(Sheet2!C87))&amp;Sheet2!C87</f>
        <v xml:space="preserve"> ExitIfNim</v>
      </c>
      <c r="C87" s="5" t="str">
        <f>IF(Sheet2!D87="Std","FALSE",
IF(Sheet2!D87="Both","shortcutProfile == USER_C47 || shortcutProfile == USER_R47",
"shortcutProfile == USER_"&amp;Sheet2!D87))</f>
        <v>shortcutProfile == USER_R47</v>
      </c>
      <c r="D87" s="6" t="str">
        <f t="shared" si="2"/>
        <v xml:space="preserve">                                 shortcutProfile == USER_R47</v>
      </c>
      <c r="E87" s="6" t="str">
        <f>REPT(" ",Sheet2!$E$3-LEN(Sheet2!E87))&amp;Sheet2!E87</f>
        <v xml:space="preserve">                  0b01101</v>
      </c>
      <c r="F87" s="6" t="str">
        <f>REPT(" ",Sheet2!$F$3-LEN(Sheet2!F87))&amp;Sheet2!F87</f>
        <v xml:space="preserve">        -1</v>
      </c>
      <c r="G87" s="6" t="str">
        <f>REPT(" ",Sheet2!$G$3-LEN(Sheet2!G87))&amp;Sheet2!G87</f>
        <v xml:space="preserve">         tam.mode</v>
      </c>
      <c r="H87" s="6" t="str">
        <f>REPT(" ",Sheet2!$H$3-LEN(Sheet2!H87))&amp;Sheet2!H87</f>
        <v xml:space="preserve">             ITM_sin</v>
      </c>
      <c r="I87" s="6" t="str">
        <f>REPT(" ",Sheet2!$I$3-LEN(Sheet2!I87))&amp;""""&amp;Sheet2!I87&amp;""""</f>
        <v xml:space="preserve">   ""</v>
      </c>
      <c r="J87" s="6" t="str">
        <f>REPT(" ",Sheet2!$J$3-LEN(TEXT(Sheet2!J87,"00")))&amp;""""&amp;TEXT(Sheet2!J87,"00")&amp;""""</f>
        <v xml:space="preserve"> "-01"</v>
      </c>
      <c r="K87" s="6" t="str">
        <f>REPT(" ",Sheet2!$K$3-LEN(Sheet2!K87))&amp;Sheet2!K87</f>
        <v xml:space="preserve">                        [s]ine</v>
      </c>
      <c r="L87" s="3" t="str">
        <f>IF(Sheet2!B87="","",SUBSTITUTE(SUBSTITUTE(SUBSTITUTE(SUBSTITUTE(SUBSTITUTE(SUBSTITUTE(SUBSTITUTE(SUBSTITUTE(SUBSTITUTE(SUBSTITUTE($L$1,"61",A87),"CM_NORMAL",E87),"ITM_DRG",H87),"nn = comm",K87),"exitIfNim",B87),"allowCondition",D87),"KK",J87),"9999",G87),"ITM_AAA",F87),"XX",I87))</f>
        <v>if(shortCutCommand(w, event_keyval,   115,                                  shortcutProfile == USER_R47,  ExitIfNim,          tam.mode,    "",  "-01",                   0b01101,         -1,              ITM_sin ))        {return true;} else        //                        [s]ine</v>
      </c>
    </row>
    <row r="88" spans="1:12">
      <c r="A88" s="6" t="str">
        <f>REPT(" ",Sheet2!$B$3-LEN(Sheet2!B88))&amp;Sheet2!B88</f>
        <v xml:space="preserve">   99</v>
      </c>
      <c r="B88" s="6" t="str">
        <f>REPT(" ",Sheet2!$C$3-LEN(Sheet2!C88))&amp;Sheet2!C88</f>
        <v xml:space="preserve"> ExitIfNim</v>
      </c>
      <c r="C88" s="5" t="str">
        <f>IF(Sheet2!D88="Std","FALSE",
IF(Sheet2!D88="Both","shortcutProfile == USER_C47 || shortcutProfile == USER_R47",
"shortcutProfile == USER_"&amp;Sheet2!D88))</f>
        <v>shortcutProfile == USER_R47</v>
      </c>
      <c r="D88" s="6" t="str">
        <f t="shared" si="2"/>
        <v xml:space="preserve">                                 shortcutProfile == USER_R47</v>
      </c>
      <c r="E88" s="6" t="str">
        <f>REPT(" ",Sheet2!$E$3-LEN(Sheet2!E88))&amp;Sheet2!E88</f>
        <v xml:space="preserve">                  0b01101</v>
      </c>
      <c r="F88" s="6" t="str">
        <f>REPT(" ",Sheet2!$F$3-LEN(Sheet2!F88))&amp;Sheet2!F88</f>
        <v xml:space="preserve">        -1</v>
      </c>
      <c r="G88" s="6" t="str">
        <f>REPT(" ",Sheet2!$G$3-LEN(Sheet2!G88))&amp;Sheet2!G88</f>
        <v xml:space="preserve">         tam.mode</v>
      </c>
      <c r="H88" s="6" t="str">
        <f>REPT(" ",Sheet2!$H$3-LEN(Sheet2!H88))&amp;Sheet2!H88</f>
        <v xml:space="preserve">             ITM_cos</v>
      </c>
      <c r="I88" s="6" t="str">
        <f>REPT(" ",Sheet2!$I$3-LEN(Sheet2!I88))&amp;""""&amp;Sheet2!I88&amp;""""</f>
        <v xml:space="preserve">   ""</v>
      </c>
      <c r="J88" s="6" t="str">
        <f>REPT(" ",Sheet2!$J$3-LEN(TEXT(Sheet2!J88,"00")))&amp;""""&amp;TEXT(Sheet2!J88,"00")&amp;""""</f>
        <v xml:space="preserve"> "-01"</v>
      </c>
      <c r="K88" s="6" t="str">
        <f>REPT(" ",Sheet2!$K$3-LEN(Sheet2!K88))&amp;Sheet2!K88</f>
        <v xml:space="preserve">                      [c]osine</v>
      </c>
      <c r="L88" s="3" t="str">
        <f>IF(Sheet2!B88="","",SUBSTITUTE(SUBSTITUTE(SUBSTITUTE(SUBSTITUTE(SUBSTITUTE(SUBSTITUTE(SUBSTITUTE(SUBSTITUTE(SUBSTITUTE(SUBSTITUTE($L$1,"61",A88),"CM_NORMAL",E88),"ITM_DRG",H88),"nn = comm",K88),"exitIfNim",B88),"allowCondition",D88),"KK",J88),"9999",G88),"ITM_AAA",F88),"XX",I88))</f>
        <v>if(shortCutCommand(w, event_keyval,    99,                                  shortcutProfile == USER_R47,  ExitIfNim,          tam.mode,    "",  "-01",                   0b01101,         -1,              ITM_cos ))        {return true;} else        //                      [c]osine</v>
      </c>
    </row>
    <row r="89" spans="1:12">
      <c r="A89" s="6" t="str">
        <f>REPT(" ",Sheet2!$B$3-LEN(Sheet2!B89))&amp;Sheet2!B89</f>
        <v xml:space="preserve">  116</v>
      </c>
      <c r="B89" s="6" t="str">
        <f>REPT(" ",Sheet2!$C$3-LEN(Sheet2!C89))&amp;Sheet2!C89</f>
        <v xml:space="preserve"> ExitIfNim</v>
      </c>
      <c r="C89" s="5" t="str">
        <f>IF(Sheet2!D89="Std","FALSE",
IF(Sheet2!D89="Both","shortcutProfile == USER_C47 || shortcutProfile == USER_R47",
"shortcutProfile == USER_"&amp;Sheet2!D89))</f>
        <v>shortcutProfile == USER_R47</v>
      </c>
      <c r="D89" s="6" t="str">
        <f t="shared" si="2"/>
        <v xml:space="preserve">                                 shortcutProfile == USER_R47</v>
      </c>
      <c r="E89" s="6" t="str">
        <f>REPT(" ",Sheet2!$E$3-LEN(Sheet2!E89))&amp;Sheet2!E89</f>
        <v xml:space="preserve">                  0b01101</v>
      </c>
      <c r="F89" s="6" t="str">
        <f>REPT(" ",Sheet2!$F$3-LEN(Sheet2!F89))&amp;Sheet2!F89</f>
        <v xml:space="preserve">        -1</v>
      </c>
      <c r="G89" s="6" t="str">
        <f>REPT(" ",Sheet2!$G$3-LEN(Sheet2!G89))&amp;Sheet2!G89</f>
        <v xml:space="preserve">         tam.mode</v>
      </c>
      <c r="H89" s="6" t="str">
        <f>REPT(" ",Sheet2!$H$3-LEN(Sheet2!H89))&amp;Sheet2!H89</f>
        <v xml:space="preserve">             ITM_tan</v>
      </c>
      <c r="I89" s="6" t="str">
        <f>REPT(" ",Sheet2!$I$3-LEN(Sheet2!I89))&amp;""""&amp;Sheet2!I89&amp;""""</f>
        <v xml:space="preserve">   ""</v>
      </c>
      <c r="J89" s="6" t="str">
        <f>REPT(" ",Sheet2!$J$3-LEN(TEXT(Sheet2!J89,"00")))&amp;""""&amp;TEXT(Sheet2!J89,"00")&amp;""""</f>
        <v xml:space="preserve"> "-01"</v>
      </c>
      <c r="K89" s="6" t="str">
        <f>REPT(" ",Sheet2!$K$3-LEN(Sheet2!K89))&amp;Sheet2!K89</f>
        <v xml:space="preserve">                     [t]angent</v>
      </c>
      <c r="L89" s="3" t="str">
        <f>IF(Sheet2!B89="","",SUBSTITUTE(SUBSTITUTE(SUBSTITUTE(SUBSTITUTE(SUBSTITUTE(SUBSTITUTE(SUBSTITUTE(SUBSTITUTE(SUBSTITUTE(SUBSTITUTE($L$1,"61",A89),"CM_NORMAL",E89),"ITM_DRG",H89),"nn = comm",K89),"exitIfNim",B89),"allowCondition",D89),"KK",J89),"9999",G89),"ITM_AAA",F89),"XX",I89))</f>
        <v>if(shortCutCommand(w, event_keyval,   116,                                  shortcutProfile == USER_R47,  ExitIfNim,          tam.mode,    "",  "-01",                   0b01101,         -1,              ITM_tan ))        {return true;} else        //                     [t]angent</v>
      </c>
    </row>
    <row r="90" spans="1:12">
      <c r="A90" s="6" t="str">
        <f>REPT(" ",Sheet2!$B$3-LEN(Sheet2!B90))&amp;Sheet2!B90</f>
        <v xml:space="preserve">   86</v>
      </c>
      <c r="B90" s="6" t="str">
        <f>REPT(" ",Sheet2!$C$3-LEN(Sheet2!C90))&amp;Sheet2!C90</f>
        <v xml:space="preserve"> ExitIfNim</v>
      </c>
      <c r="C90" s="5" t="str">
        <f>IF(Sheet2!D90="Std","FALSE",
IF(Sheet2!D90="Both","shortcutProfile == USER_C47 || shortcutProfile == USER_R47",
"shortcutProfile == USER_"&amp;Sheet2!D90))</f>
        <v>shortcutProfile == USER_R47</v>
      </c>
      <c r="D90" s="6" t="str">
        <f t="shared" si="2"/>
        <v xml:space="preserve">                                 shortcutProfile == USER_R47</v>
      </c>
      <c r="E90" s="6" t="str">
        <f>REPT(" ",Sheet2!$E$3-LEN(Sheet2!E90))&amp;Sheet2!E90</f>
        <v xml:space="preserve">                  0b01101</v>
      </c>
      <c r="F90" s="6" t="str">
        <f>REPT(" ",Sheet2!$F$3-LEN(Sheet2!F90))&amp;Sheet2!F90</f>
        <v xml:space="preserve">        -1</v>
      </c>
      <c r="G90" s="6" t="str">
        <f>REPT(" ",Sheet2!$G$3-LEN(Sheet2!G90))&amp;Sheet2!G90</f>
        <v xml:space="preserve">         tam.mode</v>
      </c>
      <c r="H90" s="6" t="str">
        <f>REPT(" ",Sheet2!$H$3-LEN(Sheet2!H90))&amp;Sheet2!H90</f>
        <v xml:space="preserve">            ITM_1ONX</v>
      </c>
      <c r="I90" s="6" t="str">
        <f>REPT(" ",Sheet2!$I$3-LEN(Sheet2!I90))&amp;""""&amp;Sheet2!I90&amp;""""</f>
        <v xml:space="preserve">   ""</v>
      </c>
      <c r="J90" s="6" t="str">
        <f>REPT(" ",Sheet2!$J$3-LEN(TEXT(Sheet2!J90,"00")))&amp;""""&amp;TEXT(Sheet2!J90,"00")&amp;""""</f>
        <v xml:space="preserve"> "-01"</v>
      </c>
      <c r="K90" s="6" t="str">
        <f>REPT(" ",Sheet2!$K$3-LEN(Sheet2!K90))&amp;Sheet2!K90</f>
        <v xml:space="preserve">                     in[v]erse</v>
      </c>
      <c r="L90" s="3" t="str">
        <f>IF(Sheet2!B90="","",SUBSTITUTE(SUBSTITUTE(SUBSTITUTE(SUBSTITUTE(SUBSTITUTE(SUBSTITUTE(SUBSTITUTE(SUBSTITUTE(SUBSTITUTE(SUBSTITUTE($L$1,"61",A90),"CM_NORMAL",E90),"ITM_DRG",H90),"nn = comm",K90),"exitIfNim",B90),"allowCondition",D90),"KK",J90),"9999",G90),"ITM_AAA",F90),"XX",I90))</f>
        <v>if(shortCutCommand(w, event_keyval,    86,                                  shortcutProfile == USER_R47,  ExitIfNim,          tam.mode,    "",  "-01",                   0b01101,         -1,             ITM_1ONX ))        {return true;} else        //                     in[v]erse</v>
      </c>
    </row>
    <row r="91" spans="1:12">
      <c r="A91" s="6" t="str">
        <f>REPT(" ",Sheet2!$B$3-LEN(Sheet2!B91))&amp;Sheet2!B91</f>
        <v xml:space="preserve">     </v>
      </c>
      <c r="B91" s="6" t="str">
        <f>REPT(" ",Sheet2!$C$3-LEN(Sheet2!C91))&amp;Sheet2!C91</f>
        <v xml:space="preserve">          </v>
      </c>
      <c r="C91" s="5" t="str">
        <f>IF(Sheet2!D91="Std","FALSE",
IF(Sheet2!D91="Both","shortcutProfile == USER_C47 || shortcutProfile == USER_R47",
"shortcutProfile == USER_"&amp;Sheet2!D91))</f>
        <v>shortcutProfile == USER_</v>
      </c>
      <c r="D91" s="6" t="str">
        <f t="shared" si="2"/>
        <v xml:space="preserve">                                    shortcutProfile == USER_</v>
      </c>
      <c r="E91" s="6" t="str">
        <f>REPT(" ",Sheet2!$E$3-LEN(Sheet2!E91))&amp;Sheet2!E91</f>
        <v xml:space="preserve">                         </v>
      </c>
      <c r="F91" s="6" t="str">
        <f>REPT(" ",Sheet2!$F$3-LEN(Sheet2!F91))&amp;Sheet2!F91</f>
        <v xml:space="preserve">          </v>
      </c>
      <c r="G91" s="6" t="str">
        <f>REPT(" ",Sheet2!$G$3-LEN(Sheet2!G91))&amp;Sheet2!G91</f>
        <v xml:space="preserve">                 </v>
      </c>
      <c r="H91" s="6" t="str">
        <f>REPT(" ",Sheet2!$H$3-LEN(Sheet2!H91))&amp;Sheet2!H91</f>
        <v xml:space="preserve">                    </v>
      </c>
      <c r="I91" s="6" t="str">
        <f>REPT(" ",Sheet2!$I$3-LEN(Sheet2!I91))&amp;""""&amp;Sheet2!I91&amp;""""</f>
        <v xml:space="preserve">   ""</v>
      </c>
      <c r="J91" s="6" t="str">
        <f>REPT(" ",Sheet2!$J$3-LEN(TEXT(Sheet2!J91,"00")))&amp;""""&amp;TEXT(Sheet2!J91,"00")&amp;""""</f>
        <v xml:space="preserve">  "00"</v>
      </c>
      <c r="K91" s="6" t="str">
        <f>REPT(" ",Sheet2!$K$3-LEN(Sheet2!K91))&amp;Sheet2!K91</f>
        <v xml:space="preserve">                              </v>
      </c>
      <c r="L91" s="3" t="str">
        <f>IF(Sheet2!B91="","",SUBSTITUTE(SUBSTITUTE(SUBSTITUTE(SUBSTITUTE(SUBSTITUTE(SUBSTITUTE(SUBSTITUTE(SUBSTITUTE(SUBSTITUTE(SUBSTITUTE($L$1,"61",A91),"CM_NORMAL",E91),"ITM_DRG",H91),"nn = comm",K91),"exitIfNim",B91),"allowCondition",D91),"KK",J91),"9999",G91),"ITM_AAA",F91),"XX",I91))</f>
        <v/>
      </c>
    </row>
    <row r="92" spans="1:12">
      <c r="A92" s="6" t="str">
        <f>REPT(" ",Sheet2!$B$3-LEN(Sheet2!B92))&amp;Sheet2!B92</f>
        <v xml:space="preserve">     </v>
      </c>
      <c r="B92" s="6" t="str">
        <f>REPT(" ",Sheet2!$C$3-LEN(Sheet2!C92))&amp;Sheet2!C92</f>
        <v xml:space="preserve">          </v>
      </c>
      <c r="C92" s="5" t="str">
        <f>IF(Sheet2!D92="Std","FALSE",
IF(Sheet2!D92="Both","shortcutProfile == USER_C47 || shortcutProfile == USER_R47",
"shortcutProfile == USER_"&amp;Sheet2!D92))</f>
        <v>shortcutProfile == USER_</v>
      </c>
      <c r="D92" s="6" t="str">
        <f t="shared" si="2"/>
        <v xml:space="preserve">                                    shortcutProfile == USER_</v>
      </c>
      <c r="E92" s="6" t="str">
        <f>REPT(" ",Sheet2!$E$3-LEN(Sheet2!E92))&amp;Sheet2!E92</f>
        <v xml:space="preserve">                         </v>
      </c>
      <c r="F92" s="6" t="str">
        <f>REPT(" ",Sheet2!$F$3-LEN(Sheet2!F92))&amp;Sheet2!F92</f>
        <v xml:space="preserve">          </v>
      </c>
      <c r="G92" s="6" t="str">
        <f>REPT(" ",Sheet2!$G$3-LEN(Sheet2!G92))&amp;Sheet2!G92</f>
        <v xml:space="preserve">                 </v>
      </c>
      <c r="H92" s="6" t="str">
        <f>REPT(" ",Sheet2!$H$3-LEN(Sheet2!H92))&amp;Sheet2!H92</f>
        <v xml:space="preserve">                    </v>
      </c>
      <c r="I92" s="6" t="str">
        <f>REPT(" ",Sheet2!$I$3-LEN(Sheet2!I92))&amp;""""&amp;Sheet2!I92&amp;""""</f>
        <v xml:space="preserve">   ""</v>
      </c>
      <c r="J92" s="6" t="str">
        <f>REPT(" ",Sheet2!$J$3-LEN(TEXT(Sheet2!J92,"00")))&amp;""""&amp;TEXT(Sheet2!J92,"00")&amp;""""</f>
        <v xml:space="preserve">  "00"</v>
      </c>
      <c r="K92" s="6" t="str">
        <f>REPT(" ",Sheet2!$K$3-LEN(Sheet2!K92))&amp;Sheet2!K92</f>
        <v xml:space="preserve">                              </v>
      </c>
      <c r="L92" s="3" t="str">
        <f>IF(Sheet2!B92="","",SUBSTITUTE(SUBSTITUTE(SUBSTITUTE(SUBSTITUTE(SUBSTITUTE(SUBSTITUTE(SUBSTITUTE(SUBSTITUTE(SUBSTITUTE(SUBSTITUTE($L$1,"61",A92),"CM_NORMAL",E92),"ITM_DRG",H92),"nn = comm",K92),"exitIfNim",B92),"allowCondition",D92),"KK",J92),"9999",G92),"ITM_AAA",F92),"XX",I92))</f>
        <v/>
      </c>
    </row>
    <row r="93" spans="1:12">
      <c r="A93" s="6" t="str">
        <f>REPT(" ",Sheet2!$B$3-LEN(Sheet2!B93))&amp;Sheet2!B93</f>
        <v xml:space="preserve">     </v>
      </c>
      <c r="B93" s="6" t="str">
        <f>REPT(" ",Sheet2!$C$3-LEN(Sheet2!C93))&amp;Sheet2!C93</f>
        <v xml:space="preserve">          </v>
      </c>
      <c r="C93" s="5" t="str">
        <f>IF(Sheet2!D93="Std","FALSE",
IF(Sheet2!D93="Both","shortcutProfile == USER_C47 || shortcutProfile == USER_R47",
"shortcutProfile == USER_"&amp;Sheet2!D93))</f>
        <v>shortcutProfile == USER_</v>
      </c>
      <c r="D93" s="6" t="str">
        <f t="shared" si="2"/>
        <v xml:space="preserve">                                    shortcutProfile == USER_</v>
      </c>
      <c r="E93" s="6" t="str">
        <f>REPT(" ",Sheet2!$E$3-LEN(Sheet2!E93))&amp;Sheet2!E93</f>
        <v xml:space="preserve">                         </v>
      </c>
      <c r="F93" s="6" t="str">
        <f>REPT(" ",Sheet2!$F$3-LEN(Sheet2!F93))&amp;Sheet2!F93</f>
        <v xml:space="preserve">          </v>
      </c>
      <c r="G93" s="6" t="str">
        <f>REPT(" ",Sheet2!$G$3-LEN(Sheet2!G93))&amp;Sheet2!G93</f>
        <v xml:space="preserve">                 </v>
      </c>
      <c r="H93" s="6" t="str">
        <f>REPT(" ",Sheet2!$H$3-LEN(Sheet2!H93))&amp;Sheet2!H93</f>
        <v xml:space="preserve">                    </v>
      </c>
      <c r="I93" s="6" t="str">
        <f>REPT(" ",Sheet2!$I$3-LEN(Sheet2!I93))&amp;""""&amp;Sheet2!I93&amp;""""</f>
        <v xml:space="preserve">   ""</v>
      </c>
      <c r="J93" s="6" t="str">
        <f>REPT(" ",Sheet2!$J$3-LEN(TEXT(Sheet2!J93,"00")))&amp;""""&amp;TEXT(Sheet2!J93,"00")&amp;""""</f>
        <v xml:space="preserve">  "00"</v>
      </c>
      <c r="K93" s="6" t="str">
        <f>REPT(" ",Sheet2!$K$3-LEN(Sheet2!K93))&amp;Sheet2!K93</f>
        <v xml:space="preserve">                              </v>
      </c>
      <c r="L93" s="3" t="str">
        <f>IF(Sheet2!B93="","",SUBSTITUTE(SUBSTITUTE(SUBSTITUTE(SUBSTITUTE(SUBSTITUTE(SUBSTITUTE(SUBSTITUTE(SUBSTITUTE(SUBSTITUTE(SUBSTITUTE($L$1,"61",A93),"CM_NORMAL",E93),"ITM_DRG",H93),"nn = comm",K93),"exitIfNim",B93),"allowCondition",D93),"KK",J93),"9999",G93),"ITM_AAA",F93),"XX",I93))</f>
        <v/>
      </c>
    </row>
    <row r="94" spans="1:12">
      <c r="A94" s="6" t="str">
        <f>REPT(" ",Sheet2!$B$3-LEN(Sheet2!B94))&amp;Sheet2!B94</f>
        <v xml:space="preserve">     </v>
      </c>
      <c r="B94" s="6" t="str">
        <f>REPT(" ",Sheet2!$C$3-LEN(Sheet2!C94))&amp;Sheet2!C94</f>
        <v xml:space="preserve">          </v>
      </c>
      <c r="C94" s="5" t="str">
        <f>IF(Sheet2!D94="Std","FALSE",
IF(Sheet2!D94="Both","shortcutProfile == USER_C47 || shortcutProfile == USER_R47",
"shortcutProfile == USER_"&amp;Sheet2!D94))</f>
        <v>shortcutProfile == USER_</v>
      </c>
      <c r="D94" s="6" t="str">
        <f t="shared" si="2"/>
        <v xml:space="preserve">                                    shortcutProfile == USER_</v>
      </c>
      <c r="E94" s="6" t="str">
        <f>REPT(" ",Sheet2!$E$3-LEN(Sheet2!E94))&amp;Sheet2!E94</f>
        <v xml:space="preserve">                         </v>
      </c>
      <c r="F94" s="6" t="str">
        <f>REPT(" ",Sheet2!$F$3-LEN(Sheet2!F94))&amp;Sheet2!F94</f>
        <v xml:space="preserve">          </v>
      </c>
      <c r="G94" s="6" t="str">
        <f>REPT(" ",Sheet2!$G$3-LEN(Sheet2!G94))&amp;Sheet2!G94</f>
        <v xml:space="preserve">                 </v>
      </c>
      <c r="H94" s="6" t="str">
        <f>REPT(" ",Sheet2!$H$3-LEN(Sheet2!H94))&amp;Sheet2!H94</f>
        <v xml:space="preserve">                    </v>
      </c>
      <c r="I94" s="6" t="str">
        <f>REPT(" ",Sheet2!$I$3-LEN(Sheet2!I94))&amp;""""&amp;Sheet2!I94&amp;""""</f>
        <v xml:space="preserve">   ""</v>
      </c>
      <c r="J94" s="6" t="str">
        <f>REPT(" ",Sheet2!$J$3-LEN(TEXT(Sheet2!J94,"00")))&amp;""""&amp;TEXT(Sheet2!J94,"00")&amp;""""</f>
        <v xml:space="preserve">  "00"</v>
      </c>
      <c r="K94" s="6" t="str">
        <f>REPT(" ",Sheet2!$K$3-LEN(Sheet2!K94))&amp;Sheet2!K94</f>
        <v xml:space="preserve">                              </v>
      </c>
      <c r="L94" s="3" t="str">
        <f>IF(Sheet2!B94="","",SUBSTITUTE(SUBSTITUTE(SUBSTITUTE(SUBSTITUTE(SUBSTITUTE(SUBSTITUTE(SUBSTITUTE(SUBSTITUTE(SUBSTITUTE(SUBSTITUTE($L$1,"61",A94),"CM_NORMAL",E94),"ITM_DRG",H94),"nn = comm",K94),"exitIfNim",B94),"allowCondition",D94),"KK",J94),"9999",G94),"ITM_AAA",F94),"XX",I94))</f>
        <v/>
      </c>
    </row>
    <row r="95" spans="1:12">
      <c r="A95" s="6" t="str">
        <f>REPT(" ",Sheet2!$B$3-LEN(Sheet2!B95))&amp;Sheet2!B95</f>
        <v xml:space="preserve">     </v>
      </c>
      <c r="B95" s="6" t="str">
        <f>REPT(" ",Sheet2!$C$3-LEN(Sheet2!C95))&amp;Sheet2!C95</f>
        <v xml:space="preserve">          </v>
      </c>
      <c r="C95" s="5" t="str">
        <f>IF(Sheet2!D95="Std","FALSE",
IF(Sheet2!D95="Both","shortcutProfile == USER_C47 || shortcutProfile == USER_R47",
"shortcutProfile == USER_"&amp;Sheet2!D95))</f>
        <v>shortcutProfile == USER_</v>
      </c>
      <c r="D95" s="6" t="str">
        <f t="shared" si="2"/>
        <v xml:space="preserve">                                    shortcutProfile == USER_</v>
      </c>
      <c r="E95" s="6" t="str">
        <f>REPT(" ",Sheet2!$E$3-LEN(Sheet2!E95))&amp;Sheet2!E95</f>
        <v xml:space="preserve">                         </v>
      </c>
      <c r="F95" s="6" t="str">
        <f>REPT(" ",Sheet2!$F$3-LEN(Sheet2!F95))&amp;Sheet2!F95</f>
        <v xml:space="preserve">          </v>
      </c>
      <c r="G95" s="6" t="str">
        <f>REPT(" ",Sheet2!$G$3-LEN(Sheet2!G95))&amp;Sheet2!G95</f>
        <v xml:space="preserve">                 </v>
      </c>
      <c r="H95" s="6" t="str">
        <f>REPT(" ",Sheet2!$H$3-LEN(Sheet2!H95))&amp;Sheet2!H95</f>
        <v xml:space="preserve">                    </v>
      </c>
      <c r="I95" s="6" t="str">
        <f>REPT(" ",Sheet2!$I$3-LEN(Sheet2!I95))&amp;""""&amp;Sheet2!I95&amp;""""</f>
        <v xml:space="preserve">   ""</v>
      </c>
      <c r="J95" s="6" t="str">
        <f>REPT(" ",Sheet2!$J$3-LEN(TEXT(Sheet2!J95,"00")))&amp;""""&amp;TEXT(Sheet2!J95,"00")&amp;""""</f>
        <v xml:space="preserve">  "00"</v>
      </c>
      <c r="K95" s="6" t="str">
        <f>REPT(" ",Sheet2!$K$3-LEN(Sheet2!K95))&amp;Sheet2!K95</f>
        <v xml:space="preserve">                              </v>
      </c>
      <c r="L95" s="3" t="str">
        <f>IF(Sheet2!B95="","",SUBSTITUTE(SUBSTITUTE(SUBSTITUTE(SUBSTITUTE(SUBSTITUTE(SUBSTITUTE(SUBSTITUTE(SUBSTITUTE(SUBSTITUTE(SUBSTITUTE($L$1,"61",A95),"CM_NORMAL",E95),"ITM_DRG",H95),"nn = comm",K95),"exitIfNim",B95),"allowCondition",D95),"KK",J95),"9999",G95),"ITM_AAA",F95),"XX",I95))</f>
        <v/>
      </c>
    </row>
    <row r="96" spans="1:12">
      <c r="A96" s="6" t="str">
        <f>REPT(" ",Sheet2!$B$3-LEN(Sheet2!B96))&amp;Sheet2!B96</f>
        <v xml:space="preserve">     </v>
      </c>
      <c r="B96" s="6" t="str">
        <f>REPT(" ",Sheet2!$C$3-LEN(Sheet2!C96))&amp;Sheet2!C96</f>
        <v xml:space="preserve">          </v>
      </c>
      <c r="C96" s="5" t="str">
        <f>IF(Sheet2!D96="Std","FALSE",
IF(Sheet2!D96="Both","shortcutProfile == USER_C47 || shortcutProfile == USER_R47",
"shortcutProfile == USER_"&amp;Sheet2!D96))</f>
        <v>shortcutProfile == USER_</v>
      </c>
      <c r="D96" s="6" t="str">
        <f t="shared" si="2"/>
        <v xml:space="preserve">                                    shortcutProfile == USER_</v>
      </c>
      <c r="E96" s="6" t="str">
        <f>REPT(" ",Sheet2!$E$3-LEN(Sheet2!E96))&amp;Sheet2!E96</f>
        <v xml:space="preserve">                         </v>
      </c>
      <c r="F96" s="6" t="str">
        <f>REPT(" ",Sheet2!$F$3-LEN(Sheet2!F96))&amp;Sheet2!F96</f>
        <v xml:space="preserve">          </v>
      </c>
      <c r="G96" s="6" t="str">
        <f>REPT(" ",Sheet2!$G$3-LEN(Sheet2!G96))&amp;Sheet2!G96</f>
        <v xml:space="preserve">                 </v>
      </c>
      <c r="H96" s="6" t="str">
        <f>REPT(" ",Sheet2!$H$3-LEN(Sheet2!H96))&amp;Sheet2!H96</f>
        <v xml:space="preserve">                    </v>
      </c>
      <c r="I96" s="6" t="str">
        <f>REPT(" ",Sheet2!$I$3-LEN(Sheet2!I96))&amp;""""&amp;Sheet2!I96&amp;""""</f>
        <v xml:space="preserve">   ""</v>
      </c>
      <c r="J96" s="6" t="str">
        <f>REPT(" ",Sheet2!$J$3-LEN(TEXT(Sheet2!J96,"00")))&amp;""""&amp;TEXT(Sheet2!J96,"00")&amp;""""</f>
        <v xml:space="preserve">  "00"</v>
      </c>
      <c r="K96" s="6" t="str">
        <f>REPT(" ",Sheet2!$K$3-LEN(Sheet2!K96))&amp;Sheet2!K96</f>
        <v xml:space="preserve">                              </v>
      </c>
      <c r="L96" s="3" t="str">
        <f>IF(Sheet2!B96="","",SUBSTITUTE(SUBSTITUTE(SUBSTITUTE(SUBSTITUTE(SUBSTITUTE(SUBSTITUTE(SUBSTITUTE(SUBSTITUTE(SUBSTITUTE(SUBSTITUTE($L$1,"61",A96),"CM_NORMAL",E96),"ITM_DRG",H96),"nn = comm",K96),"exitIfNim",B96),"allowCondition",D96),"KK",J96),"9999",G96),"ITM_AAA",F96),"XX",I96))</f>
        <v/>
      </c>
    </row>
    <row r="97" spans="1:12">
      <c r="A97" s="6" t="str">
        <f>REPT(" ",Sheet2!$B$3-LEN(Sheet2!B97))&amp;Sheet2!B97</f>
        <v xml:space="preserve">     </v>
      </c>
      <c r="B97" s="6" t="str">
        <f>REPT(" ",Sheet2!$C$3-LEN(Sheet2!C97))&amp;Sheet2!C97</f>
        <v xml:space="preserve">          </v>
      </c>
      <c r="C97" s="5" t="str">
        <f>IF(Sheet2!D97="Std","FALSE",
IF(Sheet2!D97="Both","shortcutProfile == USER_C47 || shortcutProfile == USER_R47",
"shortcutProfile == USER_"&amp;Sheet2!D97))</f>
        <v>shortcutProfile == USER_</v>
      </c>
      <c r="D97" s="6" t="str">
        <f t="shared" si="2"/>
        <v xml:space="preserve">                                    shortcutProfile == USER_</v>
      </c>
      <c r="E97" s="6" t="str">
        <f>REPT(" ",Sheet2!$E$3-LEN(Sheet2!E97))&amp;Sheet2!E97</f>
        <v xml:space="preserve">                         </v>
      </c>
      <c r="F97" s="6" t="str">
        <f>REPT(" ",Sheet2!$F$3-LEN(Sheet2!F97))&amp;Sheet2!F97</f>
        <v xml:space="preserve">          </v>
      </c>
      <c r="G97" s="6" t="str">
        <f>REPT(" ",Sheet2!$G$3-LEN(Sheet2!G97))&amp;Sheet2!G97</f>
        <v xml:space="preserve">                 </v>
      </c>
      <c r="H97" s="6" t="str">
        <f>REPT(" ",Sheet2!$H$3-LEN(Sheet2!H97))&amp;Sheet2!H97</f>
        <v xml:space="preserve">                    </v>
      </c>
      <c r="I97" s="6" t="str">
        <f>REPT(" ",Sheet2!$I$3-LEN(Sheet2!I97))&amp;""""&amp;Sheet2!I97&amp;""""</f>
        <v xml:space="preserve">   ""</v>
      </c>
      <c r="J97" s="6" t="str">
        <f>REPT(" ",Sheet2!$J$3-LEN(TEXT(Sheet2!J97,"00")))&amp;""""&amp;TEXT(Sheet2!J97,"00")&amp;""""</f>
        <v xml:space="preserve">  "00"</v>
      </c>
      <c r="K97" s="6" t="str">
        <f>REPT(" ",Sheet2!$K$3-LEN(Sheet2!K97))&amp;Sheet2!K97</f>
        <v xml:space="preserve">                              </v>
      </c>
      <c r="L97" s="3" t="str">
        <f>IF(Sheet2!B97="","",SUBSTITUTE(SUBSTITUTE(SUBSTITUTE(SUBSTITUTE(SUBSTITUTE(SUBSTITUTE(SUBSTITUTE(SUBSTITUTE(SUBSTITUTE(SUBSTITUTE($L$1,"61",A97),"CM_NORMAL",E97),"ITM_DRG",H97),"nn = comm",K97),"exitIfNim",B97),"allowCondition",D97),"KK",J97),"9999",G97),"ITM_AAA",F97),"XX",I97))</f>
        <v/>
      </c>
    </row>
    <row r="98" spans="1:12">
      <c r="A98" s="6" t="str">
        <f>REPT(" ",Sheet2!$B$3-LEN(Sheet2!B98))&amp;Sheet2!B98</f>
        <v xml:space="preserve">     </v>
      </c>
      <c r="B98" s="6" t="str">
        <f>REPT(" ",Sheet2!$C$3-LEN(Sheet2!C98))&amp;Sheet2!C98</f>
        <v xml:space="preserve">          </v>
      </c>
      <c r="C98" s="5" t="str">
        <f>IF(Sheet2!D98="Std","FALSE",
IF(Sheet2!D98="Both","shortcutProfile == USER_C47 || shortcutProfile == USER_R47",
"shortcutProfile == USER_"&amp;Sheet2!D98))</f>
        <v>shortcutProfile == USER_</v>
      </c>
      <c r="D98" s="6" t="str">
        <f t="shared" si="2"/>
        <v xml:space="preserve">                                    shortcutProfile == USER_</v>
      </c>
      <c r="E98" s="6" t="str">
        <f>REPT(" ",Sheet2!$E$3-LEN(Sheet2!E98))&amp;Sheet2!E98</f>
        <v xml:space="preserve">                         </v>
      </c>
      <c r="F98" s="6" t="str">
        <f>REPT(" ",Sheet2!$F$3-LEN(Sheet2!F98))&amp;Sheet2!F98</f>
        <v xml:space="preserve">          </v>
      </c>
      <c r="G98" s="6" t="str">
        <f>REPT(" ",Sheet2!$G$3-LEN(Sheet2!G98))&amp;Sheet2!G98</f>
        <v xml:space="preserve">                 </v>
      </c>
      <c r="H98" s="6" t="str">
        <f>REPT(" ",Sheet2!$H$3-LEN(Sheet2!H98))&amp;Sheet2!H98</f>
        <v xml:space="preserve">                    </v>
      </c>
      <c r="I98" s="6" t="str">
        <f>REPT(" ",Sheet2!$I$3-LEN(Sheet2!I98))&amp;""""&amp;Sheet2!I98&amp;""""</f>
        <v xml:space="preserve">   ""</v>
      </c>
      <c r="J98" s="6" t="str">
        <f>REPT(" ",Sheet2!$J$3-LEN(TEXT(Sheet2!J98,"00")))&amp;""""&amp;TEXT(Sheet2!J98,"00")&amp;""""</f>
        <v xml:space="preserve">  "00"</v>
      </c>
      <c r="K98" s="6" t="str">
        <f>REPT(" ",Sheet2!$K$3-LEN(Sheet2!K98))&amp;Sheet2!K98</f>
        <v xml:space="preserve">                              </v>
      </c>
      <c r="L98" s="3" t="str">
        <f>IF(Sheet2!B98="","",SUBSTITUTE(SUBSTITUTE(SUBSTITUTE(SUBSTITUTE(SUBSTITUTE(SUBSTITUTE(SUBSTITUTE(SUBSTITUTE(SUBSTITUTE(SUBSTITUTE($L$1,"61",A98),"CM_NORMAL",E98),"ITM_DRG",H98),"nn = comm",K98),"exitIfNim",B98),"allowCondition",D98),"KK",J98),"9999",G98),"ITM_AAA",F98),"XX",I98))</f>
        <v/>
      </c>
    </row>
    <row r="99" spans="1:12">
      <c r="A99" s="6" t="str">
        <f>REPT(" ",Sheet2!$B$3-LEN(Sheet2!B99))&amp;Sheet2!B99</f>
        <v xml:space="preserve">     </v>
      </c>
      <c r="B99" s="6" t="str">
        <f>REPT(" ",Sheet2!$C$3-LEN(Sheet2!C99))&amp;Sheet2!C99</f>
        <v xml:space="preserve">          </v>
      </c>
      <c r="C99" s="5" t="str">
        <f>IF(Sheet2!D99="Std","FALSE",
IF(Sheet2!D99="Both","shortcutProfile == USER_C47 || shortcutProfile == USER_R47",
"shortcutProfile == USER_"&amp;Sheet2!D99))</f>
        <v>shortcutProfile == USER_</v>
      </c>
      <c r="D99" s="6" t="str">
        <f t="shared" si="2"/>
        <v xml:space="preserve">                                    shortcutProfile == USER_</v>
      </c>
      <c r="E99" s="6" t="str">
        <f>REPT(" ",Sheet2!$E$3-LEN(Sheet2!E99))&amp;Sheet2!E99</f>
        <v xml:space="preserve">                         </v>
      </c>
      <c r="F99" s="6" t="str">
        <f>REPT(" ",Sheet2!$F$3-LEN(Sheet2!F99))&amp;Sheet2!F99</f>
        <v xml:space="preserve">          </v>
      </c>
      <c r="G99" s="6" t="str">
        <f>REPT(" ",Sheet2!$G$3-LEN(Sheet2!G99))&amp;Sheet2!G99</f>
        <v xml:space="preserve">                 </v>
      </c>
      <c r="H99" s="6" t="str">
        <f>REPT(" ",Sheet2!$H$3-LEN(Sheet2!H99))&amp;Sheet2!H99</f>
        <v xml:space="preserve">                    </v>
      </c>
      <c r="I99" s="6" t="str">
        <f>REPT(" ",Sheet2!$I$3-LEN(Sheet2!I99))&amp;""""&amp;Sheet2!I99&amp;""""</f>
        <v xml:space="preserve">   ""</v>
      </c>
      <c r="J99" s="6" t="str">
        <f>REPT(" ",Sheet2!$J$3-LEN(TEXT(Sheet2!J99,"00")))&amp;""""&amp;TEXT(Sheet2!J99,"00")&amp;""""</f>
        <v xml:space="preserve">  "00"</v>
      </c>
      <c r="K99" s="6" t="str">
        <f>REPT(" ",Sheet2!$K$3-LEN(Sheet2!K99))&amp;Sheet2!K99</f>
        <v xml:space="preserve">                              </v>
      </c>
      <c r="L99" s="3" t="str">
        <f>IF(Sheet2!B99="","",SUBSTITUTE(SUBSTITUTE(SUBSTITUTE(SUBSTITUTE(SUBSTITUTE(SUBSTITUTE(SUBSTITUTE(SUBSTITUTE(SUBSTITUTE(SUBSTITUTE($L$1,"61",A99),"CM_NORMAL",E99),"ITM_DRG",H99),"nn = comm",K99),"exitIfNim",B99),"allowCondition",D99),"KK",J99),"9999",G99),"ITM_AAA",F99),"XX",I99))</f>
        <v/>
      </c>
    </row>
    <row r="100" spans="1:12">
      <c r="A100" s="6" t="str">
        <f>REPT(" ",Sheet2!$B$3-LEN(Sheet2!B100))&amp;Sheet2!B100</f>
        <v xml:space="preserve">     </v>
      </c>
      <c r="B100" s="6" t="str">
        <f>REPT(" ",Sheet2!$C$3-LEN(Sheet2!C100))&amp;Sheet2!C100</f>
        <v xml:space="preserve">          </v>
      </c>
      <c r="C100" s="5" t="str">
        <f>IF(Sheet2!D100="Std","FALSE",
IF(Sheet2!D100="Both","shortcutProfile == USER_C47 || shortcutProfile == USER_R47",
"shortcutProfile == USER_"&amp;Sheet2!D100))</f>
        <v>shortcutProfile == USER_</v>
      </c>
      <c r="D100" s="6" t="str">
        <f t="shared" si="2"/>
        <v xml:space="preserve">                                    shortcutProfile == USER_</v>
      </c>
      <c r="E100" s="6" t="str">
        <f>REPT(" ",Sheet2!$E$3-LEN(Sheet2!E100))&amp;Sheet2!E100</f>
        <v xml:space="preserve">                         </v>
      </c>
      <c r="F100" s="6" t="str">
        <f>REPT(" ",Sheet2!$F$3-LEN(Sheet2!F100))&amp;Sheet2!F100</f>
        <v xml:space="preserve">          </v>
      </c>
      <c r="G100" s="6" t="str">
        <f>REPT(" ",Sheet2!$G$3-LEN(Sheet2!G100))&amp;Sheet2!G100</f>
        <v xml:space="preserve">                 </v>
      </c>
      <c r="H100" s="6" t="str">
        <f>REPT(" ",Sheet2!$H$3-LEN(Sheet2!H100))&amp;Sheet2!H100</f>
        <v xml:space="preserve">                    </v>
      </c>
      <c r="I100" s="6" t="str">
        <f>REPT(" ",Sheet2!$I$3-LEN(Sheet2!I100))&amp;""""&amp;Sheet2!I100&amp;""""</f>
        <v xml:space="preserve">   ""</v>
      </c>
      <c r="J100" s="6" t="str">
        <f>REPT(" ",Sheet2!$J$3-LEN(TEXT(Sheet2!J100,"00")))&amp;""""&amp;TEXT(Sheet2!J100,"00")&amp;""""</f>
        <v xml:space="preserve">  "00"</v>
      </c>
      <c r="K100" s="6" t="str">
        <f>REPT(" ",Sheet2!$K$3-LEN(Sheet2!K100))&amp;Sheet2!K100</f>
        <v xml:space="preserve">                              </v>
      </c>
      <c r="L100" s="3" t="str">
        <f>IF(Sheet2!B100="","",SUBSTITUTE(SUBSTITUTE(SUBSTITUTE(SUBSTITUTE(SUBSTITUTE(SUBSTITUTE(SUBSTITUTE(SUBSTITUTE(SUBSTITUTE(SUBSTITUTE($L$1,"61",A100),"CM_NORMAL",E100),"ITM_DRG",H100),"nn = comm",K100),"exitIfNim",B100),"allowCondition",D100),"KK",J100),"9999",G100),"ITM_AAA",F100),"XX",I100))</f>
        <v/>
      </c>
    </row>
    <row r="101" spans="1:12">
      <c r="A101" s="6" t="str">
        <f>REPT(" ",Sheet2!$B$3-LEN(Sheet2!B101))&amp;Sheet2!B101</f>
        <v xml:space="preserve">     </v>
      </c>
      <c r="B101" s="6" t="str">
        <f>REPT(" ",Sheet2!$C$3-LEN(Sheet2!C101))&amp;Sheet2!C101</f>
        <v xml:space="preserve">          </v>
      </c>
      <c r="C101" s="5" t="str">
        <f>IF(Sheet2!D101="Std","FALSE",
IF(Sheet2!D101="Both","shortcutProfile == USER_C47 || shortcutProfile == USER_R47",
"shortcutProfile == USER_"&amp;Sheet2!D101))</f>
        <v>shortcutProfile == USER_</v>
      </c>
      <c r="D101" s="6" t="str">
        <f t="shared" si="2"/>
        <v xml:space="preserve">                                    shortcutProfile == USER_</v>
      </c>
      <c r="E101" s="6" t="str">
        <f>REPT(" ",Sheet2!$E$3-LEN(Sheet2!E101))&amp;Sheet2!E101</f>
        <v xml:space="preserve">                         </v>
      </c>
      <c r="F101" s="6" t="str">
        <f>REPT(" ",Sheet2!$F$3-LEN(Sheet2!F101))&amp;Sheet2!F101</f>
        <v xml:space="preserve">          </v>
      </c>
      <c r="G101" s="6" t="str">
        <f>REPT(" ",Sheet2!$G$3-LEN(Sheet2!G101))&amp;Sheet2!G101</f>
        <v xml:space="preserve">                 </v>
      </c>
      <c r="H101" s="6" t="str">
        <f>REPT(" ",Sheet2!$H$3-LEN(Sheet2!H101))&amp;Sheet2!H101</f>
        <v xml:space="preserve">                    </v>
      </c>
      <c r="I101" s="6" t="str">
        <f>REPT(" ",Sheet2!$I$3-LEN(Sheet2!I101))&amp;""""&amp;Sheet2!I101&amp;""""</f>
        <v xml:space="preserve">   ""</v>
      </c>
      <c r="J101" s="6" t="str">
        <f>REPT(" ",Sheet2!$J$3-LEN(TEXT(Sheet2!J101,"00")))&amp;""""&amp;TEXT(Sheet2!J101,"00")&amp;""""</f>
        <v xml:space="preserve">  "00"</v>
      </c>
      <c r="K101" s="6" t="str">
        <f>REPT(" ",Sheet2!$K$3-LEN(Sheet2!K101))&amp;Sheet2!K101</f>
        <v xml:space="preserve">                              </v>
      </c>
      <c r="L101" s="3" t="str">
        <f>IF(Sheet2!B101="","",SUBSTITUTE(SUBSTITUTE(SUBSTITUTE(SUBSTITUTE(SUBSTITUTE(SUBSTITUTE(SUBSTITUTE(SUBSTITUTE(SUBSTITUTE(SUBSTITUTE($L$1,"61",A101),"CM_NORMAL",E101),"ITM_DRG",H101),"nn = comm",K101),"exitIfNim",B101),"allowCondition",D101),"KK",J101),"9999",G101),"ITM_AAA",F101),"XX",I101))</f>
        <v/>
      </c>
    </row>
    <row r="102" spans="1:12">
      <c r="A102" s="6" t="str">
        <f>REPT(" ",Sheet2!$B$3-LEN(Sheet2!B102))&amp;Sheet2!B102</f>
        <v xml:space="preserve">     </v>
      </c>
      <c r="B102" s="6" t="str">
        <f>REPT(" ",Sheet2!$C$3-LEN(Sheet2!C102))&amp;Sheet2!C102</f>
        <v xml:space="preserve">          </v>
      </c>
      <c r="C102" s="5" t="str">
        <f>IF(Sheet2!D102="Std","FALSE",
IF(Sheet2!D102="Both","shortcutProfile == USER_C47 || shortcutProfile == USER_R47",
"shortcutProfile == USER_"&amp;Sheet2!D102))</f>
        <v>shortcutProfile == USER_</v>
      </c>
      <c r="D102" s="6" t="str">
        <f t="shared" si="2"/>
        <v xml:space="preserve">                                    shortcutProfile == USER_</v>
      </c>
      <c r="E102" s="6" t="str">
        <f>REPT(" ",Sheet2!$E$3-LEN(Sheet2!E102))&amp;Sheet2!E102</f>
        <v xml:space="preserve">                         </v>
      </c>
      <c r="F102" s="6" t="str">
        <f>REPT(" ",Sheet2!$F$3-LEN(Sheet2!F102))&amp;Sheet2!F102</f>
        <v xml:space="preserve">          </v>
      </c>
      <c r="G102" s="6" t="str">
        <f>REPT(" ",Sheet2!$G$3-LEN(Sheet2!G102))&amp;Sheet2!G102</f>
        <v xml:space="preserve">                 </v>
      </c>
      <c r="H102" s="6" t="str">
        <f>REPT(" ",Sheet2!$H$3-LEN(Sheet2!H102))&amp;Sheet2!H102</f>
        <v xml:space="preserve">                    </v>
      </c>
      <c r="I102" s="6" t="str">
        <f>REPT(" ",Sheet2!$I$3-LEN(Sheet2!I102))&amp;""""&amp;Sheet2!I102&amp;""""</f>
        <v xml:space="preserve">   ""</v>
      </c>
      <c r="J102" s="6" t="str">
        <f>REPT(" ",Sheet2!$J$3-LEN(TEXT(Sheet2!J102,"00")))&amp;""""&amp;TEXT(Sheet2!J102,"00")&amp;""""</f>
        <v xml:space="preserve">  "00"</v>
      </c>
      <c r="K102" s="6" t="str">
        <f>REPT(" ",Sheet2!$K$3-LEN(Sheet2!K102))&amp;Sheet2!K102</f>
        <v xml:space="preserve">                              </v>
      </c>
      <c r="L102" s="3" t="str">
        <f>IF(Sheet2!B102="","",SUBSTITUTE(SUBSTITUTE(SUBSTITUTE(SUBSTITUTE(SUBSTITUTE(SUBSTITUTE(SUBSTITUTE(SUBSTITUTE(SUBSTITUTE(SUBSTITUTE($L$1,"61",A102),"CM_NORMAL",E102),"ITM_DRG",H102),"nn = comm",K102),"exitIfNim",B102),"allowCondition",D102),"KK",J102),"9999",G102),"ITM_AAA",F102),"XX",I102))</f>
        <v/>
      </c>
    </row>
    <row r="103" spans="1:12">
      <c r="A103" s="6" t="str">
        <f>REPT(" ",Sheet2!$B$3-LEN(Sheet2!B103))&amp;Sheet2!B103</f>
        <v xml:space="preserve">     </v>
      </c>
      <c r="B103" s="6" t="str">
        <f>REPT(" ",Sheet2!$C$3-LEN(Sheet2!C103))&amp;Sheet2!C103</f>
        <v xml:space="preserve">          </v>
      </c>
      <c r="C103" s="5" t="str">
        <f>IF(Sheet2!D103="Std","FALSE",
IF(Sheet2!D103="Both","shortcutProfile == USER_C47 || shortcutProfile == USER_R47",
"shortcutProfile == USER_"&amp;Sheet2!D103))</f>
        <v>shortcutProfile == USER_</v>
      </c>
      <c r="D103" s="6" t="str">
        <f t="shared" si="2"/>
        <v xml:space="preserve">                                    shortcutProfile == USER_</v>
      </c>
      <c r="E103" s="6" t="str">
        <f>REPT(" ",Sheet2!$E$3-LEN(Sheet2!E103))&amp;Sheet2!E103</f>
        <v xml:space="preserve">                         </v>
      </c>
      <c r="F103" s="6" t="str">
        <f>REPT(" ",Sheet2!$F$3-LEN(Sheet2!F103))&amp;Sheet2!F103</f>
        <v xml:space="preserve">          </v>
      </c>
      <c r="G103" s="6" t="str">
        <f>REPT(" ",Sheet2!$G$3-LEN(Sheet2!G103))&amp;Sheet2!G103</f>
        <v xml:space="preserve">                 </v>
      </c>
      <c r="H103" s="6" t="str">
        <f>REPT(" ",Sheet2!$H$3-LEN(Sheet2!H103))&amp;Sheet2!H103</f>
        <v xml:space="preserve">                    </v>
      </c>
      <c r="I103" s="6" t="str">
        <f>REPT(" ",Sheet2!$I$3-LEN(Sheet2!I103))&amp;""""&amp;Sheet2!I103&amp;""""</f>
        <v xml:space="preserve">   ""</v>
      </c>
      <c r="J103" s="6" t="str">
        <f>REPT(" ",Sheet2!$J$3-LEN(TEXT(Sheet2!J103,"00")))&amp;""""&amp;TEXT(Sheet2!J103,"00")&amp;""""</f>
        <v xml:space="preserve">  "00"</v>
      </c>
      <c r="K103" s="6" t="str">
        <f>REPT(" ",Sheet2!$K$3-LEN(Sheet2!K103))&amp;Sheet2!K103</f>
        <v xml:space="preserve">                              </v>
      </c>
      <c r="L103" s="3" t="str">
        <f>IF(Sheet2!B103="","",SUBSTITUTE(SUBSTITUTE(SUBSTITUTE(SUBSTITUTE(SUBSTITUTE(SUBSTITUTE(SUBSTITUTE(SUBSTITUTE(SUBSTITUTE(SUBSTITUTE($L$1,"61",A103),"CM_NORMAL",E103),"ITM_DRG",H103),"nn = comm",K103),"exitIfNim",B103),"allowCondition",D103),"KK",J103),"9999",G103),"ITM_AAA",F103),"XX",I103))</f>
        <v/>
      </c>
    </row>
    <row r="104" spans="1:12">
      <c r="A104" s="6" t="str">
        <f>REPT(" ",Sheet2!$B$3-LEN(Sheet2!B104))&amp;Sheet2!B104</f>
        <v xml:space="preserve">     </v>
      </c>
      <c r="B104" s="6" t="str">
        <f>REPT(" ",Sheet2!$C$3-LEN(Sheet2!C104))&amp;Sheet2!C104</f>
        <v xml:space="preserve">          </v>
      </c>
      <c r="C104" s="5" t="str">
        <f>IF(Sheet2!D104="Std","FALSE",
IF(Sheet2!D104="Both","shortcutProfile == USER_C47 || shortcutProfile == USER_R47",
"shortcutProfile == USER_"&amp;Sheet2!D104))</f>
        <v>shortcutProfile == USER_</v>
      </c>
      <c r="D104" s="6" t="str">
        <f t="shared" si="2"/>
        <v xml:space="preserve">                                    shortcutProfile == USER_</v>
      </c>
      <c r="E104" s="6" t="str">
        <f>REPT(" ",Sheet2!$E$3-LEN(Sheet2!E104))&amp;Sheet2!E104</f>
        <v xml:space="preserve">                         </v>
      </c>
      <c r="F104" s="6" t="str">
        <f>REPT(" ",Sheet2!$F$3-LEN(Sheet2!F104))&amp;Sheet2!F104</f>
        <v xml:space="preserve">          </v>
      </c>
      <c r="G104" s="6" t="str">
        <f>REPT(" ",Sheet2!$G$3-LEN(Sheet2!G104))&amp;Sheet2!G104</f>
        <v xml:space="preserve">                 </v>
      </c>
      <c r="H104" s="6" t="str">
        <f>REPT(" ",Sheet2!$H$3-LEN(Sheet2!H104))&amp;Sheet2!H104</f>
        <v xml:space="preserve">                    </v>
      </c>
      <c r="I104" s="6" t="str">
        <f>REPT(" ",Sheet2!$I$3-LEN(Sheet2!I104))&amp;""""&amp;Sheet2!I104&amp;""""</f>
        <v xml:space="preserve">   ""</v>
      </c>
      <c r="J104" s="6" t="str">
        <f>REPT(" ",Sheet2!$J$3-LEN(TEXT(Sheet2!J104,"00")))&amp;""""&amp;TEXT(Sheet2!J104,"00")&amp;""""</f>
        <v xml:space="preserve">  "00"</v>
      </c>
      <c r="K104" s="6" t="str">
        <f>REPT(" ",Sheet2!$K$3-LEN(Sheet2!K104))&amp;Sheet2!K104</f>
        <v xml:space="preserve">                              </v>
      </c>
      <c r="L104" s="3" t="str">
        <f>IF(Sheet2!B104="","",SUBSTITUTE(SUBSTITUTE(SUBSTITUTE(SUBSTITUTE(SUBSTITUTE(SUBSTITUTE(SUBSTITUTE(SUBSTITUTE(SUBSTITUTE(SUBSTITUTE($L$1,"61",A104),"CM_NORMAL",E104),"ITM_DRG",H104),"nn = comm",K104),"exitIfNim",B104),"allowCondition",D104),"KK",J104),"9999",G104),"ITM_AAA",F104),"XX",I104))</f>
        <v/>
      </c>
    </row>
    <row r="105" spans="1:12">
      <c r="A105" s="6" t="str">
        <f>REPT(" ",Sheet2!$B$3-LEN(Sheet2!B105))&amp;Sheet2!B105</f>
        <v xml:space="preserve">     </v>
      </c>
      <c r="B105" s="6" t="str">
        <f>REPT(" ",Sheet2!$C$3-LEN(Sheet2!C105))&amp;Sheet2!C105</f>
        <v xml:space="preserve">          </v>
      </c>
      <c r="C105" s="5" t="str">
        <f>IF(Sheet2!D105="Std","FALSE",
IF(Sheet2!D105="Both","shortcutProfile == USER_C47 || shortcutProfile == USER_R47",
"shortcutProfile == USER_"&amp;Sheet2!D105))</f>
        <v>shortcutProfile == USER_</v>
      </c>
      <c r="D105" s="6" t="str">
        <f t="shared" si="2"/>
        <v xml:space="preserve">                                    shortcutProfile == USER_</v>
      </c>
      <c r="E105" s="6" t="str">
        <f>REPT(" ",Sheet2!$E$3-LEN(Sheet2!E105))&amp;Sheet2!E105</f>
        <v xml:space="preserve">                         </v>
      </c>
      <c r="F105" s="6" t="str">
        <f>REPT(" ",Sheet2!$F$3-LEN(Sheet2!F105))&amp;Sheet2!F105</f>
        <v xml:space="preserve">          </v>
      </c>
      <c r="G105" s="6" t="str">
        <f>REPT(" ",Sheet2!$G$3-LEN(Sheet2!G105))&amp;Sheet2!G105</f>
        <v xml:space="preserve">                 </v>
      </c>
      <c r="H105" s="6" t="str">
        <f>REPT(" ",Sheet2!$H$3-LEN(Sheet2!H105))&amp;Sheet2!H105</f>
        <v xml:space="preserve">                    </v>
      </c>
      <c r="I105" s="6" t="str">
        <f>REPT(" ",Sheet2!$I$3-LEN(Sheet2!I105))&amp;""""&amp;Sheet2!I105&amp;""""</f>
        <v xml:space="preserve">   ""</v>
      </c>
      <c r="J105" s="6" t="str">
        <f>REPT(" ",Sheet2!$J$3-LEN(TEXT(Sheet2!J105,"00")))&amp;""""&amp;TEXT(Sheet2!J105,"00")&amp;""""</f>
        <v xml:space="preserve">  "00"</v>
      </c>
      <c r="K105" s="6" t="str">
        <f>REPT(" ",Sheet2!$K$3-LEN(Sheet2!K105))&amp;Sheet2!K105</f>
        <v xml:space="preserve">                              </v>
      </c>
      <c r="L105" s="3" t="str">
        <f>IF(Sheet2!B105="","",SUBSTITUTE(SUBSTITUTE(SUBSTITUTE(SUBSTITUTE(SUBSTITUTE(SUBSTITUTE(SUBSTITUTE(SUBSTITUTE(SUBSTITUTE(SUBSTITUTE($L$1,"61",A105),"CM_NORMAL",E105),"ITM_DRG",H105),"nn = comm",K105),"exitIfNim",B105),"allowCondition",D105),"KK",J105),"9999",G105),"ITM_AAA",F105),"XX",I105))</f>
        <v/>
      </c>
    </row>
    <row r="106" spans="1:12">
      <c r="A106" s="6" t="str">
        <f>REPT(" ",Sheet2!$B$3-LEN(Sheet2!B106))&amp;Sheet2!B106</f>
        <v xml:space="preserve">     </v>
      </c>
      <c r="B106" s="6" t="str">
        <f>REPT(" ",Sheet2!$C$3-LEN(Sheet2!C106))&amp;Sheet2!C106</f>
        <v xml:space="preserve">          </v>
      </c>
      <c r="C106" s="5" t="str">
        <f>IF(Sheet2!D106="Std","FALSE",
IF(Sheet2!D106="Both","shortcutProfile == USER_C47 || shortcutProfile == USER_R47",
"shortcutProfile == USER_"&amp;Sheet2!D106))</f>
        <v>shortcutProfile == USER_</v>
      </c>
      <c r="D106" s="6" t="str">
        <f t="shared" si="2"/>
        <v xml:space="preserve">                                    shortcutProfile == USER_</v>
      </c>
      <c r="E106" s="6" t="str">
        <f>REPT(" ",Sheet2!$E$3-LEN(Sheet2!E106))&amp;Sheet2!E106</f>
        <v xml:space="preserve">                         </v>
      </c>
      <c r="F106" s="6" t="str">
        <f>REPT(" ",Sheet2!$F$3-LEN(Sheet2!F106))&amp;Sheet2!F106</f>
        <v xml:space="preserve">          </v>
      </c>
      <c r="G106" s="6" t="str">
        <f>REPT(" ",Sheet2!$G$3-LEN(Sheet2!G106))&amp;Sheet2!G106</f>
        <v xml:space="preserve">                 </v>
      </c>
      <c r="H106" s="6" t="str">
        <f>REPT(" ",Sheet2!$H$3-LEN(Sheet2!H106))&amp;Sheet2!H106</f>
        <v xml:space="preserve">                    </v>
      </c>
      <c r="I106" s="6" t="str">
        <f>REPT(" ",Sheet2!$I$3-LEN(Sheet2!I106))&amp;""""&amp;Sheet2!I106&amp;""""</f>
        <v xml:space="preserve">   ""</v>
      </c>
      <c r="J106" s="6" t="str">
        <f>REPT(" ",Sheet2!$J$3-LEN(TEXT(Sheet2!J106,"00")))&amp;""""&amp;TEXT(Sheet2!J106,"00")&amp;""""</f>
        <v xml:space="preserve">  "00"</v>
      </c>
      <c r="K106" s="6" t="str">
        <f>REPT(" ",Sheet2!$K$3-LEN(Sheet2!K106))&amp;Sheet2!K106</f>
        <v xml:space="preserve">                              </v>
      </c>
      <c r="L106" s="3" t="str">
        <f>IF(Sheet2!B106="","",SUBSTITUTE(SUBSTITUTE(SUBSTITUTE(SUBSTITUTE(SUBSTITUTE(SUBSTITUTE(SUBSTITUTE(SUBSTITUTE(SUBSTITUTE(SUBSTITUTE($L$1,"61",A106),"CM_NORMAL",E106),"ITM_DRG",H106),"nn = comm",K106),"exitIfNim",B106),"allowCondition",D106),"KK",J106),"9999",G106),"ITM_AAA",F106),"XX",I106))</f>
        <v/>
      </c>
    </row>
    <row r="107" spans="1:12">
      <c r="A107" s="6" t="str">
        <f>REPT(" ",Sheet2!$B$3-LEN(Sheet2!B107))&amp;Sheet2!B107</f>
        <v xml:space="preserve">     </v>
      </c>
      <c r="B107" s="6" t="str">
        <f>REPT(" ",Sheet2!$C$3-LEN(Sheet2!C107))&amp;Sheet2!C107</f>
        <v xml:space="preserve">          </v>
      </c>
      <c r="C107" s="5" t="str">
        <f>IF(Sheet2!D107="Std","FALSE",
IF(Sheet2!D107="Both","shortcutProfile == USER_C47 || shortcutProfile == USER_R47",
"shortcutProfile == USER_"&amp;Sheet2!D107))</f>
        <v>shortcutProfile == USER_</v>
      </c>
      <c r="D107" s="6" t="str">
        <f t="shared" si="2"/>
        <v xml:space="preserve">                                    shortcutProfile == USER_</v>
      </c>
      <c r="E107" s="6" t="str">
        <f>REPT(" ",Sheet2!$E$3-LEN(Sheet2!E107))&amp;Sheet2!E107</f>
        <v xml:space="preserve">                         </v>
      </c>
      <c r="F107" s="6" t="str">
        <f>REPT(" ",Sheet2!$F$3-LEN(Sheet2!F107))&amp;Sheet2!F107</f>
        <v xml:space="preserve">          </v>
      </c>
      <c r="G107" s="6" t="str">
        <f>REPT(" ",Sheet2!$G$3-LEN(Sheet2!G107))&amp;Sheet2!G107</f>
        <v xml:space="preserve">                 </v>
      </c>
      <c r="H107" s="6" t="str">
        <f>REPT(" ",Sheet2!$H$3-LEN(Sheet2!H107))&amp;Sheet2!H107</f>
        <v xml:space="preserve">                    </v>
      </c>
      <c r="I107" s="6" t="str">
        <f>REPT(" ",Sheet2!$I$3-LEN(Sheet2!I107))&amp;""""&amp;Sheet2!I107&amp;""""</f>
        <v xml:space="preserve">   ""</v>
      </c>
      <c r="J107" s="6" t="str">
        <f>REPT(" ",Sheet2!$J$3-LEN(TEXT(Sheet2!J107,"00")))&amp;""""&amp;TEXT(Sheet2!J107,"00")&amp;""""</f>
        <v xml:space="preserve">  "00"</v>
      </c>
      <c r="K107" s="6" t="str">
        <f>REPT(" ",Sheet2!$K$3-LEN(Sheet2!K107))&amp;Sheet2!K107</f>
        <v xml:space="preserve">                              </v>
      </c>
      <c r="L107" s="3" t="str">
        <f>IF(Sheet2!B107="","",SUBSTITUTE(SUBSTITUTE(SUBSTITUTE(SUBSTITUTE(SUBSTITUTE(SUBSTITUTE(SUBSTITUTE(SUBSTITUTE(SUBSTITUTE(SUBSTITUTE($L$1,"61",A107),"CM_NORMAL",E107),"ITM_DRG",H107),"nn = comm",K107),"exitIfNim",B107),"allowCondition",D107),"KK",J107),"9999",G107),"ITM_AAA",F107),"XX",I107))</f>
        <v/>
      </c>
    </row>
    <row r="108" spans="1:12">
      <c r="A108" s="6" t="str">
        <f>REPT(" ",Sheet2!$B$3-LEN(Sheet2!B108))&amp;Sheet2!B108</f>
        <v xml:space="preserve">     </v>
      </c>
      <c r="B108" s="6" t="str">
        <f>REPT(" ",Sheet2!$C$3-LEN(Sheet2!C108))&amp;Sheet2!C108</f>
        <v xml:space="preserve">          </v>
      </c>
      <c r="C108" s="5" t="str">
        <f>IF(Sheet2!D108="Std","FALSE",
IF(Sheet2!D108="Both","shortcutProfile == USER_C47 || shortcutProfile == USER_R47",
"shortcutProfile == USER_"&amp;Sheet2!D108))</f>
        <v>shortcutProfile == USER_</v>
      </c>
      <c r="D108" s="6" t="str">
        <f t="shared" si="2"/>
        <v xml:space="preserve">                                    shortcutProfile == USER_</v>
      </c>
      <c r="E108" s="6" t="str">
        <f>REPT(" ",Sheet2!$E$3-LEN(Sheet2!E108))&amp;Sheet2!E108</f>
        <v xml:space="preserve">                         </v>
      </c>
      <c r="F108" s="6" t="str">
        <f>REPT(" ",Sheet2!$F$3-LEN(Sheet2!F108))&amp;Sheet2!F108</f>
        <v xml:space="preserve">          </v>
      </c>
      <c r="G108" s="6" t="str">
        <f>REPT(" ",Sheet2!$G$3-LEN(Sheet2!G108))&amp;Sheet2!G108</f>
        <v xml:space="preserve">                 </v>
      </c>
      <c r="H108" s="6" t="str">
        <f>REPT(" ",Sheet2!$H$3-LEN(Sheet2!H108))&amp;Sheet2!H108</f>
        <v xml:space="preserve">                    </v>
      </c>
      <c r="I108" s="6" t="str">
        <f>REPT(" ",Sheet2!$I$3-LEN(Sheet2!I108))&amp;""""&amp;Sheet2!I108&amp;""""</f>
        <v xml:space="preserve">   ""</v>
      </c>
      <c r="J108" s="6" t="str">
        <f>REPT(" ",Sheet2!$J$3-LEN(TEXT(Sheet2!J108,"00")))&amp;""""&amp;TEXT(Sheet2!J108,"00")&amp;""""</f>
        <v xml:space="preserve">  "00"</v>
      </c>
      <c r="K108" s="6" t="str">
        <f>REPT(" ",Sheet2!$K$3-LEN(Sheet2!K108))&amp;Sheet2!K108</f>
        <v xml:space="preserve">                              </v>
      </c>
      <c r="L108" s="3" t="str">
        <f>IF(Sheet2!B108="","",SUBSTITUTE(SUBSTITUTE(SUBSTITUTE(SUBSTITUTE(SUBSTITUTE(SUBSTITUTE(SUBSTITUTE(SUBSTITUTE(SUBSTITUTE(SUBSTITUTE($L$1,"61",A108),"CM_NORMAL",E108),"ITM_DRG",H108),"nn = comm",K108),"exitIfNim",B108),"allowCondition",D108),"KK",J108),"9999",G108),"ITM_AAA",F108),"XX",I108))</f>
        <v/>
      </c>
    </row>
    <row r="109" spans="1:12">
      <c r="A109" s="6" t="str">
        <f>REPT(" ",Sheet2!$B$3-LEN(Sheet2!B109))&amp;Sheet2!B109</f>
        <v xml:space="preserve">     </v>
      </c>
      <c r="B109" s="6" t="str">
        <f>REPT(" ",Sheet2!$C$3-LEN(Sheet2!C109))&amp;Sheet2!C109</f>
        <v xml:space="preserve">          </v>
      </c>
      <c r="C109" s="5" t="str">
        <f>IF(Sheet2!D109="Std","FALSE",
IF(Sheet2!D109="Both","shortcutProfile == USER_C47 || shortcutProfile == USER_R47",
"shortcutProfile == USER_"&amp;Sheet2!D109))</f>
        <v>shortcutProfile == USER_</v>
      </c>
      <c r="D109" s="6" t="str">
        <f t="shared" si="2"/>
        <v xml:space="preserve">                                    shortcutProfile == USER_</v>
      </c>
      <c r="E109" s="6" t="str">
        <f>REPT(" ",Sheet2!$E$3-LEN(Sheet2!E109))&amp;Sheet2!E109</f>
        <v xml:space="preserve">                         </v>
      </c>
      <c r="F109" s="6" t="str">
        <f>REPT(" ",Sheet2!$F$3-LEN(Sheet2!F109))&amp;Sheet2!F109</f>
        <v xml:space="preserve">          </v>
      </c>
      <c r="G109" s="6" t="str">
        <f>REPT(" ",Sheet2!$G$3-LEN(Sheet2!G109))&amp;Sheet2!G109</f>
        <v xml:space="preserve">                 </v>
      </c>
      <c r="H109" s="6" t="str">
        <f>REPT(" ",Sheet2!$H$3-LEN(Sheet2!H109))&amp;Sheet2!H109</f>
        <v xml:space="preserve">                    </v>
      </c>
      <c r="I109" s="6" t="str">
        <f>REPT(" ",Sheet2!$I$3-LEN(Sheet2!I109))&amp;""""&amp;Sheet2!I109&amp;""""</f>
        <v xml:space="preserve">   ""</v>
      </c>
      <c r="J109" s="6" t="str">
        <f>REPT(" ",Sheet2!$J$3-LEN(TEXT(Sheet2!J109,"00")))&amp;""""&amp;TEXT(Sheet2!J109,"00")&amp;""""</f>
        <v xml:space="preserve">  "00"</v>
      </c>
      <c r="K109" s="6" t="str">
        <f>REPT(" ",Sheet2!$K$3-LEN(Sheet2!K109))&amp;Sheet2!K109</f>
        <v xml:space="preserve">                              </v>
      </c>
      <c r="L109" s="3" t="str">
        <f>IF(Sheet2!B109="","",SUBSTITUTE(SUBSTITUTE(SUBSTITUTE(SUBSTITUTE(SUBSTITUTE(SUBSTITUTE(SUBSTITUTE(SUBSTITUTE(SUBSTITUTE(SUBSTITUTE($L$1,"61",A109),"CM_NORMAL",E109),"ITM_DRG",H109),"nn = comm",K109),"exitIfNim",B109),"allowCondition",D109),"KK",J109),"9999",G109),"ITM_AAA",F109),"XX",I109))</f>
        <v/>
      </c>
    </row>
    <row r="110" spans="1:12">
      <c r="A110" s="6" t="str">
        <f>REPT(" ",Sheet2!$B$3-LEN(Sheet2!B110))&amp;Sheet2!B110</f>
        <v xml:space="preserve">     </v>
      </c>
      <c r="B110" s="6" t="str">
        <f>REPT(" ",Sheet2!$C$3-LEN(Sheet2!C110))&amp;Sheet2!C110</f>
        <v xml:space="preserve">          </v>
      </c>
      <c r="C110" s="5" t="str">
        <f>IF(Sheet2!D110="Std","FALSE",
IF(Sheet2!D110="Both","shortcutProfile == USER_C47 || shortcutProfile == USER_R47",
"shortcutProfile == USER_"&amp;Sheet2!D110))</f>
        <v>shortcutProfile == USER_</v>
      </c>
      <c r="D110" s="6" t="str">
        <f t="shared" si="2"/>
        <v xml:space="preserve">                                    shortcutProfile == USER_</v>
      </c>
      <c r="E110" s="6" t="str">
        <f>REPT(" ",Sheet2!$E$3-LEN(Sheet2!E110))&amp;Sheet2!E110</f>
        <v xml:space="preserve">                         </v>
      </c>
      <c r="F110" s="6" t="str">
        <f>REPT(" ",Sheet2!$F$3-LEN(Sheet2!F110))&amp;Sheet2!F110</f>
        <v xml:space="preserve">          </v>
      </c>
      <c r="G110" s="6" t="str">
        <f>REPT(" ",Sheet2!$G$3-LEN(Sheet2!G110))&amp;Sheet2!G110</f>
        <v xml:space="preserve">                 </v>
      </c>
      <c r="H110" s="6" t="str">
        <f>REPT(" ",Sheet2!$H$3-LEN(Sheet2!H110))&amp;Sheet2!H110</f>
        <v xml:space="preserve">                    </v>
      </c>
      <c r="I110" s="6" t="str">
        <f>REPT(" ",Sheet2!$I$3-LEN(Sheet2!I110))&amp;""""&amp;Sheet2!I110&amp;""""</f>
        <v xml:space="preserve">   ""</v>
      </c>
      <c r="J110" s="6" t="str">
        <f>REPT(" ",Sheet2!$J$3-LEN(TEXT(Sheet2!J110,"00")))&amp;""""&amp;TEXT(Sheet2!J110,"00")&amp;""""</f>
        <v xml:space="preserve">  "00"</v>
      </c>
      <c r="K110" s="6" t="str">
        <f>REPT(" ",Sheet2!$K$3-LEN(Sheet2!K110))&amp;Sheet2!K110</f>
        <v xml:space="preserve">                              </v>
      </c>
      <c r="L110" s="3" t="str">
        <f>IF(Sheet2!B110="","",SUBSTITUTE(SUBSTITUTE(SUBSTITUTE(SUBSTITUTE(SUBSTITUTE(SUBSTITUTE(SUBSTITUTE(SUBSTITUTE(SUBSTITUTE(SUBSTITUTE($L$1,"61",A110),"CM_NORMAL",E110),"ITM_DRG",H110),"nn = comm",K110),"exitIfNim",B110),"allowCondition",D110),"KK",J110),"9999",G110),"ITM_AAA",F110),"XX",I110))</f>
        <v/>
      </c>
    </row>
    <row r="111" spans="1:12">
      <c r="A111" s="6" t="str">
        <f>REPT(" ",Sheet2!$B$3-LEN(Sheet2!B111))&amp;Sheet2!B111</f>
        <v xml:space="preserve">     </v>
      </c>
      <c r="B111" s="6" t="str">
        <f>REPT(" ",Sheet2!$C$3-LEN(Sheet2!C111))&amp;Sheet2!C111</f>
        <v xml:space="preserve">          </v>
      </c>
      <c r="C111" s="5" t="str">
        <f>IF(Sheet2!D111="Std","FALSE",
IF(Sheet2!D111="Both","shortcutProfile == USER_C47 || shortcutProfile == USER_R47",
"shortcutProfile == USER_"&amp;Sheet2!D111))</f>
        <v>shortcutProfile == USER_</v>
      </c>
      <c r="D111" s="6" t="str">
        <f t="shared" si="2"/>
        <v xml:space="preserve">                                    shortcutProfile == USER_</v>
      </c>
      <c r="E111" s="6" t="str">
        <f>REPT(" ",Sheet2!$E$3-LEN(Sheet2!E111))&amp;Sheet2!E111</f>
        <v xml:space="preserve">                         </v>
      </c>
      <c r="F111" s="6" t="str">
        <f>REPT(" ",Sheet2!$F$3-LEN(Sheet2!F111))&amp;Sheet2!F111</f>
        <v xml:space="preserve">          </v>
      </c>
      <c r="G111" s="6" t="str">
        <f>REPT(" ",Sheet2!$G$3-LEN(Sheet2!G111))&amp;Sheet2!G111</f>
        <v xml:space="preserve">                 </v>
      </c>
      <c r="H111" s="6" t="str">
        <f>REPT(" ",Sheet2!$H$3-LEN(Sheet2!H111))&amp;Sheet2!H111</f>
        <v xml:space="preserve">                    </v>
      </c>
      <c r="I111" s="6" t="str">
        <f>REPT(" ",Sheet2!$I$3-LEN(Sheet2!I111))&amp;""""&amp;Sheet2!I111&amp;""""</f>
        <v xml:space="preserve">   ""</v>
      </c>
      <c r="J111" s="6" t="str">
        <f>REPT(" ",Sheet2!$J$3-LEN(TEXT(Sheet2!J111,"00")))&amp;""""&amp;TEXT(Sheet2!J111,"00")&amp;""""</f>
        <v xml:space="preserve">  "00"</v>
      </c>
      <c r="K111" s="6" t="str">
        <f>REPT(" ",Sheet2!$K$3-LEN(Sheet2!K111))&amp;Sheet2!K111</f>
        <v xml:space="preserve">                              </v>
      </c>
      <c r="L111" s="3" t="str">
        <f>IF(Sheet2!B111="","",SUBSTITUTE(SUBSTITUTE(SUBSTITUTE(SUBSTITUTE(SUBSTITUTE(SUBSTITUTE(SUBSTITUTE(SUBSTITUTE(SUBSTITUTE(SUBSTITUTE($L$1,"61",A111),"CM_NORMAL",E111),"ITM_DRG",H111),"nn = comm",K111),"exitIfNim",B111),"allowCondition",D111),"KK",J111),"9999",G111),"ITM_AAA",F111),"XX",I111))</f>
        <v/>
      </c>
    </row>
    <row r="112" spans="1:12">
      <c r="A112" s="6" t="str">
        <f>REPT(" ",Sheet2!$B$3-LEN(Sheet2!B112))&amp;Sheet2!B112</f>
        <v xml:space="preserve">     </v>
      </c>
      <c r="B112" s="6" t="str">
        <f>REPT(" ",Sheet2!$C$3-LEN(Sheet2!C112))&amp;Sheet2!C112</f>
        <v xml:space="preserve">          </v>
      </c>
      <c r="C112" s="5" t="str">
        <f>IF(Sheet2!D112="Std","FALSE",
IF(Sheet2!D112="Both","shortcutProfile == USER_C47 || shortcutProfile == USER_R47",
"shortcutProfile == USER_"&amp;Sheet2!D112))</f>
        <v>shortcutProfile == USER_</v>
      </c>
      <c r="D112" s="6" t="str">
        <f t="shared" si="2"/>
        <v xml:space="preserve">                                    shortcutProfile == USER_</v>
      </c>
      <c r="E112" s="6" t="str">
        <f>REPT(" ",Sheet2!$E$3-LEN(Sheet2!E112))&amp;Sheet2!E112</f>
        <v xml:space="preserve">                         </v>
      </c>
      <c r="F112" s="6" t="str">
        <f>REPT(" ",Sheet2!$F$3-LEN(Sheet2!F112))&amp;Sheet2!F112</f>
        <v xml:space="preserve">          </v>
      </c>
      <c r="G112" s="6" t="str">
        <f>REPT(" ",Sheet2!$G$3-LEN(Sheet2!G112))&amp;Sheet2!G112</f>
        <v xml:space="preserve">                 </v>
      </c>
      <c r="H112" s="6" t="str">
        <f>REPT(" ",Sheet2!$H$3-LEN(Sheet2!H112))&amp;Sheet2!H112</f>
        <v xml:space="preserve">                    </v>
      </c>
      <c r="I112" s="6" t="str">
        <f>REPT(" ",Sheet2!$I$3-LEN(Sheet2!I112))&amp;""""&amp;Sheet2!I112&amp;""""</f>
        <v xml:space="preserve">   ""</v>
      </c>
      <c r="J112" s="6" t="str">
        <f>REPT(" ",Sheet2!$J$3-LEN(TEXT(Sheet2!J112,"00")))&amp;""""&amp;TEXT(Sheet2!J112,"00")&amp;""""</f>
        <v xml:space="preserve">  "00"</v>
      </c>
      <c r="K112" s="6" t="str">
        <f>REPT(" ",Sheet2!$K$3-LEN(Sheet2!K112))&amp;Sheet2!K112</f>
        <v xml:space="preserve">                              </v>
      </c>
      <c r="L112" s="3" t="str">
        <f>IF(Sheet2!B112="","",SUBSTITUTE(SUBSTITUTE(SUBSTITUTE(SUBSTITUTE(SUBSTITUTE(SUBSTITUTE(SUBSTITUTE(SUBSTITUTE(SUBSTITUTE(SUBSTITUTE($L$1,"61",A112),"CM_NORMAL",E112),"ITM_DRG",H112),"nn = comm",K112),"exitIfNim",B112),"allowCondition",D112),"KK",J112),"9999",G112),"ITM_AAA",F112),"XX",I112))</f>
        <v/>
      </c>
    </row>
    <row r="113" spans="1:12">
      <c r="A113" s="6" t="str">
        <f>REPT(" ",Sheet2!$B$3-LEN(Sheet2!B113))&amp;Sheet2!B113</f>
        <v xml:space="preserve">     </v>
      </c>
      <c r="B113" s="6" t="str">
        <f>REPT(" ",Sheet2!$C$3-LEN(Sheet2!C113))&amp;Sheet2!C113</f>
        <v xml:space="preserve">          </v>
      </c>
      <c r="C113" s="5" t="str">
        <f>IF(Sheet2!D113="Std","FALSE",
IF(Sheet2!D113="Both","shortcutProfile == USER_C47 || shortcutProfile == USER_R47",
"shortcutProfile == USER_"&amp;Sheet2!D113))</f>
        <v>shortcutProfile == USER_</v>
      </c>
      <c r="D113" s="6" t="str">
        <f t="shared" si="2"/>
        <v xml:space="preserve">                                    shortcutProfile == USER_</v>
      </c>
      <c r="E113" s="6" t="str">
        <f>REPT(" ",Sheet2!$E$3-LEN(Sheet2!E113))&amp;Sheet2!E113</f>
        <v xml:space="preserve">                         </v>
      </c>
      <c r="F113" s="6" t="str">
        <f>REPT(" ",Sheet2!$F$3-LEN(Sheet2!F113))&amp;Sheet2!F113</f>
        <v xml:space="preserve">          </v>
      </c>
      <c r="G113" s="6" t="str">
        <f>REPT(" ",Sheet2!$G$3-LEN(Sheet2!G113))&amp;Sheet2!G113</f>
        <v xml:space="preserve">                 </v>
      </c>
      <c r="H113" s="6" t="str">
        <f>REPT(" ",Sheet2!$H$3-LEN(Sheet2!H113))&amp;Sheet2!H113</f>
        <v xml:space="preserve">                    </v>
      </c>
      <c r="I113" s="6" t="str">
        <f>REPT(" ",Sheet2!$I$3-LEN(Sheet2!I113))&amp;""""&amp;Sheet2!I113&amp;""""</f>
        <v xml:space="preserve">   ""</v>
      </c>
      <c r="J113" s="6" t="str">
        <f>REPT(" ",Sheet2!$J$3-LEN(TEXT(Sheet2!J113,"00")))&amp;""""&amp;TEXT(Sheet2!J113,"00")&amp;""""</f>
        <v xml:space="preserve">  "00"</v>
      </c>
      <c r="K113" s="6" t="str">
        <f>REPT(" ",Sheet2!$K$3-LEN(Sheet2!K113))&amp;Sheet2!K113</f>
        <v xml:space="preserve">                              </v>
      </c>
      <c r="L113" s="3" t="str">
        <f>IF(Sheet2!B113="","",SUBSTITUTE(SUBSTITUTE(SUBSTITUTE(SUBSTITUTE(SUBSTITUTE(SUBSTITUTE(SUBSTITUTE(SUBSTITUTE(SUBSTITUTE(SUBSTITUTE($L$1,"61",A113),"CM_NORMAL",E113),"ITM_DRG",H113),"nn = comm",K113),"exitIfNim",B113),"allowCondition",D113),"KK",J113),"9999",G113),"ITM_AAA",F113),"XX",I113))</f>
        <v/>
      </c>
    </row>
    <row r="114" spans="1:12">
      <c r="A114" s="6" t="str">
        <f>REPT(" ",Sheet2!$B$3-LEN(Sheet2!B114))&amp;Sheet2!B114</f>
        <v xml:space="preserve">     </v>
      </c>
      <c r="B114" s="6" t="str">
        <f>REPT(" ",Sheet2!$C$3-LEN(Sheet2!C114))&amp;Sheet2!C114</f>
        <v xml:space="preserve">          </v>
      </c>
      <c r="C114" s="5" t="str">
        <f>IF(Sheet2!D114="Std","FALSE",
IF(Sheet2!D114="Both","shortcutProfile == USER_C47 || shortcutProfile == USER_R47",
"shortcutProfile == USER_"&amp;Sheet2!D114))</f>
        <v>shortcutProfile == USER_</v>
      </c>
      <c r="D114" s="6" t="str">
        <f t="shared" si="2"/>
        <v xml:space="preserve">                                    shortcutProfile == USER_</v>
      </c>
      <c r="E114" s="6" t="str">
        <f>REPT(" ",Sheet2!$E$3-LEN(Sheet2!E114))&amp;Sheet2!E114</f>
        <v xml:space="preserve">                         </v>
      </c>
      <c r="F114" s="6" t="str">
        <f>REPT(" ",Sheet2!$F$3-LEN(Sheet2!F114))&amp;Sheet2!F114</f>
        <v xml:space="preserve">          </v>
      </c>
      <c r="G114" s="6" t="str">
        <f>REPT(" ",Sheet2!$G$3-LEN(Sheet2!G114))&amp;Sheet2!G114</f>
        <v xml:space="preserve">                 </v>
      </c>
      <c r="H114" s="6" t="str">
        <f>REPT(" ",Sheet2!$H$3-LEN(Sheet2!H114))&amp;Sheet2!H114</f>
        <v xml:space="preserve">                    </v>
      </c>
      <c r="I114" s="6" t="str">
        <f>REPT(" ",Sheet2!$I$3-LEN(Sheet2!I114))&amp;""""&amp;Sheet2!I114&amp;""""</f>
        <v xml:space="preserve">   ""</v>
      </c>
      <c r="J114" s="6" t="str">
        <f>REPT(" ",Sheet2!$J$3-LEN(TEXT(Sheet2!J114,"00")))&amp;""""&amp;TEXT(Sheet2!J114,"00")&amp;""""</f>
        <v xml:space="preserve">  "00"</v>
      </c>
      <c r="K114" s="6" t="str">
        <f>REPT(" ",Sheet2!$K$3-LEN(Sheet2!K114))&amp;Sheet2!K114</f>
        <v xml:space="preserve">                              </v>
      </c>
      <c r="L114" s="3" t="str">
        <f>IF(Sheet2!B114="","",SUBSTITUTE(SUBSTITUTE(SUBSTITUTE(SUBSTITUTE(SUBSTITUTE(SUBSTITUTE(SUBSTITUTE(SUBSTITUTE(SUBSTITUTE(SUBSTITUTE($L$1,"61",A114),"CM_NORMAL",E114),"ITM_DRG",H114),"nn = comm",K114),"exitIfNim",B114),"allowCondition",D114),"KK",J114),"9999",G114),"ITM_AAA",F114),"XX",I114))</f>
        <v/>
      </c>
    </row>
    <row r="115" spans="1:12">
      <c r="A115" s="6" t="str">
        <f>REPT(" ",Sheet2!$B$3-LEN(Sheet2!B115))&amp;Sheet2!B115</f>
        <v xml:space="preserve">     </v>
      </c>
      <c r="B115" s="6" t="str">
        <f>REPT(" ",Sheet2!$C$3-LEN(Sheet2!C115))&amp;Sheet2!C115</f>
        <v xml:space="preserve">          </v>
      </c>
      <c r="C115" s="5" t="str">
        <f>IF(Sheet2!D115="Std","FALSE",
IF(Sheet2!D115="Both","shortcutProfile == USER_C47 || shortcutProfile == USER_R47",
"shortcutProfile == USER_"&amp;Sheet2!D115))</f>
        <v>shortcutProfile == USER_</v>
      </c>
      <c r="D115" s="6" t="str">
        <f t="shared" si="2"/>
        <v xml:space="preserve">                                    shortcutProfile == USER_</v>
      </c>
      <c r="E115" s="6" t="str">
        <f>REPT(" ",Sheet2!$E$3-LEN(Sheet2!E115))&amp;Sheet2!E115</f>
        <v xml:space="preserve">                         </v>
      </c>
      <c r="F115" s="6" t="str">
        <f>REPT(" ",Sheet2!$F$3-LEN(Sheet2!F115))&amp;Sheet2!F115</f>
        <v xml:space="preserve">          </v>
      </c>
      <c r="G115" s="6" t="str">
        <f>REPT(" ",Sheet2!$G$3-LEN(Sheet2!G115))&amp;Sheet2!G115</f>
        <v xml:space="preserve">                 </v>
      </c>
      <c r="H115" s="6" t="str">
        <f>REPT(" ",Sheet2!$H$3-LEN(Sheet2!H115))&amp;Sheet2!H115</f>
        <v xml:space="preserve">                    </v>
      </c>
      <c r="I115" s="6" t="str">
        <f>REPT(" ",Sheet2!$I$3-LEN(Sheet2!I115))&amp;""""&amp;Sheet2!I115&amp;""""</f>
        <v xml:space="preserve">   ""</v>
      </c>
      <c r="J115" s="6" t="str">
        <f>REPT(" ",Sheet2!$J$3-LEN(TEXT(Sheet2!J115,"00")))&amp;""""&amp;TEXT(Sheet2!J115,"00")&amp;""""</f>
        <v xml:space="preserve">  "00"</v>
      </c>
      <c r="K115" s="6" t="str">
        <f>REPT(" ",Sheet2!$K$3-LEN(Sheet2!K115))&amp;Sheet2!K115</f>
        <v xml:space="preserve">                              </v>
      </c>
      <c r="L115" s="3" t="str">
        <f>IF(Sheet2!B115="","",SUBSTITUTE(SUBSTITUTE(SUBSTITUTE(SUBSTITUTE(SUBSTITUTE(SUBSTITUTE(SUBSTITUTE(SUBSTITUTE(SUBSTITUTE(SUBSTITUTE($L$1,"61",A115),"CM_NORMAL",E115),"ITM_DRG",H115),"nn = comm",K115),"exitIfNim",B115),"allowCondition",D115),"KK",J115),"9999",G115),"ITM_AAA",F115),"XX",I115))</f>
        <v/>
      </c>
    </row>
    <row r="116" spans="1:12">
      <c r="A116" s="6" t="str">
        <f>REPT(" ",Sheet2!$B$3-LEN(Sheet2!B116))&amp;Sheet2!B116</f>
        <v xml:space="preserve">     </v>
      </c>
      <c r="B116" s="6" t="str">
        <f>REPT(" ",Sheet2!$C$3-LEN(Sheet2!C116))&amp;Sheet2!C116</f>
        <v xml:space="preserve">          </v>
      </c>
      <c r="C116" s="5" t="str">
        <f>IF(Sheet2!D116="Std","FALSE",
IF(Sheet2!D116="Both","shortcutProfile == USER_C47 || shortcutProfile == USER_R47",
"shortcutProfile == USER_"&amp;Sheet2!D116))</f>
        <v>shortcutProfile == USER_</v>
      </c>
      <c r="D116" s="6" t="str">
        <f t="shared" si="2"/>
        <v xml:space="preserve">                                    shortcutProfile == USER_</v>
      </c>
      <c r="E116" s="6" t="str">
        <f>REPT(" ",Sheet2!$E$3-LEN(Sheet2!E116))&amp;Sheet2!E116</f>
        <v xml:space="preserve">                         </v>
      </c>
      <c r="F116" s="6" t="str">
        <f>REPT(" ",Sheet2!$F$3-LEN(Sheet2!F116))&amp;Sheet2!F116</f>
        <v xml:space="preserve">          </v>
      </c>
      <c r="G116" s="6" t="str">
        <f>REPT(" ",Sheet2!$G$3-LEN(Sheet2!G116))&amp;Sheet2!G116</f>
        <v xml:space="preserve">                 </v>
      </c>
      <c r="H116" s="6" t="str">
        <f>REPT(" ",Sheet2!$H$3-LEN(Sheet2!H116))&amp;Sheet2!H116</f>
        <v xml:space="preserve">                    </v>
      </c>
      <c r="I116" s="6" t="str">
        <f>REPT(" ",Sheet2!$I$3-LEN(Sheet2!I116))&amp;""""&amp;Sheet2!I116&amp;""""</f>
        <v xml:space="preserve">   ""</v>
      </c>
      <c r="J116" s="6" t="str">
        <f>REPT(" ",Sheet2!$J$3-LEN(TEXT(Sheet2!J116,"00")))&amp;""""&amp;TEXT(Sheet2!J116,"00")&amp;""""</f>
        <v xml:space="preserve">  "00"</v>
      </c>
      <c r="K116" s="6" t="str">
        <f>REPT(" ",Sheet2!$K$3-LEN(Sheet2!K116))&amp;Sheet2!K116</f>
        <v xml:space="preserve">                              </v>
      </c>
      <c r="L116" s="3" t="str">
        <f>IF(Sheet2!B116="","",SUBSTITUTE(SUBSTITUTE(SUBSTITUTE(SUBSTITUTE(SUBSTITUTE(SUBSTITUTE(SUBSTITUTE(SUBSTITUTE(SUBSTITUTE(SUBSTITUTE($L$1,"61",A116),"CM_NORMAL",E116),"ITM_DRG",H116),"nn = comm",K116),"exitIfNim",B116),"allowCondition",D116),"KK",J116),"9999",G116),"ITM_AAA",F116),"XX",I116))</f>
        <v/>
      </c>
    </row>
    <row r="117" spans="1:12">
      <c r="A117" s="6" t="str">
        <f>REPT(" ",Sheet2!$B$3-LEN(Sheet2!B117))&amp;Sheet2!B117</f>
        <v xml:space="preserve">     </v>
      </c>
      <c r="B117" s="6" t="str">
        <f>REPT(" ",Sheet2!$C$3-LEN(Sheet2!C117))&amp;Sheet2!C117</f>
        <v xml:space="preserve">          </v>
      </c>
      <c r="C117" s="5" t="str">
        <f>IF(Sheet2!D117="Std","FALSE",
IF(Sheet2!D117="Both","shortcutProfile == USER_C47 || shortcutProfile == USER_R47",
"shortcutProfile == USER_"&amp;Sheet2!D117))</f>
        <v>shortcutProfile == USER_</v>
      </c>
      <c r="D117" s="6" t="str">
        <f t="shared" si="2"/>
        <v xml:space="preserve">                                    shortcutProfile == USER_</v>
      </c>
      <c r="E117" s="6" t="str">
        <f>REPT(" ",Sheet2!$E$3-LEN(Sheet2!E117))&amp;Sheet2!E117</f>
        <v xml:space="preserve">                         </v>
      </c>
      <c r="F117" s="6" t="str">
        <f>REPT(" ",Sheet2!$F$3-LEN(Sheet2!F117))&amp;Sheet2!F117</f>
        <v xml:space="preserve">          </v>
      </c>
      <c r="G117" s="6" t="str">
        <f>REPT(" ",Sheet2!$G$3-LEN(Sheet2!G117))&amp;Sheet2!G117</f>
        <v xml:space="preserve">                 </v>
      </c>
      <c r="H117" s="6" t="str">
        <f>REPT(" ",Sheet2!$H$3-LEN(Sheet2!H117))&amp;Sheet2!H117</f>
        <v xml:space="preserve">                    </v>
      </c>
      <c r="I117" s="6" t="str">
        <f>REPT(" ",Sheet2!$I$3-LEN(Sheet2!I117))&amp;""""&amp;Sheet2!I117&amp;""""</f>
        <v xml:space="preserve">   ""</v>
      </c>
      <c r="J117" s="6" t="str">
        <f>REPT(" ",Sheet2!$J$3-LEN(TEXT(Sheet2!J117,"00")))&amp;""""&amp;TEXT(Sheet2!J117,"00")&amp;""""</f>
        <v xml:space="preserve">  "00"</v>
      </c>
      <c r="K117" s="6" t="str">
        <f>REPT(" ",Sheet2!$K$3-LEN(Sheet2!K117))&amp;Sheet2!K117</f>
        <v xml:space="preserve">                              </v>
      </c>
      <c r="L117" s="3" t="str">
        <f>IF(Sheet2!B117="","",SUBSTITUTE(SUBSTITUTE(SUBSTITUTE(SUBSTITUTE(SUBSTITUTE(SUBSTITUTE(SUBSTITUTE(SUBSTITUTE(SUBSTITUTE(SUBSTITUTE($L$1,"61",A117),"CM_NORMAL",E117),"ITM_DRG",H117),"nn = comm",K117),"exitIfNim",B117),"allowCondition",D117),"KK",J117),"9999",G117),"ITM_AAA",F117),"XX",I117))</f>
        <v/>
      </c>
    </row>
    <row r="118" spans="1:12">
      <c r="A118" s="6" t="str">
        <f>REPT(" ",Sheet2!$B$3-LEN(Sheet2!B118))&amp;Sheet2!B118</f>
        <v xml:space="preserve">     </v>
      </c>
      <c r="B118" s="6" t="str">
        <f>REPT(" ",Sheet2!$C$3-LEN(Sheet2!C118))&amp;Sheet2!C118</f>
        <v xml:space="preserve">          </v>
      </c>
      <c r="C118" s="5" t="str">
        <f>IF(Sheet2!D118="Std","FALSE",
IF(Sheet2!D118="Both","shortcutProfile == USER_C47 || shortcutProfile == USER_R47",
"shortcutProfile == USER_"&amp;Sheet2!D118))</f>
        <v>shortcutProfile == USER_</v>
      </c>
      <c r="D118" s="6" t="str">
        <f t="shared" si="2"/>
        <v xml:space="preserve">                                    shortcutProfile == USER_</v>
      </c>
      <c r="E118" s="6" t="str">
        <f>REPT(" ",Sheet2!$E$3-LEN(Sheet2!E118))&amp;Sheet2!E118</f>
        <v xml:space="preserve">                         </v>
      </c>
      <c r="F118" s="6" t="str">
        <f>REPT(" ",Sheet2!$F$3-LEN(Sheet2!F118))&amp;Sheet2!F118</f>
        <v xml:space="preserve">          </v>
      </c>
      <c r="G118" s="6" t="str">
        <f>REPT(" ",Sheet2!$G$3-LEN(Sheet2!G118))&amp;Sheet2!G118</f>
        <v xml:space="preserve">                 </v>
      </c>
      <c r="H118" s="6" t="str">
        <f>REPT(" ",Sheet2!$H$3-LEN(Sheet2!H118))&amp;Sheet2!H118</f>
        <v xml:space="preserve">                    </v>
      </c>
      <c r="I118" s="6" t="str">
        <f>REPT(" ",Sheet2!$I$3-LEN(Sheet2!I118))&amp;""""&amp;Sheet2!I118&amp;""""</f>
        <v xml:space="preserve">   ""</v>
      </c>
      <c r="J118" s="6" t="str">
        <f>REPT(" ",Sheet2!$J$3-LEN(TEXT(Sheet2!J118,"00")))&amp;""""&amp;TEXT(Sheet2!J118,"00")&amp;""""</f>
        <v xml:space="preserve">  "00"</v>
      </c>
      <c r="K118" s="6" t="str">
        <f>REPT(" ",Sheet2!$K$3-LEN(Sheet2!K118))&amp;Sheet2!K118</f>
        <v xml:space="preserve">                              </v>
      </c>
      <c r="L118" s="3" t="str">
        <f>IF(Sheet2!B118="","",SUBSTITUTE(SUBSTITUTE(SUBSTITUTE(SUBSTITUTE(SUBSTITUTE(SUBSTITUTE(SUBSTITUTE(SUBSTITUTE(SUBSTITUTE(SUBSTITUTE($L$1,"61",A118),"CM_NORMAL",E118),"ITM_DRG",H118),"nn = comm",K118),"exitIfNim",B118),"allowCondition",D118),"KK",J118),"9999",G118),"ITM_AAA",F118),"XX",I118))</f>
        <v/>
      </c>
    </row>
    <row r="119" spans="1:12">
      <c r="A119" s="6" t="str">
        <f>REPT(" ",Sheet2!$B$3-LEN(Sheet2!B119))&amp;Sheet2!B119</f>
        <v xml:space="preserve">     </v>
      </c>
      <c r="B119" s="6" t="str">
        <f>REPT(" ",Sheet2!$C$3-LEN(Sheet2!C119))&amp;Sheet2!C119</f>
        <v xml:space="preserve">          </v>
      </c>
      <c r="C119" s="5" t="str">
        <f>IF(Sheet2!D119="Std","FALSE",
IF(Sheet2!D119="Both","shortcutProfile == USER_C47 || shortcutProfile == USER_R47",
"shortcutProfile == USER_"&amp;Sheet2!D119))</f>
        <v>shortcutProfile == USER_</v>
      </c>
      <c r="D119" s="6" t="str">
        <f t="shared" si="2"/>
        <v xml:space="preserve">                                    shortcutProfile == USER_</v>
      </c>
      <c r="E119" s="6" t="str">
        <f>REPT(" ",Sheet2!$E$3-LEN(Sheet2!E119))&amp;Sheet2!E119</f>
        <v xml:space="preserve">                         </v>
      </c>
      <c r="F119" s="6" t="str">
        <f>REPT(" ",Sheet2!$F$3-LEN(Sheet2!F119))&amp;Sheet2!F119</f>
        <v xml:space="preserve">          </v>
      </c>
      <c r="G119" s="6" t="str">
        <f>REPT(" ",Sheet2!$G$3-LEN(Sheet2!G119))&amp;Sheet2!G119</f>
        <v xml:space="preserve">                 </v>
      </c>
      <c r="H119" s="6" t="str">
        <f>REPT(" ",Sheet2!$H$3-LEN(Sheet2!H119))&amp;Sheet2!H119</f>
        <v xml:space="preserve">                    </v>
      </c>
      <c r="I119" s="6" t="str">
        <f>REPT(" ",Sheet2!$I$3-LEN(Sheet2!I119))&amp;""""&amp;Sheet2!I119&amp;""""</f>
        <v xml:space="preserve">   ""</v>
      </c>
      <c r="J119" s="6" t="str">
        <f>REPT(" ",Sheet2!$J$3-LEN(TEXT(Sheet2!J119,"00")))&amp;""""&amp;TEXT(Sheet2!J119,"00")&amp;""""</f>
        <v xml:space="preserve">  "00"</v>
      </c>
      <c r="K119" s="6" t="str">
        <f>REPT(" ",Sheet2!$K$3-LEN(Sheet2!K119))&amp;Sheet2!K119</f>
        <v xml:space="preserve">                              </v>
      </c>
      <c r="L119" s="3" t="str">
        <f>IF(Sheet2!B119="","",SUBSTITUTE(SUBSTITUTE(SUBSTITUTE(SUBSTITUTE(SUBSTITUTE(SUBSTITUTE(SUBSTITUTE(SUBSTITUTE(SUBSTITUTE(SUBSTITUTE($L$1,"61",A119),"CM_NORMAL",E119),"ITM_DRG",H119),"nn = comm",K119),"exitIfNim",B119),"allowCondition",D119),"KK",J119),"9999",G119),"ITM_AAA",F119),"XX",I119))</f>
        <v/>
      </c>
    </row>
    <row r="120" spans="1:12">
      <c r="A120" s="6" t="str">
        <f>REPT(" ",Sheet2!$B$3-LEN(Sheet2!B120))&amp;Sheet2!B120</f>
        <v xml:space="preserve">     </v>
      </c>
      <c r="B120" s="6" t="str">
        <f>REPT(" ",Sheet2!$C$3-LEN(Sheet2!C120))&amp;Sheet2!C120</f>
        <v xml:space="preserve">          </v>
      </c>
      <c r="C120" s="5" t="str">
        <f>IF(Sheet2!D120="Std","FALSE",
IF(Sheet2!D120="Both","shortcutProfile == USER_C47 || shortcutProfile == USER_R47",
"shortcutProfile == USER_"&amp;Sheet2!D120))</f>
        <v>shortcutProfile == USER_</v>
      </c>
      <c r="D120" s="6" t="str">
        <f t="shared" si="2"/>
        <v xml:space="preserve">                                    shortcutProfile == USER_</v>
      </c>
      <c r="E120" s="6" t="str">
        <f>REPT(" ",Sheet2!$E$3-LEN(Sheet2!E120))&amp;Sheet2!E120</f>
        <v xml:space="preserve">                         </v>
      </c>
      <c r="F120" s="6" t="str">
        <f>REPT(" ",Sheet2!$F$3-LEN(Sheet2!F120))&amp;Sheet2!F120</f>
        <v xml:space="preserve">          </v>
      </c>
      <c r="G120" s="6" t="str">
        <f>REPT(" ",Sheet2!$G$3-LEN(Sheet2!G120))&amp;Sheet2!G120</f>
        <v xml:space="preserve">                 </v>
      </c>
      <c r="H120" s="6" t="str">
        <f>REPT(" ",Sheet2!$H$3-LEN(Sheet2!H120))&amp;Sheet2!H120</f>
        <v xml:space="preserve">                    </v>
      </c>
      <c r="I120" s="6" t="str">
        <f>REPT(" ",Sheet2!$I$3-LEN(Sheet2!I120))&amp;""""&amp;Sheet2!I120&amp;""""</f>
        <v xml:space="preserve">   ""</v>
      </c>
      <c r="J120" s="6" t="str">
        <f>REPT(" ",Sheet2!$J$3-LEN(TEXT(Sheet2!J120,"00")))&amp;""""&amp;TEXT(Sheet2!J120,"00")&amp;""""</f>
        <v xml:space="preserve">  "00"</v>
      </c>
      <c r="K120" s="6" t="str">
        <f>REPT(" ",Sheet2!$K$3-LEN(Sheet2!K120))&amp;Sheet2!K120</f>
        <v xml:space="preserve">                              </v>
      </c>
      <c r="L120" s="3" t="str">
        <f>IF(Sheet2!B120="","",SUBSTITUTE(SUBSTITUTE(SUBSTITUTE(SUBSTITUTE(SUBSTITUTE(SUBSTITUTE(SUBSTITUTE(SUBSTITUTE(SUBSTITUTE(SUBSTITUTE($L$1,"61",A120),"CM_NORMAL",E120),"ITM_DRG",H120),"nn = comm",K120),"exitIfNim",B120),"allowCondition",D120),"KK",J120),"9999",G120),"ITM_AAA",F120),"XX",I120))</f>
        <v/>
      </c>
    </row>
    <row r="121" spans="1:12">
      <c r="A121" s="6" t="str">
        <f>REPT(" ",Sheet2!$B$3-LEN(Sheet2!B121))&amp;Sheet2!B121</f>
        <v xml:space="preserve">     </v>
      </c>
      <c r="B121" s="6" t="str">
        <f>REPT(" ",Sheet2!$C$3-LEN(Sheet2!C121))&amp;Sheet2!C121</f>
        <v xml:space="preserve">          </v>
      </c>
      <c r="C121" s="5" t="str">
        <f>IF(Sheet2!D121="Std","FALSE",
IF(Sheet2!D121="Both","shortcutProfile == USER_C47 || shortcutProfile == USER_R47",
"shortcutProfile == USER_"&amp;Sheet2!D121))</f>
        <v>shortcutProfile == USER_</v>
      </c>
      <c r="D121" s="6" t="str">
        <f t="shared" si="2"/>
        <v xml:space="preserve">                                    shortcutProfile == USER_</v>
      </c>
      <c r="E121" s="6" t="str">
        <f>REPT(" ",Sheet2!$E$3-LEN(Sheet2!E121))&amp;Sheet2!E121</f>
        <v xml:space="preserve">                         </v>
      </c>
      <c r="F121" s="6" t="str">
        <f>REPT(" ",Sheet2!$F$3-LEN(Sheet2!F121))&amp;Sheet2!F121</f>
        <v xml:space="preserve">          </v>
      </c>
      <c r="G121" s="6" t="str">
        <f>REPT(" ",Sheet2!$G$3-LEN(Sheet2!G121))&amp;Sheet2!G121</f>
        <v xml:space="preserve">                 </v>
      </c>
      <c r="H121" s="6" t="str">
        <f>REPT(" ",Sheet2!$H$3-LEN(Sheet2!H121))&amp;Sheet2!H121</f>
        <v xml:space="preserve">                    </v>
      </c>
      <c r="I121" s="6" t="str">
        <f>REPT(" ",Sheet2!$I$3-LEN(Sheet2!I121))&amp;""""&amp;Sheet2!I121&amp;""""</f>
        <v xml:space="preserve">   ""</v>
      </c>
      <c r="J121" s="6" t="str">
        <f>REPT(" ",Sheet2!$J$3-LEN(TEXT(Sheet2!J121,"00")))&amp;""""&amp;TEXT(Sheet2!J121,"00")&amp;""""</f>
        <v xml:space="preserve">  "00"</v>
      </c>
      <c r="K121" s="6" t="str">
        <f>REPT(" ",Sheet2!$K$3-LEN(Sheet2!K121))&amp;Sheet2!K121</f>
        <v xml:space="preserve">                              </v>
      </c>
      <c r="L121" s="3" t="str">
        <f>IF(Sheet2!B121="","",SUBSTITUTE(SUBSTITUTE(SUBSTITUTE(SUBSTITUTE(SUBSTITUTE(SUBSTITUTE(SUBSTITUTE(SUBSTITUTE(SUBSTITUTE(SUBSTITUTE($L$1,"61",A121),"CM_NORMAL",E121),"ITM_DRG",H121),"nn = comm",K121),"exitIfNim",B121),"allowCondition",D121),"KK",J121),"9999",G121),"ITM_AAA",F121),"XX",I121))</f>
        <v/>
      </c>
    </row>
    <row r="122" spans="1:12">
      <c r="A122" s="6" t="str">
        <f>REPT(" ",Sheet2!$B$3-LEN(Sheet2!B122))&amp;Sheet2!B122</f>
        <v xml:space="preserve">     </v>
      </c>
      <c r="B122" s="6" t="str">
        <f>REPT(" ",Sheet2!$C$3-LEN(Sheet2!C122))&amp;Sheet2!C122</f>
        <v xml:space="preserve">          </v>
      </c>
      <c r="C122" s="5" t="str">
        <f>IF(Sheet2!D122="Std","FALSE",
IF(Sheet2!D122="Both","shortcutProfile == USER_C47 || shortcutProfile == USER_R47",
"shortcutProfile == USER_"&amp;Sheet2!D122))</f>
        <v>shortcutProfile == USER_</v>
      </c>
      <c r="D122" s="6" t="str">
        <f t="shared" si="2"/>
        <v xml:space="preserve">                                    shortcutProfile == USER_</v>
      </c>
      <c r="E122" s="6" t="str">
        <f>REPT(" ",Sheet2!$E$3-LEN(Sheet2!E122))&amp;Sheet2!E122</f>
        <v xml:space="preserve">                         </v>
      </c>
      <c r="F122" s="6" t="str">
        <f>REPT(" ",Sheet2!$F$3-LEN(Sheet2!F122))&amp;Sheet2!F122</f>
        <v xml:space="preserve">          </v>
      </c>
      <c r="G122" s="6" t="str">
        <f>REPT(" ",Sheet2!$G$3-LEN(Sheet2!G122))&amp;Sheet2!G122</f>
        <v xml:space="preserve">                 </v>
      </c>
      <c r="H122" s="6" t="str">
        <f>REPT(" ",Sheet2!$H$3-LEN(Sheet2!H122))&amp;Sheet2!H122</f>
        <v xml:space="preserve">                    </v>
      </c>
      <c r="I122" s="6" t="str">
        <f>REPT(" ",Sheet2!$I$3-LEN(Sheet2!I122))&amp;""""&amp;Sheet2!I122&amp;""""</f>
        <v xml:space="preserve">   ""</v>
      </c>
      <c r="J122" s="6" t="str">
        <f>REPT(" ",Sheet2!$J$3-LEN(TEXT(Sheet2!J122,"00")))&amp;""""&amp;TEXT(Sheet2!J122,"00")&amp;""""</f>
        <v xml:space="preserve">  "00"</v>
      </c>
      <c r="K122" s="6" t="str">
        <f>REPT(" ",Sheet2!$K$3-LEN(Sheet2!K122))&amp;Sheet2!K122</f>
        <v xml:space="preserve">                              </v>
      </c>
      <c r="L122" s="3" t="str">
        <f>IF(Sheet2!B122="","",SUBSTITUTE(SUBSTITUTE(SUBSTITUTE(SUBSTITUTE(SUBSTITUTE(SUBSTITUTE(SUBSTITUTE(SUBSTITUTE(SUBSTITUTE(SUBSTITUTE($L$1,"61",A122),"CM_NORMAL",E122),"ITM_DRG",H122),"nn = comm",K122),"exitIfNim",B122),"allowCondition",D122),"KK",J122),"9999",G122),"ITM_AAA",F122),"XX",I122))</f>
        <v/>
      </c>
    </row>
    <row r="123" spans="1:12">
      <c r="A123" s="6" t="str">
        <f>REPT(" ",Sheet2!$B$3-LEN(Sheet2!B123))&amp;Sheet2!B123</f>
        <v xml:space="preserve">     </v>
      </c>
      <c r="B123" s="6" t="str">
        <f>REPT(" ",Sheet2!$C$3-LEN(Sheet2!C123))&amp;Sheet2!C123</f>
        <v xml:space="preserve">          </v>
      </c>
      <c r="C123" s="5" t="str">
        <f>IF(Sheet2!D123="Std","FALSE",
IF(Sheet2!D123="Both","shortcutProfile == USER_C47 || shortcutProfile == USER_R47",
"shortcutProfile == USER_"&amp;Sheet2!D123))</f>
        <v>shortcutProfile == USER_</v>
      </c>
      <c r="D123" s="6" t="str">
        <f t="shared" si="2"/>
        <v xml:space="preserve">                                    shortcutProfile == USER_</v>
      </c>
      <c r="E123" s="6" t="str">
        <f>REPT(" ",Sheet2!$E$3-LEN(Sheet2!E123))&amp;Sheet2!E123</f>
        <v xml:space="preserve">                         </v>
      </c>
      <c r="F123" s="6" t="str">
        <f>REPT(" ",Sheet2!$F$3-LEN(Sheet2!F123))&amp;Sheet2!F123</f>
        <v xml:space="preserve">          </v>
      </c>
      <c r="G123" s="6" t="str">
        <f>REPT(" ",Sheet2!$G$3-LEN(Sheet2!G123))&amp;Sheet2!G123</f>
        <v xml:space="preserve">                 </v>
      </c>
      <c r="H123" s="6" t="str">
        <f>REPT(" ",Sheet2!$H$3-LEN(Sheet2!H123))&amp;Sheet2!H123</f>
        <v xml:space="preserve">                    </v>
      </c>
      <c r="I123" s="6" t="str">
        <f>REPT(" ",Sheet2!$I$3-LEN(Sheet2!I123))&amp;""""&amp;Sheet2!I123&amp;""""</f>
        <v xml:space="preserve">   ""</v>
      </c>
      <c r="J123" s="6" t="str">
        <f>REPT(" ",Sheet2!$J$3-LEN(TEXT(Sheet2!J123,"00")))&amp;""""&amp;TEXT(Sheet2!J123,"00")&amp;""""</f>
        <v xml:space="preserve">  "00"</v>
      </c>
      <c r="K123" s="6" t="str">
        <f>REPT(" ",Sheet2!$K$3-LEN(Sheet2!K123))&amp;Sheet2!K123</f>
        <v xml:space="preserve">                              </v>
      </c>
      <c r="L123" s="3" t="str">
        <f>IF(Sheet2!B123="","",SUBSTITUTE(SUBSTITUTE(SUBSTITUTE(SUBSTITUTE(SUBSTITUTE(SUBSTITUTE(SUBSTITUTE(SUBSTITUTE(SUBSTITUTE(SUBSTITUTE($L$1,"61",A123),"CM_NORMAL",E123),"ITM_DRG",H123),"nn = comm",K123),"exitIfNim",B123),"allowCondition",D123),"KK",J123),"9999",G123),"ITM_AAA",F123),"XX",I123))</f>
        <v/>
      </c>
    </row>
    <row r="124" spans="1:12">
      <c r="A124" s="6" t="str">
        <f>REPT(" ",Sheet2!$B$3-LEN(Sheet2!B124))&amp;Sheet2!B124</f>
        <v xml:space="preserve">     </v>
      </c>
      <c r="B124" s="6" t="str">
        <f>REPT(" ",Sheet2!$C$3-LEN(Sheet2!C124))&amp;Sheet2!C124</f>
        <v xml:space="preserve">          </v>
      </c>
      <c r="C124" s="5" t="str">
        <f>IF(Sheet2!D124="Std","FALSE",
IF(Sheet2!D124="Both","shortcutProfile == USER_C47 || shortcutProfile == USER_R47",
"shortcutProfile == USER_"&amp;Sheet2!D124))</f>
        <v>shortcutProfile == USER_</v>
      </c>
      <c r="D124" s="6" t="str">
        <f t="shared" si="2"/>
        <v xml:space="preserve">                                    shortcutProfile == USER_</v>
      </c>
      <c r="E124" s="6" t="str">
        <f>REPT(" ",Sheet2!$E$3-LEN(Sheet2!E124))&amp;Sheet2!E124</f>
        <v xml:space="preserve">                         </v>
      </c>
      <c r="F124" s="6" t="str">
        <f>REPT(" ",Sheet2!$F$3-LEN(Sheet2!F124))&amp;Sheet2!F124</f>
        <v xml:space="preserve">          </v>
      </c>
      <c r="G124" s="6" t="str">
        <f>REPT(" ",Sheet2!$G$3-LEN(Sheet2!G124))&amp;Sheet2!G124</f>
        <v xml:space="preserve">                 </v>
      </c>
      <c r="H124" s="6" t="str">
        <f>REPT(" ",Sheet2!$H$3-LEN(Sheet2!H124))&amp;Sheet2!H124</f>
        <v xml:space="preserve">                    </v>
      </c>
      <c r="I124" s="6" t="str">
        <f>REPT(" ",Sheet2!$I$3-LEN(Sheet2!I124))&amp;""""&amp;Sheet2!I124&amp;""""</f>
        <v xml:space="preserve">   ""</v>
      </c>
      <c r="J124" s="6" t="str">
        <f>REPT(" ",Sheet2!$J$3-LEN(TEXT(Sheet2!J124,"00")))&amp;""""&amp;TEXT(Sheet2!J124,"00")&amp;""""</f>
        <v xml:space="preserve">  "00"</v>
      </c>
      <c r="K124" s="6" t="str">
        <f>REPT(" ",Sheet2!$K$3-LEN(Sheet2!K124))&amp;Sheet2!K124</f>
        <v xml:space="preserve">                              </v>
      </c>
      <c r="L124" s="3" t="str">
        <f>IF(Sheet2!B124="","",SUBSTITUTE(SUBSTITUTE(SUBSTITUTE(SUBSTITUTE(SUBSTITUTE(SUBSTITUTE(SUBSTITUTE(SUBSTITUTE(SUBSTITUTE(SUBSTITUTE($L$1,"61",A124),"CM_NORMAL",E124),"ITM_DRG",H124),"nn = comm",K124),"exitIfNim",B124),"allowCondition",D124),"KK",J124),"9999",G124),"ITM_AAA",F124),"XX",I124))</f>
        <v/>
      </c>
    </row>
    <row r="125" spans="1:12">
      <c r="A125" s="6" t="str">
        <f>REPT(" ",Sheet2!$B$3-LEN(Sheet2!B125))&amp;Sheet2!B125</f>
        <v xml:space="preserve">     </v>
      </c>
      <c r="B125" s="6" t="str">
        <f>REPT(" ",Sheet2!$C$3-LEN(Sheet2!C125))&amp;Sheet2!C125</f>
        <v xml:space="preserve">          </v>
      </c>
      <c r="C125" s="5" t="str">
        <f>IF(Sheet2!D125="Std","FALSE",
IF(Sheet2!D125="Both","shortcutProfile == USER_C47 || shortcutProfile == USER_R47",
"shortcutProfile == USER_"&amp;Sheet2!D125))</f>
        <v>shortcutProfile == USER_</v>
      </c>
      <c r="D125" s="6" t="str">
        <f t="shared" si="2"/>
        <v xml:space="preserve">                                    shortcutProfile == USER_</v>
      </c>
      <c r="E125" s="6" t="str">
        <f>REPT(" ",Sheet2!$E$3-LEN(Sheet2!E125))&amp;Sheet2!E125</f>
        <v xml:space="preserve">                         </v>
      </c>
      <c r="F125" s="6" t="str">
        <f>REPT(" ",Sheet2!$F$3-LEN(Sheet2!F125))&amp;Sheet2!F125</f>
        <v xml:space="preserve">          </v>
      </c>
      <c r="G125" s="6" t="str">
        <f>REPT(" ",Sheet2!$G$3-LEN(Sheet2!G125))&amp;Sheet2!G125</f>
        <v xml:space="preserve">                 </v>
      </c>
      <c r="H125" s="6" t="str">
        <f>REPT(" ",Sheet2!$H$3-LEN(Sheet2!H125))&amp;Sheet2!H125</f>
        <v xml:space="preserve">                    </v>
      </c>
      <c r="I125" s="6" t="str">
        <f>REPT(" ",Sheet2!$I$3-LEN(Sheet2!I125))&amp;""""&amp;Sheet2!I125&amp;""""</f>
        <v xml:space="preserve">   ""</v>
      </c>
      <c r="J125" s="6" t="str">
        <f>REPT(" ",Sheet2!$J$3-LEN(TEXT(Sheet2!J125,"00")))&amp;""""&amp;TEXT(Sheet2!J125,"00")&amp;""""</f>
        <v xml:space="preserve">  "00"</v>
      </c>
      <c r="K125" s="6" t="str">
        <f>REPT(" ",Sheet2!$K$3-LEN(Sheet2!K125))&amp;Sheet2!K125</f>
        <v xml:space="preserve">                              </v>
      </c>
      <c r="L125" s="3" t="str">
        <f>IF(Sheet2!B125="","",SUBSTITUTE(SUBSTITUTE(SUBSTITUTE(SUBSTITUTE(SUBSTITUTE(SUBSTITUTE(SUBSTITUTE(SUBSTITUTE(SUBSTITUTE(SUBSTITUTE($L$1,"61",A125),"CM_NORMAL",E125),"ITM_DRG",H125),"nn = comm",K125),"exitIfNim",B125),"allowCondition",D125),"KK",J125),"9999",G125),"ITM_AAA",F125),"XX",I125))</f>
        <v/>
      </c>
    </row>
    <row r="126" spans="1:12">
      <c r="A126" s="6" t="str">
        <f>REPT(" ",Sheet2!$B$3-LEN(Sheet2!B126))&amp;Sheet2!B126</f>
        <v xml:space="preserve">     </v>
      </c>
      <c r="B126" s="6" t="str">
        <f>REPT(" ",Sheet2!$C$3-LEN(Sheet2!C126))&amp;Sheet2!C126</f>
        <v xml:space="preserve">          </v>
      </c>
      <c r="C126" s="5" t="str">
        <f>IF(Sheet2!D126="Std","FALSE",
IF(Sheet2!D126="Both","shortcutProfile == USER_C47 || shortcutProfile == USER_R47",
"shortcutProfile == USER_"&amp;Sheet2!D126))</f>
        <v>shortcutProfile == USER_</v>
      </c>
      <c r="D126" s="6" t="str">
        <f t="shared" si="2"/>
        <v xml:space="preserve">                                    shortcutProfile == USER_</v>
      </c>
      <c r="E126" s="6" t="str">
        <f>REPT(" ",Sheet2!$E$3-LEN(Sheet2!E126))&amp;Sheet2!E126</f>
        <v xml:space="preserve">                         </v>
      </c>
      <c r="F126" s="6" t="str">
        <f>REPT(" ",Sheet2!$F$3-LEN(Sheet2!F126))&amp;Sheet2!F126</f>
        <v xml:space="preserve">          </v>
      </c>
      <c r="G126" s="6" t="str">
        <f>REPT(" ",Sheet2!$G$3-LEN(Sheet2!G126))&amp;Sheet2!G126</f>
        <v xml:space="preserve">                 </v>
      </c>
      <c r="H126" s="6" t="str">
        <f>REPT(" ",Sheet2!$H$3-LEN(Sheet2!H126))&amp;Sheet2!H126</f>
        <v xml:space="preserve">                    </v>
      </c>
      <c r="I126" s="6" t="str">
        <f>REPT(" ",Sheet2!$I$3-LEN(Sheet2!I126))&amp;""""&amp;Sheet2!I126&amp;""""</f>
        <v xml:space="preserve">   ""</v>
      </c>
      <c r="J126" s="6" t="str">
        <f>REPT(" ",Sheet2!$J$3-LEN(TEXT(Sheet2!J126,"00")))&amp;""""&amp;TEXT(Sheet2!J126,"00")&amp;""""</f>
        <v xml:space="preserve">  "00"</v>
      </c>
      <c r="K126" s="6" t="str">
        <f>REPT(" ",Sheet2!$K$3-LEN(Sheet2!K126))&amp;Sheet2!K126</f>
        <v xml:space="preserve">                              </v>
      </c>
      <c r="L126" s="3" t="str">
        <f>IF(Sheet2!B126="","",SUBSTITUTE(SUBSTITUTE(SUBSTITUTE(SUBSTITUTE(SUBSTITUTE(SUBSTITUTE(SUBSTITUTE(SUBSTITUTE(SUBSTITUTE(SUBSTITUTE($L$1,"61",A126),"CM_NORMAL",E126),"ITM_DRG",H126),"nn = comm",K126),"exitIfNim",B126),"allowCondition",D126),"KK",J126),"9999",G126),"ITM_AAA",F126),"XX",I126))</f>
        <v/>
      </c>
    </row>
    <row r="127" spans="1:12">
      <c r="A127" s="6" t="str">
        <f>REPT(" ",Sheet2!$B$3-LEN(Sheet2!B127))&amp;Sheet2!B127</f>
        <v xml:space="preserve">     </v>
      </c>
      <c r="B127" s="6" t="str">
        <f>REPT(" ",Sheet2!$C$3-LEN(Sheet2!C127))&amp;Sheet2!C127</f>
        <v xml:space="preserve">          </v>
      </c>
      <c r="C127" s="5" t="str">
        <f>IF(Sheet2!D127="Std","FALSE",
IF(Sheet2!D127="Both","shortcutProfile == USER_C47 || shortcutProfile == USER_R47",
"shortcutProfile == USER_"&amp;Sheet2!D127))</f>
        <v>shortcutProfile == USER_</v>
      </c>
      <c r="D127" s="6" t="str">
        <f t="shared" si="2"/>
        <v xml:space="preserve">                                    shortcutProfile == USER_</v>
      </c>
      <c r="E127" s="6" t="str">
        <f>REPT(" ",Sheet2!$E$3-LEN(Sheet2!E127))&amp;Sheet2!E127</f>
        <v xml:space="preserve">                         </v>
      </c>
      <c r="F127" s="6" t="str">
        <f>REPT(" ",Sheet2!$F$3-LEN(Sheet2!F127))&amp;Sheet2!F127</f>
        <v xml:space="preserve">          </v>
      </c>
      <c r="G127" s="6" t="str">
        <f>REPT(" ",Sheet2!$G$3-LEN(Sheet2!G127))&amp;Sheet2!G127</f>
        <v xml:space="preserve">                 </v>
      </c>
      <c r="H127" s="6" t="str">
        <f>REPT(" ",Sheet2!$H$3-LEN(Sheet2!H127))&amp;Sheet2!H127</f>
        <v xml:space="preserve">                    </v>
      </c>
      <c r="I127" s="6" t="str">
        <f>REPT(" ",Sheet2!$I$3-LEN(Sheet2!I127))&amp;""""&amp;Sheet2!I127&amp;""""</f>
        <v xml:space="preserve">   ""</v>
      </c>
      <c r="J127" s="6" t="str">
        <f>REPT(" ",Sheet2!$J$3-LEN(TEXT(Sheet2!J127,"00")))&amp;""""&amp;TEXT(Sheet2!J127,"00")&amp;""""</f>
        <v xml:space="preserve">  "00"</v>
      </c>
      <c r="K127" s="6" t="str">
        <f>REPT(" ",Sheet2!$K$3-LEN(Sheet2!K127))&amp;Sheet2!K127</f>
        <v xml:space="preserve">                              </v>
      </c>
      <c r="L127" s="3" t="str">
        <f>IF(Sheet2!B127="","",SUBSTITUTE(SUBSTITUTE(SUBSTITUTE(SUBSTITUTE(SUBSTITUTE(SUBSTITUTE(SUBSTITUTE(SUBSTITUTE(SUBSTITUTE(SUBSTITUTE($L$1,"61",A127),"CM_NORMAL",E127),"ITM_DRG",H127),"nn = comm",K127),"exitIfNim",B127),"allowCondition",D127),"KK",J127),"9999",G127),"ITM_AAA",F127),"XX",I127))</f>
        <v/>
      </c>
    </row>
    <row r="128" spans="1:12">
      <c r="A128" s="6" t="str">
        <f>REPT(" ",Sheet2!$B$3-LEN(Sheet2!B128))&amp;Sheet2!B128</f>
        <v xml:space="preserve">     </v>
      </c>
      <c r="B128" s="6" t="str">
        <f>REPT(" ",Sheet2!$C$3-LEN(Sheet2!C128))&amp;Sheet2!C128</f>
        <v xml:space="preserve">          </v>
      </c>
      <c r="C128" s="5" t="str">
        <f>IF(Sheet2!D128="Std","FALSE",
IF(Sheet2!D128="Both","shortcutProfile == USER_C47 || shortcutProfile == USER_R47",
"shortcutProfile == USER_"&amp;Sheet2!D128))</f>
        <v>shortcutProfile == USER_</v>
      </c>
      <c r="D128" s="6" t="str">
        <f t="shared" si="2"/>
        <v xml:space="preserve">                                    shortcutProfile == USER_</v>
      </c>
      <c r="E128" s="6" t="str">
        <f>REPT(" ",Sheet2!$E$3-LEN(Sheet2!E128))&amp;Sheet2!E128</f>
        <v xml:space="preserve">                         </v>
      </c>
      <c r="F128" s="6" t="str">
        <f>REPT(" ",Sheet2!$F$3-LEN(Sheet2!F128))&amp;Sheet2!F128</f>
        <v xml:space="preserve">          </v>
      </c>
      <c r="G128" s="6" t="str">
        <f>REPT(" ",Sheet2!$G$3-LEN(Sheet2!G128))&amp;Sheet2!G128</f>
        <v xml:space="preserve">                 </v>
      </c>
      <c r="H128" s="6" t="str">
        <f>REPT(" ",Sheet2!$H$3-LEN(Sheet2!H128))&amp;Sheet2!H128</f>
        <v xml:space="preserve">                    </v>
      </c>
      <c r="I128" s="6" t="str">
        <f>REPT(" ",Sheet2!$I$3-LEN(Sheet2!I128))&amp;""""&amp;Sheet2!I128&amp;""""</f>
        <v xml:space="preserve">   ""</v>
      </c>
      <c r="J128" s="6" t="str">
        <f>REPT(" ",Sheet2!$J$3-LEN(TEXT(Sheet2!J128,"00")))&amp;""""&amp;TEXT(Sheet2!J128,"00")&amp;""""</f>
        <v xml:space="preserve">  "00"</v>
      </c>
      <c r="K128" s="6" t="str">
        <f>REPT(" ",Sheet2!$K$3-LEN(Sheet2!K128))&amp;Sheet2!K128</f>
        <v xml:space="preserve">                              </v>
      </c>
      <c r="L128" s="3" t="str">
        <f>IF(Sheet2!B128="","",SUBSTITUTE(SUBSTITUTE(SUBSTITUTE(SUBSTITUTE(SUBSTITUTE(SUBSTITUTE(SUBSTITUTE(SUBSTITUTE(SUBSTITUTE(SUBSTITUTE($L$1,"61",A128),"CM_NORMAL",E128),"ITM_DRG",H128),"nn = comm",K128),"exitIfNim",B128),"allowCondition",D128),"KK",J128),"9999",G128),"ITM_AAA",F128),"XX",I128))</f>
        <v/>
      </c>
    </row>
    <row r="129" spans="1:12">
      <c r="A129" s="6" t="str">
        <f>REPT(" ",Sheet2!$B$3-LEN(Sheet2!B129))&amp;Sheet2!B129</f>
        <v xml:space="preserve">     </v>
      </c>
      <c r="B129" s="6" t="str">
        <f>REPT(" ",Sheet2!$C$3-LEN(Sheet2!C129))&amp;Sheet2!C129</f>
        <v xml:space="preserve">          </v>
      </c>
      <c r="C129" s="5" t="str">
        <f>IF(Sheet2!D129="Std","FALSE",
IF(Sheet2!D129="Both","shortcutProfile == USER_C47 || shortcutProfile == USER_R47",
"shortcutProfile == USER_"&amp;Sheet2!D129))</f>
        <v>shortcutProfile == USER_</v>
      </c>
      <c r="D129" s="6" t="str">
        <f t="shared" si="2"/>
        <v xml:space="preserve">                                    shortcutProfile == USER_</v>
      </c>
      <c r="E129" s="6" t="str">
        <f>REPT(" ",Sheet2!$E$3-LEN(Sheet2!E129))&amp;Sheet2!E129</f>
        <v xml:space="preserve">                         </v>
      </c>
      <c r="F129" s="6" t="str">
        <f>REPT(" ",Sheet2!$F$3-LEN(Sheet2!F129))&amp;Sheet2!F129</f>
        <v xml:space="preserve">          </v>
      </c>
      <c r="G129" s="6" t="str">
        <f>REPT(" ",Sheet2!$G$3-LEN(Sheet2!G129))&amp;Sheet2!G129</f>
        <v xml:space="preserve">                 </v>
      </c>
      <c r="H129" s="6" t="str">
        <f>REPT(" ",Sheet2!$H$3-LEN(Sheet2!H129))&amp;Sheet2!H129</f>
        <v xml:space="preserve">                    </v>
      </c>
      <c r="I129" s="6" t="str">
        <f>REPT(" ",Sheet2!$I$3-LEN(Sheet2!I129))&amp;""""&amp;Sheet2!I129&amp;""""</f>
        <v xml:space="preserve">   ""</v>
      </c>
      <c r="J129" s="6" t="str">
        <f>REPT(" ",Sheet2!$J$3-LEN(TEXT(Sheet2!J129,"00")))&amp;""""&amp;TEXT(Sheet2!J129,"00")&amp;""""</f>
        <v xml:space="preserve">  "00"</v>
      </c>
      <c r="K129" s="6" t="str">
        <f>REPT(" ",Sheet2!$K$3-LEN(Sheet2!K129))&amp;Sheet2!K129</f>
        <v xml:space="preserve">                              </v>
      </c>
      <c r="L129" s="3" t="str">
        <f>IF(Sheet2!B129="","",SUBSTITUTE(SUBSTITUTE(SUBSTITUTE(SUBSTITUTE(SUBSTITUTE(SUBSTITUTE(SUBSTITUTE(SUBSTITUTE(SUBSTITUTE(SUBSTITUTE($L$1,"61",A129),"CM_NORMAL",E129),"ITM_DRG",H129),"nn = comm",K129),"exitIfNim",B129),"allowCondition",D129),"KK",J129),"9999",G129),"ITM_AAA",F129),"XX",I129))</f>
        <v/>
      </c>
    </row>
    <row r="130" spans="1:12">
      <c r="L130" s="2"/>
    </row>
    <row r="131" spans="1:12">
      <c r="L131" s="2"/>
    </row>
    <row r="132" spans="1:12">
      <c r="L132" s="2"/>
    </row>
    <row r="133" spans="1:12">
      <c r="L133" s="2"/>
    </row>
    <row r="134" spans="1:12">
      <c r="L134" s="2"/>
    </row>
    <row r="135" spans="1:12">
      <c r="L135" s="2"/>
    </row>
    <row r="136" spans="1:12">
      <c r="L136" s="2"/>
    </row>
    <row r="137" spans="1:12">
      <c r="L137" s="2"/>
    </row>
    <row r="138" spans="1:12">
      <c r="L138" s="2"/>
    </row>
    <row r="139" spans="1:12">
      <c r="L139" s="2"/>
    </row>
    <row r="140" spans="1:12">
      <c r="L140" s="2"/>
    </row>
    <row r="141" spans="1:12">
      <c r="L141" s="2"/>
    </row>
    <row r="142" spans="1:12">
      <c r="L142" s="2"/>
    </row>
    <row r="143" spans="1:12">
      <c r="L143" s="2"/>
    </row>
    <row r="144" spans="1:12">
      <c r="L144" s="2"/>
    </row>
    <row r="145" spans="12:12">
      <c r="L145" s="2"/>
    </row>
    <row r="146" spans="12:12">
      <c r="L146" s="2"/>
    </row>
    <row r="147" spans="12:12">
      <c r="L147" s="2"/>
    </row>
    <row r="148" spans="12:12">
      <c r="L148" s="2"/>
    </row>
    <row r="149" spans="12:12">
      <c r="L149" s="2"/>
    </row>
    <row r="150" spans="12:12">
      <c r="L150" s="2"/>
    </row>
    <row r="151" spans="12:12">
      <c r="L151" s="2"/>
    </row>
    <row r="152" spans="12:12">
      <c r="L152" s="2"/>
    </row>
    <row r="153" spans="12:12">
      <c r="L153" s="2"/>
    </row>
    <row r="154" spans="12:12">
      <c r="L154" s="2"/>
    </row>
    <row r="155" spans="12:12">
      <c r="L155" s="2"/>
    </row>
    <row r="156" spans="12:12">
      <c r="L156" s="2"/>
    </row>
    <row r="157" spans="12:12">
      <c r="L157" s="2"/>
    </row>
    <row r="158" spans="12:12">
      <c r="L158" s="2"/>
    </row>
    <row r="159" spans="12:12">
      <c r="L159" s="2"/>
    </row>
    <row r="160" spans="12:12">
      <c r="L160" s="2"/>
    </row>
    <row r="161" spans="12:12">
      <c r="L161" s="2"/>
    </row>
    <row r="162" spans="12:12">
      <c r="L162" s="2"/>
    </row>
    <row r="163" spans="12:12">
      <c r="L163" s="2"/>
    </row>
    <row r="164" spans="12:12">
      <c r="L164" s="2"/>
    </row>
    <row r="165" spans="12:12">
      <c r="L165" s="2"/>
    </row>
    <row r="166" spans="12:12">
      <c r="L166" s="2"/>
    </row>
    <row r="167" spans="12:12">
      <c r="L167" s="2"/>
    </row>
    <row r="168" spans="12:12">
      <c r="L168" s="2"/>
    </row>
    <row r="169" spans="12:12">
      <c r="L169" s="2"/>
    </row>
    <row r="170" spans="12:12">
      <c r="L170" s="2"/>
    </row>
    <row r="171" spans="12:12">
      <c r="L171" s="2"/>
    </row>
    <row r="172" spans="12:12">
      <c r="L172" s="2"/>
    </row>
    <row r="173" spans="12:12">
      <c r="L173" s="2"/>
    </row>
    <row r="174" spans="12:12">
      <c r="L174" s="2"/>
    </row>
    <row r="175" spans="12:12">
      <c r="L175" s="2"/>
    </row>
    <row r="176" spans="12:12">
      <c r="L176" s="2"/>
    </row>
    <row r="177" spans="12:12">
      <c r="L177" s="2"/>
    </row>
    <row r="178" spans="12:12">
      <c r="L178" s="2"/>
    </row>
    <row r="179" spans="12:12">
      <c r="L179" s="2"/>
    </row>
    <row r="180" spans="12:12">
      <c r="L180" s="2"/>
    </row>
    <row r="181" spans="12:12">
      <c r="L181" s="2"/>
    </row>
    <row r="182" spans="12:12">
      <c r="L182" s="2"/>
    </row>
    <row r="183" spans="12:12">
      <c r="L183" s="2"/>
    </row>
    <row r="184" spans="12:12">
      <c r="L184" s="2"/>
    </row>
    <row r="185" spans="12:12">
      <c r="L185" s="2"/>
    </row>
    <row r="186" spans="12:12">
      <c r="L186" s="2"/>
    </row>
    <row r="187" spans="12:12">
      <c r="L187" s="2"/>
    </row>
    <row r="188" spans="12:12">
      <c r="L188" s="2"/>
    </row>
    <row r="189" spans="12:12">
      <c r="L189" s="2"/>
    </row>
    <row r="190" spans="12:12">
      <c r="L190" s="2"/>
    </row>
    <row r="191" spans="12:12">
      <c r="L191" s="2"/>
    </row>
    <row r="192" spans="12:12">
      <c r="L192" s="2"/>
    </row>
    <row r="193" spans="12:12">
      <c r="L193" s="2"/>
    </row>
    <row r="194" spans="12:12">
      <c r="L194" s="2"/>
    </row>
    <row r="195" spans="12:12">
      <c r="L195" s="2"/>
    </row>
    <row r="196" spans="12:12">
      <c r="L196" s="2"/>
    </row>
    <row r="197" spans="12:12">
      <c r="L197" s="2"/>
    </row>
    <row r="198" spans="12:12">
      <c r="L198" s="2"/>
    </row>
    <row r="199" spans="12:12">
      <c r="L199" s="2"/>
    </row>
    <row r="200" spans="12:12">
      <c r="L200" s="2"/>
    </row>
    <row r="201" spans="12:12">
      <c r="L201" s="2"/>
    </row>
    <row r="202" spans="12:12">
      <c r="L202" s="2"/>
    </row>
    <row r="203" spans="12:12">
      <c r="L203" s="2"/>
    </row>
    <row r="204" spans="12:12">
      <c r="L204" s="2"/>
    </row>
    <row r="205" spans="12:12">
      <c r="L205" s="2"/>
    </row>
    <row r="206" spans="12:12">
      <c r="L206" s="2"/>
    </row>
    <row r="207" spans="12:12">
      <c r="L207" s="2"/>
    </row>
    <row r="208" spans="12:12">
      <c r="L208" s="2"/>
    </row>
    <row r="209" spans="12:12">
      <c r="L209" s="2"/>
    </row>
    <row r="210" spans="12:12">
      <c r="L210" s="2"/>
    </row>
    <row r="211" spans="12:12">
      <c r="L211" s="2"/>
    </row>
    <row r="212" spans="12:12">
      <c r="L212" s="2"/>
    </row>
    <row r="213" spans="12:12">
      <c r="L213" s="2"/>
    </row>
    <row r="214" spans="12:12">
      <c r="L214" s="2"/>
    </row>
    <row r="215" spans="12:12">
      <c r="L215" s="2"/>
    </row>
    <row r="216" spans="12:12">
      <c r="L216" s="2"/>
    </row>
    <row r="217" spans="12:12">
      <c r="L217" s="2"/>
    </row>
    <row r="218" spans="12:12">
      <c r="L218" s="2"/>
    </row>
    <row r="219" spans="12:12">
      <c r="L219" s="2"/>
    </row>
    <row r="220" spans="12:12">
      <c r="L220" s="2"/>
    </row>
    <row r="221" spans="12:12">
      <c r="L221" s="2"/>
    </row>
    <row r="222" spans="12:12">
      <c r="L222" s="2"/>
    </row>
    <row r="223" spans="12:12">
      <c r="L223" s="2"/>
    </row>
    <row r="224" spans="12:12">
      <c r="L224" s="2"/>
    </row>
    <row r="225" spans="12:12">
      <c r="L225" s="2"/>
    </row>
    <row r="226" spans="12:12">
      <c r="L226" s="2"/>
    </row>
    <row r="227" spans="12:12">
      <c r="L227" s="2"/>
    </row>
    <row r="228" spans="12:12">
      <c r="L228" s="2"/>
    </row>
    <row r="229" spans="12:12">
      <c r="L229" s="2"/>
    </row>
    <row r="230" spans="12:12">
      <c r="L230" s="2"/>
    </row>
    <row r="231" spans="12:12">
      <c r="L231" s="2"/>
    </row>
    <row r="232" spans="12:12">
      <c r="L232" s="2"/>
    </row>
    <row r="233" spans="12:12">
      <c r="L233" s="2"/>
    </row>
    <row r="234" spans="12:12">
      <c r="L234" s="2"/>
    </row>
    <row r="235" spans="12:12">
      <c r="L235" s="2"/>
    </row>
    <row r="236" spans="12:12">
      <c r="L236" s="2"/>
    </row>
    <row r="237" spans="12:12">
      <c r="L237" s="2"/>
    </row>
    <row r="238" spans="12:12">
      <c r="L238" s="2"/>
    </row>
    <row r="239" spans="12:12">
      <c r="L239" s="2"/>
    </row>
    <row r="240" spans="12:12">
      <c r="L240" s="2"/>
    </row>
    <row r="241" spans="12:12">
      <c r="L241" s="2"/>
    </row>
    <row r="242" spans="12:12">
      <c r="L242" s="2"/>
    </row>
    <row r="243" spans="12:12">
      <c r="L243" s="2"/>
    </row>
    <row r="244" spans="12:12">
      <c r="L244" s="2"/>
    </row>
    <row r="245" spans="12:12">
      <c r="L245" s="2"/>
    </row>
    <row r="246" spans="12:12">
      <c r="L246" s="2"/>
    </row>
    <row r="247" spans="12:12">
      <c r="L247" s="2"/>
    </row>
    <row r="248" spans="12:12">
      <c r="L248" s="2"/>
    </row>
    <row r="249" spans="12:12">
      <c r="L249" s="2"/>
    </row>
    <row r="250" spans="12:12">
      <c r="L250" s="2"/>
    </row>
    <row r="251" spans="12:12">
      <c r="L251" s="2"/>
    </row>
    <row r="252" spans="12:12">
      <c r="L252" s="2"/>
    </row>
    <row r="253" spans="12:12">
      <c r="L253" s="2"/>
    </row>
    <row r="254" spans="12:12">
      <c r="L254" s="2"/>
    </row>
    <row r="255" spans="12:12">
      <c r="L255" s="2"/>
    </row>
    <row r="256" spans="12:12">
      <c r="L256" s="2"/>
    </row>
    <row r="257" spans="12:12">
      <c r="L257" s="2"/>
    </row>
    <row r="258" spans="12:12">
      <c r="L258" s="2"/>
    </row>
    <row r="259" spans="12:12">
      <c r="L259" s="2"/>
    </row>
    <row r="260" spans="12:12">
      <c r="L260" s="2"/>
    </row>
    <row r="261" spans="12:12">
      <c r="L261" s="2"/>
    </row>
    <row r="262" spans="12:12">
      <c r="L262" s="2"/>
    </row>
    <row r="263" spans="12:12">
      <c r="L263" s="2"/>
    </row>
    <row r="264" spans="12:12">
      <c r="L264" s="2"/>
    </row>
    <row r="265" spans="12:12">
      <c r="L265" s="2"/>
    </row>
    <row r="266" spans="12:12">
      <c r="L266" s="2"/>
    </row>
    <row r="267" spans="12:12">
      <c r="L267" s="2"/>
    </row>
    <row r="268" spans="12:12">
      <c r="L268" s="2"/>
    </row>
    <row r="269" spans="12:12">
      <c r="L269" s="2"/>
    </row>
    <row r="270" spans="12:12">
      <c r="L270" s="2"/>
    </row>
    <row r="271" spans="12:12">
      <c r="L271" s="2"/>
    </row>
    <row r="272" spans="12:12">
      <c r="L272" s="2"/>
    </row>
    <row r="273" spans="12:12">
      <c r="L273" s="2"/>
    </row>
    <row r="274" spans="12:12">
      <c r="L274" s="2"/>
    </row>
    <row r="275" spans="12:12">
      <c r="L275" s="2"/>
    </row>
    <row r="276" spans="12:12">
      <c r="L276" s="2"/>
    </row>
    <row r="277" spans="12:12">
      <c r="L277" s="2"/>
    </row>
    <row r="278" spans="12:12">
      <c r="L278" s="2"/>
    </row>
    <row r="279" spans="12:12">
      <c r="L279" s="2"/>
    </row>
    <row r="280" spans="12:12">
      <c r="L280" s="2"/>
    </row>
    <row r="281" spans="12:12">
      <c r="L281" s="2"/>
    </row>
    <row r="282" spans="12:12">
      <c r="L282" s="2"/>
    </row>
    <row r="283" spans="12:12">
      <c r="L283" s="2"/>
    </row>
    <row r="284" spans="12:12">
      <c r="L284" s="2"/>
    </row>
    <row r="285" spans="12:12">
      <c r="L285" s="2"/>
    </row>
    <row r="286" spans="12:12">
      <c r="L286" s="2"/>
    </row>
    <row r="287" spans="12:12">
      <c r="L287" s="2"/>
    </row>
    <row r="288" spans="12:12">
      <c r="L288" s="2"/>
    </row>
    <row r="289" spans="12:12">
      <c r="L289" s="2"/>
    </row>
    <row r="290" spans="12:12">
      <c r="L290" s="2"/>
    </row>
    <row r="291" spans="12:12">
      <c r="L291" s="2"/>
    </row>
    <row r="292" spans="12:12">
      <c r="L292" s="2"/>
    </row>
    <row r="293" spans="12:12">
      <c r="L293" s="2"/>
    </row>
    <row r="294" spans="12:12">
      <c r="L294" s="2"/>
    </row>
    <row r="295" spans="12:12">
      <c r="L295" s="2"/>
    </row>
    <row r="296" spans="12:12">
      <c r="L296" s="2"/>
    </row>
    <row r="297" spans="12:12">
      <c r="L297" s="2"/>
    </row>
    <row r="298" spans="12:12">
      <c r="L298" s="2"/>
    </row>
    <row r="299" spans="12:12">
      <c r="L299" s="2"/>
    </row>
    <row r="300" spans="12:12">
      <c r="L300" s="2"/>
    </row>
    <row r="301" spans="12:12">
      <c r="L301" s="2"/>
    </row>
    <row r="302" spans="12:12">
      <c r="L302" s="2"/>
    </row>
    <row r="303" spans="12:12">
      <c r="L303" s="2"/>
    </row>
    <row r="304" spans="12:12">
      <c r="L304" s="2"/>
    </row>
    <row r="305" spans="12:12">
      <c r="L305" s="2"/>
    </row>
    <row r="306" spans="12:12">
      <c r="L306" s="2"/>
    </row>
    <row r="307" spans="12:12">
      <c r="L307" s="2"/>
    </row>
    <row r="308" spans="12:12">
      <c r="L308" s="2"/>
    </row>
    <row r="309" spans="12:12">
      <c r="L309" s="2"/>
    </row>
    <row r="310" spans="12:12">
      <c r="L310" s="2"/>
    </row>
    <row r="311" spans="12:12">
      <c r="L311" s="2"/>
    </row>
    <row r="312" spans="12:12">
      <c r="L312" s="2"/>
    </row>
    <row r="313" spans="12:12">
      <c r="L313" s="2"/>
    </row>
    <row r="314" spans="12:12">
      <c r="L314" s="2"/>
    </row>
    <row r="315" spans="12:12">
      <c r="L315" s="2"/>
    </row>
    <row r="316" spans="12:12">
      <c r="L316" s="2"/>
    </row>
    <row r="317" spans="12:12">
      <c r="L317" s="2"/>
    </row>
    <row r="318" spans="12:12">
      <c r="L318" s="2"/>
    </row>
    <row r="319" spans="12:12">
      <c r="L319" s="2"/>
    </row>
    <row r="320" spans="12:12">
      <c r="L320" s="2"/>
    </row>
    <row r="321" spans="12:12">
      <c r="L321" s="2"/>
    </row>
    <row r="322" spans="12:12">
      <c r="L322" s="2"/>
    </row>
    <row r="323" spans="12:12">
      <c r="L323" s="2"/>
    </row>
    <row r="324" spans="12:12">
      <c r="L324" s="2"/>
    </row>
    <row r="325" spans="12:12">
      <c r="L325" s="2"/>
    </row>
    <row r="326" spans="12:12">
      <c r="L326" s="2"/>
    </row>
    <row r="327" spans="12:12">
      <c r="L327" s="2"/>
    </row>
    <row r="328" spans="12:12">
      <c r="L328" s="2"/>
    </row>
    <row r="329" spans="12:12">
      <c r="L329" s="2"/>
    </row>
    <row r="330" spans="12:12">
      <c r="L330" s="2"/>
    </row>
    <row r="331" spans="12:12">
      <c r="L331" s="2"/>
    </row>
    <row r="332" spans="12:12">
      <c r="L332" s="2"/>
    </row>
    <row r="333" spans="12:12">
      <c r="L333" s="2"/>
    </row>
    <row r="334" spans="12:12">
      <c r="L334" s="2"/>
    </row>
    <row r="335" spans="12:12">
      <c r="L335" s="2"/>
    </row>
    <row r="336" spans="12:12">
      <c r="L336" s="2"/>
    </row>
    <row r="337" spans="12:12">
      <c r="L337" s="2"/>
    </row>
    <row r="338" spans="12:12">
      <c r="L338" s="2"/>
    </row>
    <row r="339" spans="12:12">
      <c r="L339" s="2"/>
    </row>
    <row r="340" spans="12:12">
      <c r="L340" s="2"/>
    </row>
    <row r="341" spans="12:12">
      <c r="L341" s="2"/>
    </row>
    <row r="342" spans="12:12">
      <c r="L342" s="2"/>
    </row>
    <row r="343" spans="12:12">
      <c r="L343" s="2"/>
    </row>
    <row r="344" spans="12:12">
      <c r="L344" s="2"/>
    </row>
    <row r="345" spans="12:12">
      <c r="L345" s="2"/>
    </row>
    <row r="346" spans="12:12">
      <c r="L346" s="2"/>
    </row>
    <row r="347" spans="12:12">
      <c r="L347" s="2"/>
    </row>
    <row r="348" spans="12:12">
      <c r="L348" s="2"/>
    </row>
    <row r="349" spans="12:12">
      <c r="L349" s="2"/>
    </row>
    <row r="350" spans="12:12">
      <c r="L350" s="2"/>
    </row>
    <row r="351" spans="12:12">
      <c r="L351" s="2"/>
    </row>
    <row r="352" spans="12:12">
      <c r="L352" s="2"/>
    </row>
    <row r="353" spans="12:12">
      <c r="L353" s="2"/>
    </row>
    <row r="354" spans="12:12">
      <c r="L354" s="2"/>
    </row>
    <row r="355" spans="12:12">
      <c r="L355" s="2"/>
    </row>
    <row r="356" spans="12:12">
      <c r="L356" s="2"/>
    </row>
    <row r="357" spans="12:12">
      <c r="L357" s="2"/>
    </row>
    <row r="358" spans="12:12">
      <c r="L358" s="2"/>
    </row>
    <row r="359" spans="12:12">
      <c r="L359" s="2"/>
    </row>
    <row r="360" spans="12:12">
      <c r="L360" s="2"/>
    </row>
    <row r="361" spans="12:12">
      <c r="L361" s="2"/>
    </row>
    <row r="362" spans="12:12">
      <c r="L362" s="2"/>
    </row>
    <row r="363" spans="12:12">
      <c r="L363" s="2"/>
    </row>
    <row r="364" spans="12:12">
      <c r="L364" s="2"/>
    </row>
    <row r="365" spans="12:12">
      <c r="L365" s="2"/>
    </row>
    <row r="366" spans="12:12">
      <c r="L366" s="2"/>
    </row>
    <row r="367" spans="12:12">
      <c r="L367" s="2"/>
    </row>
    <row r="368" spans="12:12">
      <c r="L368" s="2"/>
    </row>
    <row r="369" spans="12:12">
      <c r="L369" s="2"/>
    </row>
    <row r="370" spans="12:12">
      <c r="L370" s="2"/>
    </row>
    <row r="371" spans="12:12">
      <c r="L371" s="2"/>
    </row>
    <row r="372" spans="12:12">
      <c r="L372" s="2"/>
    </row>
    <row r="373" spans="12:12">
      <c r="L373" s="2"/>
    </row>
    <row r="374" spans="12:12">
      <c r="L374" s="2"/>
    </row>
    <row r="375" spans="12:12">
      <c r="L375" s="2"/>
    </row>
    <row r="376" spans="12:12">
      <c r="L376" s="2"/>
    </row>
    <row r="377" spans="12:12">
      <c r="L377" s="2"/>
    </row>
    <row r="378" spans="12:12">
      <c r="L378" s="2"/>
    </row>
    <row r="379" spans="12:12">
      <c r="L379" s="2"/>
    </row>
    <row r="380" spans="12:12">
      <c r="L380" s="2"/>
    </row>
    <row r="381" spans="12:12">
      <c r="L381" s="2"/>
    </row>
    <row r="382" spans="12:12">
      <c r="L382" s="2"/>
    </row>
    <row r="383" spans="12:12">
      <c r="L383" s="2"/>
    </row>
    <row r="384" spans="12:12">
      <c r="L384" s="2"/>
    </row>
    <row r="385" spans="12:12">
      <c r="L385" s="2"/>
    </row>
    <row r="386" spans="12:12">
      <c r="L386" s="2"/>
    </row>
    <row r="387" spans="12:12">
      <c r="L387" s="2"/>
    </row>
    <row r="388" spans="12:12">
      <c r="L388" s="2"/>
    </row>
    <row r="389" spans="12:12">
      <c r="L389" s="2"/>
    </row>
    <row r="390" spans="12:12">
      <c r="L390" s="2"/>
    </row>
    <row r="391" spans="12:12">
      <c r="L391" s="2"/>
    </row>
    <row r="392" spans="12:12">
      <c r="L392" s="2"/>
    </row>
    <row r="393" spans="12:12">
      <c r="L393" s="2"/>
    </row>
    <row r="394" spans="12:12">
      <c r="L394" s="2"/>
    </row>
    <row r="395" spans="12:12">
      <c r="L395" s="2"/>
    </row>
    <row r="396" spans="12:12">
      <c r="L396" s="2"/>
    </row>
    <row r="397" spans="12:12">
      <c r="L397" s="2"/>
    </row>
    <row r="398" spans="12:12">
      <c r="L398" s="2"/>
    </row>
    <row r="399" spans="12:12">
      <c r="L399" s="2"/>
    </row>
    <row r="400" spans="12:12">
      <c r="L400" s="2"/>
    </row>
    <row r="401" spans="12:12">
      <c r="L401" s="2"/>
    </row>
    <row r="402" spans="12:12">
      <c r="L402" s="2"/>
    </row>
    <row r="403" spans="12:12">
      <c r="L403" s="2"/>
    </row>
    <row r="404" spans="12:12">
      <c r="L404" s="2"/>
    </row>
    <row r="405" spans="12:12">
      <c r="L405" s="2"/>
    </row>
    <row r="406" spans="12:12">
      <c r="L406" s="2"/>
    </row>
    <row r="407" spans="12:12">
      <c r="L407" s="2"/>
    </row>
    <row r="408" spans="12:12">
      <c r="L408" s="2"/>
    </row>
    <row r="409" spans="12:12">
      <c r="L409" s="2"/>
    </row>
    <row r="410" spans="12:12">
      <c r="L410" s="2"/>
    </row>
    <row r="411" spans="12:12">
      <c r="L411" s="2"/>
    </row>
    <row r="412" spans="12:12">
      <c r="L412" s="2"/>
    </row>
    <row r="413" spans="12:12">
      <c r="L413" s="2"/>
    </row>
    <row r="414" spans="12:12">
      <c r="L414" s="2"/>
    </row>
    <row r="415" spans="12:12">
      <c r="L415" s="2"/>
    </row>
    <row r="416" spans="12:12">
      <c r="L416" s="2"/>
    </row>
    <row r="417" spans="12:12">
      <c r="L417" s="2"/>
    </row>
    <row r="418" spans="12:12">
      <c r="L418" s="2"/>
    </row>
    <row r="419" spans="12:12">
      <c r="L419" s="2"/>
    </row>
    <row r="420" spans="12:12">
      <c r="L420" s="2"/>
    </row>
    <row r="421" spans="12:12">
      <c r="L421" s="2"/>
    </row>
    <row r="422" spans="12:12">
      <c r="L422" s="2"/>
    </row>
    <row r="423" spans="12:12">
      <c r="L423" s="2"/>
    </row>
    <row r="424" spans="12:12">
      <c r="L424" s="2"/>
    </row>
    <row r="425" spans="12:12">
      <c r="L425" s="2"/>
    </row>
    <row r="426" spans="12:12">
      <c r="L426" s="2"/>
    </row>
    <row r="427" spans="12:12">
      <c r="L427" s="2"/>
    </row>
    <row r="428" spans="12:12">
      <c r="L428" s="2"/>
    </row>
    <row r="429" spans="12:12">
      <c r="L429" s="2"/>
    </row>
    <row r="430" spans="12:12">
      <c r="L430" s="2"/>
    </row>
    <row r="431" spans="12:12">
      <c r="L431" s="2"/>
    </row>
    <row r="432" spans="12:12">
      <c r="L432" s="2"/>
    </row>
    <row r="433" spans="12:12">
      <c r="L433" s="2"/>
    </row>
    <row r="434" spans="12:12">
      <c r="L434" s="2"/>
    </row>
    <row r="435" spans="12:12">
      <c r="L435" s="2"/>
    </row>
    <row r="436" spans="12:12">
      <c r="L436" s="2"/>
    </row>
    <row r="437" spans="12:12">
      <c r="L437" s="2"/>
    </row>
    <row r="438" spans="12:12">
      <c r="L438" s="2"/>
    </row>
    <row r="439" spans="12:12">
      <c r="L439" s="2"/>
    </row>
    <row r="440" spans="12:12">
      <c r="L440" s="2"/>
    </row>
    <row r="441" spans="12:12">
      <c r="L441" s="2"/>
    </row>
    <row r="442" spans="12:12">
      <c r="L442" s="2"/>
    </row>
    <row r="443" spans="12:12">
      <c r="L443" s="2"/>
    </row>
    <row r="444" spans="12:12">
      <c r="L444" s="2"/>
    </row>
    <row r="445" spans="12:12">
      <c r="L445" s="2"/>
    </row>
    <row r="446" spans="12:12">
      <c r="L446" s="2"/>
    </row>
    <row r="447" spans="12:12">
      <c r="L447" s="2"/>
    </row>
    <row r="448" spans="12:12">
      <c r="L448" s="2"/>
    </row>
    <row r="449" spans="12:12">
      <c r="L449" s="2"/>
    </row>
    <row r="450" spans="12:12">
      <c r="L450" s="2"/>
    </row>
    <row r="451" spans="12:12">
      <c r="L451" s="2"/>
    </row>
    <row r="452" spans="12:12">
      <c r="L452" s="2"/>
    </row>
    <row r="453" spans="12:12">
      <c r="L453" s="2"/>
    </row>
    <row r="454" spans="12:12">
      <c r="L454" s="2"/>
    </row>
    <row r="455" spans="12:12">
      <c r="L455" s="2"/>
    </row>
    <row r="456" spans="12:12">
      <c r="L456" s="2"/>
    </row>
    <row r="457" spans="12:12">
      <c r="L457" s="2"/>
    </row>
    <row r="458" spans="12:12">
      <c r="L458" s="2"/>
    </row>
    <row r="459" spans="12:12">
      <c r="L459" s="2"/>
    </row>
    <row r="460" spans="12:12">
      <c r="L460" s="2"/>
    </row>
    <row r="461" spans="12:12">
      <c r="L461" s="2"/>
    </row>
    <row r="462" spans="12:12">
      <c r="L462" s="2"/>
    </row>
    <row r="463" spans="12:12">
      <c r="L463" s="2"/>
    </row>
    <row r="464" spans="12:12">
      <c r="L464" s="2"/>
    </row>
    <row r="465" spans="12:12">
      <c r="L465" s="2"/>
    </row>
    <row r="466" spans="12:12">
      <c r="L466" s="2"/>
    </row>
    <row r="467" spans="12:12">
      <c r="L467" s="2"/>
    </row>
    <row r="468" spans="12:12">
      <c r="L468" s="2"/>
    </row>
    <row r="469" spans="12:12">
      <c r="L469" s="2"/>
    </row>
    <row r="470" spans="12:12">
      <c r="L470" s="2"/>
    </row>
    <row r="471" spans="12:12">
      <c r="L471" s="2"/>
    </row>
    <row r="472" spans="12:12">
      <c r="L472" s="2"/>
    </row>
    <row r="473" spans="12:12">
      <c r="L473" s="2"/>
    </row>
    <row r="474" spans="12:12">
      <c r="L474" s="2"/>
    </row>
    <row r="475" spans="12:12">
      <c r="L475" s="2"/>
    </row>
    <row r="476" spans="12:12">
      <c r="L476" s="2"/>
    </row>
    <row r="477" spans="12:12">
      <c r="L477" s="2"/>
    </row>
    <row r="478" spans="12:12">
      <c r="L478" s="2"/>
    </row>
    <row r="479" spans="12:12">
      <c r="L479" s="2"/>
    </row>
    <row r="480" spans="12:12">
      <c r="L480" s="2"/>
    </row>
    <row r="481" spans="12:12">
      <c r="L481" s="2"/>
    </row>
    <row r="482" spans="12:12">
      <c r="L482" s="2"/>
    </row>
    <row r="483" spans="12:12">
      <c r="L483" s="2"/>
    </row>
    <row r="484" spans="12:12">
      <c r="L484" s="2"/>
    </row>
    <row r="485" spans="12:12">
      <c r="L485" s="2"/>
    </row>
    <row r="486" spans="12:12">
      <c r="L486" s="2"/>
    </row>
    <row r="487" spans="12:12">
      <c r="L487" s="2"/>
    </row>
    <row r="488" spans="12:12">
      <c r="L488" s="2"/>
    </row>
    <row r="489" spans="12:12">
      <c r="L489" s="2"/>
    </row>
    <row r="490" spans="12:12">
      <c r="L490" s="2"/>
    </row>
    <row r="491" spans="12:12">
      <c r="L491" s="2"/>
    </row>
    <row r="492" spans="12:12">
      <c r="L492" s="2"/>
    </row>
    <row r="493" spans="12:12">
      <c r="L493" s="2"/>
    </row>
    <row r="494" spans="12:12">
      <c r="L494" s="2"/>
    </row>
    <row r="495" spans="12:12">
      <c r="L495" s="2"/>
    </row>
    <row r="496" spans="12:12">
      <c r="L496" s="2"/>
    </row>
    <row r="497" spans="12:12">
      <c r="L497" s="2"/>
    </row>
    <row r="498" spans="12:12">
      <c r="L498" s="2"/>
    </row>
    <row r="499" spans="12:12">
      <c r="L499" s="2"/>
    </row>
    <row r="500" spans="12:12">
      <c r="L500" s="2"/>
    </row>
    <row r="501" spans="12:12">
      <c r="L501" s="2"/>
    </row>
    <row r="502" spans="12:12">
      <c r="L502" s="2"/>
    </row>
    <row r="503" spans="12:12">
      <c r="L503" s="2"/>
    </row>
    <row r="504" spans="12:12">
      <c r="L504" s="2"/>
    </row>
    <row r="505" spans="12:12">
      <c r="L505" s="2"/>
    </row>
    <row r="506" spans="12:12">
      <c r="L506" s="2"/>
    </row>
    <row r="507" spans="12:12">
      <c r="L507" s="2"/>
    </row>
    <row r="508" spans="12:12">
      <c r="L508" s="2"/>
    </row>
    <row r="509" spans="12:12">
      <c r="L509" s="2"/>
    </row>
    <row r="510" spans="12:12">
      <c r="L510" s="2"/>
    </row>
    <row r="511" spans="12:12">
      <c r="L511" s="2"/>
    </row>
    <row r="512" spans="12:12">
      <c r="L512" s="2"/>
    </row>
    <row r="513" spans="12:12">
      <c r="L513" s="2"/>
    </row>
    <row r="514" spans="12:12">
      <c r="L514" s="2"/>
    </row>
    <row r="515" spans="12:12">
      <c r="L515" s="2"/>
    </row>
    <row r="516" spans="12:12">
      <c r="L516" s="2"/>
    </row>
    <row r="517" spans="12:12">
      <c r="L517" s="2"/>
    </row>
    <row r="518" spans="12:12">
      <c r="L518" s="2"/>
    </row>
    <row r="519" spans="12:12">
      <c r="L519" s="2"/>
    </row>
    <row r="520" spans="12:12">
      <c r="L520" s="2"/>
    </row>
    <row r="521" spans="12:12">
      <c r="L521" s="2"/>
    </row>
    <row r="522" spans="12:12">
      <c r="L522" s="2"/>
    </row>
    <row r="523" spans="12:12">
      <c r="L523" s="2"/>
    </row>
    <row r="524" spans="12:12">
      <c r="L524" s="2"/>
    </row>
    <row r="525" spans="12:12">
      <c r="L525" s="2"/>
    </row>
    <row r="526" spans="12:12">
      <c r="L526" s="2"/>
    </row>
    <row r="527" spans="12:12">
      <c r="L527" s="2"/>
    </row>
    <row r="528" spans="12:12">
      <c r="L528" s="2"/>
    </row>
    <row r="529" spans="12:12">
      <c r="L529" s="2"/>
    </row>
    <row r="530" spans="12:12">
      <c r="L530" s="2"/>
    </row>
    <row r="531" spans="12:12">
      <c r="L531" s="2"/>
    </row>
    <row r="532" spans="12:12">
      <c r="L532" s="2"/>
    </row>
    <row r="533" spans="12:12">
      <c r="L533" s="2"/>
    </row>
    <row r="534" spans="12:12">
      <c r="L534" s="2"/>
    </row>
    <row r="535" spans="12:12">
      <c r="L535" s="2"/>
    </row>
    <row r="536" spans="12:12">
      <c r="L536" s="2"/>
    </row>
    <row r="537" spans="12:12">
      <c r="L537" s="2"/>
    </row>
    <row r="538" spans="12:12">
      <c r="L538" s="2"/>
    </row>
    <row r="539" spans="12:12">
      <c r="L539" s="2"/>
    </row>
    <row r="540" spans="12:12">
      <c r="L540" s="2"/>
    </row>
    <row r="541" spans="12:12">
      <c r="L541" s="2"/>
    </row>
    <row r="542" spans="12:12">
      <c r="L542" s="2"/>
    </row>
    <row r="543" spans="12:12">
      <c r="L543" s="2"/>
    </row>
    <row r="544" spans="12:12">
      <c r="L544" s="2"/>
    </row>
    <row r="545" spans="12:12">
      <c r="L545" s="2"/>
    </row>
    <row r="546" spans="12:12">
      <c r="L546" s="2"/>
    </row>
    <row r="547" spans="12:12">
      <c r="L547" s="2"/>
    </row>
    <row r="548" spans="12:12">
      <c r="L548" s="2"/>
    </row>
    <row r="549" spans="12:12">
      <c r="L549" s="2"/>
    </row>
    <row r="550" spans="12:12">
      <c r="L550" s="2"/>
    </row>
    <row r="551" spans="12:12">
      <c r="L551" s="2"/>
    </row>
    <row r="552" spans="12:12">
      <c r="L552" s="2"/>
    </row>
    <row r="553" spans="12:12">
      <c r="L553" s="2"/>
    </row>
    <row r="554" spans="12:12">
      <c r="L554" s="2"/>
    </row>
    <row r="555" spans="12:12">
      <c r="L555" s="2"/>
    </row>
    <row r="556" spans="12:12">
      <c r="L556" s="2"/>
    </row>
    <row r="557" spans="12:12">
      <c r="L557" s="2"/>
    </row>
    <row r="558" spans="12:12">
      <c r="L558" s="2"/>
    </row>
    <row r="559" spans="12:12">
      <c r="L559" s="2"/>
    </row>
    <row r="560" spans="12:12">
      <c r="L560" s="2"/>
    </row>
    <row r="561" spans="12:12">
      <c r="L561" s="2"/>
    </row>
    <row r="562" spans="12:12">
      <c r="L562" s="2"/>
    </row>
    <row r="563" spans="12:12">
      <c r="L563" s="2"/>
    </row>
    <row r="564" spans="12:12">
      <c r="L564" s="2"/>
    </row>
    <row r="565" spans="12:12">
      <c r="L565" s="2"/>
    </row>
    <row r="566" spans="12:12">
      <c r="L566" s="2"/>
    </row>
    <row r="567" spans="12:12">
      <c r="L567" s="2"/>
    </row>
    <row r="568" spans="12:12">
      <c r="L568" s="2"/>
    </row>
    <row r="569" spans="12:12">
      <c r="L569" s="2"/>
    </row>
    <row r="570" spans="12:12">
      <c r="L570" s="2"/>
    </row>
    <row r="571" spans="12:12">
      <c r="L571" s="2"/>
    </row>
    <row r="572" spans="12:12">
      <c r="L572" s="2"/>
    </row>
    <row r="573" spans="12:12">
      <c r="L573" s="2"/>
    </row>
    <row r="574" spans="12:12">
      <c r="L574" s="2"/>
    </row>
    <row r="575" spans="12:12">
      <c r="L575" s="2"/>
    </row>
    <row r="576" spans="12:12">
      <c r="L576" s="2"/>
    </row>
    <row r="577" spans="12:12">
      <c r="L577" s="2"/>
    </row>
    <row r="578" spans="12:12">
      <c r="L578" s="2"/>
    </row>
    <row r="579" spans="12:12">
      <c r="L579" s="2"/>
    </row>
    <row r="580" spans="12:12">
      <c r="L580" s="2"/>
    </row>
    <row r="581" spans="12:12">
      <c r="L581" s="2"/>
    </row>
    <row r="582" spans="12:12">
      <c r="L582" s="2"/>
    </row>
    <row r="583" spans="12:12">
      <c r="L583" s="2"/>
    </row>
    <row r="584" spans="12:12">
      <c r="L584" s="2"/>
    </row>
    <row r="585" spans="12:12">
      <c r="L585" s="2"/>
    </row>
    <row r="586" spans="12:12">
      <c r="L586" s="2"/>
    </row>
    <row r="587" spans="12:12">
      <c r="L587" s="2"/>
    </row>
    <row r="588" spans="12:12">
      <c r="L588" s="2"/>
    </row>
    <row r="589" spans="12:12">
      <c r="L589" s="2"/>
    </row>
    <row r="590" spans="12:12">
      <c r="L590" s="2"/>
    </row>
    <row r="591" spans="12:12">
      <c r="L591" s="2"/>
    </row>
    <row r="592" spans="12:12">
      <c r="L592" s="2"/>
    </row>
    <row r="593" spans="12:12">
      <c r="L593" s="2"/>
    </row>
    <row r="594" spans="12:12">
      <c r="L594" s="2"/>
    </row>
    <row r="595" spans="12:12">
      <c r="L595" s="2"/>
    </row>
    <row r="596" spans="12:12">
      <c r="L596" s="2"/>
    </row>
    <row r="597" spans="12:12">
      <c r="L597" s="2"/>
    </row>
    <row r="598" spans="12:12">
      <c r="L598" s="2"/>
    </row>
    <row r="599" spans="12:12">
      <c r="L599" s="2"/>
    </row>
    <row r="600" spans="12:12">
      <c r="L600" s="2"/>
    </row>
    <row r="601" spans="12:12">
      <c r="L601" s="2"/>
    </row>
    <row r="602" spans="12:12">
      <c r="L602" s="2"/>
    </row>
    <row r="603" spans="12:12">
      <c r="L603" s="2"/>
    </row>
    <row r="604" spans="12:12">
      <c r="L604" s="2"/>
    </row>
    <row r="605" spans="12:12">
      <c r="L605" s="2"/>
    </row>
    <row r="606" spans="12:12">
      <c r="L606" s="2"/>
    </row>
    <row r="607" spans="12:12">
      <c r="L607" s="2"/>
    </row>
    <row r="608" spans="12:12">
      <c r="L608" s="2"/>
    </row>
    <row r="609" spans="12:12">
      <c r="L609" s="2"/>
    </row>
    <row r="610" spans="12:12">
      <c r="L610" s="2"/>
    </row>
    <row r="611" spans="12:12">
      <c r="L611" s="2"/>
    </row>
    <row r="612" spans="12:12">
      <c r="L612" s="2"/>
    </row>
    <row r="613" spans="12:12">
      <c r="L613" s="2"/>
    </row>
    <row r="614" spans="12:12">
      <c r="L614" s="2"/>
    </row>
    <row r="615" spans="12:12">
      <c r="L615" s="2"/>
    </row>
    <row r="616" spans="12:12">
      <c r="L616" s="2"/>
    </row>
    <row r="617" spans="12:12">
      <c r="L617" s="2"/>
    </row>
    <row r="618" spans="12:12">
      <c r="L618" s="2"/>
    </row>
    <row r="619" spans="12:12">
      <c r="L619" s="2"/>
    </row>
    <row r="620" spans="12:12">
      <c r="L620" s="2"/>
    </row>
    <row r="621" spans="12:12">
      <c r="L621" s="2"/>
    </row>
    <row r="622" spans="12:12">
      <c r="L622" s="2"/>
    </row>
    <row r="623" spans="12:12">
      <c r="L623" s="2"/>
    </row>
    <row r="624" spans="12:12">
      <c r="L624" s="2"/>
    </row>
    <row r="625" spans="12:12">
      <c r="L625" s="2"/>
    </row>
    <row r="626" spans="12:12">
      <c r="L626" s="2"/>
    </row>
    <row r="627" spans="12:12">
      <c r="L627" s="2"/>
    </row>
    <row r="628" spans="12:12">
      <c r="L628" s="2"/>
    </row>
    <row r="629" spans="12:12">
      <c r="L629" s="2"/>
    </row>
    <row r="630" spans="12:12">
      <c r="L630" s="2"/>
    </row>
    <row r="631" spans="12:12">
      <c r="L631" s="2"/>
    </row>
    <row r="632" spans="12:12">
      <c r="L632" s="2"/>
    </row>
    <row r="633" spans="12:12">
      <c r="L633" s="2"/>
    </row>
    <row r="634" spans="12:12">
      <c r="L634" s="2"/>
    </row>
    <row r="635" spans="12:12">
      <c r="L635" s="2"/>
    </row>
    <row r="636" spans="12:12">
      <c r="L636" s="2"/>
    </row>
    <row r="637" spans="12:12">
      <c r="L637" s="2"/>
    </row>
    <row r="638" spans="12:12">
      <c r="L638" s="2"/>
    </row>
    <row r="639" spans="12:12">
      <c r="L639" s="2"/>
    </row>
    <row r="640" spans="12:12">
      <c r="L640" s="2"/>
    </row>
    <row r="641" spans="12:12">
      <c r="L641" s="2"/>
    </row>
    <row r="642" spans="12:12">
      <c r="L642" s="2"/>
    </row>
    <row r="643" spans="12:12">
      <c r="L643" s="2"/>
    </row>
    <row r="644" spans="12:12">
      <c r="L644" s="2"/>
    </row>
    <row r="645" spans="12:12">
      <c r="L645" s="2"/>
    </row>
    <row r="646" spans="12:12">
      <c r="L646" s="2"/>
    </row>
    <row r="647" spans="12:12">
      <c r="L647" s="2"/>
    </row>
    <row r="648" spans="12:12">
      <c r="L648" s="2"/>
    </row>
    <row r="649" spans="12:12">
      <c r="L649" s="2"/>
    </row>
    <row r="650" spans="12:12">
      <c r="L650" s="2"/>
    </row>
    <row r="651" spans="12:12">
      <c r="L651" s="2"/>
    </row>
    <row r="652" spans="12:12">
      <c r="L652" s="2"/>
    </row>
    <row r="653" spans="12:12">
      <c r="L653" s="2"/>
    </row>
    <row r="654" spans="12:12">
      <c r="L654" s="2"/>
    </row>
    <row r="655" spans="12:12">
      <c r="L655" s="2"/>
    </row>
    <row r="656" spans="12:12">
      <c r="L656" s="2"/>
    </row>
    <row r="657" spans="12:12">
      <c r="L657" s="2"/>
    </row>
    <row r="658" spans="12:12">
      <c r="L658" s="2"/>
    </row>
    <row r="659" spans="12:12">
      <c r="L659" s="2"/>
    </row>
    <row r="660" spans="12:12">
      <c r="L660" s="2"/>
    </row>
    <row r="661" spans="12:12">
      <c r="L661" s="2"/>
    </row>
    <row r="662" spans="12:12">
      <c r="L662" s="2"/>
    </row>
    <row r="663" spans="12:12">
      <c r="L663" s="2"/>
    </row>
    <row r="664" spans="12:12">
      <c r="L664" s="2"/>
    </row>
    <row r="665" spans="12:12">
      <c r="L665" s="2"/>
    </row>
    <row r="666" spans="12:12">
      <c r="L666" s="2"/>
    </row>
    <row r="667" spans="12:12">
      <c r="L667" s="2"/>
    </row>
    <row r="668" spans="12:12">
      <c r="L668" s="2"/>
    </row>
    <row r="669" spans="12:12">
      <c r="L669" s="2"/>
    </row>
    <row r="670" spans="12:12">
      <c r="L670" s="2"/>
    </row>
    <row r="671" spans="12:12">
      <c r="L671" s="2"/>
    </row>
    <row r="672" spans="12:12">
      <c r="L672" s="2"/>
    </row>
    <row r="673" spans="12:12">
      <c r="L673" s="2"/>
    </row>
    <row r="674" spans="12:12">
      <c r="L674" s="2"/>
    </row>
    <row r="675" spans="12:12">
      <c r="L675" s="2"/>
    </row>
    <row r="676" spans="12:12">
      <c r="L676" s="2"/>
    </row>
    <row r="677" spans="12:12">
      <c r="L677" s="2"/>
    </row>
    <row r="678" spans="12:12">
      <c r="L678" s="2"/>
    </row>
    <row r="679" spans="12:12">
      <c r="L679" s="2"/>
    </row>
    <row r="680" spans="12:12">
      <c r="L680" s="2"/>
    </row>
    <row r="681" spans="12:12">
      <c r="L681" s="2"/>
    </row>
    <row r="682" spans="12:12">
      <c r="L682" s="2"/>
    </row>
    <row r="683" spans="12:12">
      <c r="L683" s="2"/>
    </row>
    <row r="684" spans="12:12">
      <c r="L684" s="2"/>
    </row>
    <row r="685" spans="12:12">
      <c r="L685" s="2"/>
    </row>
    <row r="686" spans="12:12">
      <c r="L686" s="2"/>
    </row>
    <row r="687" spans="12:12">
      <c r="L687" s="2"/>
    </row>
    <row r="688" spans="12:12">
      <c r="L688" s="2"/>
    </row>
    <row r="689" spans="12:12">
      <c r="L689" s="2"/>
    </row>
    <row r="690" spans="12:12">
      <c r="L690" s="2"/>
    </row>
    <row r="691" spans="12:12">
      <c r="L691" s="2"/>
    </row>
    <row r="692" spans="12:12">
      <c r="L692" s="2"/>
    </row>
    <row r="693" spans="12:12">
      <c r="L693" s="2"/>
    </row>
    <row r="694" spans="12:12">
      <c r="L694" s="2"/>
    </row>
    <row r="695" spans="12:12">
      <c r="L695" s="2"/>
    </row>
    <row r="696" spans="12:12">
      <c r="L696" s="2"/>
    </row>
    <row r="697" spans="12:12">
      <c r="L697" s="2"/>
    </row>
    <row r="698" spans="12:12">
      <c r="L698" s="2"/>
    </row>
    <row r="699" spans="12:12">
      <c r="L699" s="2"/>
    </row>
    <row r="700" spans="12:12">
      <c r="L700" s="2"/>
    </row>
    <row r="701" spans="12:12">
      <c r="L701" s="2"/>
    </row>
    <row r="702" spans="12:12">
      <c r="L702" s="2"/>
    </row>
    <row r="703" spans="12:12">
      <c r="L703" s="2"/>
    </row>
    <row r="704" spans="12:12">
      <c r="L704" s="2"/>
    </row>
    <row r="705" spans="12:12">
      <c r="L705" s="2"/>
    </row>
    <row r="706" spans="12:12">
      <c r="L706" s="2"/>
    </row>
    <row r="707" spans="12:12">
      <c r="L707" s="2"/>
    </row>
    <row r="708" spans="12:12">
      <c r="L708" s="2"/>
    </row>
    <row r="709" spans="12:12">
      <c r="L709" s="2"/>
    </row>
    <row r="710" spans="12:12">
      <c r="L710" s="2"/>
    </row>
    <row r="711" spans="12:12">
      <c r="L711" s="2"/>
    </row>
    <row r="712" spans="12:12">
      <c r="L712" s="2"/>
    </row>
    <row r="713" spans="12:12">
      <c r="L713" s="2"/>
    </row>
    <row r="714" spans="12:12">
      <c r="L714" s="2"/>
    </row>
    <row r="715" spans="12:12">
      <c r="L715" s="2"/>
    </row>
    <row r="716" spans="12:12">
      <c r="L716" s="2"/>
    </row>
    <row r="717" spans="12:12">
      <c r="L717" s="2"/>
    </row>
    <row r="718" spans="12:12">
      <c r="L718" s="2"/>
    </row>
    <row r="719" spans="12:12">
      <c r="L719" s="2"/>
    </row>
    <row r="720" spans="12:12">
      <c r="L720" s="2"/>
    </row>
    <row r="721" spans="12:12">
      <c r="L721" s="2"/>
    </row>
    <row r="722" spans="12:12">
      <c r="L722" s="2"/>
    </row>
    <row r="723" spans="12:12">
      <c r="L723" s="2"/>
    </row>
    <row r="724" spans="12:12">
      <c r="L724" s="2"/>
    </row>
    <row r="725" spans="12:12">
      <c r="L725" s="2"/>
    </row>
    <row r="726" spans="12:12">
      <c r="L726" s="2"/>
    </row>
    <row r="727" spans="12:12">
      <c r="L727" s="2"/>
    </row>
    <row r="728" spans="12:12">
      <c r="L728" s="2"/>
    </row>
    <row r="729" spans="12:12">
      <c r="L729" s="2"/>
    </row>
    <row r="730" spans="12:12">
      <c r="L730" s="2"/>
    </row>
    <row r="731" spans="12:12">
      <c r="L731" s="2"/>
    </row>
    <row r="732" spans="12:12">
      <c r="L732" s="2"/>
    </row>
    <row r="733" spans="12:12">
      <c r="L733" s="2"/>
    </row>
    <row r="734" spans="12:12">
      <c r="L734" s="2"/>
    </row>
    <row r="735" spans="12:12">
      <c r="L735" s="2"/>
    </row>
    <row r="736" spans="12:12">
      <c r="L736" s="2"/>
    </row>
    <row r="737" spans="12:12">
      <c r="L737" s="2"/>
    </row>
    <row r="738" spans="12:12">
      <c r="L738" s="2"/>
    </row>
    <row r="739" spans="12:12">
      <c r="L739" s="2"/>
    </row>
    <row r="740" spans="12:12">
      <c r="L740" s="2"/>
    </row>
    <row r="741" spans="12:12">
      <c r="L741" s="2"/>
    </row>
    <row r="742" spans="12:12">
      <c r="L742" s="2"/>
    </row>
    <row r="743" spans="12:12">
      <c r="L743" s="2"/>
    </row>
    <row r="744" spans="12:12">
      <c r="L744" s="2"/>
    </row>
    <row r="745" spans="12:12">
      <c r="L745" s="2"/>
    </row>
    <row r="746" spans="12:12">
      <c r="L746" s="2"/>
    </row>
    <row r="747" spans="12:12">
      <c r="L747" s="2"/>
    </row>
    <row r="748" spans="12:12">
      <c r="L748" s="2"/>
    </row>
    <row r="749" spans="12:12">
      <c r="L749" s="2"/>
    </row>
    <row r="750" spans="12:12">
      <c r="L750" s="2"/>
    </row>
    <row r="751" spans="12:12">
      <c r="L751" s="2"/>
    </row>
    <row r="752" spans="12:12">
      <c r="L752" s="2"/>
    </row>
    <row r="753" spans="12:12">
      <c r="L753" s="2"/>
    </row>
    <row r="754" spans="12:12">
      <c r="L754" s="2"/>
    </row>
    <row r="755" spans="12:12">
      <c r="L755" s="2"/>
    </row>
    <row r="756" spans="12:12">
      <c r="L756" s="2"/>
    </row>
    <row r="757" spans="12:12">
      <c r="L757" s="2"/>
    </row>
    <row r="758" spans="12:12">
      <c r="L758" s="2"/>
    </row>
    <row r="759" spans="12:12">
      <c r="L759" s="2"/>
    </row>
    <row r="760" spans="12:12">
      <c r="L760" s="2"/>
    </row>
    <row r="761" spans="12:12">
      <c r="L761" s="2"/>
    </row>
    <row r="762" spans="12:12">
      <c r="L762" s="2"/>
    </row>
    <row r="763" spans="12:12">
      <c r="L763" s="2"/>
    </row>
    <row r="764" spans="12:12">
      <c r="L764" s="2"/>
    </row>
    <row r="765" spans="12:12">
      <c r="L765" s="2"/>
    </row>
    <row r="766" spans="12:12">
      <c r="L766" s="2"/>
    </row>
    <row r="767" spans="12:12">
      <c r="L767" s="2"/>
    </row>
    <row r="768" spans="12:12">
      <c r="L768" s="2"/>
    </row>
    <row r="769" spans="12:12">
      <c r="L769" s="2"/>
    </row>
    <row r="770" spans="12:12">
      <c r="L770" s="2"/>
    </row>
    <row r="771" spans="12:12">
      <c r="L771" s="2"/>
    </row>
    <row r="772" spans="12:12">
      <c r="L772" s="2"/>
    </row>
    <row r="773" spans="12:12">
      <c r="L773" s="2"/>
    </row>
    <row r="774" spans="12:12">
      <c r="L774" s="2"/>
    </row>
    <row r="775" spans="12:12">
      <c r="L775" s="2"/>
    </row>
    <row r="776" spans="12:12">
      <c r="L776" s="2"/>
    </row>
    <row r="777" spans="12:12">
      <c r="L777" s="2"/>
    </row>
    <row r="778" spans="12:12">
      <c r="L778" s="2"/>
    </row>
    <row r="779" spans="12:12">
      <c r="L779" s="2"/>
    </row>
    <row r="780" spans="12:12">
      <c r="L780" s="2"/>
    </row>
    <row r="781" spans="12:12">
      <c r="L781" s="2"/>
    </row>
    <row r="782" spans="12:12">
      <c r="L782" s="2"/>
    </row>
    <row r="783" spans="12:12">
      <c r="L783" s="2"/>
    </row>
    <row r="784" spans="12:12">
      <c r="L784" s="2"/>
    </row>
    <row r="785" spans="12:12">
      <c r="L785" s="2"/>
    </row>
    <row r="786" spans="12:12">
      <c r="L786" s="2"/>
    </row>
    <row r="787" spans="12:12">
      <c r="L787" s="2"/>
    </row>
    <row r="788" spans="12:12">
      <c r="L788" s="2"/>
    </row>
    <row r="789" spans="12:12">
      <c r="L789" s="2"/>
    </row>
    <row r="790" spans="12:12">
      <c r="L790" s="2"/>
    </row>
    <row r="791" spans="12:12">
      <c r="L791" s="2"/>
    </row>
    <row r="792" spans="12:12">
      <c r="L792" s="2"/>
    </row>
    <row r="793" spans="12:12">
      <c r="L793" s="2"/>
    </row>
    <row r="794" spans="12:12">
      <c r="L794" s="2"/>
    </row>
    <row r="795" spans="12:12">
      <c r="L795" s="2"/>
    </row>
    <row r="796" spans="12:12">
      <c r="L796" s="2"/>
    </row>
    <row r="797" spans="12:12">
      <c r="L797" s="2"/>
    </row>
    <row r="798" spans="12:12">
      <c r="L798" s="2"/>
    </row>
    <row r="799" spans="12:12">
      <c r="L799" s="2"/>
    </row>
    <row r="800" spans="12:12">
      <c r="L800" s="2"/>
    </row>
    <row r="801" spans="12:12">
      <c r="L801" s="2"/>
    </row>
    <row r="802" spans="12:12">
      <c r="L802" s="2"/>
    </row>
    <row r="803" spans="12:12">
      <c r="L803" s="2"/>
    </row>
    <row r="804" spans="12:12">
      <c r="L804" s="2"/>
    </row>
    <row r="805" spans="12:12">
      <c r="L805" s="2"/>
    </row>
    <row r="806" spans="12:12">
      <c r="L806" s="2"/>
    </row>
    <row r="807" spans="12:12">
      <c r="L807" s="2"/>
    </row>
    <row r="808" spans="12:12">
      <c r="L808" s="2"/>
    </row>
    <row r="809" spans="12:12">
      <c r="L809" s="2"/>
    </row>
    <row r="810" spans="12:12">
      <c r="L810" s="2"/>
    </row>
    <row r="811" spans="12:12">
      <c r="L811" s="2"/>
    </row>
    <row r="812" spans="12:12">
      <c r="L812" s="2"/>
    </row>
    <row r="813" spans="12:12">
      <c r="L813" s="2"/>
    </row>
    <row r="814" spans="12:12">
      <c r="L814" s="2"/>
    </row>
    <row r="815" spans="12:12">
      <c r="L815" s="2"/>
    </row>
    <row r="816" spans="12:12">
      <c r="L816" s="2"/>
    </row>
    <row r="817" spans="12:12">
      <c r="L817" s="2"/>
    </row>
    <row r="818" spans="12:12">
      <c r="L818" s="2"/>
    </row>
    <row r="819" spans="12:12">
      <c r="L819" s="2"/>
    </row>
    <row r="820" spans="12:12">
      <c r="L820" s="2"/>
    </row>
    <row r="821" spans="12:12">
      <c r="L821" s="2"/>
    </row>
    <row r="822" spans="12:12">
      <c r="L822" s="2"/>
    </row>
    <row r="823" spans="12:12">
      <c r="L823" s="2"/>
    </row>
    <row r="824" spans="12:12">
      <c r="L824" s="2"/>
    </row>
    <row r="825" spans="12:12">
      <c r="L825" s="2"/>
    </row>
    <row r="826" spans="12:12">
      <c r="L826" s="2"/>
    </row>
    <row r="827" spans="12:12">
      <c r="L827" s="2"/>
    </row>
    <row r="828" spans="12:12">
      <c r="L828" s="2"/>
    </row>
    <row r="829" spans="12:12">
      <c r="L829" s="2"/>
    </row>
    <row r="830" spans="12:12">
      <c r="L830" s="2"/>
    </row>
    <row r="831" spans="12:12">
      <c r="L831" s="2"/>
    </row>
    <row r="832" spans="12:12">
      <c r="L832" s="2"/>
    </row>
    <row r="833" spans="12:12">
      <c r="L833" s="2"/>
    </row>
    <row r="834" spans="12:12">
      <c r="L834" s="2"/>
    </row>
    <row r="835" spans="12:12">
      <c r="L835" s="2"/>
    </row>
    <row r="836" spans="12:12">
      <c r="L836" s="2"/>
    </row>
    <row r="837" spans="12:12">
      <c r="L837" s="2"/>
    </row>
    <row r="838" spans="12:12">
      <c r="L838" s="2"/>
    </row>
    <row r="839" spans="12:12">
      <c r="L839" s="2"/>
    </row>
    <row r="840" spans="12:12">
      <c r="L840" s="2"/>
    </row>
    <row r="841" spans="12:12">
      <c r="L841" s="2"/>
    </row>
    <row r="842" spans="12:12">
      <c r="L842" s="2"/>
    </row>
    <row r="843" spans="12:12">
      <c r="L843" s="2"/>
    </row>
    <row r="844" spans="12:12">
      <c r="L844" s="2"/>
    </row>
    <row r="845" spans="12:12">
      <c r="L845" s="2"/>
    </row>
    <row r="846" spans="12:12">
      <c r="L846" s="2"/>
    </row>
    <row r="847" spans="12:12">
      <c r="L847" s="2"/>
    </row>
    <row r="848" spans="12:12">
      <c r="L848" s="2"/>
    </row>
    <row r="849" spans="12:12">
      <c r="L849" s="2"/>
    </row>
    <row r="850" spans="12:12">
      <c r="L850" s="2"/>
    </row>
    <row r="851" spans="12:12">
      <c r="L851" s="2"/>
    </row>
    <row r="852" spans="12:12">
      <c r="L852" s="2"/>
    </row>
    <row r="853" spans="12:12">
      <c r="L853" s="2"/>
    </row>
    <row r="854" spans="12:12">
      <c r="L854" s="2"/>
    </row>
    <row r="855" spans="12:12">
      <c r="L855" s="2"/>
    </row>
    <row r="856" spans="12:12">
      <c r="L856" s="2"/>
    </row>
    <row r="857" spans="12:12">
      <c r="L857" s="2"/>
    </row>
    <row r="858" spans="12:12">
      <c r="L858" s="2"/>
    </row>
    <row r="859" spans="12:12">
      <c r="L859" s="2"/>
    </row>
    <row r="860" spans="12:12">
      <c r="L860" s="2"/>
    </row>
    <row r="861" spans="12:12">
      <c r="L861" s="2"/>
    </row>
    <row r="862" spans="12:12">
      <c r="L862" s="2"/>
    </row>
    <row r="863" spans="12:12">
      <c r="L863" s="2"/>
    </row>
    <row r="864" spans="12:12">
      <c r="L864" s="2"/>
    </row>
    <row r="865" spans="12:12">
      <c r="L865" s="2"/>
    </row>
    <row r="866" spans="12:12">
      <c r="L866" s="2"/>
    </row>
    <row r="867" spans="12:12">
      <c r="L867" s="2"/>
    </row>
    <row r="868" spans="12:12">
      <c r="L868" s="2"/>
    </row>
    <row r="869" spans="12:12">
      <c r="L869" s="2"/>
    </row>
    <row r="870" spans="12:12">
      <c r="L870" s="2"/>
    </row>
    <row r="871" spans="12:12">
      <c r="L871" s="2"/>
    </row>
    <row r="872" spans="12:12">
      <c r="L872" s="2"/>
    </row>
    <row r="873" spans="12:12">
      <c r="L873" s="2"/>
    </row>
    <row r="874" spans="12:12">
      <c r="L874" s="2"/>
    </row>
    <row r="875" spans="12:12">
      <c r="L875" s="2"/>
    </row>
    <row r="876" spans="12:12">
      <c r="L876" s="2"/>
    </row>
    <row r="877" spans="12:12">
      <c r="L877" s="2"/>
    </row>
    <row r="878" spans="12:12">
      <c r="L878" s="2"/>
    </row>
    <row r="879" spans="12:12">
      <c r="L879" s="2"/>
    </row>
    <row r="880" spans="12:12">
      <c r="L880" s="2"/>
    </row>
    <row r="881" spans="12:12">
      <c r="L881" s="2"/>
    </row>
    <row r="882" spans="12:12">
      <c r="L882" s="2"/>
    </row>
    <row r="883" spans="12:12">
      <c r="L883" s="2"/>
    </row>
    <row r="884" spans="12:12">
      <c r="L884" s="2"/>
    </row>
    <row r="885" spans="12:12">
      <c r="L885" s="2"/>
    </row>
    <row r="886" spans="12:12">
      <c r="L886" s="2"/>
    </row>
    <row r="887" spans="12:12">
      <c r="L887" s="2"/>
    </row>
    <row r="888" spans="12:12">
      <c r="L888" s="2"/>
    </row>
    <row r="889" spans="12:12">
      <c r="L889" s="2"/>
    </row>
    <row r="890" spans="12:12">
      <c r="L890" s="2"/>
    </row>
    <row r="891" spans="12:12">
      <c r="L891" s="2"/>
    </row>
    <row r="892" spans="12:12">
      <c r="L892" s="2"/>
    </row>
    <row r="893" spans="12:12">
      <c r="L893" s="2"/>
    </row>
    <row r="894" spans="12:12">
      <c r="L894" s="2"/>
    </row>
    <row r="895" spans="12:12">
      <c r="L895" s="2"/>
    </row>
    <row r="896" spans="12:12">
      <c r="L896" s="2"/>
    </row>
    <row r="897" spans="12:12">
      <c r="L897" s="2"/>
    </row>
    <row r="898" spans="12:12">
      <c r="L898" s="2"/>
    </row>
    <row r="899" spans="12:12">
      <c r="L899" s="2"/>
    </row>
    <row r="900" spans="12:12">
      <c r="L900" s="2"/>
    </row>
    <row r="901" spans="12:12">
      <c r="L901" s="2"/>
    </row>
    <row r="902" spans="12:12">
      <c r="L902" s="2"/>
    </row>
    <row r="903" spans="12:12">
      <c r="L903" s="2"/>
    </row>
    <row r="904" spans="12:12">
      <c r="L904" s="2"/>
    </row>
    <row r="905" spans="12:12">
      <c r="L905" s="2"/>
    </row>
    <row r="906" spans="12:12">
      <c r="L906" s="2"/>
    </row>
    <row r="907" spans="12:12">
      <c r="L907" s="2"/>
    </row>
    <row r="908" spans="12:12">
      <c r="L908" s="2"/>
    </row>
    <row r="909" spans="12:12">
      <c r="L909" s="2"/>
    </row>
    <row r="910" spans="12:12">
      <c r="L910" s="2"/>
    </row>
    <row r="911" spans="12:12">
      <c r="L911" s="2"/>
    </row>
    <row r="912" spans="12:12">
      <c r="L912" s="2"/>
    </row>
    <row r="913" spans="12:12">
      <c r="L913" s="2"/>
    </row>
    <row r="914" spans="12:12">
      <c r="L914" s="2"/>
    </row>
    <row r="915" spans="12:12">
      <c r="L915" s="2"/>
    </row>
    <row r="916" spans="12:12">
      <c r="L916" s="2"/>
    </row>
    <row r="917" spans="12:12">
      <c r="L917" s="2"/>
    </row>
    <row r="918" spans="12:12">
      <c r="L918" s="2"/>
    </row>
    <row r="919" spans="12:12">
      <c r="L919" s="2"/>
    </row>
    <row r="920" spans="12:12">
      <c r="L920" s="2"/>
    </row>
    <row r="921" spans="12:12">
      <c r="L921" s="2"/>
    </row>
    <row r="922" spans="12:12">
      <c r="L922" s="2"/>
    </row>
    <row r="923" spans="12:12">
      <c r="L923" s="2"/>
    </row>
    <row r="924" spans="12:12">
      <c r="L924" s="2"/>
    </row>
    <row r="925" spans="12:12">
      <c r="L925" s="2"/>
    </row>
    <row r="926" spans="12:12">
      <c r="L926" s="2"/>
    </row>
    <row r="927" spans="12:12">
      <c r="L927" s="2"/>
    </row>
    <row r="928" spans="12:12">
      <c r="L928" s="2"/>
    </row>
    <row r="929" spans="12:12">
      <c r="L929" s="2"/>
    </row>
    <row r="930" spans="12:12">
      <c r="L930" s="2"/>
    </row>
    <row r="931" spans="12:12">
      <c r="L931" s="2"/>
    </row>
    <row r="932" spans="12:12">
      <c r="L932" s="2"/>
    </row>
    <row r="933" spans="12:12">
      <c r="L933" s="2"/>
    </row>
    <row r="934" spans="12:12">
      <c r="L934" s="2"/>
    </row>
    <row r="935" spans="12:12">
      <c r="L935" s="2"/>
    </row>
    <row r="936" spans="12:12">
      <c r="L936" s="2"/>
    </row>
    <row r="937" spans="12:12">
      <c r="L937" s="2"/>
    </row>
    <row r="938" spans="12:12">
      <c r="L938" s="2"/>
    </row>
    <row r="939" spans="12:12">
      <c r="L939" s="2"/>
    </row>
    <row r="940" spans="12:12">
      <c r="L940" s="2"/>
    </row>
    <row r="941" spans="12:12">
      <c r="L941" s="2"/>
    </row>
    <row r="942" spans="12:12">
      <c r="L942" s="2"/>
    </row>
    <row r="943" spans="12:12">
      <c r="L943" s="2"/>
    </row>
    <row r="944" spans="12:12">
      <c r="L944" s="2"/>
    </row>
    <row r="945" spans="12:12">
      <c r="L945" s="2"/>
    </row>
    <row r="946" spans="12:12">
      <c r="L946" s="2"/>
    </row>
    <row r="947" spans="12:12">
      <c r="L947" s="2"/>
    </row>
    <row r="948" spans="12:12">
      <c r="L948" s="2"/>
    </row>
    <row r="949" spans="12:12">
      <c r="L949" s="2"/>
    </row>
    <row r="950" spans="12:12">
      <c r="L950" s="2"/>
    </row>
    <row r="951" spans="12:12">
      <c r="L951" s="2"/>
    </row>
    <row r="952" spans="12:12">
      <c r="L952" s="2"/>
    </row>
    <row r="953" spans="12:12">
      <c r="L953" s="2"/>
    </row>
    <row r="954" spans="12:12">
      <c r="L954" s="2"/>
    </row>
    <row r="955" spans="12:12">
      <c r="L955" s="2"/>
    </row>
    <row r="956" spans="12:12">
      <c r="L956" s="2"/>
    </row>
    <row r="957" spans="12:12">
      <c r="L957" s="2"/>
    </row>
    <row r="958" spans="12:12">
      <c r="L958" s="2"/>
    </row>
    <row r="959" spans="12:12">
      <c r="L959" s="2"/>
    </row>
    <row r="960" spans="12:12">
      <c r="L960" s="2"/>
    </row>
    <row r="961" spans="12:12">
      <c r="L961" s="2"/>
    </row>
    <row r="962" spans="12:12">
      <c r="L962" s="2"/>
    </row>
    <row r="963" spans="12:12">
      <c r="L963" s="2"/>
    </row>
    <row r="964" spans="12:12">
      <c r="L964" s="2"/>
    </row>
    <row r="965" spans="12:12">
      <c r="L965" s="2"/>
    </row>
    <row r="966" spans="12:12">
      <c r="L966" s="2"/>
    </row>
    <row r="967" spans="12:12">
      <c r="L967" s="2"/>
    </row>
    <row r="968" spans="12:12">
      <c r="L968" s="2"/>
    </row>
    <row r="969" spans="12:12">
      <c r="L969" s="2"/>
    </row>
    <row r="970" spans="12:12">
      <c r="L970" s="2"/>
    </row>
    <row r="971" spans="12:12">
      <c r="L971" s="2"/>
    </row>
    <row r="972" spans="12:12">
      <c r="L972" s="2"/>
    </row>
    <row r="973" spans="12:12">
      <c r="L973" s="2"/>
    </row>
    <row r="974" spans="12:12">
      <c r="L974" s="2"/>
    </row>
    <row r="975" spans="12:12">
      <c r="L975" s="2"/>
    </row>
    <row r="976" spans="12:12">
      <c r="L976" s="2"/>
    </row>
    <row r="977" spans="12:12">
      <c r="L977" s="2"/>
    </row>
    <row r="978" spans="12:12">
      <c r="L978" s="2"/>
    </row>
    <row r="979" spans="12:12">
      <c r="L979" s="2"/>
    </row>
    <row r="980" spans="12:12">
      <c r="L980" s="2"/>
    </row>
    <row r="981" spans="12:12">
      <c r="L981" s="2"/>
    </row>
    <row r="982" spans="12:12">
      <c r="L982" s="2"/>
    </row>
    <row r="983" spans="12:12">
      <c r="L983" s="2"/>
    </row>
    <row r="984" spans="12:12">
      <c r="L984" s="2"/>
    </row>
    <row r="985" spans="12:12">
      <c r="L985" s="2"/>
    </row>
    <row r="986" spans="12:12">
      <c r="L986" s="2"/>
    </row>
    <row r="987" spans="12:12">
      <c r="L987" s="2"/>
    </row>
    <row r="988" spans="12:12">
      <c r="L988" s="2"/>
    </row>
    <row r="989" spans="12:12">
      <c r="L989" s="2"/>
    </row>
    <row r="990" spans="12:12">
      <c r="L990" s="2"/>
    </row>
    <row r="991" spans="12:12">
      <c r="L991" s="2"/>
    </row>
    <row r="992" spans="12:12">
      <c r="L992" s="2"/>
    </row>
    <row r="993" spans="12:12">
      <c r="L993" s="2"/>
    </row>
    <row r="994" spans="12:12">
      <c r="L994" s="2"/>
    </row>
    <row r="995" spans="12:12">
      <c r="L995" s="2"/>
    </row>
    <row r="996" spans="12:12">
      <c r="L996" s="2"/>
    </row>
    <row r="997" spans="12:12">
      <c r="L997" s="2"/>
    </row>
    <row r="998" spans="12:12">
      <c r="L998" s="2"/>
    </row>
    <row r="999" spans="12:12">
      <c r="L999" s="2"/>
    </row>
    <row r="1000" spans="12:12">
      <c r="L1000" s="2"/>
    </row>
    <row r="1001" spans="12:12">
      <c r="L1001" s="2"/>
    </row>
    <row r="1002" spans="12:12">
      <c r="L1002" s="2"/>
    </row>
    <row r="1003" spans="12:12">
      <c r="L1003" s="2"/>
    </row>
    <row r="1004" spans="12:12">
      <c r="L1004" s="2"/>
    </row>
    <row r="1005" spans="12:12">
      <c r="L1005" s="2"/>
    </row>
    <row r="1006" spans="12:12">
      <c r="L1006" s="2"/>
    </row>
    <row r="1007" spans="12:12">
      <c r="L1007" s="2"/>
    </row>
    <row r="1008" spans="12:12">
      <c r="L1008" s="2"/>
    </row>
    <row r="1009" spans="12:12">
      <c r="L1009" s="2"/>
    </row>
    <row r="1010" spans="12:12">
      <c r="L1010" s="2"/>
    </row>
    <row r="1011" spans="12:12">
      <c r="L1011" s="2"/>
    </row>
    <row r="1012" spans="12:12">
      <c r="L1012" s="2"/>
    </row>
    <row r="1013" spans="12:12">
      <c r="L1013" s="2"/>
    </row>
    <row r="1014" spans="12:12">
      <c r="L1014" s="2"/>
    </row>
    <row r="1015" spans="12:12">
      <c r="L1015" s="2"/>
    </row>
    <row r="1016" spans="12:12">
      <c r="L1016" s="2"/>
    </row>
    <row r="1017" spans="12:12">
      <c r="L1017" s="2"/>
    </row>
    <row r="1018" spans="12:12">
      <c r="L1018" s="2"/>
    </row>
    <row r="1019" spans="12:12">
      <c r="L1019" s="2"/>
    </row>
    <row r="1020" spans="12:12">
      <c r="L1020" s="2"/>
    </row>
    <row r="1021" spans="12:12">
      <c r="L1021" s="2"/>
    </row>
    <row r="1022" spans="12:12">
      <c r="L1022" s="2"/>
    </row>
    <row r="1023" spans="12:12">
      <c r="L1023" s="2"/>
    </row>
    <row r="1024" spans="12:12">
      <c r="L1024" s="2"/>
    </row>
    <row r="1025" spans="12:12">
      <c r="L1025" s="2"/>
    </row>
    <row r="1026" spans="12:12">
      <c r="L1026" s="2"/>
    </row>
    <row r="1027" spans="12:12">
      <c r="L1027" s="2"/>
    </row>
    <row r="1028" spans="12:12">
      <c r="L1028" s="2"/>
    </row>
    <row r="1029" spans="12:12">
      <c r="L1029" s="2"/>
    </row>
    <row r="1030" spans="12:12">
      <c r="L1030" s="2"/>
    </row>
    <row r="1031" spans="12:12">
      <c r="L1031" s="2"/>
    </row>
    <row r="1032" spans="12:12">
      <c r="L1032" s="2"/>
    </row>
    <row r="1033" spans="12:12">
      <c r="L1033" s="2"/>
    </row>
    <row r="1034" spans="12:12">
      <c r="L1034" s="2"/>
    </row>
    <row r="1035" spans="12:12">
      <c r="L1035" s="2"/>
    </row>
    <row r="1036" spans="12:12">
      <c r="L1036" s="2"/>
    </row>
    <row r="1037" spans="12:12">
      <c r="L1037" s="2"/>
    </row>
    <row r="1038" spans="12:12">
      <c r="L1038" s="2"/>
    </row>
    <row r="1039" spans="12:12">
      <c r="L1039" s="2"/>
    </row>
    <row r="1040" spans="12:12">
      <c r="L1040" s="2"/>
    </row>
    <row r="1041" spans="12:12">
      <c r="L1041" s="2"/>
    </row>
    <row r="1042" spans="12:12">
      <c r="L1042" s="2"/>
    </row>
    <row r="1043" spans="12:12">
      <c r="L1043" s="2"/>
    </row>
    <row r="1044" spans="12:12">
      <c r="L1044" s="2"/>
    </row>
    <row r="1045" spans="12:12">
      <c r="L1045" s="2"/>
    </row>
    <row r="1046" spans="12:12">
      <c r="L1046" s="2"/>
    </row>
    <row r="1047" spans="12:12">
      <c r="L1047" s="2"/>
    </row>
    <row r="1048" spans="12:12">
      <c r="L1048" s="2"/>
    </row>
    <row r="1049" spans="12:12">
      <c r="L1049" s="2"/>
    </row>
    <row r="1050" spans="12:12">
      <c r="L1050" s="2"/>
    </row>
    <row r="1051" spans="12:12">
      <c r="L1051" s="2"/>
    </row>
    <row r="1052" spans="12:12">
      <c r="L1052" s="2"/>
    </row>
    <row r="1053" spans="12:12">
      <c r="L1053" s="2"/>
    </row>
    <row r="1054" spans="12:12">
      <c r="L1054" s="2"/>
    </row>
    <row r="1055" spans="12:12">
      <c r="L1055" s="2"/>
    </row>
    <row r="1056" spans="12:12">
      <c r="L1056" s="2"/>
    </row>
    <row r="1057" spans="12:12">
      <c r="L1057" s="2"/>
    </row>
    <row r="1058" spans="12:12">
      <c r="L1058" s="2"/>
    </row>
    <row r="1059" spans="12:12">
      <c r="L1059" s="2"/>
    </row>
    <row r="1060" spans="12:12">
      <c r="L1060" s="2"/>
    </row>
    <row r="1061" spans="12:12">
      <c r="L1061" s="2"/>
    </row>
    <row r="1062" spans="12:12">
      <c r="L1062" s="2"/>
    </row>
    <row r="1063" spans="12:12">
      <c r="L1063" s="2"/>
    </row>
    <row r="1064" spans="12:12">
      <c r="L1064" s="2"/>
    </row>
    <row r="1065" spans="12:12">
      <c r="L1065" s="2"/>
    </row>
    <row r="1066" spans="12:12">
      <c r="L1066" s="2"/>
    </row>
    <row r="1067" spans="12:12">
      <c r="L1067" s="2"/>
    </row>
    <row r="1068" spans="12:12">
      <c r="L1068" s="2"/>
    </row>
    <row r="1069" spans="12:12">
      <c r="L1069" s="2"/>
    </row>
    <row r="1070" spans="12:12">
      <c r="L1070" s="2"/>
    </row>
    <row r="1071" spans="12:12">
      <c r="L1071" s="2"/>
    </row>
    <row r="1072" spans="12:12">
      <c r="L1072" s="2"/>
    </row>
    <row r="1073" spans="12:12">
      <c r="L1073" s="2"/>
    </row>
    <row r="1074" spans="12:12">
      <c r="L1074" s="2"/>
    </row>
    <row r="1075" spans="12:12">
      <c r="L1075" s="2"/>
    </row>
    <row r="1076" spans="12:12">
      <c r="L1076" s="2"/>
    </row>
    <row r="1077" spans="12:12">
      <c r="L1077" s="2"/>
    </row>
    <row r="1078" spans="12:12">
      <c r="L1078" s="2"/>
    </row>
    <row r="1079" spans="12:12">
      <c r="L1079" s="2"/>
    </row>
    <row r="1080" spans="12:12">
      <c r="L1080" s="2"/>
    </row>
    <row r="1081" spans="12:12">
      <c r="L1081" s="2"/>
    </row>
    <row r="1082" spans="12:12">
      <c r="L1082" s="2"/>
    </row>
    <row r="1083" spans="12:12">
      <c r="L1083" s="2"/>
    </row>
    <row r="1084" spans="12:12">
      <c r="L1084" s="2"/>
    </row>
    <row r="1085" spans="12:12">
      <c r="L1085" s="2"/>
    </row>
    <row r="1086" spans="12:12">
      <c r="L1086" s="2"/>
    </row>
    <row r="1087" spans="12:12">
      <c r="L1087" s="2"/>
    </row>
    <row r="1088" spans="12:12">
      <c r="L1088" s="2"/>
    </row>
    <row r="1089" spans="12:12">
      <c r="L1089" s="2"/>
    </row>
    <row r="1090" spans="12:12">
      <c r="L1090" s="2"/>
    </row>
    <row r="1091" spans="12:12">
      <c r="L1091" s="2"/>
    </row>
    <row r="1092" spans="12:12">
      <c r="L1092" s="2"/>
    </row>
    <row r="1093" spans="12:12">
      <c r="L1093" s="2"/>
    </row>
    <row r="1094" spans="12:12">
      <c r="L1094" s="2"/>
    </row>
    <row r="1095" spans="12:12">
      <c r="L1095" s="2"/>
    </row>
    <row r="1096" spans="12:12">
      <c r="L1096" s="2"/>
    </row>
    <row r="1097" spans="12:12">
      <c r="L1097" s="2"/>
    </row>
    <row r="1098" spans="12:12">
      <c r="L1098" s="2"/>
    </row>
    <row r="1099" spans="12:12">
      <c r="L1099" s="2"/>
    </row>
    <row r="1100" spans="12:12">
      <c r="L1100" s="2"/>
    </row>
    <row r="1101" spans="12:12">
      <c r="L1101" s="2"/>
    </row>
    <row r="1102" spans="12:12">
      <c r="L1102" s="2"/>
    </row>
    <row r="1103" spans="12:12">
      <c r="L1103" s="2"/>
    </row>
    <row r="1104" spans="12:12">
      <c r="L1104" s="2"/>
    </row>
    <row r="1105" spans="12:12">
      <c r="L1105" s="2"/>
    </row>
    <row r="1106" spans="12:12">
      <c r="L1106" s="2"/>
    </row>
    <row r="1107" spans="12:12">
      <c r="L1107" s="2"/>
    </row>
    <row r="1108" spans="12:12">
      <c r="L1108" s="2"/>
    </row>
    <row r="1109" spans="12:12">
      <c r="L1109" s="2"/>
    </row>
    <row r="1110" spans="12:12">
      <c r="L1110" s="2"/>
    </row>
    <row r="1111" spans="12:12">
      <c r="L1111" s="2"/>
    </row>
    <row r="1112" spans="12:12">
      <c r="L1112" s="2"/>
    </row>
    <row r="1113" spans="12:12">
      <c r="L1113" s="2"/>
    </row>
    <row r="1114" spans="12:12">
      <c r="L1114" s="2"/>
    </row>
    <row r="1115" spans="12:12">
      <c r="L1115" s="2"/>
    </row>
    <row r="1116" spans="12:12">
      <c r="L1116" s="2"/>
    </row>
    <row r="1117" spans="12:12">
      <c r="L1117" s="2"/>
    </row>
    <row r="1118" spans="12:12">
      <c r="L1118" s="2"/>
    </row>
    <row r="1119" spans="12:12">
      <c r="L1119" s="2"/>
    </row>
    <row r="1120" spans="12:12">
      <c r="L1120" s="2"/>
    </row>
    <row r="1121" spans="12:12">
      <c r="L1121" s="2"/>
    </row>
    <row r="1122" spans="12:12">
      <c r="L1122" s="2"/>
    </row>
    <row r="1123" spans="12:12">
      <c r="L1123" s="2"/>
    </row>
    <row r="1124" spans="12:12">
      <c r="L1124" s="2"/>
    </row>
    <row r="1125" spans="12:12">
      <c r="L1125" s="2"/>
    </row>
    <row r="1126" spans="12:12">
      <c r="L1126" s="2"/>
    </row>
    <row r="1127" spans="12:12">
      <c r="L1127" s="2"/>
    </row>
    <row r="1128" spans="12:12">
      <c r="L1128" s="2"/>
    </row>
    <row r="1129" spans="12:12">
      <c r="L1129" s="2"/>
    </row>
    <row r="1130" spans="12:12">
      <c r="L1130" s="2"/>
    </row>
    <row r="1131" spans="12:12">
      <c r="L1131" s="2"/>
    </row>
    <row r="1132" spans="12:12">
      <c r="L1132" s="2"/>
    </row>
    <row r="1133" spans="12:12">
      <c r="L1133" s="2"/>
    </row>
    <row r="1134" spans="12:12">
      <c r="L1134" s="2"/>
    </row>
    <row r="1135" spans="12:12">
      <c r="L1135" s="2"/>
    </row>
    <row r="1136" spans="12:12">
      <c r="L1136" s="2"/>
    </row>
    <row r="1137" spans="12:12">
      <c r="L1137" s="2"/>
    </row>
    <row r="1138" spans="12:12">
      <c r="L1138" s="2"/>
    </row>
    <row r="1139" spans="12:12">
      <c r="L1139" s="2"/>
    </row>
    <row r="1140" spans="12:12">
      <c r="L1140" s="2"/>
    </row>
    <row r="1141" spans="12:12">
      <c r="L1141" s="2"/>
    </row>
    <row r="1142" spans="12:12">
      <c r="L1142" s="2"/>
    </row>
    <row r="1143" spans="12:12">
      <c r="L1143" s="2"/>
    </row>
    <row r="1144" spans="12:12">
      <c r="L1144" s="2"/>
    </row>
    <row r="1145" spans="12:12">
      <c r="L1145" s="2"/>
    </row>
    <row r="1146" spans="12:12">
      <c r="L1146" s="2"/>
    </row>
    <row r="1147" spans="12:12">
      <c r="L1147" s="2"/>
    </row>
    <row r="1148" spans="12:12">
      <c r="L1148" s="2"/>
    </row>
    <row r="1149" spans="12:12">
      <c r="L1149" s="2"/>
    </row>
    <row r="1150" spans="12:12">
      <c r="L1150" s="2"/>
    </row>
    <row r="1151" spans="12:12">
      <c r="L1151" s="2"/>
    </row>
    <row r="1152" spans="12:12">
      <c r="L1152" s="2"/>
    </row>
    <row r="1153" spans="12:12">
      <c r="L1153" s="2"/>
    </row>
    <row r="1154" spans="12:12">
      <c r="L1154" s="2"/>
    </row>
    <row r="1155" spans="12:12">
      <c r="L1155" s="2"/>
    </row>
    <row r="1156" spans="12:12">
      <c r="L1156" s="2"/>
    </row>
    <row r="1157" spans="12:12">
      <c r="L1157" s="2"/>
    </row>
    <row r="1158" spans="12:12">
      <c r="L1158" s="2"/>
    </row>
    <row r="1159" spans="12:12">
      <c r="L1159" s="2"/>
    </row>
    <row r="1160" spans="12:12">
      <c r="L1160" s="2"/>
    </row>
    <row r="1161" spans="12:12">
      <c r="L1161" s="2"/>
    </row>
    <row r="1162" spans="12:12">
      <c r="L1162" s="2"/>
    </row>
    <row r="1163" spans="12:12">
      <c r="L1163" s="2"/>
    </row>
    <row r="1164" spans="12:12">
      <c r="L1164" s="2"/>
    </row>
    <row r="1165" spans="12:12">
      <c r="L1165" s="2"/>
    </row>
    <row r="1166" spans="12:12">
      <c r="L1166" s="2"/>
    </row>
    <row r="1167" spans="12:12">
      <c r="L1167" s="2"/>
    </row>
    <row r="1168" spans="12:12">
      <c r="L1168" s="2"/>
    </row>
    <row r="1169" spans="12:12">
      <c r="L1169" s="2"/>
    </row>
    <row r="1170" spans="12:12">
      <c r="L1170" s="2"/>
    </row>
    <row r="1171" spans="12:12">
      <c r="L1171" s="2"/>
    </row>
    <row r="1172" spans="12:12">
      <c r="L1172" s="2"/>
    </row>
    <row r="1173" spans="12:12">
      <c r="L1173" s="2"/>
    </row>
    <row r="1174" spans="12:12">
      <c r="L1174" s="2"/>
    </row>
    <row r="1175" spans="12:12">
      <c r="L1175" s="2"/>
    </row>
    <row r="1176" spans="12:12">
      <c r="L1176" s="2"/>
    </row>
    <row r="1177" spans="12:12">
      <c r="L1177" s="2"/>
    </row>
    <row r="1178" spans="12:12">
      <c r="L1178" s="2"/>
    </row>
    <row r="1179" spans="12:12">
      <c r="L1179" s="2"/>
    </row>
    <row r="1180" spans="12:12">
      <c r="L1180" s="2"/>
    </row>
    <row r="1181" spans="12:12">
      <c r="L1181" s="2"/>
    </row>
    <row r="1182" spans="12:12">
      <c r="L1182" s="2"/>
    </row>
    <row r="1183" spans="12:12">
      <c r="L1183" s="2"/>
    </row>
    <row r="1184" spans="12:12">
      <c r="L1184" s="2"/>
    </row>
    <row r="1185" spans="12:12">
      <c r="L1185" s="2"/>
    </row>
    <row r="1186" spans="12:12">
      <c r="L1186" s="2"/>
    </row>
    <row r="1187" spans="12:12">
      <c r="L1187" s="2"/>
    </row>
    <row r="1188" spans="12:12">
      <c r="L1188" s="2"/>
    </row>
    <row r="1189" spans="12:12">
      <c r="L1189" s="2"/>
    </row>
    <row r="1190" spans="12:12">
      <c r="L1190" s="2"/>
    </row>
    <row r="1191" spans="12:12">
      <c r="L1191" s="2"/>
    </row>
    <row r="1192" spans="12:12">
      <c r="L1192" s="2"/>
    </row>
    <row r="1193" spans="12:12">
      <c r="L1193" s="2"/>
    </row>
    <row r="1194" spans="12:12">
      <c r="L1194" s="2"/>
    </row>
    <row r="1195" spans="12:12">
      <c r="L1195" s="2"/>
    </row>
    <row r="1196" spans="12:12">
      <c r="L1196" s="2"/>
    </row>
    <row r="1197" spans="12:12">
      <c r="L1197" s="2"/>
    </row>
    <row r="1198" spans="12:12">
      <c r="L1198" s="2"/>
    </row>
    <row r="1199" spans="12:12">
      <c r="L1199" s="2"/>
    </row>
    <row r="1200" spans="12:12">
      <c r="L1200" s="2"/>
    </row>
    <row r="1201" spans="12:12">
      <c r="L1201" s="2"/>
    </row>
    <row r="1202" spans="12:12">
      <c r="L1202" s="2"/>
    </row>
    <row r="1203" spans="12:12">
      <c r="L1203" s="2"/>
    </row>
    <row r="1204" spans="12:12">
      <c r="L1204" s="2"/>
    </row>
    <row r="1205" spans="12:12">
      <c r="L1205" s="2"/>
    </row>
    <row r="1206" spans="12:12">
      <c r="L1206" s="2"/>
    </row>
    <row r="1207" spans="12:12">
      <c r="L1207" s="2"/>
    </row>
    <row r="1208" spans="12:12">
      <c r="L1208" s="2"/>
    </row>
    <row r="1209" spans="12:12">
      <c r="L1209" s="2"/>
    </row>
    <row r="1210" spans="12:12">
      <c r="L1210" s="2"/>
    </row>
    <row r="1211" spans="12:12">
      <c r="L1211" s="2"/>
    </row>
    <row r="1212" spans="12:12">
      <c r="L1212" s="2"/>
    </row>
    <row r="1213" spans="12:12">
      <c r="L1213" s="2"/>
    </row>
    <row r="1214" spans="12:12">
      <c r="L1214" s="2"/>
    </row>
    <row r="1215" spans="12:12">
      <c r="L1215" s="2"/>
    </row>
    <row r="1216" spans="12:12">
      <c r="L1216" s="2"/>
    </row>
    <row r="1217" spans="12:12">
      <c r="L1217" s="2"/>
    </row>
    <row r="1218" spans="12:12">
      <c r="L1218" s="2"/>
    </row>
    <row r="1219" spans="12:12">
      <c r="L1219" s="2"/>
    </row>
    <row r="1220" spans="12:12">
      <c r="L1220" s="2"/>
    </row>
    <row r="1221" spans="12:12">
      <c r="L1221" s="2"/>
    </row>
    <row r="1222" spans="12:12">
      <c r="L1222" s="2"/>
    </row>
    <row r="1223" spans="12:12">
      <c r="L1223" s="2"/>
    </row>
    <row r="1224" spans="12:12">
      <c r="L1224" s="2"/>
    </row>
    <row r="1225" spans="12:12">
      <c r="L1225" s="2"/>
    </row>
    <row r="1226" spans="12:12">
      <c r="L1226" s="2"/>
    </row>
    <row r="1227" spans="12:12">
      <c r="L1227" s="2"/>
    </row>
    <row r="1228" spans="12:12">
      <c r="L1228" s="2"/>
    </row>
    <row r="1229" spans="12:12">
      <c r="L1229" s="2"/>
    </row>
    <row r="1230" spans="12:12">
      <c r="L1230" s="2"/>
    </row>
    <row r="1231" spans="12:12">
      <c r="L1231" s="2"/>
    </row>
    <row r="1232" spans="12:12">
      <c r="L1232" s="2"/>
    </row>
    <row r="1233" spans="12:12">
      <c r="L1233" s="2"/>
    </row>
    <row r="1234" spans="12:12">
      <c r="L1234" s="2"/>
    </row>
    <row r="1235" spans="12:12">
      <c r="L1235" s="2"/>
    </row>
    <row r="1236" spans="12:12">
      <c r="L1236" s="2"/>
    </row>
    <row r="1237" spans="12:12">
      <c r="L1237" s="2"/>
    </row>
    <row r="1238" spans="12:12">
      <c r="L1238" s="2"/>
    </row>
    <row r="1239" spans="12:12">
      <c r="L1239" s="2"/>
    </row>
    <row r="1240" spans="12:12">
      <c r="L1240" s="2"/>
    </row>
    <row r="1241" spans="12:12">
      <c r="L1241" s="2"/>
    </row>
    <row r="1242" spans="12:12">
      <c r="L1242" s="2"/>
    </row>
    <row r="1243" spans="12:12">
      <c r="L1243" s="2"/>
    </row>
    <row r="1244" spans="12:12">
      <c r="L1244" s="2"/>
    </row>
    <row r="1245" spans="12:12">
      <c r="L1245" s="2"/>
    </row>
    <row r="1246" spans="12:12">
      <c r="L1246" s="2"/>
    </row>
    <row r="1247" spans="12:12">
      <c r="L1247" s="2"/>
    </row>
    <row r="1248" spans="12:12">
      <c r="L1248" s="2"/>
    </row>
    <row r="1249" spans="12:12">
      <c r="L1249" s="2"/>
    </row>
    <row r="1250" spans="12:12">
      <c r="L1250" s="2"/>
    </row>
    <row r="1251" spans="12:12">
      <c r="L1251" s="2"/>
    </row>
    <row r="1252" spans="12:12">
      <c r="L1252" s="2"/>
    </row>
    <row r="1253" spans="12:12">
      <c r="L1253" s="2"/>
    </row>
    <row r="1254" spans="12:12">
      <c r="L1254" s="2"/>
    </row>
    <row r="1255" spans="12:12">
      <c r="L1255" s="2"/>
    </row>
    <row r="1256" spans="12:12">
      <c r="L1256" s="2"/>
    </row>
    <row r="1257" spans="12:12">
      <c r="L1257" s="2"/>
    </row>
    <row r="1258" spans="12:12">
      <c r="L1258" s="2"/>
    </row>
    <row r="1259" spans="12:12">
      <c r="L1259" s="2"/>
    </row>
    <row r="1260" spans="12:12">
      <c r="L1260" s="2"/>
    </row>
    <row r="1261" spans="12:12">
      <c r="L1261" s="2"/>
    </row>
    <row r="1262" spans="12:12">
      <c r="L1262" s="2"/>
    </row>
    <row r="1263" spans="12:12">
      <c r="L1263" s="2"/>
    </row>
    <row r="1264" spans="12:12">
      <c r="L1264" s="2"/>
    </row>
    <row r="1265" spans="12:12">
      <c r="L1265" s="2"/>
    </row>
    <row r="1266" spans="12:12">
      <c r="L1266" s="2"/>
    </row>
    <row r="1267" spans="12:12">
      <c r="L1267" s="2"/>
    </row>
    <row r="1268" spans="12:12">
      <c r="L1268" s="2"/>
    </row>
    <row r="1269" spans="12:12">
      <c r="L1269" s="2"/>
    </row>
    <row r="1270" spans="12:12">
      <c r="L1270" s="2"/>
    </row>
    <row r="1271" spans="12:12">
      <c r="L1271" s="2"/>
    </row>
    <row r="1272" spans="12:12">
      <c r="L1272" s="2"/>
    </row>
    <row r="1273" spans="12:12">
      <c r="L1273" s="2"/>
    </row>
    <row r="1274" spans="12:12">
      <c r="L1274" s="2"/>
    </row>
    <row r="1275" spans="12:12">
      <c r="L1275" s="2"/>
    </row>
    <row r="1276" spans="12:12">
      <c r="L1276" s="2"/>
    </row>
    <row r="1277" spans="12:12">
      <c r="L1277" s="2"/>
    </row>
    <row r="1278" spans="12:12">
      <c r="L1278" s="2"/>
    </row>
    <row r="1279" spans="12:12">
      <c r="L1279" s="2"/>
    </row>
    <row r="1280" spans="12:12">
      <c r="L1280" s="2"/>
    </row>
    <row r="1281" spans="12:12">
      <c r="L1281" s="2"/>
    </row>
    <row r="1282" spans="12:12">
      <c r="L1282" s="2"/>
    </row>
    <row r="1283" spans="12:12">
      <c r="L1283" s="2"/>
    </row>
    <row r="1284" spans="12:12">
      <c r="L1284" s="2"/>
    </row>
    <row r="1285" spans="12:12">
      <c r="L1285" s="2"/>
    </row>
    <row r="1286" spans="12:12">
      <c r="L1286" s="2"/>
    </row>
    <row r="1287" spans="12:12">
      <c r="L1287" s="2"/>
    </row>
    <row r="1288" spans="12:12">
      <c r="L1288" s="2"/>
    </row>
    <row r="1289" spans="12:12">
      <c r="L1289" s="2"/>
    </row>
    <row r="1290" spans="12:12">
      <c r="L1290" s="2"/>
    </row>
    <row r="1291" spans="12:12">
      <c r="L1291" s="2"/>
    </row>
    <row r="1292" spans="12:12">
      <c r="L1292" s="2"/>
    </row>
    <row r="1293" spans="12:12">
      <c r="L1293" s="2"/>
    </row>
    <row r="1294" spans="12:12">
      <c r="L1294" s="2"/>
    </row>
    <row r="1295" spans="12:12">
      <c r="L1295" s="2"/>
    </row>
    <row r="1296" spans="12:12">
      <c r="L1296" s="2"/>
    </row>
    <row r="1297" spans="12:12">
      <c r="L1297" s="2"/>
    </row>
    <row r="1298" spans="12:12">
      <c r="L1298" s="2"/>
    </row>
    <row r="1299" spans="12:12">
      <c r="L1299" s="2"/>
    </row>
    <row r="1300" spans="12:12">
      <c r="L1300" s="2"/>
    </row>
    <row r="1301" spans="12:12">
      <c r="L1301" s="2"/>
    </row>
    <row r="1302" spans="12:12">
      <c r="L1302" s="2"/>
    </row>
    <row r="1303" spans="12:12">
      <c r="L1303" s="2"/>
    </row>
    <row r="1304" spans="12:12">
      <c r="L1304" s="2"/>
    </row>
    <row r="1305" spans="12:12">
      <c r="L1305" s="2"/>
    </row>
    <row r="1306" spans="12:12">
      <c r="L1306" s="2"/>
    </row>
    <row r="1307" spans="12:12">
      <c r="L1307" s="2"/>
    </row>
    <row r="1308" spans="12:12">
      <c r="L1308" s="2"/>
    </row>
    <row r="1309" spans="12:12">
      <c r="L1309" s="2"/>
    </row>
    <row r="1310" spans="12:12">
      <c r="L1310" s="2"/>
    </row>
    <row r="1311" spans="12:12">
      <c r="L1311" s="2"/>
    </row>
    <row r="1312" spans="12:12">
      <c r="L1312" s="2"/>
    </row>
    <row r="1313" spans="12:12">
      <c r="L1313" s="2"/>
    </row>
    <row r="1314" spans="12:12">
      <c r="L1314" s="2"/>
    </row>
    <row r="1315" spans="12:12">
      <c r="L1315" s="2"/>
    </row>
    <row r="1316" spans="12:12">
      <c r="L1316" s="2"/>
    </row>
    <row r="1317" spans="12:12">
      <c r="L1317" s="2"/>
    </row>
    <row r="1318" spans="12:12">
      <c r="L1318" s="2"/>
    </row>
    <row r="1319" spans="12:12">
      <c r="L1319" s="2"/>
    </row>
    <row r="1320" spans="12:12">
      <c r="L1320" s="2"/>
    </row>
    <row r="1321" spans="12:12">
      <c r="L1321" s="2"/>
    </row>
    <row r="1322" spans="12:12">
      <c r="L1322" s="2"/>
    </row>
    <row r="1323" spans="12:12">
      <c r="L1323" s="2"/>
    </row>
    <row r="1324" spans="12:12">
      <c r="L1324" s="2"/>
    </row>
    <row r="1325" spans="12:12">
      <c r="L1325" s="2"/>
    </row>
    <row r="1326" spans="12:12">
      <c r="L1326" s="2"/>
    </row>
    <row r="1327" spans="12:12">
      <c r="L1327" s="2"/>
    </row>
    <row r="1328" spans="12:12">
      <c r="L1328" s="2"/>
    </row>
    <row r="1329" spans="12:12">
      <c r="L1329" s="2"/>
    </row>
    <row r="1330" spans="12:12">
      <c r="L1330" s="2"/>
    </row>
    <row r="1331" spans="12:12">
      <c r="L1331" s="2"/>
    </row>
    <row r="1332" spans="12:12">
      <c r="L1332" s="2"/>
    </row>
    <row r="1333" spans="12:12">
      <c r="L1333" s="2"/>
    </row>
    <row r="1334" spans="12:12">
      <c r="L1334" s="2"/>
    </row>
    <row r="1335" spans="12:12">
      <c r="L1335" s="2"/>
    </row>
    <row r="1336" spans="12:12">
      <c r="L1336" s="2"/>
    </row>
    <row r="1337" spans="12:12">
      <c r="L1337" s="2"/>
    </row>
    <row r="1338" spans="12:12">
      <c r="L1338" s="2"/>
    </row>
    <row r="1339" spans="12:12">
      <c r="L1339" s="2"/>
    </row>
    <row r="1340" spans="12:12">
      <c r="L1340" s="2"/>
    </row>
    <row r="1341" spans="12:12">
      <c r="L1341" s="2"/>
    </row>
    <row r="1342" spans="12:12">
      <c r="L1342" s="2"/>
    </row>
    <row r="1343" spans="12:12">
      <c r="L1343" s="2"/>
    </row>
    <row r="1344" spans="12:12">
      <c r="L1344" s="2"/>
    </row>
    <row r="1345" spans="12:12">
      <c r="L1345" s="2"/>
    </row>
    <row r="1346" spans="12:12">
      <c r="L1346" s="2"/>
    </row>
    <row r="1347" spans="12:12">
      <c r="L1347" s="2"/>
    </row>
    <row r="1348" spans="12:12">
      <c r="L1348" s="2"/>
    </row>
    <row r="1349" spans="12:12">
      <c r="L1349" s="2"/>
    </row>
    <row r="1350" spans="12:12">
      <c r="L1350" s="2"/>
    </row>
    <row r="1351" spans="12:12">
      <c r="L1351" s="2"/>
    </row>
    <row r="1352" spans="12:12">
      <c r="L1352" s="2"/>
    </row>
    <row r="1353" spans="12:12">
      <c r="L1353" s="2"/>
    </row>
    <row r="1354" spans="12:12">
      <c r="L1354" s="2"/>
    </row>
    <row r="1355" spans="12:12">
      <c r="L1355" s="2"/>
    </row>
    <row r="1356" spans="12:12">
      <c r="L1356" s="2"/>
    </row>
    <row r="1357" spans="12:12">
      <c r="L1357" s="2"/>
    </row>
    <row r="1358" spans="12:12">
      <c r="L1358" s="2"/>
    </row>
    <row r="1359" spans="12:12">
      <c r="L1359" s="2"/>
    </row>
    <row r="1360" spans="12:12">
      <c r="L1360" s="2"/>
    </row>
    <row r="1361" spans="12:12">
      <c r="L1361" s="2"/>
    </row>
    <row r="1362" spans="12:12">
      <c r="L1362" s="2"/>
    </row>
    <row r="1363" spans="12:12">
      <c r="L1363" s="2"/>
    </row>
    <row r="1364" spans="12:12">
      <c r="L1364" s="2"/>
    </row>
    <row r="1365" spans="12:12">
      <c r="L1365" s="2"/>
    </row>
    <row r="1366" spans="12:12">
      <c r="L1366" s="2"/>
    </row>
    <row r="1367" spans="12:12">
      <c r="L1367" s="2"/>
    </row>
    <row r="1368" spans="12:12">
      <c r="L1368" s="2"/>
    </row>
    <row r="1369" spans="12:12">
      <c r="L1369" s="2"/>
    </row>
    <row r="1370" spans="12:12">
      <c r="L1370" s="2"/>
    </row>
    <row r="1371" spans="12:12">
      <c r="L1371" s="2"/>
    </row>
    <row r="1372" spans="12:12">
      <c r="L1372" s="2"/>
    </row>
    <row r="1373" spans="12:12">
      <c r="L1373" s="2"/>
    </row>
    <row r="1374" spans="12:12">
      <c r="L1374" s="2"/>
    </row>
    <row r="1375" spans="12:12">
      <c r="L1375" s="2"/>
    </row>
    <row r="1376" spans="12:12">
      <c r="L1376" s="2"/>
    </row>
    <row r="1377" spans="12:12">
      <c r="L1377" s="2"/>
    </row>
    <row r="1378" spans="12:12">
      <c r="L1378" s="2"/>
    </row>
    <row r="1379" spans="12:12">
      <c r="L1379" s="2"/>
    </row>
    <row r="1380" spans="12:12">
      <c r="L1380" s="2"/>
    </row>
    <row r="1381" spans="12:12">
      <c r="L1381" s="2"/>
    </row>
    <row r="1382" spans="12:12">
      <c r="L1382" s="2"/>
    </row>
    <row r="1383" spans="12:12">
      <c r="L1383" s="2"/>
    </row>
    <row r="1384" spans="12:12">
      <c r="L1384" s="2"/>
    </row>
    <row r="1385" spans="12:12">
      <c r="L1385" s="2"/>
    </row>
    <row r="1386" spans="12:12">
      <c r="L1386" s="2"/>
    </row>
    <row r="1387" spans="12:12">
      <c r="L1387" s="2"/>
    </row>
    <row r="1388" spans="12:12">
      <c r="L1388" s="2"/>
    </row>
    <row r="1389" spans="12:12">
      <c r="L1389" s="2"/>
    </row>
    <row r="1390" spans="12:12">
      <c r="L1390" s="2"/>
    </row>
    <row r="1391" spans="12:12">
      <c r="L1391" s="2"/>
    </row>
    <row r="1392" spans="12:12">
      <c r="L1392" s="2"/>
    </row>
    <row r="1393" spans="12:12">
      <c r="L1393" s="2"/>
    </row>
    <row r="1394" spans="12:12">
      <c r="L1394" s="2"/>
    </row>
    <row r="1395" spans="12:12">
      <c r="L1395" s="2"/>
    </row>
    <row r="1396" spans="12:12">
      <c r="L1396" s="2"/>
    </row>
    <row r="1397" spans="12:12">
      <c r="L1397" s="2"/>
    </row>
    <row r="1398" spans="12:12">
      <c r="L1398" s="2"/>
    </row>
    <row r="1399" spans="12:12">
      <c r="L1399" s="2"/>
    </row>
    <row r="1400" spans="12:12">
      <c r="L1400" s="2"/>
    </row>
    <row r="1401" spans="12:12">
      <c r="L1401" s="2"/>
    </row>
    <row r="1402" spans="12:12">
      <c r="L1402" s="2"/>
    </row>
    <row r="1403" spans="12:12">
      <c r="L1403" s="2"/>
    </row>
    <row r="1404" spans="12:12">
      <c r="L1404" s="2"/>
    </row>
    <row r="1405" spans="12:12">
      <c r="L1405" s="2"/>
    </row>
    <row r="1406" spans="12:12">
      <c r="L1406" s="2"/>
    </row>
    <row r="1407" spans="12:12">
      <c r="L1407" s="2"/>
    </row>
    <row r="1408" spans="12:12">
      <c r="L1408" s="2"/>
    </row>
    <row r="1409" spans="12:12">
      <c r="L1409" s="2"/>
    </row>
    <row r="1410" spans="12:12">
      <c r="L1410" s="2"/>
    </row>
    <row r="1411" spans="12:12">
      <c r="L1411" s="2"/>
    </row>
    <row r="1412" spans="12:12">
      <c r="L1412" s="2"/>
    </row>
    <row r="1413" spans="12:12">
      <c r="L1413" s="2"/>
    </row>
    <row r="1414" spans="12:12">
      <c r="L1414" s="2"/>
    </row>
    <row r="1415" spans="12:12">
      <c r="L1415" s="2"/>
    </row>
    <row r="1416" spans="12:12">
      <c r="L1416" s="2"/>
    </row>
    <row r="1417" spans="12:12">
      <c r="L1417" s="2"/>
    </row>
    <row r="1418" spans="12:12">
      <c r="L1418" s="2"/>
    </row>
    <row r="1419" spans="12:12">
      <c r="L1419" s="2"/>
    </row>
    <row r="1420" spans="12:12">
      <c r="L1420" s="2"/>
    </row>
    <row r="1421" spans="12:12">
      <c r="L1421" s="2"/>
    </row>
    <row r="1422" spans="12:12">
      <c r="L1422" s="2"/>
    </row>
    <row r="1423" spans="12:12">
      <c r="L1423" s="2"/>
    </row>
    <row r="1424" spans="12:12">
      <c r="L1424" s="2"/>
    </row>
    <row r="1425" spans="12:12">
      <c r="L1425" s="2"/>
    </row>
    <row r="1426" spans="12:12">
      <c r="L1426" s="2"/>
    </row>
    <row r="1427" spans="12:12">
      <c r="L1427" s="2"/>
    </row>
    <row r="1428" spans="12:12">
      <c r="L1428" s="2"/>
    </row>
    <row r="1429" spans="12:12">
      <c r="L1429" s="2"/>
    </row>
    <row r="1430" spans="12:12">
      <c r="L1430" s="2"/>
    </row>
    <row r="1431" spans="12:12">
      <c r="L1431" s="2"/>
    </row>
    <row r="1432" spans="12:12">
      <c r="L1432" s="2"/>
    </row>
    <row r="1433" spans="12:12">
      <c r="L1433" s="2"/>
    </row>
    <row r="1434" spans="12:12">
      <c r="L1434" s="2"/>
    </row>
    <row r="1435" spans="12:12">
      <c r="L1435" s="2"/>
    </row>
    <row r="1436" spans="12:12">
      <c r="L1436" s="2"/>
    </row>
    <row r="1437" spans="12:12">
      <c r="L1437" s="2"/>
    </row>
    <row r="1438" spans="12:12">
      <c r="L1438" s="2"/>
    </row>
    <row r="1439" spans="12:12">
      <c r="L1439" s="2"/>
    </row>
    <row r="1440" spans="12:12">
      <c r="L1440" s="2"/>
    </row>
    <row r="1441" spans="12:12">
      <c r="L1441" s="2"/>
    </row>
    <row r="1442" spans="12:12">
      <c r="L1442" s="2"/>
    </row>
    <row r="1443" spans="12:12">
      <c r="L1443" s="2"/>
    </row>
    <row r="1444" spans="12:12">
      <c r="L1444" s="2"/>
    </row>
    <row r="1445" spans="12:12">
      <c r="L1445" s="2"/>
    </row>
    <row r="1446" spans="12:12">
      <c r="L1446" s="2"/>
    </row>
    <row r="1447" spans="12:12">
      <c r="L1447" s="2"/>
    </row>
    <row r="1448" spans="12:12">
      <c r="L1448" s="2"/>
    </row>
    <row r="1449" spans="12:12">
      <c r="L1449" s="2"/>
    </row>
    <row r="1450" spans="12:12">
      <c r="L1450" s="2"/>
    </row>
    <row r="1451" spans="12:12">
      <c r="L1451" s="2"/>
    </row>
    <row r="1452" spans="12:12">
      <c r="L1452" s="2"/>
    </row>
    <row r="1453" spans="12:12">
      <c r="L1453" s="2"/>
    </row>
    <row r="1454" spans="12:12">
      <c r="L1454" s="2"/>
    </row>
    <row r="1455" spans="12:12">
      <c r="L1455" s="2"/>
    </row>
    <row r="1456" spans="12:12">
      <c r="L1456" s="2"/>
    </row>
    <row r="1457" spans="12:12">
      <c r="L1457" s="2"/>
    </row>
    <row r="1458" spans="12:12">
      <c r="L1458" s="2"/>
    </row>
    <row r="1459" spans="12:12">
      <c r="L1459" s="2"/>
    </row>
    <row r="1460" spans="12:12">
      <c r="L1460" s="2"/>
    </row>
    <row r="1461" spans="12:12">
      <c r="L1461" s="2"/>
    </row>
    <row r="1462" spans="12:12">
      <c r="L1462" s="2"/>
    </row>
    <row r="1463" spans="12:12">
      <c r="L1463" s="2"/>
    </row>
    <row r="1464" spans="12:12">
      <c r="L1464" s="2"/>
    </row>
    <row r="1465" spans="12:12">
      <c r="L1465" s="2"/>
    </row>
    <row r="1466" spans="12:12">
      <c r="L1466" s="2"/>
    </row>
    <row r="1467" spans="12:12">
      <c r="L1467" s="2"/>
    </row>
    <row r="1468" spans="12:12">
      <c r="L1468" s="2"/>
    </row>
    <row r="1469" spans="12:12">
      <c r="L1469" s="2"/>
    </row>
    <row r="1470" spans="12:12">
      <c r="L1470" s="2"/>
    </row>
    <row r="1471" spans="12:12">
      <c r="L1471" s="2"/>
    </row>
    <row r="1472" spans="12:12">
      <c r="L1472" s="2"/>
    </row>
    <row r="1473" spans="12:12">
      <c r="L1473" s="2"/>
    </row>
    <row r="1474" spans="12:12">
      <c r="L1474" s="2"/>
    </row>
    <row r="1475" spans="12:12">
      <c r="L1475" s="2"/>
    </row>
    <row r="1476" spans="12:12">
      <c r="L1476" s="2"/>
    </row>
    <row r="1477" spans="12:12">
      <c r="L1477" s="2"/>
    </row>
    <row r="1478" spans="12:12">
      <c r="L1478" s="2"/>
    </row>
    <row r="1479" spans="12:12">
      <c r="L1479" s="2"/>
    </row>
    <row r="1480" spans="12:12">
      <c r="L1480" s="2"/>
    </row>
    <row r="1481" spans="12:12">
      <c r="L1481" s="2"/>
    </row>
    <row r="1482" spans="12:12">
      <c r="L1482" s="2"/>
    </row>
    <row r="1483" spans="12:12">
      <c r="L1483" s="2"/>
    </row>
    <row r="1484" spans="12:12">
      <c r="L1484" s="2"/>
    </row>
    <row r="1485" spans="12:12">
      <c r="L1485" s="2"/>
    </row>
    <row r="1486" spans="12:12">
      <c r="L1486" s="2"/>
    </row>
    <row r="1487" spans="12:12">
      <c r="L1487" s="2"/>
    </row>
    <row r="1488" spans="12:12">
      <c r="L1488" s="2"/>
    </row>
    <row r="1489" spans="12:12">
      <c r="L1489" s="2"/>
    </row>
    <row r="1490" spans="12:12">
      <c r="L1490" s="2"/>
    </row>
    <row r="1491" spans="12:12">
      <c r="L1491" s="2"/>
    </row>
    <row r="1492" spans="12:12">
      <c r="L1492" s="2"/>
    </row>
    <row r="1493" spans="12:12">
      <c r="L1493" s="2"/>
    </row>
    <row r="1494" spans="12:12">
      <c r="L1494" s="2"/>
    </row>
    <row r="1495" spans="12:12">
      <c r="L1495" s="2"/>
    </row>
    <row r="1496" spans="12:12">
      <c r="L1496" s="2"/>
    </row>
    <row r="1497" spans="12:12">
      <c r="L1497" s="2"/>
    </row>
    <row r="1498" spans="12:12">
      <c r="L1498" s="2"/>
    </row>
    <row r="1499" spans="12:12">
      <c r="L1499" s="2"/>
    </row>
    <row r="1500" spans="12:12">
      <c r="L1500" s="2"/>
    </row>
    <row r="1501" spans="12:12">
      <c r="L1501" s="2"/>
    </row>
    <row r="1502" spans="12:12">
      <c r="L1502" s="2"/>
    </row>
    <row r="1503" spans="12:12">
      <c r="L1503" s="2"/>
    </row>
    <row r="1504" spans="12:12">
      <c r="L1504" s="2"/>
    </row>
    <row r="1505" spans="12:12">
      <c r="L1505" s="2"/>
    </row>
    <row r="1506" spans="12:12">
      <c r="L1506" s="2"/>
    </row>
    <row r="1507" spans="12:12">
      <c r="L1507" s="2"/>
    </row>
    <row r="1508" spans="12:12">
      <c r="L1508" s="2"/>
    </row>
    <row r="1509" spans="12:12">
      <c r="L1509" s="2"/>
    </row>
    <row r="1510" spans="12:12">
      <c r="L1510" s="2"/>
    </row>
    <row r="1511" spans="12:12">
      <c r="L1511" s="2"/>
    </row>
    <row r="1512" spans="12:12">
      <c r="L1512" s="2"/>
    </row>
    <row r="1513" spans="12:12">
      <c r="L1513" s="2"/>
    </row>
    <row r="1514" spans="12:12">
      <c r="L1514" s="2"/>
    </row>
    <row r="1515" spans="12:12">
      <c r="L1515" s="2"/>
    </row>
    <row r="1516" spans="12:12">
      <c r="L1516" s="2"/>
    </row>
    <row r="1517" spans="12:12">
      <c r="L1517" s="2"/>
    </row>
    <row r="1518" spans="12:12">
      <c r="L1518" s="2"/>
    </row>
    <row r="1519" spans="12:12">
      <c r="L1519" s="2"/>
    </row>
    <row r="1520" spans="12:12">
      <c r="L1520" s="2"/>
    </row>
    <row r="1521" spans="12:12">
      <c r="L1521" s="2"/>
    </row>
    <row r="1522" spans="12:12">
      <c r="L1522" s="2"/>
    </row>
    <row r="1523" spans="12:12">
      <c r="L1523" s="2"/>
    </row>
    <row r="1524" spans="12:12">
      <c r="L1524" s="2"/>
    </row>
    <row r="1525" spans="12:12">
      <c r="L1525" s="2"/>
    </row>
    <row r="1526" spans="12:12">
      <c r="L1526" s="2"/>
    </row>
    <row r="1527" spans="12:12">
      <c r="L1527" s="2"/>
    </row>
    <row r="1528" spans="12:12">
      <c r="L1528" s="2"/>
    </row>
    <row r="1529" spans="12:12">
      <c r="L1529" s="2"/>
    </row>
    <row r="1530" spans="12:12">
      <c r="L1530" s="2"/>
    </row>
    <row r="1531" spans="12:12">
      <c r="L1531" s="2"/>
    </row>
    <row r="1532" spans="12:12">
      <c r="L1532" s="2"/>
    </row>
    <row r="1533" spans="12:12">
      <c r="L1533" s="2"/>
    </row>
    <row r="1534" spans="12:12">
      <c r="L1534" s="2"/>
    </row>
    <row r="1535" spans="12:12">
      <c r="L1535" s="2"/>
    </row>
    <row r="1536" spans="12:12">
      <c r="L1536" s="2"/>
    </row>
    <row r="1537" spans="12:12">
      <c r="L1537" s="2"/>
    </row>
    <row r="1538" spans="12:12">
      <c r="L1538" s="2"/>
    </row>
    <row r="1539" spans="12:12">
      <c r="L1539" s="2"/>
    </row>
    <row r="1540" spans="12:12">
      <c r="L1540" s="2"/>
    </row>
    <row r="1541" spans="12:12">
      <c r="L1541" s="2"/>
    </row>
    <row r="1542" spans="12:12">
      <c r="L1542" s="2"/>
    </row>
    <row r="1543" spans="12:12">
      <c r="L1543" s="2"/>
    </row>
    <row r="1544" spans="12:12">
      <c r="L1544" s="2"/>
    </row>
    <row r="1545" spans="12:12">
      <c r="L1545" s="2"/>
    </row>
    <row r="1546" spans="12:12">
      <c r="L1546" s="2"/>
    </row>
    <row r="1547" spans="12:12">
      <c r="L1547" s="2"/>
    </row>
    <row r="1548" spans="12:12">
      <c r="L1548" s="2"/>
    </row>
    <row r="1549" spans="12:12">
      <c r="L1549" s="2"/>
    </row>
    <row r="1550" spans="12:12">
      <c r="L1550" s="2"/>
    </row>
    <row r="1551" spans="12:12">
      <c r="L1551" s="2"/>
    </row>
    <row r="1552" spans="12:12">
      <c r="L1552" s="2"/>
    </row>
    <row r="1553" spans="12:12">
      <c r="L1553" s="2"/>
    </row>
    <row r="1554" spans="12:12">
      <c r="L1554" s="2"/>
    </row>
    <row r="1555" spans="12:12">
      <c r="L1555" s="2"/>
    </row>
    <row r="1556" spans="12:12">
      <c r="L1556" s="2"/>
    </row>
    <row r="1557" spans="12:12">
      <c r="L1557" s="2"/>
    </row>
    <row r="1558" spans="12:12">
      <c r="L1558" s="2"/>
    </row>
    <row r="1559" spans="12:12">
      <c r="L1559" s="2"/>
    </row>
    <row r="1560" spans="12:12">
      <c r="L1560" s="2"/>
    </row>
    <row r="1561" spans="12:12">
      <c r="L1561" s="2"/>
    </row>
    <row r="1562" spans="12:12">
      <c r="L1562" s="2"/>
    </row>
    <row r="1563" spans="12:12">
      <c r="L1563" s="2"/>
    </row>
    <row r="1564" spans="12:12">
      <c r="L1564" s="2"/>
    </row>
    <row r="1565" spans="12:12">
      <c r="L1565" s="2"/>
    </row>
    <row r="1566" spans="12:12">
      <c r="L1566" s="2"/>
    </row>
    <row r="1567" spans="12:12">
      <c r="L1567" s="2"/>
    </row>
    <row r="1568" spans="12:12">
      <c r="L1568" s="2"/>
    </row>
    <row r="1569" spans="12:12">
      <c r="L1569" s="2"/>
    </row>
    <row r="1570" spans="12:12">
      <c r="L1570" s="2"/>
    </row>
    <row r="1571" spans="12:12">
      <c r="L1571" s="2"/>
    </row>
    <row r="1572" spans="12:12">
      <c r="L1572" s="2"/>
    </row>
    <row r="1573" spans="12:12">
      <c r="L1573" s="2"/>
    </row>
    <row r="1574" spans="12:12">
      <c r="L1574" s="2"/>
    </row>
    <row r="1575" spans="12:12">
      <c r="L1575" s="2"/>
    </row>
    <row r="1576" spans="12:12">
      <c r="L1576" s="2"/>
    </row>
    <row r="1577" spans="12:12">
      <c r="L1577" s="2"/>
    </row>
    <row r="1578" spans="12:12">
      <c r="L1578" s="2"/>
    </row>
    <row r="1579" spans="12:12">
      <c r="L1579" s="2"/>
    </row>
    <row r="1580" spans="12:12">
      <c r="L1580" s="2"/>
    </row>
    <row r="1581" spans="12:12">
      <c r="L1581" s="2"/>
    </row>
    <row r="1582" spans="12:12">
      <c r="L1582" s="2"/>
    </row>
    <row r="1583" spans="12:12">
      <c r="L1583" s="2"/>
    </row>
    <row r="1584" spans="12:12">
      <c r="L1584" s="2"/>
    </row>
    <row r="1585" spans="12:12">
      <c r="L1585" s="2"/>
    </row>
    <row r="1586" spans="12:12">
      <c r="L1586" s="2"/>
    </row>
    <row r="1587" spans="12:12">
      <c r="L1587" s="2"/>
    </row>
    <row r="1588" spans="12:12">
      <c r="L1588" s="2"/>
    </row>
    <row r="1589" spans="12:12">
      <c r="L1589" s="2"/>
    </row>
    <row r="1590" spans="12:12">
      <c r="L1590" s="2"/>
    </row>
    <row r="1591" spans="12:12">
      <c r="L1591" s="2"/>
    </row>
    <row r="1592" spans="12:12">
      <c r="L1592" s="2"/>
    </row>
    <row r="1593" spans="12:12">
      <c r="L1593" s="2"/>
    </row>
    <row r="1594" spans="12:12">
      <c r="L1594" s="2"/>
    </row>
    <row r="1595" spans="12:12">
      <c r="L1595" s="2"/>
    </row>
    <row r="1596" spans="12:12">
      <c r="L1596" s="2"/>
    </row>
    <row r="1597" spans="12:12">
      <c r="L1597" s="2"/>
    </row>
    <row r="1598" spans="12:12">
      <c r="L1598" s="2"/>
    </row>
    <row r="1599" spans="12:12">
      <c r="L1599" s="2"/>
    </row>
    <row r="1600" spans="12:12">
      <c r="L1600" s="2"/>
    </row>
    <row r="1601" spans="12:12">
      <c r="L1601" s="2"/>
    </row>
    <row r="1602" spans="12:12">
      <c r="L1602" s="2"/>
    </row>
    <row r="1603" spans="12:12">
      <c r="L1603" s="2"/>
    </row>
    <row r="1604" spans="12:12">
      <c r="L1604" s="2"/>
    </row>
    <row r="1605" spans="12:12">
      <c r="L1605" s="2"/>
    </row>
    <row r="1606" spans="12:12">
      <c r="L1606" s="2"/>
    </row>
    <row r="1607" spans="12:12">
      <c r="L1607" s="2"/>
    </row>
    <row r="1608" spans="12:12">
      <c r="L1608" s="2"/>
    </row>
    <row r="1609" spans="12:12">
      <c r="L1609" s="2"/>
    </row>
    <row r="1610" spans="12:12">
      <c r="L1610" s="2"/>
    </row>
    <row r="1611" spans="12:12">
      <c r="L1611" s="2"/>
    </row>
    <row r="1612" spans="12:12">
      <c r="L1612" s="2"/>
    </row>
    <row r="1613" spans="12:12">
      <c r="L1613" s="2"/>
    </row>
    <row r="1614" spans="12:12">
      <c r="L1614" s="2"/>
    </row>
    <row r="1615" spans="12:12">
      <c r="L1615" s="2"/>
    </row>
    <row r="1616" spans="12:12">
      <c r="L1616" s="2"/>
    </row>
    <row r="1617" spans="12:12">
      <c r="L1617" s="2"/>
    </row>
    <row r="1618" spans="12:12">
      <c r="L1618" s="2"/>
    </row>
    <row r="1619" spans="12:12">
      <c r="L1619" s="2"/>
    </row>
    <row r="1620" spans="12:12">
      <c r="L1620" s="2"/>
    </row>
    <row r="1621" spans="12:12">
      <c r="L1621" s="2"/>
    </row>
    <row r="1622" spans="12:12">
      <c r="L1622" s="2"/>
    </row>
    <row r="1623" spans="12:12">
      <c r="L1623" s="2"/>
    </row>
    <row r="1624" spans="12:12">
      <c r="L1624" s="2"/>
    </row>
    <row r="1625" spans="12:12">
      <c r="L1625" s="2"/>
    </row>
    <row r="1626" spans="12:12">
      <c r="L1626" s="2"/>
    </row>
    <row r="1627" spans="12:12">
      <c r="L1627" s="2"/>
    </row>
    <row r="1628" spans="12:12">
      <c r="L1628" s="2"/>
    </row>
    <row r="1629" spans="12:12">
      <c r="L1629" s="2"/>
    </row>
    <row r="1630" spans="12:12">
      <c r="L1630" s="2"/>
    </row>
    <row r="1631" spans="12:12">
      <c r="L1631" s="2"/>
    </row>
    <row r="1632" spans="12:12">
      <c r="L1632" s="2"/>
    </row>
    <row r="1633" spans="12:12">
      <c r="L1633" s="2"/>
    </row>
    <row r="1634" spans="12:12">
      <c r="L1634" s="2"/>
    </row>
    <row r="1635" spans="12:12">
      <c r="L1635" s="2"/>
    </row>
    <row r="1636" spans="12:12">
      <c r="L1636" s="2"/>
    </row>
    <row r="1637" spans="12:12">
      <c r="L1637" s="2"/>
    </row>
    <row r="1638" spans="12:12">
      <c r="L1638" s="2"/>
    </row>
    <row r="1639" spans="12:12">
      <c r="L1639" s="2"/>
    </row>
    <row r="1640" spans="12:12">
      <c r="L1640" s="2"/>
    </row>
    <row r="1641" spans="12:12">
      <c r="L1641" s="2"/>
    </row>
    <row r="1642" spans="12:12">
      <c r="L1642" s="2"/>
    </row>
    <row r="1643" spans="12:12">
      <c r="L1643" s="2"/>
    </row>
    <row r="1644" spans="12:12">
      <c r="L1644" s="2"/>
    </row>
    <row r="1645" spans="12:12">
      <c r="L1645" s="2"/>
    </row>
    <row r="1646" spans="12:12">
      <c r="L1646" s="2"/>
    </row>
    <row r="1647" spans="12:12">
      <c r="L1647" s="2"/>
    </row>
    <row r="1648" spans="12:12">
      <c r="L1648" s="2"/>
    </row>
    <row r="1649" spans="12:12">
      <c r="L1649" s="2"/>
    </row>
    <row r="1650" spans="12:12">
      <c r="L1650" s="2"/>
    </row>
    <row r="1651" spans="12:12">
      <c r="L1651" s="2"/>
    </row>
    <row r="1652" spans="12:12">
      <c r="L1652" s="2"/>
    </row>
    <row r="1653" spans="12:12">
      <c r="L1653" s="2"/>
    </row>
    <row r="1654" spans="12:12">
      <c r="L1654" s="2"/>
    </row>
    <row r="1655" spans="12:12">
      <c r="L1655" s="2"/>
    </row>
    <row r="1656" spans="12:12">
      <c r="L1656" s="2"/>
    </row>
    <row r="1657" spans="12:12">
      <c r="L1657" s="2"/>
    </row>
    <row r="1658" spans="12:12">
      <c r="L1658" s="2"/>
    </row>
    <row r="1659" spans="12:12">
      <c r="L1659" s="2"/>
    </row>
    <row r="1660" spans="12:12">
      <c r="L1660" s="2"/>
    </row>
    <row r="1661" spans="12:12">
      <c r="L1661" s="2"/>
    </row>
    <row r="1662" spans="12:12">
      <c r="L1662" s="2"/>
    </row>
    <row r="1663" spans="12:12">
      <c r="L1663" s="2"/>
    </row>
    <row r="1664" spans="12:12">
      <c r="L1664" s="2"/>
    </row>
    <row r="1665" spans="12:12">
      <c r="L1665" s="2"/>
    </row>
    <row r="1666" spans="12:12">
      <c r="L1666" s="2"/>
    </row>
    <row r="1667" spans="12:12">
      <c r="L1667" s="2"/>
    </row>
    <row r="1668" spans="12:12">
      <c r="L1668" s="2"/>
    </row>
    <row r="1669" spans="12:12">
      <c r="L1669" s="2"/>
    </row>
    <row r="1670" spans="12:12">
      <c r="L1670" s="2"/>
    </row>
    <row r="1671" spans="12:12">
      <c r="L1671" s="2"/>
    </row>
    <row r="1672" spans="12:12">
      <c r="L1672" s="2"/>
    </row>
    <row r="1673" spans="12:12">
      <c r="L1673" s="2"/>
    </row>
    <row r="1674" spans="12:12">
      <c r="L1674" s="2"/>
    </row>
    <row r="1675" spans="12:12">
      <c r="L1675" s="2"/>
    </row>
    <row r="1676" spans="12:12">
      <c r="L1676" s="2"/>
    </row>
    <row r="1677" spans="12:12">
      <c r="L1677" s="2"/>
    </row>
    <row r="1678" spans="12:12">
      <c r="L1678" s="2"/>
    </row>
    <row r="1679" spans="12:12">
      <c r="L1679" s="2"/>
    </row>
    <row r="1680" spans="12:12">
      <c r="L1680" s="2"/>
    </row>
    <row r="1681" spans="12:12">
      <c r="L1681" s="2"/>
    </row>
    <row r="1682" spans="12:12">
      <c r="L1682" s="2"/>
    </row>
    <row r="1683" spans="12:12">
      <c r="L1683" s="2"/>
    </row>
    <row r="1684" spans="12:12">
      <c r="L1684" s="2"/>
    </row>
    <row r="1685" spans="12:12">
      <c r="L1685" s="2"/>
    </row>
    <row r="1686" spans="12:12">
      <c r="L1686" s="2"/>
    </row>
    <row r="1687" spans="12:12">
      <c r="L1687" s="2"/>
    </row>
    <row r="1688" spans="12:12">
      <c r="L1688" s="2"/>
    </row>
    <row r="1689" spans="12:12">
      <c r="L1689" s="2"/>
    </row>
    <row r="1690" spans="12:12">
      <c r="L1690" s="2"/>
    </row>
    <row r="1691" spans="12:12">
      <c r="L1691" s="2"/>
    </row>
    <row r="1692" spans="12:12">
      <c r="L1692" s="2"/>
    </row>
    <row r="1693" spans="12:12">
      <c r="L1693" s="2"/>
    </row>
    <row r="1694" spans="12:12">
      <c r="L1694" s="2"/>
    </row>
    <row r="1695" spans="12:12">
      <c r="L1695" s="2"/>
    </row>
    <row r="1696" spans="12:12">
      <c r="L1696" s="2"/>
    </row>
    <row r="1697" spans="12:12">
      <c r="L1697" s="2"/>
    </row>
    <row r="1698" spans="12:12">
      <c r="L1698" s="2"/>
    </row>
    <row r="1699" spans="12:12">
      <c r="L1699" s="2"/>
    </row>
    <row r="1700" spans="12:12">
      <c r="L1700" s="2"/>
    </row>
    <row r="1701" spans="12:12">
      <c r="L1701" s="2"/>
    </row>
    <row r="1702" spans="12:12">
      <c r="L1702" s="2"/>
    </row>
    <row r="1703" spans="12:12">
      <c r="L1703" s="2"/>
    </row>
    <row r="1704" spans="12:12">
      <c r="L1704" s="2"/>
    </row>
    <row r="1705" spans="12:12">
      <c r="L1705" s="2"/>
    </row>
    <row r="1706" spans="12:12">
      <c r="L1706" s="2"/>
    </row>
    <row r="1707" spans="12:12">
      <c r="L1707" s="2"/>
    </row>
    <row r="1708" spans="12:12">
      <c r="L1708" s="2"/>
    </row>
    <row r="1709" spans="12:12">
      <c r="L1709" s="2"/>
    </row>
    <row r="1710" spans="12:12">
      <c r="L1710" s="2"/>
    </row>
    <row r="1711" spans="12:12">
      <c r="L1711" s="2"/>
    </row>
    <row r="1712" spans="12:12">
      <c r="L1712" s="2"/>
    </row>
    <row r="1713" spans="12:12">
      <c r="L1713" s="2"/>
    </row>
    <row r="1714" spans="12:12">
      <c r="L1714" s="2"/>
    </row>
    <row r="1715" spans="12:12">
      <c r="L1715" s="2"/>
    </row>
    <row r="1716" spans="12:12">
      <c r="L1716" s="2"/>
    </row>
    <row r="1717" spans="12:12">
      <c r="L1717" s="2"/>
    </row>
    <row r="1718" spans="12:12">
      <c r="L1718" s="2"/>
    </row>
    <row r="1719" spans="12:12">
      <c r="L1719" s="2"/>
    </row>
    <row r="1720" spans="12:12">
      <c r="L1720" s="2"/>
    </row>
    <row r="1721" spans="12:12">
      <c r="L1721" s="2"/>
    </row>
    <row r="1722" spans="12:12">
      <c r="L1722" s="2"/>
    </row>
    <row r="1723" spans="12:12">
      <c r="L1723" s="2"/>
    </row>
    <row r="1724" spans="12:12">
      <c r="L1724" s="2"/>
    </row>
    <row r="1725" spans="12:12">
      <c r="L1725" s="2"/>
    </row>
    <row r="1726" spans="12:12">
      <c r="L1726" s="2"/>
    </row>
    <row r="1727" spans="12:12">
      <c r="L1727" s="2"/>
    </row>
    <row r="1728" spans="12:12">
      <c r="L1728" s="2"/>
    </row>
    <row r="1729" spans="12:12">
      <c r="L1729" s="2"/>
    </row>
    <row r="1730" spans="12:12">
      <c r="L1730" s="2"/>
    </row>
    <row r="1731" spans="12:12">
      <c r="L1731" s="2"/>
    </row>
    <row r="1732" spans="12:12">
      <c r="L1732" s="2"/>
    </row>
    <row r="1733" spans="12:12">
      <c r="L1733" s="2"/>
    </row>
    <row r="1734" spans="12:12">
      <c r="L1734" s="2"/>
    </row>
    <row r="1735" spans="12:12">
      <c r="L1735" s="2"/>
    </row>
    <row r="1736" spans="12:12">
      <c r="L1736" s="2"/>
    </row>
    <row r="1737" spans="12:12">
      <c r="L1737" s="2"/>
    </row>
    <row r="1738" spans="12:12">
      <c r="L1738" s="2"/>
    </row>
    <row r="1739" spans="12:12">
      <c r="L1739" s="2"/>
    </row>
    <row r="1740" spans="12:12">
      <c r="L1740" s="2"/>
    </row>
    <row r="1741" spans="12:12">
      <c r="L1741" s="2"/>
    </row>
    <row r="1742" spans="12:12">
      <c r="L1742" s="2"/>
    </row>
    <row r="1743" spans="12:12">
      <c r="L1743" s="2"/>
    </row>
    <row r="1744" spans="12:12">
      <c r="L1744" s="2"/>
    </row>
    <row r="1745" spans="12:12">
      <c r="L1745" s="2"/>
    </row>
    <row r="1746" spans="12:12">
      <c r="L1746" s="2"/>
    </row>
    <row r="1747" spans="12:12">
      <c r="L1747" s="2"/>
    </row>
    <row r="1748" spans="12:12">
      <c r="L1748" s="2"/>
    </row>
    <row r="1749" spans="12:12">
      <c r="L1749" s="2"/>
    </row>
    <row r="1750" spans="12:12">
      <c r="L1750" s="2"/>
    </row>
    <row r="1751" spans="12:12">
      <c r="L1751" s="2"/>
    </row>
    <row r="1752" spans="12:12">
      <c r="L1752" s="2"/>
    </row>
    <row r="1753" spans="12:12">
      <c r="L1753" s="2"/>
    </row>
    <row r="1754" spans="12:12">
      <c r="L1754" s="2"/>
    </row>
    <row r="1755" spans="12:12">
      <c r="L1755" s="2"/>
    </row>
    <row r="1756" spans="12:12">
      <c r="L1756" s="2"/>
    </row>
    <row r="1757" spans="12:12">
      <c r="L1757" s="2"/>
    </row>
    <row r="1758" spans="12:12">
      <c r="L1758" s="2"/>
    </row>
    <row r="1759" spans="12:12">
      <c r="L1759" s="2"/>
    </row>
    <row r="1760" spans="12:12">
      <c r="L1760" s="2"/>
    </row>
    <row r="1761" spans="12:12">
      <c r="L1761" s="2"/>
    </row>
    <row r="1762" spans="12:12">
      <c r="L1762" s="2"/>
    </row>
    <row r="1763" spans="12:12">
      <c r="L1763" s="2"/>
    </row>
    <row r="1764" spans="12:12">
      <c r="L1764" s="2"/>
    </row>
    <row r="1765" spans="12:12">
      <c r="L1765" s="2"/>
    </row>
    <row r="1766" spans="12:12">
      <c r="L1766" s="2"/>
    </row>
    <row r="1767" spans="12:12">
      <c r="L1767" s="2"/>
    </row>
    <row r="1768" spans="12:12">
      <c r="L1768" s="2"/>
    </row>
    <row r="1769" spans="12:12">
      <c r="L1769" s="2"/>
    </row>
    <row r="1770" spans="12:12">
      <c r="L1770" s="2"/>
    </row>
    <row r="1771" spans="12:12">
      <c r="L1771" s="2"/>
    </row>
    <row r="1772" spans="12:12">
      <c r="L1772" s="2"/>
    </row>
    <row r="1773" spans="12:12">
      <c r="L1773" s="2"/>
    </row>
    <row r="1774" spans="12:12">
      <c r="L1774" s="2"/>
    </row>
    <row r="1775" spans="12:12">
      <c r="L1775" s="2"/>
    </row>
    <row r="1776" spans="12:12">
      <c r="L1776" s="2"/>
    </row>
    <row r="1777" spans="12:12">
      <c r="L1777" s="2"/>
    </row>
    <row r="1778" spans="12:12">
      <c r="L1778" s="2"/>
    </row>
    <row r="1779" spans="12:12">
      <c r="L1779" s="2"/>
    </row>
    <row r="1780" spans="12:12">
      <c r="L1780" s="2"/>
    </row>
    <row r="1781" spans="12:12">
      <c r="L1781" s="2"/>
    </row>
    <row r="1782" spans="12:12">
      <c r="L1782" s="2"/>
    </row>
    <row r="1783" spans="12:12">
      <c r="L1783" s="2"/>
    </row>
    <row r="1784" spans="12:12">
      <c r="L1784" s="2"/>
    </row>
    <row r="1785" spans="12:12">
      <c r="L1785" s="2"/>
    </row>
    <row r="1786" spans="12:12">
      <c r="L1786" s="2"/>
    </row>
    <row r="1787" spans="12:12">
      <c r="L1787" s="2"/>
    </row>
    <row r="1788" spans="12:12">
      <c r="L1788" s="2"/>
    </row>
    <row r="1789" spans="12:12">
      <c r="L1789" s="2"/>
    </row>
    <row r="1790" spans="12:12">
      <c r="L1790" s="2"/>
    </row>
    <row r="1791" spans="12:12">
      <c r="L1791" s="2"/>
    </row>
    <row r="1792" spans="12:12">
      <c r="L1792" s="2"/>
    </row>
    <row r="1793" spans="12:12">
      <c r="L1793" s="2"/>
    </row>
    <row r="1794" spans="12:12">
      <c r="L1794" s="2"/>
    </row>
    <row r="1795" spans="12:12">
      <c r="L1795" s="2"/>
    </row>
    <row r="1796" spans="12:12">
      <c r="L1796" s="2"/>
    </row>
    <row r="1797" spans="12:12">
      <c r="L1797" s="2"/>
    </row>
    <row r="1798" spans="12:12">
      <c r="L1798" s="2"/>
    </row>
    <row r="1799" spans="12:12">
      <c r="L1799" s="2"/>
    </row>
    <row r="1800" spans="12:12">
      <c r="L1800" s="2"/>
    </row>
    <row r="1801" spans="12:12">
      <c r="L1801" s="2"/>
    </row>
    <row r="1802" spans="12:12">
      <c r="L1802" s="2"/>
    </row>
    <row r="1803" spans="12:12">
      <c r="L1803" s="2"/>
    </row>
    <row r="1804" spans="12:12">
      <c r="L1804" s="2"/>
    </row>
    <row r="1805" spans="12:12">
      <c r="L1805" s="2"/>
    </row>
    <row r="1806" spans="12:12">
      <c r="L1806" s="2"/>
    </row>
    <row r="1807" spans="12:12">
      <c r="L1807" s="2"/>
    </row>
    <row r="1808" spans="12:12">
      <c r="L1808" s="2"/>
    </row>
    <row r="1809" spans="12:12">
      <c r="L1809" s="2"/>
    </row>
    <row r="1810" spans="12:12">
      <c r="L1810" s="2"/>
    </row>
    <row r="1811" spans="12:12">
      <c r="L1811" s="2"/>
    </row>
    <row r="1812" spans="12:12">
      <c r="L1812" s="2"/>
    </row>
    <row r="1813" spans="12:12">
      <c r="L1813" s="2"/>
    </row>
    <row r="1814" spans="12:12">
      <c r="L1814" s="2"/>
    </row>
    <row r="1815" spans="12:12">
      <c r="L1815" s="2"/>
    </row>
    <row r="1816" spans="12:12">
      <c r="L1816" s="2"/>
    </row>
    <row r="1817" spans="12:12">
      <c r="L1817" s="2"/>
    </row>
    <row r="1818" spans="12:12">
      <c r="L1818" s="2"/>
    </row>
    <row r="1819" spans="12:12">
      <c r="L1819" s="2"/>
    </row>
    <row r="1820" spans="12:12">
      <c r="L1820" s="2"/>
    </row>
    <row r="1821" spans="12:12">
      <c r="L1821" s="2"/>
    </row>
    <row r="1822" spans="12:12">
      <c r="L1822" s="2"/>
    </row>
    <row r="1823" spans="12:12">
      <c r="L1823" s="2"/>
    </row>
    <row r="1824" spans="12:12">
      <c r="L1824" s="2"/>
    </row>
    <row r="1825" spans="12:12">
      <c r="L1825" s="2"/>
    </row>
    <row r="1826" spans="12:12">
      <c r="L1826" s="2"/>
    </row>
    <row r="1827" spans="12:12">
      <c r="L1827" s="2"/>
    </row>
    <row r="1828" spans="12:12">
      <c r="L1828" s="2"/>
    </row>
    <row r="1829" spans="12:12">
      <c r="L1829" s="2"/>
    </row>
    <row r="1830" spans="12:12">
      <c r="L1830" s="2"/>
    </row>
    <row r="1831" spans="12:12">
      <c r="L1831" s="2"/>
    </row>
    <row r="1832" spans="12:12">
      <c r="L1832" s="2"/>
    </row>
    <row r="1833" spans="12:12">
      <c r="L1833" s="2"/>
    </row>
    <row r="1834" spans="12:12">
      <c r="L1834" s="2"/>
    </row>
    <row r="1835" spans="12:12">
      <c r="L1835" s="2"/>
    </row>
    <row r="1836" spans="12:12">
      <c r="L1836" s="2"/>
    </row>
    <row r="1837" spans="12:12">
      <c r="L1837" s="2"/>
    </row>
    <row r="1838" spans="12:12">
      <c r="L1838" s="2"/>
    </row>
    <row r="1839" spans="12:12">
      <c r="L1839" s="2"/>
    </row>
    <row r="1840" spans="12:12">
      <c r="L1840" s="2"/>
    </row>
    <row r="1841" spans="12:12">
      <c r="L1841" s="2"/>
    </row>
    <row r="1842" spans="12:12">
      <c r="L1842" s="2"/>
    </row>
    <row r="1843" spans="12:12">
      <c r="L1843" s="2"/>
    </row>
    <row r="1844" spans="12:12">
      <c r="L1844" s="2"/>
    </row>
    <row r="1845" spans="12:12">
      <c r="L1845" s="2"/>
    </row>
    <row r="1846" spans="12:12">
      <c r="L1846" s="2"/>
    </row>
    <row r="1847" spans="12:12">
      <c r="L1847" s="2"/>
    </row>
    <row r="1848" spans="12:12">
      <c r="L1848" s="2"/>
    </row>
    <row r="1849" spans="12:12">
      <c r="L1849" s="2"/>
    </row>
    <row r="1850" spans="12:12">
      <c r="L1850" s="2"/>
    </row>
    <row r="1851" spans="12:12">
      <c r="L1851" s="2"/>
    </row>
    <row r="1852" spans="12:12">
      <c r="L1852" s="2"/>
    </row>
    <row r="1853" spans="12:12">
      <c r="L1853" s="2"/>
    </row>
    <row r="1854" spans="12:12">
      <c r="L1854" s="2"/>
    </row>
    <row r="1855" spans="12:12">
      <c r="L1855" s="2"/>
    </row>
    <row r="1856" spans="12:12">
      <c r="L1856" s="2"/>
    </row>
    <row r="1857" spans="12:12">
      <c r="L1857" s="2"/>
    </row>
    <row r="1858" spans="12:12">
      <c r="L1858" s="2"/>
    </row>
    <row r="1859" spans="12:12">
      <c r="L1859" s="2"/>
    </row>
    <row r="1860" spans="12:12">
      <c r="L1860" s="2"/>
    </row>
    <row r="1861" spans="12:12">
      <c r="L1861" s="2"/>
    </row>
    <row r="1862" spans="12:12">
      <c r="L1862" s="2"/>
    </row>
    <row r="1863" spans="12:12">
      <c r="L1863" s="2"/>
    </row>
    <row r="1864" spans="12:12">
      <c r="L1864" s="2"/>
    </row>
    <row r="1865" spans="12:12">
      <c r="L1865" s="2"/>
    </row>
    <row r="1866" spans="12:12">
      <c r="L1866" s="2"/>
    </row>
    <row r="1867" spans="12:12">
      <c r="L1867" s="2"/>
    </row>
    <row r="1868" spans="12:12">
      <c r="L1868" s="2"/>
    </row>
    <row r="1869" spans="12:12">
      <c r="L1869" s="2"/>
    </row>
    <row r="1870" spans="12:12">
      <c r="L1870" s="2"/>
    </row>
    <row r="1871" spans="12:12">
      <c r="L1871" s="2"/>
    </row>
    <row r="1872" spans="12:12">
      <c r="L1872" s="2"/>
    </row>
    <row r="1873" spans="12:12">
      <c r="L1873" s="2"/>
    </row>
    <row r="1874" spans="12:12">
      <c r="L1874" s="2"/>
    </row>
    <row r="1875" spans="12:12">
      <c r="L1875" s="2"/>
    </row>
    <row r="1876" spans="12:12">
      <c r="L1876" s="2"/>
    </row>
    <row r="1877" spans="12:12">
      <c r="L1877" s="2"/>
    </row>
    <row r="1878" spans="12:12">
      <c r="L1878" s="2"/>
    </row>
    <row r="1879" spans="12:12">
      <c r="L1879" s="2"/>
    </row>
    <row r="1880" spans="12:12">
      <c r="L1880" s="2"/>
    </row>
    <row r="1881" spans="12:12">
      <c r="L1881" s="2"/>
    </row>
    <row r="1882" spans="12:12">
      <c r="L1882" s="2"/>
    </row>
    <row r="1883" spans="12:12">
      <c r="L1883" s="2"/>
    </row>
    <row r="1884" spans="12:12">
      <c r="L1884" s="2"/>
    </row>
    <row r="1885" spans="12:12">
      <c r="L1885" s="2"/>
    </row>
    <row r="1886" spans="12:12">
      <c r="L1886" s="2"/>
    </row>
    <row r="1887" spans="12:12">
      <c r="L1887" s="2"/>
    </row>
    <row r="1888" spans="12:12">
      <c r="L1888" s="2"/>
    </row>
    <row r="1889" spans="12:12">
      <c r="L1889" s="2"/>
    </row>
    <row r="1890" spans="12:12">
      <c r="L1890" s="2"/>
    </row>
    <row r="1891" spans="12:12">
      <c r="L1891" s="2"/>
    </row>
    <row r="1892" spans="12:12">
      <c r="L1892" s="2"/>
    </row>
    <row r="1893" spans="12:12">
      <c r="L1893" s="2"/>
    </row>
    <row r="1894" spans="12:12">
      <c r="L1894" s="2"/>
    </row>
    <row r="1895" spans="12:12">
      <c r="L1895" s="2"/>
    </row>
    <row r="1896" spans="12:12">
      <c r="L1896" s="2"/>
    </row>
    <row r="1897" spans="12:12">
      <c r="L1897" s="2"/>
    </row>
    <row r="1898" spans="12:12">
      <c r="L1898" s="2"/>
    </row>
    <row r="1899" spans="12:12">
      <c r="L1899" s="2"/>
    </row>
    <row r="1900" spans="12:12">
      <c r="L1900" s="2"/>
    </row>
    <row r="1901" spans="12:12">
      <c r="L1901" s="2"/>
    </row>
    <row r="1902" spans="12:12">
      <c r="L1902" s="2"/>
    </row>
    <row r="1903" spans="12:12">
      <c r="L1903" s="2"/>
    </row>
    <row r="1904" spans="12:12">
      <c r="L1904" s="2"/>
    </row>
    <row r="1905" spans="12:12">
      <c r="L1905" s="2"/>
    </row>
    <row r="1906" spans="12:12">
      <c r="L1906" s="2"/>
    </row>
    <row r="1907" spans="12:12">
      <c r="L1907" s="2"/>
    </row>
    <row r="1908" spans="12:12">
      <c r="L1908" s="2"/>
    </row>
    <row r="1909" spans="12:12">
      <c r="L1909" s="2"/>
    </row>
    <row r="1910" spans="12:12">
      <c r="L1910" s="2"/>
    </row>
    <row r="1911" spans="12:12">
      <c r="L1911" s="2"/>
    </row>
    <row r="1912" spans="12:12">
      <c r="L1912" s="2"/>
    </row>
    <row r="1913" spans="12:12">
      <c r="L1913" s="2"/>
    </row>
    <row r="1914" spans="12:12">
      <c r="L1914" s="2"/>
    </row>
    <row r="1915" spans="12:12">
      <c r="L1915" s="2"/>
    </row>
    <row r="1916" spans="12:12">
      <c r="L1916" s="2"/>
    </row>
    <row r="1917" spans="12:12">
      <c r="L1917" s="2"/>
    </row>
    <row r="1918" spans="12:12">
      <c r="L1918" s="2"/>
    </row>
    <row r="1919" spans="12:12">
      <c r="L1919" s="2"/>
    </row>
    <row r="1920" spans="12:12">
      <c r="L1920" s="2"/>
    </row>
    <row r="1921" spans="12:12">
      <c r="L1921" s="2"/>
    </row>
    <row r="1922" spans="12:12">
      <c r="L1922" s="2"/>
    </row>
    <row r="1923" spans="12:12">
      <c r="L1923" s="2"/>
    </row>
    <row r="1924" spans="12:12">
      <c r="L1924" s="2"/>
    </row>
    <row r="1925" spans="12:12">
      <c r="L1925" s="2"/>
    </row>
    <row r="1926" spans="12:12">
      <c r="L1926" s="2"/>
    </row>
    <row r="1927" spans="12:12">
      <c r="L1927" s="2"/>
    </row>
    <row r="1928" spans="12:12">
      <c r="L1928" s="2"/>
    </row>
    <row r="1929" spans="12:12">
      <c r="L1929" s="2"/>
    </row>
    <row r="1930" spans="12:12">
      <c r="L1930" s="2"/>
    </row>
    <row r="1931" spans="12:12">
      <c r="L1931" s="2"/>
    </row>
    <row r="1932" spans="12:12">
      <c r="L1932" s="2"/>
    </row>
    <row r="1933" spans="12:12">
      <c r="L1933" s="2"/>
    </row>
    <row r="1934" spans="12:12">
      <c r="L1934" s="2"/>
    </row>
    <row r="1935" spans="12:12">
      <c r="L1935" s="2"/>
    </row>
    <row r="1936" spans="12:12">
      <c r="L1936" s="2"/>
    </row>
    <row r="1937" spans="12:12">
      <c r="L1937" s="2"/>
    </row>
    <row r="1938" spans="12:12">
      <c r="L1938" s="2"/>
    </row>
    <row r="1939" spans="12:12">
      <c r="L1939" s="2"/>
    </row>
    <row r="1940" spans="12:12">
      <c r="L1940" s="2"/>
    </row>
    <row r="1941" spans="12:12">
      <c r="L1941" s="2"/>
    </row>
    <row r="1942" spans="12:12">
      <c r="L1942" s="2"/>
    </row>
    <row r="1943" spans="12:12">
      <c r="L1943" s="2"/>
    </row>
    <row r="1944" spans="12:12">
      <c r="L1944" s="2"/>
    </row>
    <row r="1945" spans="12:12">
      <c r="L1945" s="2"/>
    </row>
    <row r="1946" spans="12:12">
      <c r="L1946" s="2"/>
    </row>
    <row r="1947" spans="12:12">
      <c r="L1947" s="2"/>
    </row>
    <row r="1948" spans="12:12">
      <c r="L1948" s="2"/>
    </row>
    <row r="1949" spans="12:12">
      <c r="L1949" s="2"/>
    </row>
    <row r="1950" spans="12:12">
      <c r="L1950" s="2"/>
    </row>
    <row r="1951" spans="12:12">
      <c r="L1951" s="2"/>
    </row>
    <row r="1952" spans="12:12">
      <c r="L1952" s="2"/>
    </row>
    <row r="1953" spans="12:12">
      <c r="L1953" s="2"/>
    </row>
    <row r="1954" spans="12:12">
      <c r="L1954" s="2"/>
    </row>
    <row r="1955" spans="12:12">
      <c r="L1955" s="2"/>
    </row>
    <row r="1956" spans="12:12">
      <c r="L1956" s="2"/>
    </row>
    <row r="1957" spans="12:12">
      <c r="L1957" s="2"/>
    </row>
    <row r="1958" spans="12:12">
      <c r="L1958" s="2"/>
    </row>
    <row r="1959" spans="12:12">
      <c r="L1959" s="2"/>
    </row>
    <row r="1960" spans="12:12">
      <c r="L1960" s="2"/>
    </row>
    <row r="1961" spans="12:12">
      <c r="L1961" s="2"/>
    </row>
    <row r="1962" spans="12:12">
      <c r="L1962" s="2"/>
    </row>
    <row r="1963" spans="12:12">
      <c r="L1963" s="2"/>
    </row>
    <row r="1964" spans="12:12">
      <c r="L1964" s="2"/>
    </row>
    <row r="1965" spans="12:12">
      <c r="L1965" s="2"/>
    </row>
    <row r="1966" spans="12:12">
      <c r="L1966" s="2"/>
    </row>
    <row r="1967" spans="12:12">
      <c r="L1967" s="2"/>
    </row>
    <row r="1968" spans="12:12">
      <c r="L1968" s="2"/>
    </row>
    <row r="1969" spans="12:12">
      <c r="L1969" s="2"/>
    </row>
    <row r="1970" spans="12:12">
      <c r="L1970" s="2"/>
    </row>
    <row r="1971" spans="12:12">
      <c r="L1971" s="2"/>
    </row>
    <row r="1972" spans="12:12">
      <c r="L1972" s="2"/>
    </row>
    <row r="1973" spans="12:12">
      <c r="L1973" s="2"/>
    </row>
    <row r="1974" spans="12:12">
      <c r="L1974" s="2"/>
    </row>
    <row r="1975" spans="12:12">
      <c r="L1975" s="2"/>
    </row>
    <row r="1976" spans="12:12">
      <c r="L1976" s="2"/>
    </row>
    <row r="1977" spans="12:12">
      <c r="L1977" s="2"/>
    </row>
    <row r="1978" spans="12:12">
      <c r="L1978" s="2"/>
    </row>
    <row r="1979" spans="12:12">
      <c r="L1979" s="2"/>
    </row>
    <row r="1980" spans="12:12">
      <c r="L1980" s="2"/>
    </row>
    <row r="1981" spans="12:12">
      <c r="L1981" s="2"/>
    </row>
    <row r="1982" spans="12:12">
      <c r="L1982" s="2"/>
    </row>
    <row r="1983" spans="12:12">
      <c r="L1983" s="2"/>
    </row>
    <row r="1984" spans="12:12">
      <c r="L1984" s="2"/>
    </row>
    <row r="1985" spans="12:12">
      <c r="L1985" s="2"/>
    </row>
    <row r="1986" spans="12:12">
      <c r="L1986" s="2"/>
    </row>
    <row r="1987" spans="12:12">
      <c r="L1987" s="2"/>
    </row>
    <row r="1988" spans="12:12">
      <c r="L1988" s="2"/>
    </row>
    <row r="1989" spans="12:12">
      <c r="L1989" s="2"/>
    </row>
    <row r="1990" spans="12:12">
      <c r="L1990" s="2"/>
    </row>
    <row r="1991" spans="12:12">
      <c r="L1991" s="2"/>
    </row>
    <row r="1992" spans="12:12">
      <c r="L1992" s="2"/>
    </row>
    <row r="1993" spans="12:12">
      <c r="L1993" s="2"/>
    </row>
    <row r="1994" spans="12:12">
      <c r="L1994" s="2"/>
    </row>
    <row r="1995" spans="12:12">
      <c r="L1995" s="2"/>
    </row>
    <row r="1996" spans="12:12">
      <c r="L1996" s="2"/>
    </row>
    <row r="1997" spans="12:12">
      <c r="L1997" s="2"/>
    </row>
    <row r="1998" spans="12:12">
      <c r="L1998" s="2"/>
    </row>
    <row r="1999" spans="12:12">
      <c r="L1999" s="2"/>
    </row>
    <row r="2000" spans="12:12">
      <c r="L2000" s="2"/>
    </row>
    <row r="2001" spans="12:12">
      <c r="L2001" s="2"/>
    </row>
    <row r="2002" spans="12:12">
      <c r="L2002" s="2"/>
    </row>
    <row r="2003" spans="12:12">
      <c r="L2003" s="2"/>
    </row>
    <row r="2004" spans="12:12">
      <c r="L2004" s="2"/>
    </row>
    <row r="2005" spans="12:12">
      <c r="L2005" s="2"/>
    </row>
    <row r="2006" spans="12:12">
      <c r="L2006" s="2"/>
    </row>
    <row r="2007" spans="12:12">
      <c r="L2007" s="2"/>
    </row>
    <row r="2008" spans="12:12">
      <c r="L2008" s="2"/>
    </row>
    <row r="2009" spans="12:12">
      <c r="L2009" s="2"/>
    </row>
    <row r="2010" spans="12:12">
      <c r="L2010" s="2"/>
    </row>
    <row r="2011" spans="12:12">
      <c r="L2011" s="2"/>
    </row>
    <row r="2012" spans="12:12">
      <c r="L2012" s="2"/>
    </row>
    <row r="2013" spans="12:12">
      <c r="L2013" s="2"/>
    </row>
    <row r="2014" spans="12:12">
      <c r="L2014" s="2"/>
    </row>
    <row r="2015" spans="12:12">
      <c r="L2015" s="2"/>
    </row>
    <row r="2016" spans="12:12">
      <c r="L2016" s="2"/>
    </row>
    <row r="2017" spans="12:12">
      <c r="L2017" s="2"/>
    </row>
    <row r="2018" spans="12:12">
      <c r="L2018" s="2"/>
    </row>
    <row r="2019" spans="12:12">
      <c r="L2019" s="2"/>
    </row>
    <row r="2020" spans="12:12">
      <c r="L2020" s="2"/>
    </row>
    <row r="2021" spans="12:12">
      <c r="L2021" s="2"/>
    </row>
    <row r="2022" spans="12:12">
      <c r="L2022" s="2"/>
    </row>
    <row r="2023" spans="12:12">
      <c r="L2023" s="2"/>
    </row>
    <row r="2024" spans="12:12">
      <c r="L2024" s="2"/>
    </row>
    <row r="2025" spans="12:12">
      <c r="L2025" s="2"/>
    </row>
    <row r="2026" spans="12:12">
      <c r="L2026" s="2"/>
    </row>
    <row r="2027" spans="12:12">
      <c r="L2027" s="2"/>
    </row>
    <row r="2028" spans="12:12">
      <c r="L2028" s="2"/>
    </row>
    <row r="2029" spans="12:12">
      <c r="L2029" s="2"/>
    </row>
    <row r="2030" spans="12:12">
      <c r="L2030" s="2"/>
    </row>
    <row r="2031" spans="12:12">
      <c r="L2031" s="2"/>
    </row>
    <row r="2032" spans="12:12">
      <c r="L2032" s="2"/>
    </row>
    <row r="2033" spans="12:12">
      <c r="L2033" s="2"/>
    </row>
    <row r="2034" spans="12:12">
      <c r="L2034" s="2"/>
    </row>
    <row r="2035" spans="12:12">
      <c r="L2035" s="2"/>
    </row>
    <row r="2036" spans="12:12">
      <c r="L2036" s="2"/>
    </row>
    <row r="2037" spans="12:12">
      <c r="L2037" s="2"/>
    </row>
    <row r="2038" spans="12:12">
      <c r="L2038" s="2"/>
    </row>
    <row r="2039" spans="12:12">
      <c r="L2039" s="2"/>
    </row>
    <row r="2040" spans="12:12">
      <c r="L2040" s="2"/>
    </row>
    <row r="2041" spans="12:12">
      <c r="L2041" s="2"/>
    </row>
    <row r="2042" spans="12:12">
      <c r="L2042" s="2"/>
    </row>
    <row r="2043" spans="12:12">
      <c r="L2043" s="2"/>
    </row>
    <row r="2044" spans="12:12">
      <c r="L2044" s="2"/>
    </row>
    <row r="2045" spans="12:12">
      <c r="L2045" s="2"/>
    </row>
    <row r="2046" spans="12:12">
      <c r="L2046" s="2"/>
    </row>
    <row r="2047" spans="12:12">
      <c r="L2047" s="2"/>
    </row>
    <row r="2048" spans="12:12">
      <c r="L2048" s="2"/>
    </row>
    <row r="2049" spans="12:12">
      <c r="L2049" s="2"/>
    </row>
    <row r="2050" spans="12:12">
      <c r="L2050" s="2"/>
    </row>
    <row r="2051" spans="12:12">
      <c r="L2051" s="2"/>
    </row>
    <row r="2052" spans="12:12">
      <c r="L2052" s="2"/>
    </row>
    <row r="2053" spans="12:12">
      <c r="L2053" s="2"/>
    </row>
    <row r="2054" spans="12:12">
      <c r="L2054" s="2"/>
    </row>
    <row r="2055" spans="12:12">
      <c r="L2055" s="2"/>
    </row>
    <row r="2056" spans="12:12">
      <c r="L2056" s="2"/>
    </row>
    <row r="2057" spans="12:12">
      <c r="L2057" s="2"/>
    </row>
    <row r="2058" spans="12:12">
      <c r="L2058" s="2"/>
    </row>
    <row r="2059" spans="12:12">
      <c r="L2059" s="2"/>
    </row>
    <row r="2060" spans="12:12">
      <c r="L2060" s="2"/>
    </row>
    <row r="2061" spans="12:12">
      <c r="L2061" s="2"/>
    </row>
    <row r="2062" spans="12:12">
      <c r="L2062" s="2"/>
    </row>
    <row r="2063" spans="12:12">
      <c r="L2063" s="2"/>
    </row>
    <row r="2064" spans="12:12">
      <c r="L2064" s="2"/>
    </row>
    <row r="2065" spans="12:12">
      <c r="L2065" s="2"/>
    </row>
    <row r="2066" spans="12:12">
      <c r="L2066" s="2"/>
    </row>
    <row r="2067" spans="12:12">
      <c r="L2067" s="2"/>
    </row>
    <row r="2068" spans="12:12">
      <c r="L2068" s="2"/>
    </row>
    <row r="2069" spans="12:12">
      <c r="L2069" s="2"/>
    </row>
    <row r="2070" spans="12:12">
      <c r="L2070" s="2"/>
    </row>
    <row r="2071" spans="12:12">
      <c r="L2071" s="2"/>
    </row>
    <row r="2072" spans="12:12">
      <c r="L2072" s="2"/>
    </row>
    <row r="2073" spans="12:12">
      <c r="L2073" s="2"/>
    </row>
    <row r="2074" spans="12:12">
      <c r="L2074" s="2"/>
    </row>
    <row r="2075" spans="12:12">
      <c r="L2075" s="2"/>
    </row>
    <row r="2076" spans="12:12">
      <c r="L2076" s="2"/>
    </row>
    <row r="2077" spans="12:12">
      <c r="L2077" s="2"/>
    </row>
    <row r="2078" spans="12:12">
      <c r="L2078" s="2"/>
    </row>
    <row r="2079" spans="12:12">
      <c r="L2079" s="2"/>
    </row>
    <row r="2080" spans="12:12">
      <c r="L2080" s="2"/>
    </row>
    <row r="2081" spans="12:12">
      <c r="L2081" s="2"/>
    </row>
    <row r="2082" spans="12:12">
      <c r="L2082" s="2"/>
    </row>
    <row r="2083" spans="12:12">
      <c r="L2083" s="2"/>
    </row>
    <row r="2084" spans="12:12">
      <c r="L2084" s="2"/>
    </row>
    <row r="2085" spans="12:12">
      <c r="L2085" s="2"/>
    </row>
    <row r="2086" spans="12:12">
      <c r="L2086" s="2"/>
    </row>
    <row r="2087" spans="12:12">
      <c r="L2087" s="2"/>
    </row>
    <row r="2088" spans="12:12">
      <c r="L2088" s="2"/>
    </row>
    <row r="2089" spans="12:12">
      <c r="L2089" s="2"/>
    </row>
    <row r="2090" spans="12:12">
      <c r="L2090" s="2"/>
    </row>
    <row r="2091" spans="12:12">
      <c r="L2091" s="2"/>
    </row>
    <row r="2092" spans="12:12">
      <c r="L2092" s="2"/>
    </row>
    <row r="2093" spans="12:12">
      <c r="L2093" s="2"/>
    </row>
    <row r="2094" spans="12:12">
      <c r="L2094" s="2"/>
    </row>
    <row r="2095" spans="12:12">
      <c r="L2095" s="2"/>
    </row>
    <row r="2096" spans="12:12">
      <c r="L2096" s="2"/>
    </row>
    <row r="2097" spans="12:12">
      <c r="L2097" s="2"/>
    </row>
    <row r="2098" spans="12:12">
      <c r="L2098" s="2"/>
    </row>
    <row r="2099" spans="12:12">
      <c r="L2099" s="2"/>
    </row>
    <row r="2100" spans="12:12">
      <c r="L2100" s="2"/>
    </row>
    <row r="2101" spans="12:12">
      <c r="L2101" s="2"/>
    </row>
    <row r="2102" spans="12:12">
      <c r="L2102" s="2"/>
    </row>
    <row r="2103" spans="12:12">
      <c r="L2103" s="2"/>
    </row>
    <row r="2104" spans="12:12">
      <c r="L2104" s="2"/>
    </row>
    <row r="2105" spans="12:12">
      <c r="L2105" s="2"/>
    </row>
    <row r="2106" spans="12:12">
      <c r="L2106" s="2"/>
    </row>
    <row r="2107" spans="12:12">
      <c r="L2107" s="2"/>
    </row>
    <row r="2108" spans="12:12">
      <c r="L2108" s="2"/>
    </row>
    <row r="2109" spans="12:12">
      <c r="L2109" s="2"/>
    </row>
    <row r="2110" spans="12:12">
      <c r="L2110" s="2"/>
    </row>
    <row r="2111" spans="12:12">
      <c r="L2111" s="2"/>
    </row>
    <row r="2112" spans="12:12">
      <c r="L2112" s="2"/>
    </row>
    <row r="2113" spans="12:12">
      <c r="L2113" s="2"/>
    </row>
    <row r="2114" spans="12:12">
      <c r="L2114" s="2"/>
    </row>
    <row r="2115" spans="12:12">
      <c r="L2115" s="2"/>
    </row>
    <row r="2116" spans="12:12">
      <c r="L2116" s="2"/>
    </row>
    <row r="2117" spans="12:12">
      <c r="L2117" s="2"/>
    </row>
    <row r="2118" spans="12:12">
      <c r="L2118" s="2"/>
    </row>
    <row r="2119" spans="12:12">
      <c r="L2119" s="2"/>
    </row>
    <row r="2120" spans="12:12">
      <c r="L2120" s="2"/>
    </row>
    <row r="2121" spans="12:12">
      <c r="L2121" s="2"/>
    </row>
    <row r="2122" spans="12:12">
      <c r="L2122" s="2"/>
    </row>
    <row r="2123" spans="12:12">
      <c r="L2123" s="2"/>
    </row>
    <row r="2124" spans="12:12">
      <c r="L2124" s="2"/>
    </row>
    <row r="2125" spans="12:12">
      <c r="L2125" s="2"/>
    </row>
    <row r="2126" spans="12:12">
      <c r="L2126" s="2"/>
    </row>
    <row r="2127" spans="12:12">
      <c r="L2127" s="2"/>
    </row>
    <row r="2128" spans="12:12">
      <c r="L2128" s="2"/>
    </row>
    <row r="2129" spans="12:12">
      <c r="L2129" s="2"/>
    </row>
    <row r="2130" spans="12:12">
      <c r="L2130" s="2"/>
    </row>
    <row r="2131" spans="12:12">
      <c r="L2131" s="2"/>
    </row>
    <row r="2132" spans="12:12">
      <c r="L2132" s="2"/>
    </row>
    <row r="2133" spans="12:12">
      <c r="L2133" s="2"/>
    </row>
    <row r="2134" spans="12:12">
      <c r="L2134" s="2"/>
    </row>
    <row r="2135" spans="12:12">
      <c r="L2135" s="2"/>
    </row>
    <row r="2136" spans="12:12">
      <c r="L2136" s="2"/>
    </row>
    <row r="2137" spans="12:12">
      <c r="L2137" s="2"/>
    </row>
    <row r="2138" spans="12:12">
      <c r="L2138" s="2"/>
    </row>
    <row r="2139" spans="12:12">
      <c r="L2139" s="2"/>
    </row>
    <row r="2140" spans="12:12">
      <c r="L2140" s="2"/>
    </row>
    <row r="2141" spans="12:12">
      <c r="L2141" s="2"/>
    </row>
    <row r="2142" spans="12:12">
      <c r="L2142" s="2"/>
    </row>
    <row r="2143" spans="12:12">
      <c r="L2143" s="2"/>
    </row>
    <row r="2144" spans="12:12">
      <c r="L2144" s="2"/>
    </row>
    <row r="2145" spans="12:12">
      <c r="L2145" s="2"/>
    </row>
    <row r="2146" spans="12:12">
      <c r="L2146" s="2"/>
    </row>
    <row r="2147" spans="12:12">
      <c r="L2147" s="2"/>
    </row>
    <row r="2148" spans="12:12">
      <c r="L2148" s="2"/>
    </row>
    <row r="2149" spans="12:12">
      <c r="L2149" s="2"/>
    </row>
    <row r="2150" spans="12:12">
      <c r="L2150" s="2"/>
    </row>
    <row r="2151" spans="12:12">
      <c r="L2151" s="2"/>
    </row>
    <row r="2152" spans="12:12">
      <c r="L2152" s="2"/>
    </row>
    <row r="2153" spans="12:12">
      <c r="L2153" s="2"/>
    </row>
    <row r="2154" spans="12:12">
      <c r="L2154" s="2"/>
    </row>
    <row r="2155" spans="12:12">
      <c r="L2155" s="2"/>
    </row>
    <row r="2156" spans="12:12">
      <c r="L2156" s="2"/>
    </row>
    <row r="2157" spans="12:12">
      <c r="L2157" s="2"/>
    </row>
    <row r="2158" spans="12:12">
      <c r="L2158" s="2"/>
    </row>
    <row r="2159" spans="12:12">
      <c r="L2159" s="2"/>
    </row>
    <row r="2160" spans="12:12">
      <c r="L2160" s="2"/>
    </row>
    <row r="2161" spans="12:12">
      <c r="L2161" s="2"/>
    </row>
    <row r="2162" spans="12:12">
      <c r="L2162" s="2"/>
    </row>
    <row r="2163" spans="12:12">
      <c r="L2163" s="2"/>
    </row>
    <row r="2164" spans="12:12">
      <c r="L2164" s="2"/>
    </row>
    <row r="2165" spans="12:12">
      <c r="L2165" s="2"/>
    </row>
    <row r="2166" spans="12:12">
      <c r="L2166" s="2"/>
    </row>
    <row r="2167" spans="12:12">
      <c r="L2167" s="2"/>
    </row>
    <row r="2168" spans="12:12">
      <c r="L2168" s="2"/>
    </row>
    <row r="2169" spans="12:12">
      <c r="L2169" s="2"/>
    </row>
    <row r="2170" spans="12:12">
      <c r="L2170" s="2"/>
    </row>
    <row r="2171" spans="12:12">
      <c r="L2171" s="2"/>
    </row>
    <row r="2172" spans="12:12">
      <c r="L2172" s="2"/>
    </row>
    <row r="2173" spans="12:12">
      <c r="L2173" s="2"/>
    </row>
    <row r="2174" spans="12:12">
      <c r="L2174" s="2"/>
    </row>
    <row r="2175" spans="12:12">
      <c r="L2175" s="2"/>
    </row>
    <row r="2176" spans="12:12">
      <c r="L2176" s="2"/>
    </row>
    <row r="2177" spans="12:12">
      <c r="L2177" s="2"/>
    </row>
    <row r="2178" spans="12:12">
      <c r="L2178" s="2"/>
    </row>
    <row r="2179" spans="12:12">
      <c r="L2179" s="2"/>
    </row>
    <row r="2180" spans="12:12">
      <c r="L2180" s="2"/>
    </row>
    <row r="2181" spans="12:12">
      <c r="L2181" s="2"/>
    </row>
    <row r="2182" spans="12:12">
      <c r="L2182" s="2"/>
    </row>
    <row r="2183" spans="12:12">
      <c r="L2183" s="2"/>
    </row>
    <row r="2184" spans="12:12">
      <c r="L2184" s="2"/>
    </row>
    <row r="2185" spans="12:12">
      <c r="L2185" s="2"/>
    </row>
    <row r="2186" spans="12:12">
      <c r="L2186" s="2"/>
    </row>
    <row r="2187" spans="12:12">
      <c r="L2187" s="2"/>
    </row>
    <row r="2188" spans="12:12">
      <c r="L2188" s="2"/>
    </row>
    <row r="2189" spans="12:12">
      <c r="L2189" s="2"/>
    </row>
    <row r="2190" spans="12:12">
      <c r="L2190" s="2"/>
    </row>
    <row r="2191" spans="12:12">
      <c r="L2191" s="2"/>
    </row>
    <row r="2192" spans="12:12">
      <c r="L2192" s="2"/>
    </row>
    <row r="2193" spans="12:12">
      <c r="L2193" s="2"/>
    </row>
    <row r="2194" spans="12:12">
      <c r="L2194" s="2"/>
    </row>
    <row r="2195" spans="12:12">
      <c r="L2195" s="2"/>
    </row>
    <row r="2196" spans="12:12">
      <c r="L2196" s="2"/>
    </row>
    <row r="2197" spans="12:12">
      <c r="L2197" s="2"/>
    </row>
    <row r="2198" spans="12:12">
      <c r="L2198" s="2"/>
    </row>
    <row r="2199" spans="12:12">
      <c r="L2199" s="2"/>
    </row>
    <row r="2200" spans="12:12">
      <c r="L2200" s="2"/>
    </row>
    <row r="2201" spans="12:12">
      <c r="L2201" s="2"/>
    </row>
    <row r="2202" spans="12:12">
      <c r="L2202" s="2"/>
    </row>
    <row r="2203" spans="12:12">
      <c r="L2203" s="2"/>
    </row>
    <row r="2204" spans="12:12">
      <c r="L2204" s="2"/>
    </row>
    <row r="2205" spans="12:12">
      <c r="L2205" s="2"/>
    </row>
    <row r="2206" spans="12:12">
      <c r="L2206" s="2"/>
    </row>
    <row r="2207" spans="12:12">
      <c r="L2207" s="2"/>
    </row>
    <row r="2208" spans="12:12">
      <c r="L2208" s="2"/>
    </row>
    <row r="2209" spans="12:12">
      <c r="L2209" s="2"/>
    </row>
    <row r="2210" spans="12:12">
      <c r="L2210" s="2"/>
    </row>
    <row r="2211" spans="12:12">
      <c r="L2211" s="2"/>
    </row>
    <row r="2212" spans="12:12">
      <c r="L2212" s="2"/>
    </row>
    <row r="2213" spans="12:12">
      <c r="L2213" s="2"/>
    </row>
    <row r="2214" spans="12:12">
      <c r="L2214" s="2"/>
    </row>
    <row r="2215" spans="12:12">
      <c r="L2215" s="2"/>
    </row>
    <row r="2216" spans="12:12">
      <c r="L2216" s="2"/>
    </row>
    <row r="2217" spans="12:12">
      <c r="L2217" s="2"/>
    </row>
    <row r="2218" spans="12:12">
      <c r="L2218" s="2"/>
    </row>
    <row r="2219" spans="12:12">
      <c r="L2219" s="2"/>
    </row>
    <row r="2220" spans="12:12">
      <c r="L2220" s="2"/>
    </row>
    <row r="2221" spans="12:12">
      <c r="L2221" s="2"/>
    </row>
    <row r="2222" spans="12:12">
      <c r="L2222" s="2"/>
    </row>
    <row r="2223" spans="12:12">
      <c r="L2223" s="2"/>
    </row>
    <row r="2224" spans="12:12">
      <c r="L2224" s="2"/>
    </row>
    <row r="2225" spans="12:12">
      <c r="L2225" s="2"/>
    </row>
    <row r="2226" spans="12:12">
      <c r="L2226" s="2"/>
    </row>
    <row r="2227" spans="12:12">
      <c r="L2227" s="2"/>
    </row>
    <row r="2228" spans="12:12">
      <c r="L2228" s="2"/>
    </row>
    <row r="2229" spans="12:12">
      <c r="L2229" s="2"/>
    </row>
    <row r="2230" spans="12:12">
      <c r="L2230" s="2"/>
    </row>
    <row r="2231" spans="12:12">
      <c r="L2231" s="2"/>
    </row>
    <row r="2232" spans="12:12">
      <c r="L2232" s="2"/>
    </row>
    <row r="2233" spans="12:12">
      <c r="L2233" s="2"/>
    </row>
    <row r="2234" spans="12:12">
      <c r="L2234" s="2"/>
    </row>
    <row r="2235" spans="12:12">
      <c r="L2235" s="2"/>
    </row>
    <row r="2236" spans="12:12">
      <c r="L2236" s="2"/>
    </row>
    <row r="2237" spans="12:12">
      <c r="L2237" s="2"/>
    </row>
    <row r="2238" spans="12:12">
      <c r="L2238" s="2"/>
    </row>
    <row r="2239" spans="12:12">
      <c r="L2239" s="2"/>
    </row>
    <row r="2240" spans="12:12">
      <c r="L2240" s="2"/>
    </row>
    <row r="2241" spans="12:12">
      <c r="L22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2" spans="12:12">
      <c r="L22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3" spans="12:12">
      <c r="L22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4" spans="12:12">
      <c r="L22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5" spans="12:12">
      <c r="L22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6" spans="12:12">
      <c r="L22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7" spans="12:12">
      <c r="L22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8" spans="12:12">
      <c r="L22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9" spans="12:12">
      <c r="L22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0" spans="12:12">
      <c r="L22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1" spans="12:12">
      <c r="L22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2" spans="12:12">
      <c r="L22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3" spans="12:12">
      <c r="L22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4" spans="12:12">
      <c r="L22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5" spans="12:12">
      <c r="L22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6" spans="12:12">
      <c r="L22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7" spans="12:12">
      <c r="L22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8" spans="12:12">
      <c r="L22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9" spans="12:12">
      <c r="L22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0" spans="12:12">
      <c r="L22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1" spans="12:12">
      <c r="L22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2" spans="12:12">
      <c r="L22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3" spans="12:12">
      <c r="L22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4" spans="12:12">
      <c r="L22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5" spans="12:12">
      <c r="L22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6" spans="12:12">
      <c r="L22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7" spans="12:12">
      <c r="L22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8" spans="12:12">
      <c r="L22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9" spans="12:12">
      <c r="L22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0" spans="12:12">
      <c r="L22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1" spans="12:12">
      <c r="L22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2" spans="12:12">
      <c r="L22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3" spans="12:12">
      <c r="L22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4" spans="12:12">
      <c r="L22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5" spans="12:12">
      <c r="L22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6" spans="12:12">
      <c r="L22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7" spans="12:12">
      <c r="L22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8" spans="12:12">
      <c r="L22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9" spans="12:12">
      <c r="L22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0" spans="12:12">
      <c r="L22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1" spans="12:12">
      <c r="L22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2" spans="12:12">
      <c r="L22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3" spans="12:12">
      <c r="L22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4" spans="12:12">
      <c r="L22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5" spans="12:12">
      <c r="L22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6" spans="12:12">
      <c r="L22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7" spans="12:12">
      <c r="L22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8" spans="12:12">
      <c r="L22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9" spans="12:12">
      <c r="L22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0" spans="12:12">
      <c r="L22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1" spans="12:12">
      <c r="L22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2" spans="12:12">
      <c r="L22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3" spans="12:12">
      <c r="L22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4" spans="12:12">
      <c r="L22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5" spans="12:12">
      <c r="L22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6" spans="12:12">
      <c r="L22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7" spans="12:12">
      <c r="L22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8" spans="12:12">
      <c r="L22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9" spans="12:12">
      <c r="L22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0" spans="12:12">
      <c r="L23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1" spans="12:12">
      <c r="L23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2" spans="12:12">
      <c r="L23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3" spans="12:12">
      <c r="L23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4" spans="12:12">
      <c r="L23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5" spans="12:12">
      <c r="L23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6" spans="12:12">
      <c r="L23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7" spans="12:12">
      <c r="L23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8" spans="12:12">
      <c r="L23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9" spans="12:12">
      <c r="L23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0" spans="12:12">
      <c r="L23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1" spans="12:12">
      <c r="L23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2" spans="12:12">
      <c r="L23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3" spans="12:12">
      <c r="L23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4" spans="12:12">
      <c r="L23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5" spans="12:12">
      <c r="L23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6" spans="12:12">
      <c r="L23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7" spans="12:12">
      <c r="L23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8" spans="12:12">
      <c r="L23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9" spans="12:12">
      <c r="L23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0" spans="12:12">
      <c r="L23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1" spans="12:12">
      <c r="L23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2" spans="12:12">
      <c r="L23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3" spans="12:12">
      <c r="L23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4" spans="12:12">
      <c r="L23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5" spans="12:12">
      <c r="L23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6" spans="12:12">
      <c r="L23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7" spans="12:12">
      <c r="L23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8" spans="12:12">
      <c r="L23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9" spans="12:12">
      <c r="L23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0" spans="12:12">
      <c r="L23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1" spans="12:12">
      <c r="L23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2" spans="12:12">
      <c r="L23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3" spans="12:12">
      <c r="L23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4" spans="12:12">
      <c r="L23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5" spans="12:12">
      <c r="L23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6" spans="12:12">
      <c r="L23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7" spans="12:12">
      <c r="L23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8" spans="12:12">
      <c r="L23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9" spans="12:12">
      <c r="L23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0" spans="12:12">
      <c r="L23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1" spans="12:12">
      <c r="L23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2" spans="12:12">
      <c r="L23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3" spans="12:12">
      <c r="L23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4" spans="12:12">
      <c r="L23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5" spans="12:12">
      <c r="L23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6" spans="12:12">
      <c r="L23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7" spans="12:12">
      <c r="L23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8" spans="12:12">
      <c r="L23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9" spans="12:12">
      <c r="L23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0" spans="12:12">
      <c r="L23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1" spans="12:12">
      <c r="L23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2" spans="12:12">
      <c r="L23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3" spans="12:12">
      <c r="L23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4" spans="12:12">
      <c r="L23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5" spans="12:12">
      <c r="L23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6" spans="12:12">
      <c r="L23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7" spans="12:12">
      <c r="L23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8" spans="12:12">
      <c r="L23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9" spans="12:12">
      <c r="L23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0" spans="12:12">
      <c r="L23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1" spans="12:12">
      <c r="L23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2" spans="12:12">
      <c r="L23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3" spans="12:12">
      <c r="L23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4" spans="12:12">
      <c r="L23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5" spans="12:12">
      <c r="L23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6" spans="12:12">
      <c r="L23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7" spans="12:12">
      <c r="L23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8" spans="12:12">
      <c r="L23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9" spans="12:12">
      <c r="L23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0" spans="12:12">
      <c r="L23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1" spans="12:12">
      <c r="L23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2" spans="12:12">
      <c r="L23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3" spans="12:12">
      <c r="L23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4" spans="12:12">
      <c r="L23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5" spans="12:12">
      <c r="L23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6" spans="12:12">
      <c r="L23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7" spans="12:12">
      <c r="L23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8" spans="12:12">
      <c r="L23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9" spans="12:12">
      <c r="L23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0" spans="12:12">
      <c r="L23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1" spans="12:12">
      <c r="L23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2" spans="12:12">
      <c r="L23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3" spans="12:12">
      <c r="L23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4" spans="12:12">
      <c r="L23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5" spans="12:12">
      <c r="L23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6" spans="12:12">
      <c r="L23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7" spans="12:12">
      <c r="L23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8" spans="12:12">
      <c r="L23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9" spans="12:12">
      <c r="L23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0" spans="12:12">
      <c r="L23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1" spans="12:12">
      <c r="L23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2" spans="12:12">
      <c r="L23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3" spans="12:12">
      <c r="L23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4" spans="12:12">
      <c r="L23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5" spans="12:12">
      <c r="L23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6" spans="12:12">
      <c r="L23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7" spans="12:12">
      <c r="L23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8" spans="12:12">
      <c r="L23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9" spans="12:12">
      <c r="L23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0" spans="12:12">
      <c r="L24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1" spans="12:12">
      <c r="L24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2" spans="12:12">
      <c r="L24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3" spans="12:12">
      <c r="L24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4" spans="12:12">
      <c r="L24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5" spans="12:12">
      <c r="L24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6" spans="12:12">
      <c r="L24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7" spans="12:12">
      <c r="L24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8" spans="12:12">
      <c r="L24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9" spans="12:12">
      <c r="L24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0" spans="12:12">
      <c r="L24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1" spans="12:12">
      <c r="L24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2" spans="12:12">
      <c r="L24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3" spans="12:12">
      <c r="L24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4" spans="12:12">
      <c r="L24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5" spans="12:12">
      <c r="L24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6" spans="12:12">
      <c r="L24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7" spans="12:12">
      <c r="L24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8" spans="12:12">
      <c r="L24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9" spans="12:12">
      <c r="L24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0" spans="12:12">
      <c r="L24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1" spans="12:12">
      <c r="L24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2" spans="12:12">
      <c r="L24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3" spans="12:12">
      <c r="L24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4" spans="12:12">
      <c r="L24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5" spans="12:12">
      <c r="L24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6" spans="12:12">
      <c r="L24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7" spans="12:12">
      <c r="L24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8" spans="12:12">
      <c r="L24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9" spans="12:12">
      <c r="L24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0" spans="12:12">
      <c r="L24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1" spans="12:12">
      <c r="L24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2" spans="12:12">
      <c r="L24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3" spans="12:12">
      <c r="L24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4" spans="12:12">
      <c r="L24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5" spans="12:12">
      <c r="L24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6" spans="12:12">
      <c r="L24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7" spans="12:12">
      <c r="L24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8" spans="12:12">
      <c r="L24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9" spans="12:12">
      <c r="L24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0" spans="12:12">
      <c r="L24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1" spans="12:12">
      <c r="L24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2" spans="12:12">
      <c r="L24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3" spans="12:12">
      <c r="L24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4" spans="12:12">
      <c r="L24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5" spans="12:12">
      <c r="L24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6" spans="12:12">
      <c r="L24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7" spans="12:12">
      <c r="L24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8" spans="12:12">
      <c r="L24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9" spans="12:12">
      <c r="L24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0" spans="12:12">
      <c r="L24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1" spans="12:12">
      <c r="L24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2" spans="12:12">
      <c r="L24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3" spans="12:12">
      <c r="L24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4" spans="12:12">
      <c r="L24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5" spans="12:12">
      <c r="L24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6" spans="12:12">
      <c r="L24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7" spans="12:12">
      <c r="L24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8" spans="12:12">
      <c r="L24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9" spans="12:12">
      <c r="L24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0" spans="12:12">
      <c r="L24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1" spans="12:12">
      <c r="L24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2" spans="12:12">
      <c r="L24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3" spans="12:12">
      <c r="L24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4" spans="12:12">
      <c r="L24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5" spans="12:12">
      <c r="L24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6" spans="12:12">
      <c r="L24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7" spans="12:12">
      <c r="L24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8" spans="12:12">
      <c r="L24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9" spans="12:12">
      <c r="L24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0" spans="12:12">
      <c r="L24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1" spans="12:12">
      <c r="L24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2" spans="12:12">
      <c r="L24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3" spans="12:12">
      <c r="L24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4" spans="12:12">
      <c r="L24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5" spans="12:12">
      <c r="L24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6" spans="12:12">
      <c r="L24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7" spans="12:12">
      <c r="L24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8" spans="12:12">
      <c r="L24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9" spans="12:12">
      <c r="L24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0" spans="12:12">
      <c r="L24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1" spans="12:12">
      <c r="L24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2" spans="12:12">
      <c r="L24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3" spans="12:12">
      <c r="L24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4" spans="12:12">
      <c r="L24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5" spans="12:12">
      <c r="L24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6" spans="12:12">
      <c r="L24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7" spans="12:12">
      <c r="L24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8" spans="12:12">
      <c r="L24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9" spans="12:12">
      <c r="L24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0" spans="12:12">
      <c r="L24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1" spans="12:12">
      <c r="L24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2" spans="12:12">
      <c r="L24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3" spans="12:12">
      <c r="L24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4" spans="12:12">
      <c r="L24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5" spans="12:12">
      <c r="L24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6" spans="12:12">
      <c r="L24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7" spans="12:12">
      <c r="L24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8" spans="12:12">
      <c r="L24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9" spans="12:12">
      <c r="L24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0" spans="12:12">
      <c r="L25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1" spans="12:12">
      <c r="L25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2" spans="12:12">
      <c r="L25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3" spans="12:12">
      <c r="L25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4" spans="12:12">
      <c r="L25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5" spans="12:12">
      <c r="L25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6" spans="12:12">
      <c r="L25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7" spans="12:12">
      <c r="L25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8" spans="12:12">
      <c r="L25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9" spans="12:12">
      <c r="L25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0" spans="12:12">
      <c r="L25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1" spans="12:12">
      <c r="L25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2" spans="12:12">
      <c r="L25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3" spans="12:12">
      <c r="L25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4" spans="12:12">
      <c r="L25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5" spans="12:12">
      <c r="L25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6" spans="12:12">
      <c r="L25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7" spans="12:12">
      <c r="L25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8" spans="12:12">
      <c r="L25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9" spans="12:12">
      <c r="L25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0" spans="12:12">
      <c r="L25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1" spans="12:12">
      <c r="L25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2" spans="12:12">
      <c r="L25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3" spans="12:12">
      <c r="L25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4" spans="12:12">
      <c r="L25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5" spans="12:12">
      <c r="L25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6" spans="12:12">
      <c r="L25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7" spans="12:12">
      <c r="L25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8" spans="12:12">
      <c r="L25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9" spans="12:12">
      <c r="L25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0" spans="12:12">
      <c r="L25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1" spans="12:12">
      <c r="L25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2" spans="12:12">
      <c r="L25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3" spans="12:12">
      <c r="L25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4" spans="12:12">
      <c r="L25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5" spans="12:12">
      <c r="L25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6" spans="12:12">
      <c r="L25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7" spans="12:12">
      <c r="L25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8" spans="12:12">
      <c r="L25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9" spans="12:12">
      <c r="L25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0" spans="12:12">
      <c r="L25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1" spans="12:12">
      <c r="L25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2" spans="12:12">
      <c r="L25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3" spans="12:12">
      <c r="L25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4" spans="12:12">
      <c r="L25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5" spans="12:12">
      <c r="L25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6" spans="12:12">
      <c r="L25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7" spans="12:12">
      <c r="L25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8" spans="12:12">
      <c r="L25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9" spans="12:12">
      <c r="L25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0" spans="12:12">
      <c r="L25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1" spans="12:12">
      <c r="L25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2" spans="12:12">
      <c r="L25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3" spans="12:12">
      <c r="L25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4" spans="12:12">
      <c r="L25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5" spans="12:12">
      <c r="L25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6" spans="12:12">
      <c r="L25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7" spans="12:12">
      <c r="L25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8" spans="12:12">
      <c r="L25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9" spans="12:12">
      <c r="L25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0" spans="12:12">
      <c r="L25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1" spans="12:12">
      <c r="L25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2" spans="12:12">
      <c r="L25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3" spans="12:12">
      <c r="L25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4" spans="12:12">
      <c r="L25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5" spans="12:12">
      <c r="L25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6" spans="12:12">
      <c r="L25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7" spans="12:12">
      <c r="L25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8" spans="12:12">
      <c r="L25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9" spans="12:12">
      <c r="L25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0" spans="12:12">
      <c r="L25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1" spans="12:12">
      <c r="L25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2" spans="12:12">
      <c r="L25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3" spans="12:12">
      <c r="L25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4" spans="12:12">
      <c r="L25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5" spans="12:12">
      <c r="L25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6" spans="12:12">
      <c r="L25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7" spans="12:12">
      <c r="L25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8" spans="12:12">
      <c r="L25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9" spans="12:12">
      <c r="L25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0" spans="12:12">
      <c r="L25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1" spans="12:12">
      <c r="L25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2" spans="12:12">
      <c r="L25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3" spans="12:12">
      <c r="L25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4" spans="12:12">
      <c r="L25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5" spans="12:12">
      <c r="L25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6" spans="12:12">
      <c r="L25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7" spans="12:12">
      <c r="L25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8" spans="12:12">
      <c r="L25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9" spans="12:12">
      <c r="L25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0" spans="12:12">
      <c r="L25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1" spans="12:12">
      <c r="L25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2" spans="12:12">
      <c r="L25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3" spans="12:12">
      <c r="L25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4" spans="12:12">
      <c r="L25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5" spans="12:12">
      <c r="L25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6" spans="12:12">
      <c r="L25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7" spans="12:12">
      <c r="L25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8" spans="12:12">
      <c r="L25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9" spans="12:12">
      <c r="L25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0" spans="12:12">
      <c r="L26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1" spans="12:12">
      <c r="L26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2" spans="12:12">
      <c r="L26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3" spans="12:12">
      <c r="L26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4" spans="12:12">
      <c r="L26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5" spans="12:12">
      <c r="L26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6" spans="12:12">
      <c r="L26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7" spans="12:12">
      <c r="L26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8" spans="12:12">
      <c r="L26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9" spans="12:12">
      <c r="L26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0" spans="12:12">
      <c r="L26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1" spans="12:12">
      <c r="L26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2" spans="12:12">
      <c r="L26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3" spans="12:12">
      <c r="L26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4" spans="12:12">
      <c r="L26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5" spans="12:12">
      <c r="L26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6" spans="12:12">
      <c r="L26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7" spans="12:12">
      <c r="L26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8" spans="12:12">
      <c r="L26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9" spans="12:12">
      <c r="L26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0" spans="12:12">
      <c r="L26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1" spans="12:12">
      <c r="L26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2" spans="12:12">
      <c r="L26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3" spans="12:12">
      <c r="L26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4" spans="12:12">
      <c r="L26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5" spans="12:12">
      <c r="L26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6" spans="12:12">
      <c r="L26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7" spans="12:12">
      <c r="L26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8" spans="12:12">
      <c r="L26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9" spans="12:12">
      <c r="L26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0" spans="12:12">
      <c r="L26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1" spans="12:12">
      <c r="L26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2" spans="12:12">
      <c r="L26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3" spans="12:12">
      <c r="L26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4" spans="12:12">
      <c r="L26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5" spans="12:12">
      <c r="L26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6" spans="12:12">
      <c r="L26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7" spans="12:12">
      <c r="L26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8" spans="12:12">
      <c r="L26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9" spans="12:12">
      <c r="L26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0" spans="12:12">
      <c r="L26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1" spans="12:12">
      <c r="L26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1872-80EC-3C41-8E93-351EA09A122F}">
  <dimension ref="A1:B12"/>
  <sheetViews>
    <sheetView workbookViewId="0">
      <selection activeCell="A3" sqref="A3"/>
    </sheetView>
  </sheetViews>
  <sheetFormatPr baseColWidth="10" defaultRowHeight="16"/>
  <sheetData>
    <row r="1" spans="1:2" ht="21">
      <c r="A1" s="28" t="s">
        <v>127</v>
      </c>
    </row>
    <row r="2" spans="1:2" ht="20">
      <c r="A2" s="27" t="s">
        <v>128</v>
      </c>
    </row>
    <row r="3" spans="1:2" ht="21">
      <c r="A3" s="24" t="s">
        <v>129</v>
      </c>
    </row>
    <row r="4" spans="1:2" ht="21">
      <c r="A4" s="24" t="s">
        <v>130</v>
      </c>
    </row>
    <row r="5" spans="1:2" ht="21">
      <c r="A5" s="23" t="s">
        <v>131</v>
      </c>
    </row>
    <row r="6" spans="1:2" ht="21">
      <c r="A6" s="25" t="s">
        <v>132</v>
      </c>
    </row>
    <row r="7" spans="1:2" ht="20">
      <c r="A7" s="26" t="s">
        <v>133</v>
      </c>
    </row>
    <row r="8" spans="1:2" ht="20">
      <c r="A8" s="26" t="s">
        <v>134</v>
      </c>
    </row>
    <row r="12" spans="1:2">
      <c r="A12" t="s">
        <v>135</v>
      </c>
      <c r="B12">
        <f>CODE(A12)</f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Sheet2</vt:lpstr>
      <vt:lpstr>EXPORT.C</vt:lpstr>
      <vt:lpstr>Sheet1</vt:lpstr>
      <vt:lpstr>CRLF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2024-07-27T20:11:26Z</dcterms:modified>
</cp:coreProperties>
</file>