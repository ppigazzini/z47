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0FCBED5D-9CB0-7F45-8E1B-5052E16728C2}" xr6:coauthVersionLast="47" xr6:coauthVersionMax="47" xr10:uidLastSave="{00000000-0000-0000-0000-000000000000}"/>
  <bookViews>
    <workbookView xWindow="0" yWindow="500" windowWidth="32740" windowHeight="205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Lookups!$B$1:$G$301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40" i="1" l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F582" i="1"/>
  <c r="AD582" i="1"/>
  <c r="AC582" i="1"/>
  <c r="AB582" i="1"/>
  <c r="AF581" i="1"/>
  <c r="AD581" i="1"/>
  <c r="AC581" i="1"/>
  <c r="AB581" i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F577" i="1"/>
  <c r="AD577" i="1"/>
  <c r="AC577" i="1"/>
  <c r="AB577" i="1"/>
  <c r="AF576" i="1"/>
  <c r="AD576" i="1"/>
  <c r="AC576" i="1"/>
  <c r="AB576" i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M581" i="1"/>
  <c r="AM578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BE589" i="1" a="1"/>
  <c r="BE589" i="1" s="1"/>
  <c r="BD589" i="1" a="1"/>
  <c r="BD589" i="1" s="1"/>
  <c r="BC589" i="1" a="1"/>
  <c r="BC589" i="1" s="1"/>
  <c r="AL589" i="1"/>
  <c r="AW589" i="1" s="1"/>
  <c r="AJ589" i="1"/>
  <c r="AI589" i="1"/>
  <c r="AH589" i="1"/>
  <c r="BE588" i="1" a="1"/>
  <c r="BE588" i="1" s="1"/>
  <c r="BD588" i="1" a="1"/>
  <c r="BD588" i="1" s="1"/>
  <c r="BC588" i="1" a="1"/>
  <c r="BC588" i="1" s="1"/>
  <c r="AL588" i="1"/>
  <c r="AW588" i="1" s="1"/>
  <c r="AI588" i="1"/>
  <c r="AH588" i="1"/>
  <c r="BE587" i="1" a="1"/>
  <c r="BE587" i="1" s="1"/>
  <c r="BD587" i="1" a="1"/>
  <c r="BD587" i="1" s="1"/>
  <c r="BC587" i="1" a="1"/>
  <c r="BC587" i="1" s="1"/>
  <c r="AL587" i="1"/>
  <c r="AW587" i="1" s="1"/>
  <c r="AJ587" i="1"/>
  <c r="AI587" i="1"/>
  <c r="AH587" i="1"/>
  <c r="AG587" i="1"/>
  <c r="BE586" i="1" a="1"/>
  <c r="BE586" i="1" s="1"/>
  <c r="BD586" i="1" a="1"/>
  <c r="BD586" i="1" s="1"/>
  <c r="BC586" i="1"/>
  <c r="BC586" i="1" a="1"/>
  <c r="AW586" i="1"/>
  <c r="AL586" i="1"/>
  <c r="AJ586" i="1"/>
  <c r="AI586" i="1"/>
  <c r="AH586" i="1"/>
  <c r="AM586" i="1"/>
  <c r="AX586" i="1" s="1" a="1"/>
  <c r="AX586" i="1" s="1"/>
  <c r="BE585" i="1" a="1"/>
  <c r="BE585" i="1" s="1"/>
  <c r="BD585" i="1" a="1"/>
  <c r="BD585" i="1" s="1"/>
  <c r="BC585" i="1" a="1"/>
  <c r="BC585" i="1" s="1"/>
  <c r="AW585" i="1"/>
  <c r="AL585" i="1"/>
  <c r="AJ585" i="1"/>
  <c r="AI585" i="1"/>
  <c r="AH585" i="1"/>
  <c r="BE584" i="1" a="1"/>
  <c r="BE584" i="1" s="1"/>
  <c r="BD584" i="1" a="1"/>
  <c r="BD584" i="1" s="1"/>
  <c r="BC584" i="1" a="1"/>
  <c r="BC584" i="1" s="1"/>
  <c r="AW584" i="1"/>
  <c r="AL584" i="1"/>
  <c r="AJ584" i="1"/>
  <c r="AI584" i="1"/>
  <c r="AH584" i="1"/>
  <c r="AG584" i="1" s="1"/>
  <c r="BE583" i="1" a="1"/>
  <c r="BE583" i="1" s="1"/>
  <c r="BD583" i="1" a="1"/>
  <c r="BD583" i="1" s="1"/>
  <c r="BC583" i="1" a="1"/>
  <c r="BC583" i="1" s="1"/>
  <c r="AM583" i="1"/>
  <c r="AX583" i="1" s="1" a="1"/>
  <c r="AX583" i="1" s="1"/>
  <c r="AL583" i="1"/>
  <c r="AW583" i="1" s="1"/>
  <c r="AJ583" i="1"/>
  <c r="AI583" i="1"/>
  <c r="AH583" i="1"/>
  <c r="AG583" i="1" s="1"/>
  <c r="BE582" i="1" a="1"/>
  <c r="BE582" i="1" s="1"/>
  <c r="BD582" i="1" a="1"/>
  <c r="BD582" i="1" s="1"/>
  <c r="BC582" i="1" a="1"/>
  <c r="BC582" i="1" s="1"/>
  <c r="AM582" i="1"/>
  <c r="AL582" i="1"/>
  <c r="AW582" i="1" s="1"/>
  <c r="AJ582" i="1"/>
  <c r="AI582" i="1"/>
  <c r="AH582" i="1"/>
  <c r="AG582" i="1" s="1"/>
  <c r="BE581" i="1" a="1"/>
  <c r="BE581" i="1" s="1"/>
  <c r="BD581" i="1" a="1"/>
  <c r="BD581" i="1" s="1"/>
  <c r="BC581" i="1" a="1"/>
  <c r="BC581" i="1" s="1"/>
  <c r="AL581" i="1"/>
  <c r="AW581" i="1" s="1"/>
  <c r="AJ581" i="1"/>
  <c r="AI581" i="1"/>
  <c r="AH581" i="1"/>
  <c r="AG581" i="1"/>
  <c r="BE580" i="1"/>
  <c r="BE580" i="1" a="1"/>
  <c r="BD580" i="1" a="1"/>
  <c r="BD580" i="1" s="1"/>
  <c r="BC580" i="1" a="1"/>
  <c r="BC580" i="1" s="1"/>
  <c r="AW580" i="1"/>
  <c r="AL580" i="1"/>
  <c r="AJ580" i="1"/>
  <c r="AI580" i="1"/>
  <c r="AH580" i="1"/>
  <c r="BE579" i="1" a="1"/>
  <c r="BE579" i="1" s="1"/>
  <c r="BD579" i="1" a="1"/>
  <c r="BD579" i="1" s="1"/>
  <c r="BC579" i="1" a="1"/>
  <c r="BC579" i="1" s="1"/>
  <c r="AW579" i="1"/>
  <c r="AL579" i="1"/>
  <c r="AJ579" i="1"/>
  <c r="AI579" i="1"/>
  <c r="AH579" i="1"/>
  <c r="AG579" i="1" s="1"/>
  <c r="BE578" i="1" a="1"/>
  <c r="BE578" i="1" s="1"/>
  <c r="BD578" i="1" a="1"/>
  <c r="BD578" i="1" s="1"/>
  <c r="BC578" i="1"/>
  <c r="BC578" i="1" a="1"/>
  <c r="AW578" i="1"/>
  <c r="AL578" i="1"/>
  <c r="AJ578" i="1"/>
  <c r="AI578" i="1"/>
  <c r="AH578" i="1"/>
  <c r="AG578" i="1" s="1"/>
  <c r="BE577" i="1" a="1"/>
  <c r="BE577" i="1" s="1"/>
  <c r="BD577" i="1" a="1"/>
  <c r="BD577" i="1" s="1"/>
  <c r="BC577" i="1" a="1"/>
  <c r="BC577" i="1" s="1"/>
  <c r="AM577" i="1"/>
  <c r="AX577" i="1" s="1" a="1"/>
  <c r="AX577" i="1" s="1"/>
  <c r="AL577" i="1"/>
  <c r="AW577" i="1" s="1"/>
  <c r="AJ577" i="1"/>
  <c r="AI577" i="1"/>
  <c r="AH577" i="1"/>
  <c r="AG577" i="1" s="1"/>
  <c r="BE576" i="1"/>
  <c r="BE576" i="1" a="1"/>
  <c r="BD576" i="1" a="1"/>
  <c r="BD576" i="1" s="1"/>
  <c r="BC576" i="1" a="1"/>
  <c r="BC576" i="1" s="1"/>
  <c r="AM576" i="1"/>
  <c r="AL576" i="1"/>
  <c r="AW576" i="1" s="1"/>
  <c r="AJ576" i="1"/>
  <c r="AI576" i="1"/>
  <c r="AH576" i="1"/>
  <c r="BE575" i="1" a="1"/>
  <c r="BE575" i="1" s="1"/>
  <c r="BD575" i="1"/>
  <c r="BD575" i="1" a="1"/>
  <c r="BC575" i="1" a="1"/>
  <c r="BC575" i="1" s="1"/>
  <c r="AL575" i="1"/>
  <c r="AW575" i="1" s="1"/>
  <c r="AJ575" i="1"/>
  <c r="AI575" i="1"/>
  <c r="AH575" i="1"/>
  <c r="AG575" i="1" s="1"/>
  <c r="BE574" i="1" a="1"/>
  <c r="BE574" i="1" s="1"/>
  <c r="BD574" i="1" a="1"/>
  <c r="BD574" i="1" s="1"/>
  <c r="BC574" i="1" a="1"/>
  <c r="BC574" i="1" s="1"/>
  <c r="AW574" i="1"/>
  <c r="AL574" i="1"/>
  <c r="AJ574" i="1"/>
  <c r="AI574" i="1"/>
  <c r="AH574" i="1"/>
  <c r="BE573" i="1" a="1"/>
  <c r="BE573" i="1" s="1"/>
  <c r="BD573" i="1" a="1"/>
  <c r="BD573" i="1" s="1"/>
  <c r="BC573" i="1" a="1"/>
  <c r="BC573" i="1" s="1"/>
  <c r="AW573" i="1"/>
  <c r="AL573" i="1"/>
  <c r="AJ573" i="1"/>
  <c r="AI573" i="1"/>
  <c r="AH573" i="1"/>
  <c r="AM573" i="1"/>
  <c r="AX573" i="1" s="1" a="1"/>
  <c r="AX573" i="1" s="1"/>
  <c r="BE572" i="1" a="1"/>
  <c r="BE572" i="1" s="1"/>
  <c r="BD572" i="1" a="1"/>
  <c r="BD572" i="1" s="1"/>
  <c r="BC572" i="1" a="1"/>
  <c r="BC572" i="1" s="1"/>
  <c r="AW572" i="1"/>
  <c r="AL572" i="1"/>
  <c r="AJ572" i="1"/>
  <c r="AI572" i="1"/>
  <c r="AH572" i="1"/>
  <c r="AG572" i="1" s="1"/>
  <c r="AM572" i="1"/>
  <c r="AX572" i="1" s="1" a="1"/>
  <c r="AX572" i="1" s="1"/>
  <c r="BE571" i="1" a="1"/>
  <c r="BE571" i="1" s="1"/>
  <c r="BD571" i="1" a="1"/>
  <c r="BD571" i="1" s="1"/>
  <c r="BC571" i="1" a="1"/>
  <c r="BC571" i="1" s="1"/>
  <c r="AM571" i="1"/>
  <c r="AX571" i="1" s="1" a="1"/>
  <c r="AX571" i="1" s="1"/>
  <c r="AL571" i="1"/>
  <c r="AW571" i="1" s="1"/>
  <c r="AJ571" i="1"/>
  <c r="AI571" i="1"/>
  <c r="AH571" i="1"/>
  <c r="AG571" i="1"/>
  <c r="BE570" i="1"/>
  <c r="BE570" i="1" a="1"/>
  <c r="BD570" i="1" a="1"/>
  <c r="BD570" i="1" s="1"/>
  <c r="BC570" i="1" a="1"/>
  <c r="BC570" i="1" s="1"/>
  <c r="AL570" i="1"/>
  <c r="AW570" i="1" s="1"/>
  <c r="AJ570" i="1"/>
  <c r="AI570" i="1"/>
  <c r="BE569" i="1" a="1"/>
  <c r="BE569" i="1" s="1"/>
  <c r="BD569" i="1" a="1"/>
  <c r="BD569" i="1" s="1"/>
  <c r="BC569" i="1" a="1"/>
  <c r="BC569" i="1" s="1"/>
  <c r="AL569" i="1"/>
  <c r="AW569" i="1" s="1"/>
  <c r="AJ569" i="1"/>
  <c r="AI569" i="1"/>
  <c r="AH569" i="1"/>
  <c r="BE568" i="1" a="1"/>
  <c r="BE568" i="1" s="1"/>
  <c r="BD568" i="1" a="1"/>
  <c r="BD568" i="1" s="1"/>
  <c r="BC568" i="1" a="1"/>
  <c r="BC568" i="1" s="1"/>
  <c r="AW568" i="1"/>
  <c r="AL568" i="1"/>
  <c r="AI568" i="1"/>
  <c r="AH568" i="1"/>
  <c r="AG568" i="1" s="1"/>
  <c r="BE567" i="1" a="1"/>
  <c r="BE567" i="1" s="1"/>
  <c r="BD567" i="1" a="1"/>
  <c r="BD567" i="1" s="1"/>
  <c r="BC567" i="1" a="1"/>
  <c r="BC567" i="1" s="1"/>
  <c r="AW567" i="1"/>
  <c r="AL567" i="1"/>
  <c r="AJ567" i="1"/>
  <c r="AI567" i="1"/>
  <c r="AH567" i="1"/>
  <c r="BE566" i="1" a="1"/>
  <c r="BE566" i="1" s="1"/>
  <c r="BD566" i="1" a="1"/>
  <c r="BD566" i="1" s="1"/>
  <c r="BC566" i="1" a="1"/>
  <c r="BC566" i="1" s="1"/>
  <c r="AW566" i="1"/>
  <c r="AL566" i="1"/>
  <c r="AJ566" i="1"/>
  <c r="AI566" i="1"/>
  <c r="AH566" i="1"/>
  <c r="AG566" i="1"/>
  <c r="BE565" i="1" a="1"/>
  <c r="BE565" i="1" s="1"/>
  <c r="BD565" i="1" a="1"/>
  <c r="BD565" i="1" s="1"/>
  <c r="BC565" i="1" a="1"/>
  <c r="BC565" i="1" s="1"/>
  <c r="AL565" i="1"/>
  <c r="AW565" i="1" s="1"/>
  <c r="AJ565" i="1"/>
  <c r="AI565" i="1"/>
  <c r="AH565" i="1"/>
  <c r="AG565" i="1" s="1"/>
  <c r="BE564" i="1" a="1"/>
  <c r="BE564" i="1" s="1"/>
  <c r="BD564" i="1" a="1"/>
  <c r="BD564" i="1" s="1"/>
  <c r="BC564" i="1" a="1"/>
  <c r="BC564" i="1" s="1"/>
  <c r="AL564" i="1"/>
  <c r="AW564" i="1" s="1"/>
  <c r="AJ564" i="1"/>
  <c r="BE563" i="1" a="1"/>
  <c r="BE563" i="1" s="1"/>
  <c r="BD563" i="1" a="1"/>
  <c r="BD563" i="1" s="1"/>
  <c r="BC563" i="1" a="1"/>
  <c r="BC563" i="1" s="1"/>
  <c r="AW563" i="1"/>
  <c r="AL563" i="1"/>
  <c r="BE562" i="1" a="1"/>
  <c r="BE562" i="1" s="1"/>
  <c r="BD562" i="1" a="1"/>
  <c r="BD562" i="1" s="1"/>
  <c r="BC562" i="1" a="1"/>
  <c r="BC562" i="1" s="1"/>
  <c r="AL562" i="1"/>
  <c r="AW562" i="1" s="1"/>
  <c r="AJ562" i="1"/>
  <c r="AI562" i="1"/>
  <c r="AH562" i="1"/>
  <c r="BE561" i="1" a="1"/>
  <c r="BE561" i="1" s="1"/>
  <c r="BD561" i="1" a="1"/>
  <c r="BD561" i="1" s="1"/>
  <c r="BC561" i="1" a="1"/>
  <c r="BC561" i="1" s="1"/>
  <c r="AL561" i="1"/>
  <c r="AW561" i="1" s="1"/>
  <c r="AJ561" i="1"/>
  <c r="AI561" i="1"/>
  <c r="AH561" i="1"/>
  <c r="AG561" i="1"/>
  <c r="BE560" i="1" a="1"/>
  <c r="BE560" i="1" s="1"/>
  <c r="BD560" i="1" a="1"/>
  <c r="BD560" i="1" s="1"/>
  <c r="BC560" i="1"/>
  <c r="BC560" i="1" a="1"/>
  <c r="AW560" i="1"/>
  <c r="AL560" i="1"/>
  <c r="AJ560" i="1"/>
  <c r="AI560" i="1"/>
  <c r="AH560" i="1"/>
  <c r="BE559" i="1" a="1"/>
  <c r="BE559" i="1" s="1"/>
  <c r="BD559" i="1" a="1"/>
  <c r="BD559" i="1" s="1"/>
  <c r="BC559" i="1" a="1"/>
  <c r="BC559" i="1" s="1"/>
  <c r="AW559" i="1"/>
  <c r="AL559" i="1"/>
  <c r="AI559" i="1"/>
  <c r="AH559" i="1"/>
  <c r="BE558" i="1" a="1"/>
  <c r="BE558" i="1" s="1"/>
  <c r="BD558" i="1" a="1"/>
  <c r="BD558" i="1" s="1"/>
  <c r="BC558" i="1" a="1"/>
  <c r="BC558" i="1" s="1"/>
  <c r="AW558" i="1"/>
  <c r="AL558" i="1"/>
  <c r="AI558" i="1"/>
  <c r="AH558" i="1"/>
  <c r="BE557" i="1" a="1"/>
  <c r="BE557" i="1" s="1"/>
  <c r="BD557" i="1" a="1"/>
  <c r="BD557" i="1" s="1"/>
  <c r="BC557" i="1" a="1"/>
  <c r="BC557" i="1" s="1"/>
  <c r="AL557" i="1"/>
  <c r="AW557" i="1" s="1"/>
  <c r="AI557" i="1"/>
  <c r="AH557" i="1"/>
  <c r="AG557" i="1" s="1"/>
  <c r="BE556" i="1" a="1"/>
  <c r="BE556" i="1" s="1"/>
  <c r="BD556" i="1" a="1"/>
  <c r="BD556" i="1" s="1"/>
  <c r="BC556" i="1" a="1"/>
  <c r="BC556" i="1" s="1"/>
  <c r="AL556" i="1"/>
  <c r="AW556" i="1" s="1"/>
  <c r="AJ556" i="1"/>
  <c r="AI556" i="1"/>
  <c r="AH556" i="1"/>
  <c r="BE555" i="1" a="1"/>
  <c r="BE555" i="1" s="1"/>
  <c r="BD555" i="1" a="1"/>
  <c r="BD555" i="1" s="1"/>
  <c r="BC555" i="1" a="1"/>
  <c r="BC555" i="1" s="1"/>
  <c r="AL555" i="1"/>
  <c r="AW555" i="1" s="1"/>
  <c r="AJ555" i="1"/>
  <c r="AI555" i="1"/>
  <c r="AH555" i="1"/>
  <c r="AG555" i="1" s="1"/>
  <c r="BE554" i="1" a="1"/>
  <c r="BE554" i="1" s="1"/>
  <c r="BD554" i="1" a="1"/>
  <c r="BD554" i="1" s="1"/>
  <c r="BC554" i="1" a="1"/>
  <c r="BC554" i="1" s="1"/>
  <c r="AW554" i="1"/>
  <c r="AL554" i="1"/>
  <c r="AJ554" i="1"/>
  <c r="AI554" i="1"/>
  <c r="AH554" i="1"/>
  <c r="BE553" i="1" a="1"/>
  <c r="BE553" i="1" s="1"/>
  <c r="BD553" i="1" a="1"/>
  <c r="BD553" i="1" s="1"/>
  <c r="BC553" i="1" a="1"/>
  <c r="BC553" i="1" s="1"/>
  <c r="AW553" i="1"/>
  <c r="AL553" i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F534" i="1"/>
  <c r="AD534" i="1"/>
  <c r="AC534" i="1"/>
  <c r="AB534" i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F525" i="1"/>
  <c r="AD525" i="1"/>
  <c r="AC525" i="1"/>
  <c r="AB525" i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BE542" i="1" a="1"/>
  <c r="BE542" i="1" s="1"/>
  <c r="BD542" i="1" a="1"/>
  <c r="BD542" i="1" s="1"/>
  <c r="BC542" i="1" a="1"/>
  <c r="BC542" i="1" s="1"/>
  <c r="AL542" i="1"/>
  <c r="AW542" i="1" s="1"/>
  <c r="AJ542" i="1"/>
  <c r="AI542" i="1"/>
  <c r="AH542" i="1"/>
  <c r="AG542" i="1" s="1"/>
  <c r="BE541" i="1" a="1"/>
  <c r="BE541" i="1" s="1"/>
  <c r="BD541" i="1" a="1"/>
  <c r="BD541" i="1" s="1"/>
  <c r="BC541" i="1" a="1"/>
  <c r="BC541" i="1" s="1"/>
  <c r="AW541" i="1"/>
  <c r="AL541" i="1"/>
  <c r="AI541" i="1"/>
  <c r="AH541" i="1"/>
  <c r="AG541" i="1"/>
  <c r="BE540" i="1" a="1"/>
  <c r="BE540" i="1" s="1"/>
  <c r="BD540" i="1" a="1"/>
  <c r="BD540" i="1" s="1"/>
  <c r="BC540" i="1" a="1"/>
  <c r="BC540" i="1" s="1"/>
  <c r="AW540" i="1"/>
  <c r="AL540" i="1"/>
  <c r="AJ540" i="1"/>
  <c r="AI540" i="1"/>
  <c r="AH540" i="1"/>
  <c r="AG540" i="1" s="1"/>
  <c r="BE539" i="1" a="1"/>
  <c r="BE539" i="1" s="1"/>
  <c r="BD539" i="1" a="1"/>
  <c r="BD539" i="1" s="1"/>
  <c r="BC539" i="1" a="1"/>
  <c r="BC539" i="1" s="1"/>
  <c r="AW539" i="1"/>
  <c r="AL539" i="1"/>
  <c r="AJ539" i="1"/>
  <c r="AI539" i="1"/>
  <c r="AH539" i="1"/>
  <c r="BE538" i="1" a="1"/>
  <c r="BE538" i="1" s="1"/>
  <c r="BD538" i="1" a="1"/>
  <c r="BD538" i="1" s="1"/>
  <c r="BC538" i="1" a="1"/>
  <c r="BC538" i="1" s="1"/>
  <c r="AW538" i="1"/>
  <c r="AL538" i="1"/>
  <c r="AJ538" i="1"/>
  <c r="AI538" i="1"/>
  <c r="AH538" i="1"/>
  <c r="AG538" i="1" s="1"/>
  <c r="BE537" i="1" a="1"/>
  <c r="BE537" i="1" s="1"/>
  <c r="BD537" i="1" a="1"/>
  <c r="BD537" i="1" s="1"/>
  <c r="BC537" i="1" a="1"/>
  <c r="BC537" i="1" s="1"/>
  <c r="AW537" i="1"/>
  <c r="AL537" i="1"/>
  <c r="AJ537" i="1"/>
  <c r="AI537" i="1"/>
  <c r="AH537" i="1"/>
  <c r="AG537" i="1" s="1"/>
  <c r="BE536" i="1" a="1"/>
  <c r="BE536" i="1" s="1"/>
  <c r="BD536" i="1" a="1"/>
  <c r="BD536" i="1" s="1"/>
  <c r="BC536" i="1" a="1"/>
  <c r="BC536" i="1" s="1"/>
  <c r="AM536" i="1"/>
  <c r="AX536" i="1" s="1" a="1"/>
  <c r="AX536" i="1" s="1"/>
  <c r="AL536" i="1"/>
  <c r="AW536" i="1" s="1"/>
  <c r="AJ536" i="1"/>
  <c r="AI536" i="1"/>
  <c r="AH536" i="1"/>
  <c r="AG536" i="1" s="1"/>
  <c r="BE535" i="1" a="1"/>
  <c r="BE535" i="1" s="1"/>
  <c r="BD535" i="1" a="1"/>
  <c r="BD535" i="1" s="1"/>
  <c r="BC535" i="1" a="1"/>
  <c r="BC535" i="1" s="1"/>
  <c r="AW535" i="1"/>
  <c r="AM535" i="1"/>
  <c r="AP535" i="1" s="1"/>
  <c r="BA535" i="1" s="1" a="1"/>
  <c r="BA535" i="1" s="1"/>
  <c r="AL535" i="1"/>
  <c r="AJ535" i="1"/>
  <c r="AI535" i="1"/>
  <c r="AH535" i="1"/>
  <c r="BE534" i="1" a="1"/>
  <c r="BE534" i="1" s="1"/>
  <c r="BD534" i="1" a="1"/>
  <c r="BD534" i="1" s="1"/>
  <c r="BC534" i="1" a="1"/>
  <c r="BC534" i="1" s="1"/>
  <c r="AM534" i="1"/>
  <c r="AX534" i="1" s="1" a="1"/>
  <c r="AX534" i="1" s="1"/>
  <c r="AL534" i="1"/>
  <c r="AW534" i="1" s="1"/>
  <c r="AJ534" i="1"/>
  <c r="AI534" i="1"/>
  <c r="AH534" i="1"/>
  <c r="AG534" i="1" s="1"/>
  <c r="BE533" i="1" a="1"/>
  <c r="BE533" i="1" s="1"/>
  <c r="BD533" i="1" a="1"/>
  <c r="BD533" i="1" s="1"/>
  <c r="BC533" i="1" a="1"/>
  <c r="BC533" i="1" s="1"/>
  <c r="AL533" i="1"/>
  <c r="AW533" i="1" s="1"/>
  <c r="AJ533" i="1"/>
  <c r="AI533" i="1"/>
  <c r="AH533" i="1"/>
  <c r="BE532" i="1" a="1"/>
  <c r="BE532" i="1" s="1"/>
  <c r="BD532" i="1" a="1"/>
  <c r="BD532" i="1" s="1"/>
  <c r="BC532" i="1" a="1"/>
  <c r="BC532" i="1" s="1"/>
  <c r="AL532" i="1"/>
  <c r="AW532" i="1" s="1"/>
  <c r="AJ532" i="1"/>
  <c r="AI532" i="1"/>
  <c r="AH532" i="1"/>
  <c r="AG532" i="1"/>
  <c r="BE531" i="1" a="1"/>
  <c r="BE531" i="1" s="1"/>
  <c r="BD531" i="1" a="1"/>
  <c r="BD531" i="1" s="1"/>
  <c r="BC531" i="1" a="1"/>
  <c r="BC531" i="1" s="1"/>
  <c r="AW531" i="1"/>
  <c r="AM531" i="1"/>
  <c r="AP531" i="1" s="1"/>
  <c r="BA531" i="1" s="1" a="1"/>
  <c r="BA531" i="1" s="1"/>
  <c r="AL531" i="1"/>
  <c r="AJ531" i="1"/>
  <c r="AI531" i="1"/>
  <c r="AH531" i="1"/>
  <c r="BE530" i="1" a="1"/>
  <c r="BE530" i="1" s="1"/>
  <c r="BD530" i="1" a="1"/>
  <c r="BD530" i="1" s="1"/>
  <c r="BC530" i="1" a="1"/>
  <c r="BC530" i="1" s="1"/>
  <c r="AW530" i="1"/>
  <c r="AM530" i="1"/>
  <c r="AX530" i="1" s="1" a="1"/>
  <c r="AX530" i="1" s="1"/>
  <c r="AL530" i="1"/>
  <c r="AJ530" i="1"/>
  <c r="AI530" i="1"/>
  <c r="AH530" i="1"/>
  <c r="AG530" i="1"/>
  <c r="BE529" i="1" a="1"/>
  <c r="BE529" i="1" s="1"/>
  <c r="BD529" i="1" a="1"/>
  <c r="BD529" i="1" s="1"/>
  <c r="BC529" i="1" a="1"/>
  <c r="BC529" i="1" s="1"/>
  <c r="AW529" i="1"/>
  <c r="AM529" i="1"/>
  <c r="AP529" i="1" s="1"/>
  <c r="BA529" i="1" s="1" a="1"/>
  <c r="BA529" i="1" s="1"/>
  <c r="AL529" i="1"/>
  <c r="AJ529" i="1"/>
  <c r="AI529" i="1"/>
  <c r="AH529" i="1"/>
  <c r="BE528" i="1" a="1"/>
  <c r="BE528" i="1" s="1"/>
  <c r="BD528" i="1" a="1"/>
  <c r="BD528" i="1" s="1"/>
  <c r="BC528" i="1" a="1"/>
  <c r="BC528" i="1" s="1"/>
  <c r="AL528" i="1"/>
  <c r="AW528" i="1" s="1"/>
  <c r="AJ528" i="1"/>
  <c r="AI528" i="1"/>
  <c r="AH528" i="1"/>
  <c r="BE527" i="1" a="1"/>
  <c r="BE527" i="1" s="1"/>
  <c r="BD527" i="1" a="1"/>
  <c r="BD527" i="1" s="1"/>
  <c r="BC527" i="1" a="1"/>
  <c r="BC527" i="1" s="1"/>
  <c r="AL527" i="1"/>
  <c r="AW527" i="1" s="1"/>
  <c r="AJ527" i="1"/>
  <c r="AI527" i="1"/>
  <c r="AH527" i="1"/>
  <c r="BE526" i="1" a="1"/>
  <c r="BE526" i="1" s="1"/>
  <c r="BD526" i="1" a="1"/>
  <c r="BD526" i="1" s="1"/>
  <c r="BC526" i="1" a="1"/>
  <c r="BC526" i="1" s="1"/>
  <c r="AM526" i="1"/>
  <c r="AL526" i="1"/>
  <c r="AW526" i="1" s="1"/>
  <c r="AJ526" i="1"/>
  <c r="AI526" i="1"/>
  <c r="AH526" i="1"/>
  <c r="BE525" i="1" a="1"/>
  <c r="BE525" i="1" s="1"/>
  <c r="BD525" i="1" a="1"/>
  <c r="BD525" i="1" s="1"/>
  <c r="BC525" i="1" a="1"/>
  <c r="BC525" i="1" s="1"/>
  <c r="AW525" i="1"/>
  <c r="AM525" i="1"/>
  <c r="AP525" i="1" s="1"/>
  <c r="BA525" i="1" s="1" a="1"/>
  <c r="BA525" i="1" s="1"/>
  <c r="AL525" i="1"/>
  <c r="AJ525" i="1"/>
  <c r="AI525" i="1"/>
  <c r="AH525" i="1"/>
  <c r="BE524" i="1" a="1"/>
  <c r="BE524" i="1" s="1"/>
  <c r="BD524" i="1" a="1"/>
  <c r="BD524" i="1" s="1"/>
  <c r="BC524" i="1" a="1"/>
  <c r="BC524" i="1" s="1"/>
  <c r="AW524" i="1"/>
  <c r="AM524" i="1"/>
  <c r="AP524" i="1" s="1"/>
  <c r="BA524" i="1" s="1" a="1"/>
  <c r="BA524" i="1" s="1"/>
  <c r="AL524" i="1"/>
  <c r="AJ524" i="1"/>
  <c r="AI524" i="1"/>
  <c r="AH524" i="1"/>
  <c r="BE523" i="1" a="1"/>
  <c r="BE523" i="1" s="1"/>
  <c r="BD523" i="1" a="1"/>
  <c r="BD523" i="1" s="1"/>
  <c r="BC523" i="1" a="1"/>
  <c r="BC523" i="1" s="1"/>
  <c r="AW523" i="1"/>
  <c r="AL523" i="1"/>
  <c r="AJ523" i="1"/>
  <c r="AI523" i="1"/>
  <c r="BE522" i="1" a="1"/>
  <c r="BE522" i="1" s="1"/>
  <c r="BD522" i="1" a="1"/>
  <c r="BD522" i="1" s="1"/>
  <c r="BC522" i="1" a="1"/>
  <c r="BC522" i="1" s="1"/>
  <c r="AL522" i="1"/>
  <c r="AW522" i="1" s="1"/>
  <c r="AJ522" i="1"/>
  <c r="AI522" i="1"/>
  <c r="AH522" i="1"/>
  <c r="AG522" i="1" s="1"/>
  <c r="BE521" i="1" a="1"/>
  <c r="BE521" i="1" s="1"/>
  <c r="BD521" i="1" a="1"/>
  <c r="BD521" i="1" s="1"/>
  <c r="BC521" i="1" a="1"/>
  <c r="BC521" i="1" s="1"/>
  <c r="AL521" i="1"/>
  <c r="AW521" i="1" s="1"/>
  <c r="AI521" i="1"/>
  <c r="AH521" i="1"/>
  <c r="BE520" i="1" a="1"/>
  <c r="BE520" i="1" s="1"/>
  <c r="BD520" i="1" a="1"/>
  <c r="BD520" i="1" s="1"/>
  <c r="BC520" i="1" a="1"/>
  <c r="BC520" i="1" s="1"/>
  <c r="AW520" i="1"/>
  <c r="AL520" i="1"/>
  <c r="AJ520" i="1"/>
  <c r="AI520" i="1"/>
  <c r="AH520" i="1"/>
  <c r="BE519" i="1" a="1"/>
  <c r="BE519" i="1" s="1"/>
  <c r="BD519" i="1" a="1"/>
  <c r="BD519" i="1" s="1"/>
  <c r="BC519" i="1" a="1"/>
  <c r="BC519" i="1" s="1"/>
  <c r="AW519" i="1"/>
  <c r="AL519" i="1"/>
  <c r="AJ519" i="1"/>
  <c r="AI519" i="1"/>
  <c r="AH519" i="1"/>
  <c r="BE518" i="1" a="1"/>
  <c r="BE518" i="1" s="1"/>
  <c r="BD518" i="1" a="1"/>
  <c r="BD518" i="1" s="1"/>
  <c r="BC518" i="1" a="1"/>
  <c r="BC518" i="1" s="1"/>
  <c r="AW518" i="1"/>
  <c r="AL518" i="1"/>
  <c r="AJ518" i="1"/>
  <c r="AI518" i="1"/>
  <c r="AH518" i="1"/>
  <c r="BE517" i="1" a="1"/>
  <c r="BE517" i="1" s="1"/>
  <c r="BD517" i="1" a="1"/>
  <c r="BD517" i="1" s="1"/>
  <c r="BC517" i="1" a="1"/>
  <c r="BC517" i="1" s="1"/>
  <c r="AL517" i="1"/>
  <c r="AW517" i="1" s="1"/>
  <c r="AJ517" i="1"/>
  <c r="BE516" i="1" a="1"/>
  <c r="BE516" i="1" s="1"/>
  <c r="BD516" i="1" a="1"/>
  <c r="BD516" i="1" s="1"/>
  <c r="BC516" i="1" a="1"/>
  <c r="BC516" i="1" s="1"/>
  <c r="AW516" i="1"/>
  <c r="AL516" i="1"/>
  <c r="BE515" i="1" a="1"/>
  <c r="BE515" i="1" s="1"/>
  <c r="BD515" i="1" a="1"/>
  <c r="BD515" i="1" s="1"/>
  <c r="BC515" i="1" a="1"/>
  <c r="BC515" i="1" s="1"/>
  <c r="AW515" i="1"/>
  <c r="AL515" i="1"/>
  <c r="AJ515" i="1"/>
  <c r="AI515" i="1"/>
  <c r="AH515" i="1"/>
  <c r="BE514" i="1" a="1"/>
  <c r="BE514" i="1" s="1"/>
  <c r="BD514" i="1" a="1"/>
  <c r="BD514" i="1" s="1"/>
  <c r="BC514" i="1" a="1"/>
  <c r="BC514" i="1" s="1"/>
  <c r="AL514" i="1"/>
  <c r="AW514" i="1" s="1"/>
  <c r="AJ514" i="1"/>
  <c r="AI514" i="1"/>
  <c r="AH514" i="1"/>
  <c r="BE513" i="1" a="1"/>
  <c r="BE513" i="1" s="1"/>
  <c r="BD513" i="1" a="1"/>
  <c r="BD513" i="1" s="1"/>
  <c r="BC513" i="1" a="1"/>
  <c r="BC513" i="1" s="1"/>
  <c r="AL513" i="1"/>
  <c r="AW513" i="1" s="1"/>
  <c r="AJ513" i="1"/>
  <c r="AI513" i="1"/>
  <c r="AH513" i="1"/>
  <c r="AG513" i="1" s="1"/>
  <c r="BE512" i="1" a="1"/>
  <c r="BE512" i="1" s="1"/>
  <c r="BD512" i="1" a="1"/>
  <c r="BD512" i="1" s="1"/>
  <c r="BC512" i="1" a="1"/>
  <c r="BC512" i="1" s="1"/>
  <c r="AL512" i="1"/>
  <c r="AW512" i="1" s="1"/>
  <c r="AI512" i="1"/>
  <c r="AH512" i="1"/>
  <c r="BE511" i="1" a="1"/>
  <c r="BE511" i="1" s="1"/>
  <c r="BD511" i="1" a="1"/>
  <c r="BD511" i="1" s="1"/>
  <c r="BC511" i="1" a="1"/>
  <c r="BC511" i="1" s="1"/>
  <c r="AW511" i="1"/>
  <c r="AL511" i="1"/>
  <c r="AI511" i="1"/>
  <c r="AH511" i="1"/>
  <c r="BE510" i="1" a="1"/>
  <c r="BE510" i="1" s="1"/>
  <c r="BD510" i="1" a="1"/>
  <c r="BD510" i="1" s="1"/>
  <c r="BC510" i="1" a="1"/>
  <c r="BC510" i="1" s="1"/>
  <c r="AW510" i="1"/>
  <c r="AL510" i="1"/>
  <c r="AI510" i="1"/>
  <c r="AH510" i="1"/>
  <c r="AG510" i="1" s="1"/>
  <c r="BE509" i="1" a="1"/>
  <c r="BE509" i="1" s="1"/>
  <c r="BD509" i="1" a="1"/>
  <c r="BD509" i="1" s="1"/>
  <c r="BC509" i="1" a="1"/>
  <c r="BC509" i="1" s="1"/>
  <c r="AW509" i="1"/>
  <c r="AL509" i="1"/>
  <c r="AJ509" i="1"/>
  <c r="AI509" i="1"/>
  <c r="AH509" i="1"/>
  <c r="BE508" i="1" a="1"/>
  <c r="BE508" i="1" s="1"/>
  <c r="BD508" i="1" a="1"/>
  <c r="BD508" i="1" s="1"/>
  <c r="BC508" i="1" a="1"/>
  <c r="BC508" i="1" s="1"/>
  <c r="AL508" i="1"/>
  <c r="AW508" i="1" s="1"/>
  <c r="AJ508" i="1"/>
  <c r="AI508" i="1"/>
  <c r="AH508" i="1"/>
  <c r="AG508" i="1"/>
  <c r="BE507" i="1" a="1"/>
  <c r="BE507" i="1" s="1"/>
  <c r="BD507" i="1" a="1"/>
  <c r="BD507" i="1" s="1"/>
  <c r="BC507" i="1" a="1"/>
  <c r="BC507" i="1" s="1"/>
  <c r="AW507" i="1"/>
  <c r="AL507" i="1"/>
  <c r="AJ507" i="1"/>
  <c r="AI507" i="1"/>
  <c r="AH507" i="1"/>
  <c r="AG507" i="1" s="1"/>
  <c r="BE506" i="1" a="1"/>
  <c r="BE506" i="1" s="1"/>
  <c r="BD506" i="1" a="1"/>
  <c r="BD506" i="1" s="1"/>
  <c r="BC506" i="1" a="1"/>
  <c r="BC506" i="1" s="1"/>
  <c r="AL506" i="1"/>
  <c r="AW506" i="1" s="1"/>
  <c r="AJ506" i="1"/>
  <c r="AI506" i="1"/>
  <c r="AH506" i="1"/>
  <c r="X501" i="1"/>
  <c r="AA501" i="1" s="1"/>
  <c r="AA500" i="1"/>
  <c r="AL412" i="1"/>
  <c r="AL367" i="1"/>
  <c r="AL322" i="1"/>
  <c r="AL277" i="1"/>
  <c r="AL232" i="1"/>
  <c r="AL187" i="1"/>
  <c r="AL142" i="1"/>
  <c r="AL97" i="1"/>
  <c r="AL52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F488" i="1"/>
  <c r="AD488" i="1"/>
  <c r="AC488" i="1"/>
  <c r="AB488" i="1"/>
  <c r="AF487" i="1"/>
  <c r="AD487" i="1"/>
  <c r="AC487" i="1"/>
  <c r="AB487" i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F483" i="1"/>
  <c r="AD483" i="1"/>
  <c r="AC483" i="1"/>
  <c r="AB483" i="1"/>
  <c r="AF482" i="1"/>
  <c r="AD482" i="1"/>
  <c r="AC482" i="1"/>
  <c r="AB482" i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F478" i="1"/>
  <c r="AD478" i="1"/>
  <c r="AC478" i="1"/>
  <c r="AB478" i="1"/>
  <c r="AF477" i="1"/>
  <c r="AD477" i="1"/>
  <c r="AC477" i="1"/>
  <c r="AB477" i="1"/>
  <c r="AM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BE495" i="1" a="1"/>
  <c r="BE495" i="1" s="1"/>
  <c r="BD495" i="1" a="1"/>
  <c r="BD495" i="1" s="1"/>
  <c r="BC495" i="1" a="1"/>
  <c r="BC495" i="1" s="1"/>
  <c r="AW495" i="1"/>
  <c r="AL495" i="1"/>
  <c r="AJ495" i="1"/>
  <c r="AI495" i="1"/>
  <c r="AH495" i="1"/>
  <c r="AG495" i="1" s="1"/>
  <c r="BE494" i="1" a="1"/>
  <c r="BE494" i="1" s="1"/>
  <c r="BD494" i="1" a="1"/>
  <c r="BD494" i="1" s="1"/>
  <c r="BC494" i="1" a="1"/>
  <c r="BC494" i="1" s="1"/>
  <c r="AW494" i="1"/>
  <c r="AL494" i="1"/>
  <c r="AI494" i="1"/>
  <c r="AH494" i="1"/>
  <c r="AG494" i="1" s="1"/>
  <c r="BE493" i="1" a="1"/>
  <c r="BE493" i="1" s="1"/>
  <c r="BD493" i="1" a="1"/>
  <c r="BD493" i="1" s="1"/>
  <c r="BC493" i="1" a="1"/>
  <c r="BC493" i="1" s="1"/>
  <c r="AW493" i="1"/>
  <c r="AL493" i="1"/>
  <c r="AJ493" i="1"/>
  <c r="AI493" i="1"/>
  <c r="AH493" i="1"/>
  <c r="BE492" i="1" a="1"/>
  <c r="BE492" i="1" s="1"/>
  <c r="BD492" i="1" a="1"/>
  <c r="BD492" i="1" s="1"/>
  <c r="BC492" i="1" a="1"/>
  <c r="BC492" i="1" s="1"/>
  <c r="AW492" i="1"/>
  <c r="AM492" i="1"/>
  <c r="AX492" i="1" s="1" a="1"/>
  <c r="AX492" i="1" s="1"/>
  <c r="AL492" i="1"/>
  <c r="AJ492" i="1"/>
  <c r="AI492" i="1"/>
  <c r="AH492" i="1"/>
  <c r="AG492" i="1" s="1"/>
  <c r="BE491" i="1" a="1"/>
  <c r="BE491" i="1" s="1"/>
  <c r="BD491" i="1" a="1"/>
  <c r="BD491" i="1" s="1"/>
  <c r="BC491" i="1" a="1"/>
  <c r="BC491" i="1" s="1"/>
  <c r="AW491" i="1"/>
  <c r="AL491" i="1"/>
  <c r="AJ491" i="1"/>
  <c r="AI491" i="1"/>
  <c r="AH491" i="1"/>
  <c r="BE490" i="1" a="1"/>
  <c r="BE490" i="1" s="1"/>
  <c r="BD490" i="1" a="1"/>
  <c r="BD490" i="1" s="1"/>
  <c r="BC490" i="1" a="1"/>
  <c r="BC490" i="1" s="1"/>
  <c r="AW490" i="1"/>
  <c r="AL490" i="1"/>
  <c r="AJ490" i="1"/>
  <c r="AI490" i="1"/>
  <c r="AH490" i="1"/>
  <c r="AG490" i="1" s="1"/>
  <c r="BE489" i="1" a="1"/>
  <c r="BE489" i="1" s="1"/>
  <c r="BD489" i="1" a="1"/>
  <c r="BD489" i="1" s="1"/>
  <c r="BC489" i="1" a="1"/>
  <c r="BC489" i="1" s="1"/>
  <c r="AW489" i="1"/>
  <c r="AL489" i="1"/>
  <c r="AJ489" i="1"/>
  <c r="AI489" i="1"/>
  <c r="AH489" i="1"/>
  <c r="AG489" i="1" s="1"/>
  <c r="BE488" i="1" a="1"/>
  <c r="BE488" i="1" s="1"/>
  <c r="BD488" i="1" a="1"/>
  <c r="BD488" i="1" s="1"/>
  <c r="BC488" i="1" a="1"/>
  <c r="BC488" i="1" s="1"/>
  <c r="AW488" i="1"/>
  <c r="AM488" i="1"/>
  <c r="AX488" i="1" s="1" a="1"/>
  <c r="AX488" i="1" s="1"/>
  <c r="AL488" i="1"/>
  <c r="AJ488" i="1"/>
  <c r="AI488" i="1"/>
  <c r="AH488" i="1"/>
  <c r="AG488" i="1" s="1"/>
  <c r="BE487" i="1" a="1"/>
  <c r="BE487" i="1" s="1"/>
  <c r="BD487" i="1" a="1"/>
  <c r="BD487" i="1" s="1"/>
  <c r="BC487" i="1" a="1"/>
  <c r="BC487" i="1" s="1"/>
  <c r="AW487" i="1"/>
  <c r="AM487" i="1"/>
  <c r="AX487" i="1" s="1" a="1"/>
  <c r="AX487" i="1" s="1"/>
  <c r="AL487" i="1"/>
  <c r="AJ487" i="1"/>
  <c r="AI487" i="1"/>
  <c r="AH487" i="1"/>
  <c r="AG487" i="1" s="1"/>
  <c r="BE486" i="1" a="1"/>
  <c r="BE486" i="1" s="1"/>
  <c r="BD486" i="1" a="1"/>
  <c r="BD486" i="1" s="1"/>
  <c r="BC486" i="1" a="1"/>
  <c r="BC486" i="1" s="1"/>
  <c r="AW486" i="1"/>
  <c r="AL486" i="1"/>
  <c r="AJ486" i="1"/>
  <c r="AI486" i="1"/>
  <c r="AH486" i="1"/>
  <c r="AG486" i="1" s="1"/>
  <c r="BE485" i="1" a="1"/>
  <c r="BE485" i="1" s="1"/>
  <c r="BD485" i="1" a="1"/>
  <c r="BD485" i="1" s="1"/>
  <c r="BC485" i="1" a="1"/>
  <c r="BC485" i="1" s="1"/>
  <c r="AW485" i="1"/>
  <c r="AL485" i="1"/>
  <c r="AJ485" i="1"/>
  <c r="AI485" i="1"/>
  <c r="AH485" i="1"/>
  <c r="AG485" i="1" s="1"/>
  <c r="BE484" i="1" a="1"/>
  <c r="BE484" i="1" s="1"/>
  <c r="BD484" i="1" a="1"/>
  <c r="BD484" i="1" s="1"/>
  <c r="BC484" i="1" a="1"/>
  <c r="BC484" i="1" s="1"/>
  <c r="AW484" i="1"/>
  <c r="AL484" i="1"/>
  <c r="AJ484" i="1"/>
  <c r="AI484" i="1"/>
  <c r="AH484" i="1"/>
  <c r="AG484" i="1" s="1"/>
  <c r="BE483" i="1" a="1"/>
  <c r="BE483" i="1" s="1"/>
  <c r="BD483" i="1" a="1"/>
  <c r="BD483" i="1" s="1"/>
  <c r="BC483" i="1" a="1"/>
  <c r="BC483" i="1" s="1"/>
  <c r="AW483" i="1"/>
  <c r="AM483" i="1"/>
  <c r="AX483" i="1" s="1" a="1"/>
  <c r="AX483" i="1" s="1"/>
  <c r="AL483" i="1"/>
  <c r="AJ483" i="1"/>
  <c r="AI483" i="1"/>
  <c r="AH483" i="1"/>
  <c r="AG483" i="1" s="1"/>
  <c r="BE482" i="1" a="1"/>
  <c r="BE482" i="1" s="1"/>
  <c r="BD482" i="1" a="1"/>
  <c r="BD482" i="1" s="1"/>
  <c r="BC482" i="1" a="1"/>
  <c r="BC482" i="1" s="1"/>
  <c r="AW482" i="1"/>
  <c r="AM482" i="1"/>
  <c r="AP482" i="1" s="1"/>
  <c r="BA482" i="1" s="1" a="1"/>
  <c r="BA482" i="1" s="1"/>
  <c r="AL482" i="1"/>
  <c r="AJ482" i="1"/>
  <c r="AI482" i="1"/>
  <c r="AH482" i="1"/>
  <c r="AG482" i="1" s="1"/>
  <c r="BE481" i="1" a="1"/>
  <c r="BE481" i="1" s="1"/>
  <c r="BD481" i="1" a="1"/>
  <c r="BD481" i="1" s="1"/>
  <c r="BC481" i="1" a="1"/>
  <c r="BC481" i="1" s="1"/>
  <c r="AW481" i="1"/>
  <c r="AL481" i="1"/>
  <c r="AJ481" i="1"/>
  <c r="AI481" i="1"/>
  <c r="AH481" i="1"/>
  <c r="AG481" i="1" s="1"/>
  <c r="BE480" i="1" a="1"/>
  <c r="BE480" i="1" s="1"/>
  <c r="BD480" i="1" a="1"/>
  <c r="BD480" i="1" s="1"/>
  <c r="BC480" i="1" a="1"/>
  <c r="BC480" i="1" s="1"/>
  <c r="AW480" i="1"/>
  <c r="AL480" i="1"/>
  <c r="AJ480" i="1"/>
  <c r="AI480" i="1"/>
  <c r="AH480" i="1"/>
  <c r="AG480" i="1" s="1"/>
  <c r="BE479" i="1" a="1"/>
  <c r="BE479" i="1" s="1"/>
  <c r="BD479" i="1" a="1"/>
  <c r="BD479" i="1" s="1"/>
  <c r="BC479" i="1" a="1"/>
  <c r="BC479" i="1" s="1"/>
  <c r="AW479" i="1"/>
  <c r="AM479" i="1"/>
  <c r="AP479" i="1" s="1"/>
  <c r="BA479" i="1" s="1" a="1"/>
  <c r="BA479" i="1" s="1"/>
  <c r="AL479" i="1"/>
  <c r="AJ479" i="1"/>
  <c r="AI479" i="1"/>
  <c r="AH479" i="1"/>
  <c r="AG479" i="1" s="1"/>
  <c r="BE478" i="1" a="1"/>
  <c r="BE478" i="1" s="1"/>
  <c r="BD478" i="1" a="1"/>
  <c r="BD478" i="1" s="1"/>
  <c r="BC478" i="1" a="1"/>
  <c r="BC478" i="1" s="1"/>
  <c r="AW478" i="1"/>
  <c r="AM478" i="1"/>
  <c r="AX478" i="1" s="1" a="1"/>
  <c r="AX478" i="1" s="1"/>
  <c r="AL478" i="1"/>
  <c r="AJ478" i="1"/>
  <c r="AI478" i="1"/>
  <c r="AH478" i="1"/>
  <c r="AG478" i="1" s="1"/>
  <c r="BE477" i="1" a="1"/>
  <c r="BE477" i="1" s="1"/>
  <c r="BD477" i="1" a="1"/>
  <c r="BD477" i="1" s="1"/>
  <c r="BC477" i="1" a="1"/>
  <c r="BC477" i="1" s="1"/>
  <c r="AW477" i="1"/>
  <c r="AL477" i="1"/>
  <c r="AJ477" i="1"/>
  <c r="AI477" i="1"/>
  <c r="AH477" i="1"/>
  <c r="AG477" i="1" s="1"/>
  <c r="BE476" i="1" a="1"/>
  <c r="BE476" i="1" s="1"/>
  <c r="BD476" i="1" a="1"/>
  <c r="BD476" i="1" s="1"/>
  <c r="BC476" i="1" a="1"/>
  <c r="BC476" i="1" s="1"/>
  <c r="AW476" i="1"/>
  <c r="AL476" i="1"/>
  <c r="AJ476" i="1"/>
  <c r="AI476" i="1"/>
  <c r="BE475" i="1"/>
  <c r="BE475" i="1" a="1"/>
  <c r="BD475" i="1"/>
  <c r="BD475" i="1" a="1"/>
  <c r="BC475" i="1"/>
  <c r="BC475" i="1" a="1"/>
  <c r="AW475" i="1"/>
  <c r="AL475" i="1"/>
  <c r="AJ475" i="1"/>
  <c r="AI475" i="1"/>
  <c r="AH475" i="1"/>
  <c r="AG475" i="1" s="1"/>
  <c r="BE474" i="1" a="1"/>
  <c r="BE474" i="1" s="1"/>
  <c r="BD474" i="1" a="1"/>
  <c r="BD474" i="1" s="1"/>
  <c r="BC474" i="1" a="1"/>
  <c r="BC474" i="1" s="1"/>
  <c r="AW474" i="1"/>
  <c r="AL474" i="1"/>
  <c r="AI474" i="1"/>
  <c r="AH474" i="1"/>
  <c r="AG474" i="1" s="1"/>
  <c r="BE473" i="1" a="1"/>
  <c r="BE473" i="1" s="1"/>
  <c r="BD473" i="1" a="1"/>
  <c r="BD473" i="1" s="1"/>
  <c r="BC473" i="1" a="1"/>
  <c r="BC473" i="1" s="1"/>
  <c r="AW473" i="1"/>
  <c r="AL473" i="1"/>
  <c r="AJ473" i="1"/>
  <c r="AI473" i="1"/>
  <c r="AH473" i="1"/>
  <c r="AG473" i="1" s="1"/>
  <c r="BE472" i="1"/>
  <c r="BE472" i="1" a="1"/>
  <c r="BD472" i="1" a="1"/>
  <c r="BD472" i="1" s="1"/>
  <c r="BC472" i="1" a="1"/>
  <c r="BC472" i="1" s="1"/>
  <c r="AW472" i="1"/>
  <c r="AL472" i="1"/>
  <c r="AJ472" i="1"/>
  <c r="AI472" i="1"/>
  <c r="AH472" i="1"/>
  <c r="AG472" i="1" s="1"/>
  <c r="BE471" i="1"/>
  <c r="BE471" i="1" a="1"/>
  <c r="BD471" i="1" a="1"/>
  <c r="BD471" i="1" s="1"/>
  <c r="BC471" i="1" a="1"/>
  <c r="BC471" i="1" s="1"/>
  <c r="AW471" i="1"/>
  <c r="AL471" i="1"/>
  <c r="AJ471" i="1"/>
  <c r="AI471" i="1"/>
  <c r="AH471" i="1"/>
  <c r="AG471" i="1" s="1"/>
  <c r="BE470" i="1" a="1"/>
  <c r="BE470" i="1" s="1"/>
  <c r="BD470" i="1" a="1"/>
  <c r="BD470" i="1" s="1"/>
  <c r="BC470" i="1"/>
  <c r="BC470" i="1" a="1"/>
  <c r="AW470" i="1"/>
  <c r="AL470" i="1"/>
  <c r="AJ470" i="1"/>
  <c r="BE469" i="1" a="1"/>
  <c r="BE469" i="1" s="1"/>
  <c r="BD469" i="1" a="1"/>
  <c r="BD469" i="1" s="1"/>
  <c r="BC469" i="1"/>
  <c r="BC469" i="1" a="1"/>
  <c r="AW469" i="1"/>
  <c r="AL469" i="1"/>
  <c r="BE468" i="1" a="1"/>
  <c r="BE468" i="1" s="1"/>
  <c r="BD468" i="1" a="1"/>
  <c r="BD468" i="1" s="1"/>
  <c r="BC468" i="1" a="1"/>
  <c r="BC468" i="1" s="1"/>
  <c r="AW468" i="1"/>
  <c r="AL468" i="1"/>
  <c r="AJ468" i="1"/>
  <c r="AI468" i="1"/>
  <c r="AH468" i="1"/>
  <c r="AG468" i="1" s="1"/>
  <c r="BE467" i="1" a="1"/>
  <c r="BE467" i="1" s="1"/>
  <c r="BD467" i="1" a="1"/>
  <c r="BD467" i="1" s="1"/>
  <c r="BC467" i="1" a="1"/>
  <c r="BC467" i="1" s="1"/>
  <c r="AW467" i="1"/>
  <c r="AL467" i="1"/>
  <c r="AJ467" i="1"/>
  <c r="AI467" i="1"/>
  <c r="AH467" i="1"/>
  <c r="AG467" i="1" s="1"/>
  <c r="BE466" i="1" a="1"/>
  <c r="BE466" i="1" s="1"/>
  <c r="BD466" i="1" a="1"/>
  <c r="BD466" i="1" s="1"/>
  <c r="BC466" i="1" a="1"/>
  <c r="BC466" i="1" s="1"/>
  <c r="AW466" i="1"/>
  <c r="AL466" i="1"/>
  <c r="AJ466" i="1"/>
  <c r="AI466" i="1"/>
  <c r="AH466" i="1"/>
  <c r="AG466" i="1" s="1"/>
  <c r="BE465" i="1" a="1"/>
  <c r="BE465" i="1" s="1"/>
  <c r="BD465" i="1" a="1"/>
  <c r="BD465" i="1" s="1"/>
  <c r="BC465" i="1" a="1"/>
  <c r="BC465" i="1" s="1"/>
  <c r="AW465" i="1"/>
  <c r="AL465" i="1"/>
  <c r="AI465" i="1"/>
  <c r="AH465" i="1"/>
  <c r="AG465" i="1" s="1"/>
  <c r="BE464" i="1"/>
  <c r="BE464" i="1" a="1"/>
  <c r="BD464" i="1" a="1"/>
  <c r="BD464" i="1" s="1"/>
  <c r="BC464" i="1" a="1"/>
  <c r="BC464" i="1" s="1"/>
  <c r="AW464" i="1"/>
  <c r="AL464" i="1"/>
  <c r="AI464" i="1"/>
  <c r="AH464" i="1"/>
  <c r="BE463" i="1" a="1"/>
  <c r="BE463" i="1" s="1"/>
  <c r="BD463" i="1" a="1"/>
  <c r="BD463" i="1" s="1"/>
  <c r="BC463" i="1" a="1"/>
  <c r="BC463" i="1" s="1"/>
  <c r="AW463" i="1"/>
  <c r="AL463" i="1"/>
  <c r="AI463" i="1"/>
  <c r="AH463" i="1"/>
  <c r="AG463" i="1" s="1"/>
  <c r="BE462" i="1"/>
  <c r="BE462" i="1" a="1"/>
  <c r="BD462" i="1" a="1"/>
  <c r="BD462" i="1" s="1"/>
  <c r="BC462" i="1" a="1"/>
  <c r="BC462" i="1" s="1"/>
  <c r="AW462" i="1"/>
  <c r="AL462" i="1"/>
  <c r="AJ462" i="1"/>
  <c r="AI462" i="1"/>
  <c r="AH462" i="1"/>
  <c r="AG462" i="1" s="1"/>
  <c r="BE461" i="1" a="1"/>
  <c r="BE461" i="1" s="1"/>
  <c r="BD461" i="1" a="1"/>
  <c r="BD461" i="1" s="1"/>
  <c r="BC461" i="1" a="1"/>
  <c r="BC461" i="1" s="1"/>
  <c r="AW461" i="1"/>
  <c r="AL461" i="1"/>
  <c r="AJ461" i="1"/>
  <c r="AI461" i="1"/>
  <c r="AH461" i="1"/>
  <c r="AG461" i="1" s="1"/>
  <c r="BE460" i="1" a="1"/>
  <c r="BE460" i="1" s="1"/>
  <c r="BD460" i="1" a="1"/>
  <c r="BD460" i="1" s="1"/>
  <c r="BC460" i="1" a="1"/>
  <c r="BC460" i="1" s="1"/>
  <c r="AW460" i="1"/>
  <c r="AL460" i="1"/>
  <c r="AJ460" i="1"/>
  <c r="AI460" i="1"/>
  <c r="AH460" i="1"/>
  <c r="AG460" i="1" s="1"/>
  <c r="BE459" i="1"/>
  <c r="BE459" i="1" a="1"/>
  <c r="BD459" i="1" a="1"/>
  <c r="BD459" i="1" s="1"/>
  <c r="BC459" i="1" a="1"/>
  <c r="BC459" i="1" s="1"/>
  <c r="AW459" i="1"/>
  <c r="AL459" i="1"/>
  <c r="AJ459" i="1"/>
  <c r="AI459" i="1"/>
  <c r="AH459" i="1"/>
  <c r="AG459" i="1" s="1"/>
  <c r="X454" i="1"/>
  <c r="AA454" i="1" s="1"/>
  <c r="AA453" i="1"/>
  <c r="BE450" i="1" a="1"/>
  <c r="BE450" i="1" s="1"/>
  <c r="BD450" i="1" a="1"/>
  <c r="BD450" i="1" s="1"/>
  <c r="BC450" i="1" a="1"/>
  <c r="BC450" i="1" s="1"/>
  <c r="BE449" i="1" a="1"/>
  <c r="BE449" i="1" s="1"/>
  <c r="BD449" i="1" a="1"/>
  <c r="BD449" i="1" s="1"/>
  <c r="BC449" i="1" a="1"/>
  <c r="BC449" i="1" s="1"/>
  <c r="BE448" i="1" a="1"/>
  <c r="BE448" i="1" s="1"/>
  <c r="BD448" i="1" a="1"/>
  <c r="BD448" i="1" s="1"/>
  <c r="BC448" i="1" a="1"/>
  <c r="BC448" i="1" s="1"/>
  <c r="BE447" i="1" a="1"/>
  <c r="BE447" i="1" s="1"/>
  <c r="BD447" i="1" a="1"/>
  <c r="BD447" i="1" s="1"/>
  <c r="BC447" i="1" a="1"/>
  <c r="BC447" i="1" s="1"/>
  <c r="BE446" i="1"/>
  <c r="BE446" i="1" a="1"/>
  <c r="BD446" i="1" a="1"/>
  <c r="BD446" i="1" s="1"/>
  <c r="BC446" i="1" a="1"/>
  <c r="BC446" i="1" s="1"/>
  <c r="BE445" i="1"/>
  <c r="BE445" i="1" a="1"/>
  <c r="BD445" i="1" a="1"/>
  <c r="BD445" i="1" s="1"/>
  <c r="BC445" i="1"/>
  <c r="BC445" i="1" a="1"/>
  <c r="BE444" i="1" a="1"/>
  <c r="BE444" i="1" s="1"/>
  <c r="BD444" i="1" a="1"/>
  <c r="BD444" i="1" s="1"/>
  <c r="BC444" i="1"/>
  <c r="BC444" i="1" a="1"/>
  <c r="BE443" i="1" a="1"/>
  <c r="BE443" i="1" s="1"/>
  <c r="BD443" i="1" a="1"/>
  <c r="BD443" i="1" s="1"/>
  <c r="BC443" i="1" a="1"/>
  <c r="BC443" i="1" s="1"/>
  <c r="BE442" i="1" a="1"/>
  <c r="BE442" i="1" s="1"/>
  <c r="BD442" i="1" a="1"/>
  <c r="BD442" i="1" s="1"/>
  <c r="BC442" i="1" a="1"/>
  <c r="BC442" i="1" s="1"/>
  <c r="BE441" i="1" a="1"/>
  <c r="BE441" i="1" s="1"/>
  <c r="BD441" i="1" a="1"/>
  <c r="BD441" i="1" s="1"/>
  <c r="BC441" i="1" a="1"/>
  <c r="BC441" i="1" s="1"/>
  <c r="BE440" i="1"/>
  <c r="BE440" i="1" a="1"/>
  <c r="BD440" i="1" a="1"/>
  <c r="BD440" i="1" s="1"/>
  <c r="BC440" i="1" a="1"/>
  <c r="BC440" i="1" s="1"/>
  <c r="BE439" i="1" a="1"/>
  <c r="BE439" i="1" s="1"/>
  <c r="BD439" i="1" a="1"/>
  <c r="BD439" i="1" s="1"/>
  <c r="BC439" i="1"/>
  <c r="BC439" i="1" a="1"/>
  <c r="BE438" i="1" a="1"/>
  <c r="BE438" i="1" s="1"/>
  <c r="BD438" i="1" a="1"/>
  <c r="BD438" i="1" s="1"/>
  <c r="BC438" i="1" a="1"/>
  <c r="BC438" i="1" s="1"/>
  <c r="BE437" i="1" a="1"/>
  <c r="BE437" i="1" s="1"/>
  <c r="BD437" i="1" a="1"/>
  <c r="BD437" i="1" s="1"/>
  <c r="BC437" i="1" a="1"/>
  <c r="BC437" i="1" s="1"/>
  <c r="BE436" i="1" a="1"/>
  <c r="BE436" i="1" s="1"/>
  <c r="BD436" i="1" a="1"/>
  <c r="BD436" i="1" s="1"/>
  <c r="BC436" i="1" a="1"/>
  <c r="BC436" i="1" s="1"/>
  <c r="BE435" i="1"/>
  <c r="BE435" i="1" a="1"/>
  <c r="BD435" i="1" a="1"/>
  <c r="BD435" i="1" s="1"/>
  <c r="BC435" i="1" a="1"/>
  <c r="BC435" i="1" s="1"/>
  <c r="BE434" i="1" a="1"/>
  <c r="BE434" i="1" s="1"/>
  <c r="BD434" i="1" a="1"/>
  <c r="BD434" i="1" s="1"/>
  <c r="BC434" i="1"/>
  <c r="BC434" i="1" a="1"/>
  <c r="BE433" i="1" a="1"/>
  <c r="BE433" i="1" s="1"/>
  <c r="BD433" i="1" a="1"/>
  <c r="BD433" i="1" s="1"/>
  <c r="BC433" i="1" a="1"/>
  <c r="BC433" i="1" s="1"/>
  <c r="BE432" i="1" a="1"/>
  <c r="BE432" i="1" s="1"/>
  <c r="BD432" i="1"/>
  <c r="BD432" i="1" a="1"/>
  <c r="BC432" i="1" a="1"/>
  <c r="BC432" i="1" s="1"/>
  <c r="BE431" i="1" a="1"/>
  <c r="BE431" i="1" s="1"/>
  <c r="BD431" i="1" a="1"/>
  <c r="BD431" i="1" s="1"/>
  <c r="BC431" i="1" a="1"/>
  <c r="BC431" i="1" s="1"/>
  <c r="BE430" i="1"/>
  <c r="BE430" i="1" a="1"/>
  <c r="BD430" i="1" a="1"/>
  <c r="BD430" i="1" s="1"/>
  <c r="BC430" i="1" a="1"/>
  <c r="BC430" i="1" s="1"/>
  <c r="BE429" i="1" a="1"/>
  <c r="BE429" i="1" s="1"/>
  <c r="BD429" i="1" a="1"/>
  <c r="BD429" i="1" s="1"/>
  <c r="BC429" i="1"/>
  <c r="BC429" i="1" a="1"/>
  <c r="BE428" i="1" a="1"/>
  <c r="BE428" i="1" s="1"/>
  <c r="BD428" i="1" a="1"/>
  <c r="BD428" i="1" s="1"/>
  <c r="BC428" i="1" a="1"/>
  <c r="BC428" i="1" s="1"/>
  <c r="BE427" i="1" a="1"/>
  <c r="BE427" i="1" s="1"/>
  <c r="BD427" i="1" a="1"/>
  <c r="BD427" i="1" s="1"/>
  <c r="BC427" i="1" a="1"/>
  <c r="BC427" i="1" s="1"/>
  <c r="BE426" i="1" a="1"/>
  <c r="BE426" i="1" s="1"/>
  <c r="BD426" i="1" a="1"/>
  <c r="BD426" i="1" s="1"/>
  <c r="BC426" i="1" a="1"/>
  <c r="BC426" i="1" s="1"/>
  <c r="BE425" i="1"/>
  <c r="BE425" i="1" a="1"/>
  <c r="BD425" i="1" a="1"/>
  <c r="BD425" i="1" s="1"/>
  <c r="BC425" i="1" a="1"/>
  <c r="BC425" i="1" s="1"/>
  <c r="BE424" i="1" a="1"/>
  <c r="BE424" i="1" s="1"/>
  <c r="BD424" i="1" a="1"/>
  <c r="BD424" i="1" s="1"/>
  <c r="BC424" i="1"/>
  <c r="BC424" i="1" a="1"/>
  <c r="BE423" i="1" a="1"/>
  <c r="BE423" i="1" s="1"/>
  <c r="BD423" i="1" a="1"/>
  <c r="BD423" i="1" s="1"/>
  <c r="BC423" i="1" a="1"/>
  <c r="BC423" i="1" s="1"/>
  <c r="BE422" i="1" a="1"/>
  <c r="BE422" i="1" s="1"/>
  <c r="BD422" i="1" a="1"/>
  <c r="BD422" i="1" s="1"/>
  <c r="BC422" i="1" a="1"/>
  <c r="BC422" i="1" s="1"/>
  <c r="BE421" i="1" a="1"/>
  <c r="BE421" i="1" s="1"/>
  <c r="BD421" i="1" a="1"/>
  <c r="BD421" i="1" s="1"/>
  <c r="BC421" i="1" a="1"/>
  <c r="BC421" i="1" s="1"/>
  <c r="BE420" i="1"/>
  <c r="BE420" i="1" a="1"/>
  <c r="BD420" i="1" a="1"/>
  <c r="BD420" i="1" s="1"/>
  <c r="BC420" i="1" a="1"/>
  <c r="BC420" i="1" s="1"/>
  <c r="BE419" i="1" a="1"/>
  <c r="BE419" i="1" s="1"/>
  <c r="BD419" i="1" a="1"/>
  <c r="BD419" i="1" s="1"/>
  <c r="BC419" i="1"/>
  <c r="BC419" i="1" a="1"/>
  <c r="BE418" i="1" a="1"/>
  <c r="BE418" i="1" s="1"/>
  <c r="BD418" i="1" a="1"/>
  <c r="BD418" i="1" s="1"/>
  <c r="BC418" i="1" a="1"/>
  <c r="BC418" i="1" s="1"/>
  <c r="BE417" i="1" a="1"/>
  <c r="BE417" i="1" s="1"/>
  <c r="BD417" i="1" a="1"/>
  <c r="BD417" i="1" s="1"/>
  <c r="BC417" i="1" a="1"/>
  <c r="BC417" i="1" s="1"/>
  <c r="BE416" i="1" a="1"/>
  <c r="BE416" i="1" s="1"/>
  <c r="BD416" i="1" a="1"/>
  <c r="BD416" i="1" s="1"/>
  <c r="BC416" i="1" a="1"/>
  <c r="BC416" i="1" s="1"/>
  <c r="BE415" i="1"/>
  <c r="BE415" i="1" a="1"/>
  <c r="BD415" i="1" a="1"/>
  <c r="BD415" i="1" s="1"/>
  <c r="BC415" i="1" a="1"/>
  <c r="BC415" i="1" s="1"/>
  <c r="BE414" i="1" a="1"/>
  <c r="BE414" i="1" s="1"/>
  <c r="BD414" i="1" a="1"/>
  <c r="BD414" i="1" s="1"/>
  <c r="BC414" i="1"/>
  <c r="BC414" i="1" a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 a="1"/>
  <c r="BE359" i="1" s="1"/>
  <c r="BD359" i="1" a="1"/>
  <c r="BD359" i="1" s="1"/>
  <c r="BC359" i="1" a="1"/>
  <c r="BC359" i="1" s="1"/>
  <c r="BE358" i="1" a="1"/>
  <c r="BE358" i="1" s="1"/>
  <c r="BD358" i="1" a="1"/>
  <c r="BD358" i="1" s="1"/>
  <c r="BC358" i="1" a="1"/>
  <c r="BC358" i="1" s="1"/>
  <c r="BE357" i="1" a="1"/>
  <c r="BE357" i="1" s="1"/>
  <c r="BD357" i="1" a="1"/>
  <c r="BD357" i="1" s="1"/>
  <c r="BC357" i="1" a="1"/>
  <c r="BC357" i="1" s="1"/>
  <c r="BE356" i="1" a="1"/>
  <c r="BE356" i="1" s="1"/>
  <c r="BD356" i="1" a="1"/>
  <c r="BD356" i="1" s="1"/>
  <c r="BC356" i="1" a="1"/>
  <c r="BC356" i="1" s="1"/>
  <c r="BE355" i="1" a="1"/>
  <c r="BE355" i="1" s="1"/>
  <c r="BD355" i="1" a="1"/>
  <c r="BD355" i="1" s="1"/>
  <c r="BC355" i="1" a="1"/>
  <c r="BC355" i="1" s="1"/>
  <c r="BE354" i="1" a="1"/>
  <c r="BE354" i="1" s="1"/>
  <c r="BD354" i="1" a="1"/>
  <c r="BD354" i="1" s="1"/>
  <c r="BC354" i="1" a="1"/>
  <c r="BC354" i="1" s="1"/>
  <c r="BE353" i="1" a="1"/>
  <c r="BE353" i="1" s="1"/>
  <c r="BD353" i="1" a="1"/>
  <c r="BD353" i="1" s="1"/>
  <c r="BC353" i="1" a="1"/>
  <c r="BC353" i="1" s="1"/>
  <c r="BE352" i="1" a="1"/>
  <c r="BE352" i="1" s="1"/>
  <c r="BD352" i="1" a="1"/>
  <c r="BD352" i="1" s="1"/>
  <c r="BC352" i="1" a="1"/>
  <c r="BC352" i="1" s="1"/>
  <c r="BE351" i="1" a="1"/>
  <c r="BE351" i="1" s="1"/>
  <c r="BD351" i="1" a="1"/>
  <c r="BD351" i="1" s="1"/>
  <c r="BC351" i="1" a="1"/>
  <c r="BC351" i="1" s="1"/>
  <c r="BE350" i="1" a="1"/>
  <c r="BE350" i="1" s="1"/>
  <c r="BD350" i="1" a="1"/>
  <c r="BD350" i="1" s="1"/>
  <c r="BC350" i="1" a="1"/>
  <c r="BC350" i="1" s="1"/>
  <c r="BE349" i="1" a="1"/>
  <c r="BE349" i="1" s="1"/>
  <c r="BD349" i="1" a="1"/>
  <c r="BD349" i="1" s="1"/>
  <c r="BC349" i="1" a="1"/>
  <c r="BC349" i="1" s="1"/>
  <c r="BE348" i="1" a="1"/>
  <c r="BE348" i="1" s="1"/>
  <c r="BD348" i="1" a="1"/>
  <c r="BD348" i="1" s="1"/>
  <c r="BC348" i="1" a="1"/>
  <c r="BC348" i="1" s="1"/>
  <c r="BE347" i="1" a="1"/>
  <c r="BE347" i="1" s="1"/>
  <c r="BD347" i="1" a="1"/>
  <c r="BD347" i="1" s="1"/>
  <c r="BC347" i="1" a="1"/>
  <c r="BC347" i="1" s="1"/>
  <c r="BE346" i="1" a="1"/>
  <c r="BE346" i="1" s="1"/>
  <c r="BD346" i="1" a="1"/>
  <c r="BD346" i="1" s="1"/>
  <c r="BC346" i="1" a="1"/>
  <c r="BC346" i="1" s="1"/>
  <c r="BE345" i="1" a="1"/>
  <c r="BE345" i="1" s="1"/>
  <c r="BD345" i="1" a="1"/>
  <c r="BD345" i="1" s="1"/>
  <c r="BC345" i="1" a="1"/>
  <c r="BC345" i="1" s="1"/>
  <c r="BE344" i="1" a="1"/>
  <c r="BE344" i="1" s="1"/>
  <c r="BD344" i="1" a="1"/>
  <c r="BD344" i="1" s="1"/>
  <c r="BC344" i="1" a="1"/>
  <c r="BC344" i="1" s="1"/>
  <c r="BE343" i="1" a="1"/>
  <c r="BE343" i="1" s="1"/>
  <c r="BD343" i="1" a="1"/>
  <c r="BD343" i="1" s="1"/>
  <c r="BC343" i="1" a="1"/>
  <c r="BC343" i="1" s="1"/>
  <c r="BE342" i="1" a="1"/>
  <c r="BE342" i="1" s="1"/>
  <c r="BD342" i="1" a="1"/>
  <c r="BD342" i="1" s="1"/>
  <c r="BC342" i="1" a="1"/>
  <c r="BC342" i="1" s="1"/>
  <c r="BE341" i="1" a="1"/>
  <c r="BE341" i="1" s="1"/>
  <c r="BD341" i="1" a="1"/>
  <c r="BD341" i="1" s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 a="1"/>
  <c r="BC338" i="1" s="1"/>
  <c r="BE337" i="1" a="1"/>
  <c r="BE337" i="1" s="1"/>
  <c r="BD337" i="1" a="1"/>
  <c r="BD337" i="1" s="1"/>
  <c r="BC337" i="1" a="1"/>
  <c r="BC337" i="1" s="1"/>
  <c r="BE336" i="1" a="1"/>
  <c r="BE336" i="1" s="1"/>
  <c r="BD336" i="1" a="1"/>
  <c r="BD336" i="1" s="1"/>
  <c r="BC336" i="1" a="1"/>
  <c r="BC336" i="1" s="1"/>
  <c r="BE335" i="1" a="1"/>
  <c r="BE335" i="1" s="1"/>
  <c r="BD335" i="1" a="1"/>
  <c r="BD335" i="1" s="1"/>
  <c r="BC335" i="1" a="1"/>
  <c r="BC335" i="1" s="1"/>
  <c r="BE334" i="1" a="1"/>
  <c r="BE334" i="1" s="1"/>
  <c r="BD334" i="1" a="1"/>
  <c r="BD334" i="1" s="1"/>
  <c r="BC334" i="1" a="1"/>
  <c r="BC334" i="1" s="1"/>
  <c r="BE333" i="1" a="1"/>
  <c r="BE333" i="1" s="1"/>
  <c r="BD333" i="1" a="1"/>
  <c r="BD333" i="1" s="1"/>
  <c r="BC333" i="1" a="1"/>
  <c r="BC333" i="1" s="1"/>
  <c r="BE332" i="1" a="1"/>
  <c r="BE332" i="1" s="1"/>
  <c r="BD332" i="1" a="1"/>
  <c r="BD332" i="1" s="1"/>
  <c r="BC332" i="1" a="1"/>
  <c r="BC332" i="1" s="1"/>
  <c r="BE331" i="1" a="1"/>
  <c r="BE331" i="1" s="1"/>
  <c r="BD331" i="1" a="1"/>
  <c r="BD331" i="1" s="1"/>
  <c r="BC331" i="1" a="1"/>
  <c r="BC331" i="1" s="1"/>
  <c r="BE330" i="1" a="1"/>
  <c r="BE330" i="1" s="1"/>
  <c r="BD330" i="1" a="1"/>
  <c r="BD330" i="1" s="1"/>
  <c r="BC330" i="1" a="1"/>
  <c r="BC330" i="1" s="1"/>
  <c r="BE329" i="1" a="1"/>
  <c r="BE329" i="1" s="1"/>
  <c r="BD329" i="1" a="1"/>
  <c r="BD329" i="1" s="1"/>
  <c r="BC329" i="1" a="1"/>
  <c r="BC329" i="1" s="1"/>
  <c r="BE328" i="1" a="1"/>
  <c r="BE328" i="1" s="1"/>
  <c r="BD328" i="1" a="1"/>
  <c r="BD328" i="1" s="1"/>
  <c r="BC328" i="1" a="1"/>
  <c r="BC328" i="1" s="1"/>
  <c r="BE327" i="1" a="1"/>
  <c r="BE327" i="1" s="1"/>
  <c r="BD327" i="1" a="1"/>
  <c r="BD327" i="1" s="1"/>
  <c r="BC327" i="1" a="1"/>
  <c r="BC327" i="1" s="1"/>
  <c r="BE326" i="1" a="1"/>
  <c r="BE326" i="1" s="1"/>
  <c r="BD326" i="1" a="1"/>
  <c r="BD326" i="1" s="1"/>
  <c r="BC326" i="1" a="1"/>
  <c r="BC326" i="1" s="1"/>
  <c r="BE325" i="1" a="1"/>
  <c r="BE325" i="1" s="1"/>
  <c r="BD325" i="1" a="1"/>
  <c r="BD325" i="1" s="1"/>
  <c r="BC325" i="1" a="1"/>
  <c r="BC325" i="1" s="1"/>
  <c r="BE324" i="1" a="1"/>
  <c r="BE324" i="1" s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 a="1"/>
  <c r="BD134" i="1" s="1"/>
  <c r="BC134" i="1" a="1"/>
  <c r="BC134" i="1" s="1"/>
  <c r="BE133" i="1" a="1"/>
  <c r="BE133" i="1" s="1"/>
  <c r="BD133" i="1" a="1"/>
  <c r="BD133" i="1" s="1"/>
  <c r="BC133" i="1" a="1"/>
  <c r="BC133" i="1" s="1"/>
  <c r="BE132" i="1" a="1"/>
  <c r="BE132" i="1" s="1"/>
  <c r="BD132" i="1" a="1"/>
  <c r="BD132" i="1" s="1"/>
  <c r="BC132" i="1" a="1"/>
  <c r="BC132" i="1" s="1"/>
  <c r="BE131" i="1" a="1"/>
  <c r="BE131" i="1" s="1"/>
  <c r="BD131" i="1" a="1"/>
  <c r="BD131" i="1" s="1"/>
  <c r="BC131" i="1" a="1"/>
  <c r="BC131" i="1" s="1"/>
  <c r="BE130" i="1" a="1"/>
  <c r="BE130" i="1" s="1"/>
  <c r="BD130" i="1" a="1"/>
  <c r="BD130" i="1" s="1"/>
  <c r="BC130" i="1" a="1"/>
  <c r="BC130" i="1" s="1"/>
  <c r="BE129" i="1" a="1"/>
  <c r="BE129" i="1" s="1"/>
  <c r="BD129" i="1" a="1"/>
  <c r="BD129" i="1" s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 a="1"/>
  <c r="BD89" i="1" s="1"/>
  <c r="BC89" i="1" a="1"/>
  <c r="BC89" i="1" s="1"/>
  <c r="BE88" i="1" a="1"/>
  <c r="BE88" i="1" s="1"/>
  <c r="BD88" i="1" a="1"/>
  <c r="BD88" i="1" s="1"/>
  <c r="BC88" i="1" a="1"/>
  <c r="BC88" i="1" s="1"/>
  <c r="BE87" i="1" a="1"/>
  <c r="BE87" i="1" s="1"/>
  <c r="BD87" i="1" a="1"/>
  <c r="BD87" i="1" s="1"/>
  <c r="BC87" i="1" a="1"/>
  <c r="BC87" i="1" s="1"/>
  <c r="BE86" i="1" a="1"/>
  <c r="BE86" i="1" s="1"/>
  <c r="BD86" i="1" a="1"/>
  <c r="BD86" i="1" s="1"/>
  <c r="BC86" i="1" a="1"/>
  <c r="BC86" i="1" s="1"/>
  <c r="BE85" i="1" a="1"/>
  <c r="BE85" i="1" s="1"/>
  <c r="BD85" i="1" a="1"/>
  <c r="BD85" i="1" s="1"/>
  <c r="BC85" i="1" a="1"/>
  <c r="BC85" i="1" s="1"/>
  <c r="BE84" i="1" a="1"/>
  <c r="BE84" i="1" s="1"/>
  <c r="BD84" i="1" a="1"/>
  <c r="BD84" i="1" s="1"/>
  <c r="BC84" i="1" a="1"/>
  <c r="BC84" i="1" s="1"/>
  <c r="BE83" i="1" a="1"/>
  <c r="BE83" i="1" s="1"/>
  <c r="BD83" i="1" a="1"/>
  <c r="BD83" i="1" s="1"/>
  <c r="BC83" i="1" a="1"/>
  <c r="BC83" i="1" s="1"/>
  <c r="BE82" i="1" a="1"/>
  <c r="BE82" i="1" s="1"/>
  <c r="BD82" i="1" a="1"/>
  <c r="BD82" i="1" s="1"/>
  <c r="BC82" i="1" a="1"/>
  <c r="BC82" i="1" s="1"/>
  <c r="BE81" i="1" a="1"/>
  <c r="BE81" i="1" s="1"/>
  <c r="BD81" i="1" a="1"/>
  <c r="BD81" i="1" s="1"/>
  <c r="BC81" i="1" a="1"/>
  <c r="BC81" i="1" s="1"/>
  <c r="BE80" i="1" a="1"/>
  <c r="BE80" i="1" s="1"/>
  <c r="BD80" i="1" a="1"/>
  <c r="BD80" i="1" s="1"/>
  <c r="BC80" i="1" a="1"/>
  <c r="BC80" i="1" s="1"/>
  <c r="BE79" i="1" a="1"/>
  <c r="BE79" i="1" s="1"/>
  <c r="BD79" i="1" a="1"/>
  <c r="BD79" i="1" s="1"/>
  <c r="BC79" i="1" a="1"/>
  <c r="BC79" i="1" s="1"/>
  <c r="BE78" i="1" a="1"/>
  <c r="BE78" i="1" s="1"/>
  <c r="BD78" i="1" a="1"/>
  <c r="BD78" i="1" s="1"/>
  <c r="BC78" i="1" a="1"/>
  <c r="BC78" i="1" s="1"/>
  <c r="BE77" i="1" a="1"/>
  <c r="BE77" i="1" s="1"/>
  <c r="BD77" i="1" a="1"/>
  <c r="BD77" i="1" s="1"/>
  <c r="BC77" i="1" a="1"/>
  <c r="BC77" i="1" s="1"/>
  <c r="BE76" i="1" a="1"/>
  <c r="BE76" i="1" s="1"/>
  <c r="BD76" i="1" a="1"/>
  <c r="BD76" i="1" s="1"/>
  <c r="BC76" i="1" a="1"/>
  <c r="BC76" i="1" s="1"/>
  <c r="BE75" i="1" a="1"/>
  <c r="BE75" i="1" s="1"/>
  <c r="BD75" i="1" a="1"/>
  <c r="BD75" i="1" s="1"/>
  <c r="BC75" i="1" a="1"/>
  <c r="BC75" i="1" s="1"/>
  <c r="BE74" i="1" a="1"/>
  <c r="BE74" i="1" s="1"/>
  <c r="BD74" i="1" a="1"/>
  <c r="BD74" i="1" s="1"/>
  <c r="BC74" i="1" a="1"/>
  <c r="BC74" i="1" s="1"/>
  <c r="BE73" i="1" a="1"/>
  <c r="BE73" i="1" s="1"/>
  <c r="BD73" i="1" a="1"/>
  <c r="BD73" i="1" s="1"/>
  <c r="BC73" i="1" a="1"/>
  <c r="BC73" i="1" s="1"/>
  <c r="BE72" i="1" a="1"/>
  <c r="BE72" i="1" s="1"/>
  <c r="BD72" i="1" a="1"/>
  <c r="BD72" i="1" s="1"/>
  <c r="BC72" i="1" a="1"/>
  <c r="BC72" i="1" s="1"/>
  <c r="BE71" i="1" a="1"/>
  <c r="BE71" i="1" s="1"/>
  <c r="BD71" i="1" a="1"/>
  <c r="BD71" i="1" s="1"/>
  <c r="BC71" i="1" a="1"/>
  <c r="BC71" i="1" s="1"/>
  <c r="BE70" i="1" a="1"/>
  <c r="BE70" i="1" s="1"/>
  <c r="BD70" i="1" a="1"/>
  <c r="BD70" i="1" s="1"/>
  <c r="BC70" i="1" a="1"/>
  <c r="BC70" i="1" s="1"/>
  <c r="BE69" i="1" a="1"/>
  <c r="BE69" i="1" s="1"/>
  <c r="BD69" i="1" a="1"/>
  <c r="BD69" i="1" s="1"/>
  <c r="BC69" i="1" a="1"/>
  <c r="BC69" i="1" s="1"/>
  <c r="BE68" i="1" a="1"/>
  <c r="BE68" i="1" s="1"/>
  <c r="BD68" i="1" a="1"/>
  <c r="BD68" i="1" s="1"/>
  <c r="BC68" i="1" a="1"/>
  <c r="BC68" i="1" s="1"/>
  <c r="BE67" i="1" a="1"/>
  <c r="BE67" i="1" s="1"/>
  <c r="BD67" i="1" a="1"/>
  <c r="BD67" i="1" s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P447" i="1" s="1"/>
  <c r="BA447" i="1" s="1" a="1"/>
  <c r="BA447" i="1" s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P444" i="1" s="1"/>
  <c r="BA444" i="1" s="1" a="1"/>
  <c r="BA444" i="1" s="1"/>
  <c r="AL444" i="1"/>
  <c r="AW444" i="1" s="1"/>
  <c r="AJ444" i="1"/>
  <c r="AI444" i="1"/>
  <c r="AH444" i="1"/>
  <c r="AG444" i="1" s="1"/>
  <c r="AM443" i="1"/>
  <c r="AP443" i="1" s="1"/>
  <c r="BA443" i="1" s="1" a="1"/>
  <c r="BA443" i="1" s="1"/>
  <c r="AL443" i="1"/>
  <c r="AW443" i="1" s="1"/>
  <c r="AJ443" i="1"/>
  <c r="AI443" i="1"/>
  <c r="AH443" i="1"/>
  <c r="AG443" i="1" s="1"/>
  <c r="AM442" i="1"/>
  <c r="AP442" i="1" s="1"/>
  <c r="BA442" i="1" s="1" a="1"/>
  <c r="BA442" i="1" s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P439" i="1" s="1"/>
  <c r="BA439" i="1" s="1" a="1"/>
  <c r="BA439" i="1" s="1"/>
  <c r="AL439" i="1"/>
  <c r="AW439" i="1" s="1"/>
  <c r="AJ439" i="1"/>
  <c r="AI439" i="1"/>
  <c r="AH439" i="1"/>
  <c r="AG439" i="1" s="1"/>
  <c r="AM438" i="1"/>
  <c r="AP438" i="1" s="1"/>
  <c r="BA438" i="1" s="1" a="1"/>
  <c r="BA438" i="1" s="1"/>
  <c r="AL438" i="1"/>
  <c r="AW438" i="1" s="1"/>
  <c r="AJ438" i="1"/>
  <c r="AI438" i="1"/>
  <c r="AH438" i="1"/>
  <c r="AG438" i="1" s="1"/>
  <c r="AM437" i="1"/>
  <c r="AP437" i="1" s="1"/>
  <c r="BA437" i="1" s="1" a="1"/>
  <c r="BA437" i="1" s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P434" i="1" s="1"/>
  <c r="BA434" i="1" s="1" a="1"/>
  <c r="BA434" i="1" s="1"/>
  <c r="AL434" i="1"/>
  <c r="AW434" i="1" s="1"/>
  <c r="AJ434" i="1"/>
  <c r="AI434" i="1"/>
  <c r="AH434" i="1"/>
  <c r="AG434" i="1" s="1"/>
  <c r="AM433" i="1"/>
  <c r="AP433" i="1" s="1"/>
  <c r="BA433" i="1" s="1" a="1"/>
  <c r="BA433" i="1" s="1"/>
  <c r="AL433" i="1"/>
  <c r="AW433" i="1" s="1"/>
  <c r="AJ433" i="1"/>
  <c r="AI433" i="1"/>
  <c r="AH433" i="1"/>
  <c r="AG433" i="1" s="1"/>
  <c r="AM432" i="1"/>
  <c r="AP432" i="1" s="1"/>
  <c r="BA432" i="1" s="1" a="1"/>
  <c r="BA432" i="1" s="1"/>
  <c r="AL432" i="1"/>
  <c r="AW432" i="1" s="1"/>
  <c r="AJ432" i="1"/>
  <c r="AI432" i="1"/>
  <c r="AH432" i="1"/>
  <c r="AG432" i="1" s="1"/>
  <c r="AL431" i="1"/>
  <c r="AW431" i="1" s="1"/>
  <c r="AJ431" i="1"/>
  <c r="AI431" i="1"/>
  <c r="AF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L399" i="1"/>
  <c r="AW399" i="1" s="1"/>
  <c r="AJ399" i="1"/>
  <c r="AI399" i="1"/>
  <c r="AH399" i="1"/>
  <c r="AG399" i="1" s="1"/>
  <c r="AM398" i="1"/>
  <c r="AL398" i="1"/>
  <c r="AW398" i="1" s="1"/>
  <c r="AJ398" i="1"/>
  <c r="AI398" i="1"/>
  <c r="AH398" i="1"/>
  <c r="AG398" i="1" s="1"/>
  <c r="AM397" i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L394" i="1"/>
  <c r="AW394" i="1" s="1"/>
  <c r="AJ394" i="1"/>
  <c r="AI394" i="1"/>
  <c r="AH394" i="1"/>
  <c r="AG394" i="1" s="1"/>
  <c r="AM393" i="1"/>
  <c r="AL393" i="1"/>
  <c r="AW393" i="1" s="1"/>
  <c r="AJ393" i="1"/>
  <c r="AI393" i="1"/>
  <c r="AH393" i="1"/>
  <c r="AG393" i="1" s="1"/>
  <c r="AM392" i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L389" i="1"/>
  <c r="AW389" i="1" s="1"/>
  <c r="AJ389" i="1"/>
  <c r="AI389" i="1"/>
  <c r="AH389" i="1"/>
  <c r="AG389" i="1" s="1"/>
  <c r="AM388" i="1"/>
  <c r="AL388" i="1"/>
  <c r="AW388" i="1" s="1"/>
  <c r="AJ388" i="1"/>
  <c r="AI388" i="1"/>
  <c r="AH388" i="1"/>
  <c r="AG388" i="1" s="1"/>
  <c r="AM387" i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G576" i="1" l="1"/>
  <c r="AG589" i="1"/>
  <c r="AX531" i="1" a="1"/>
  <c r="AX531" i="1" s="1"/>
  <c r="AX529" i="1" a="1"/>
  <c r="AX529" i="1" s="1"/>
  <c r="AX524" i="1" a="1"/>
  <c r="AX524" i="1" s="1"/>
  <c r="AG588" i="1"/>
  <c r="AA548" i="1"/>
  <c r="AG559" i="1"/>
  <c r="AG562" i="1"/>
  <c r="AG567" i="1"/>
  <c r="AG585" i="1"/>
  <c r="AG573" i="1"/>
  <c r="AP581" i="1"/>
  <c r="BA581" i="1" s="1" a="1"/>
  <c r="BA581" i="1" s="1"/>
  <c r="AX581" i="1" a="1"/>
  <c r="AX581" i="1" s="1"/>
  <c r="AX578" i="1" a="1"/>
  <c r="AX578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X582" i="1" a="1"/>
  <c r="AX582" i="1" s="1"/>
  <c r="AP582" i="1"/>
  <c r="BA582" i="1" s="1" a="1"/>
  <c r="BA582" i="1" s="1"/>
  <c r="AG558" i="1"/>
  <c r="AX576" i="1" a="1"/>
  <c r="AX576" i="1" s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AX535" i="1" a="1"/>
  <c r="AX535" i="1" s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X526" i="1" a="1"/>
  <c r="AX526" i="1" s="1"/>
  <c r="AP526" i="1"/>
  <c r="BA526" i="1" s="1" a="1"/>
  <c r="BA526" i="1" s="1"/>
  <c r="AG535" i="1"/>
  <c r="AG518" i="1"/>
  <c r="AG529" i="1"/>
  <c r="AG509" i="1"/>
  <c r="AG514" i="1"/>
  <c r="AG527" i="1"/>
  <c r="AX525" i="1" a="1"/>
  <c r="AX525" i="1" s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X479" i="1" a="1"/>
  <c r="AX479" i="1" s="1"/>
  <c r="AX482" i="1" a="1"/>
  <c r="AX482" i="1" s="1"/>
  <c r="AP488" i="1"/>
  <c r="BA488" i="1" s="1" a="1"/>
  <c r="BA488" i="1" s="1"/>
  <c r="AP492" i="1"/>
  <c r="BA492" i="1" s="1" a="1"/>
  <c r="BA492" i="1" s="1"/>
  <c r="AG464" i="1"/>
  <c r="AX484" i="1" a="1"/>
  <c r="AX484" i="1" s="1"/>
  <c r="AP484" i="1"/>
  <c r="BA484" i="1" s="1" a="1"/>
  <c r="BA484" i="1" s="1"/>
  <c r="AP477" i="1"/>
  <c r="BA477" i="1" s="1" a="1"/>
  <c r="BA477" i="1" s="1"/>
  <c r="AX477" i="1" a="1"/>
  <c r="AX477" i="1" s="1"/>
  <c r="AP489" i="1"/>
  <c r="BA489" i="1" s="1" a="1"/>
  <c r="BA489" i="1" s="1"/>
  <c r="AX489" i="1" a="1"/>
  <c r="AX489" i="1" s="1"/>
  <c r="AP487" i="1"/>
  <c r="BA487" i="1" s="1" a="1"/>
  <c r="BA487" i="1" s="1"/>
  <c r="AG493" i="1"/>
  <c r="AP478" i="1"/>
  <c r="BA478" i="1" s="1" a="1"/>
  <c r="BA478" i="1" s="1"/>
  <c r="AG491" i="1"/>
  <c r="X455" i="1"/>
  <c r="AX437" i="1" a="1"/>
  <c r="AX437" i="1" s="1"/>
  <c r="AX438" i="1" a="1"/>
  <c r="AX438" i="1" s="1"/>
  <c r="AX444" i="1" a="1"/>
  <c r="AX444" i="1" s="1"/>
  <c r="AX442" i="1" a="1"/>
  <c r="AX442" i="1" s="1"/>
  <c r="AX443" i="1" a="1"/>
  <c r="AX443" i="1" s="1"/>
  <c r="AX439" i="1" a="1"/>
  <c r="AX439" i="1" s="1"/>
  <c r="AX447" i="1" a="1"/>
  <c r="AX447" i="1" s="1"/>
  <c r="AX434" i="1" a="1"/>
  <c r="AX434" i="1" s="1"/>
  <c r="AX432" i="1" a="1"/>
  <c r="AX432" i="1" s="1"/>
  <c r="AX433" i="1" a="1"/>
  <c r="AX433" i="1" s="1"/>
  <c r="AP399" i="1"/>
  <c r="BA399" i="1" s="1" a="1"/>
  <c r="BA399" i="1" s="1"/>
  <c r="AX399" i="1" a="1"/>
  <c r="AX399" i="1" s="1"/>
  <c r="AP388" i="1"/>
  <c r="BA388" i="1" s="1" a="1"/>
  <c r="BA388" i="1" s="1"/>
  <c r="AX388" i="1" a="1"/>
  <c r="AX388" i="1" s="1"/>
  <c r="AP394" i="1"/>
  <c r="BA394" i="1" s="1" a="1"/>
  <c r="BA394" i="1" s="1"/>
  <c r="AX394" i="1" a="1"/>
  <c r="AX394" i="1" s="1"/>
  <c r="AP402" i="1"/>
  <c r="BA402" i="1" s="1" a="1"/>
  <c r="BA402" i="1" s="1"/>
  <c r="AX402" i="1" a="1"/>
  <c r="AX402" i="1" s="1"/>
  <c r="AP389" i="1"/>
  <c r="BA389" i="1" s="1" a="1"/>
  <c r="BA389" i="1" s="1"/>
  <c r="AX389" i="1" a="1"/>
  <c r="AX389" i="1" s="1"/>
  <c r="AP397" i="1"/>
  <c r="BA397" i="1" s="1" a="1"/>
  <c r="BA397" i="1" s="1"/>
  <c r="AX397" i="1" a="1"/>
  <c r="AX397" i="1" s="1"/>
  <c r="AP392" i="1"/>
  <c r="BA392" i="1" s="1" a="1"/>
  <c r="BA392" i="1" s="1"/>
  <c r="AX392" i="1" a="1"/>
  <c r="AX392" i="1" s="1"/>
  <c r="AP387" i="1"/>
  <c r="BA387" i="1" s="1" a="1"/>
  <c r="BA387" i="1" s="1"/>
  <c r="AX387" i="1" a="1"/>
  <c r="AX387" i="1" s="1"/>
  <c r="AP398" i="1"/>
  <c r="BA398" i="1" s="1" a="1"/>
  <c r="BA398" i="1" s="1"/>
  <c r="AX398" i="1" a="1"/>
  <c r="AX398" i="1" s="1"/>
  <c r="AP393" i="1"/>
  <c r="BA393" i="1" s="1" a="1"/>
  <c r="BA393" i="1" s="1"/>
  <c r="AX393" i="1" a="1"/>
  <c r="AX393" i="1" s="1"/>
  <c r="BI410" i="1"/>
  <c r="X412" i="1"/>
  <c r="AA411" i="1"/>
  <c r="AA410" i="1"/>
  <c r="AA409" i="1"/>
  <c r="AA364" i="1"/>
  <c r="X367" i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s="1"/>
  <c r="AA557" i="1" l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X94" i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49" i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141" i="1" l="1"/>
  <c r="X142" i="1" s="1"/>
  <c r="X143" i="1" s="1"/>
  <c r="X186" i="1"/>
  <c r="X187" i="1" s="1"/>
  <c r="X188" i="1" s="1"/>
  <c r="BI185" i="1"/>
  <c r="X231" i="1"/>
  <c r="X232" i="1" s="1"/>
  <c r="X233" i="1" s="1"/>
  <c r="BI230" i="1"/>
  <c r="X276" i="1"/>
  <c r="X277" i="1" s="1"/>
  <c r="X278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I423" i="1" l="1"/>
  <c r="AO573" i="1"/>
  <c r="AZ573" i="1" s="1" a="1"/>
  <c r="AZ573" i="1" s="1"/>
  <c r="AN578" i="1"/>
  <c r="AY578" i="1" s="1" a="1"/>
  <c r="AY578" i="1" s="1"/>
  <c r="AM554" i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M527" i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O586" i="1"/>
  <c r="AZ586" i="1" s="1" a="1"/>
  <c r="AZ586" i="1" s="1"/>
  <c r="AM580" i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N553" i="1"/>
  <c r="AY553" i="1" s="1" a="1"/>
  <c r="AY553" i="1" s="1"/>
  <c r="AN542" i="1"/>
  <c r="AY542" i="1" s="1" a="1"/>
  <c r="AY542" i="1" s="1"/>
  <c r="AM540" i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M490" i="1"/>
  <c r="AO579" i="1"/>
  <c r="AZ579" i="1" s="1" a="1"/>
  <c r="AZ579" i="1" s="1"/>
  <c r="AN569" i="1"/>
  <c r="AY569" i="1" s="1" a="1"/>
  <c r="AY569" i="1" s="1"/>
  <c r="AN586" i="1"/>
  <c r="AY586" i="1" s="1" a="1"/>
  <c r="AY586" i="1" s="1"/>
  <c r="BI586" i="1" s="1"/>
  <c r="AO585" i="1"/>
  <c r="AZ585" i="1" s="1" a="1"/>
  <c r="AZ585" i="1" s="1"/>
  <c r="AN571" i="1"/>
  <c r="AY571" i="1" s="1" a="1"/>
  <c r="AY571" i="1" s="1"/>
  <c r="BI571" i="1" s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O539" i="1"/>
  <c r="AZ539" i="1" s="1" a="1"/>
  <c r="AZ539" i="1" s="1"/>
  <c r="AM533" i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Q521" i="1"/>
  <c r="BB521" i="1" s="1" a="1"/>
  <c r="BB521" i="1" s="1"/>
  <c r="AN519" i="1"/>
  <c r="AY519" i="1" s="1" a="1"/>
  <c r="AY519" i="1" s="1"/>
  <c r="AM518" i="1"/>
  <c r="AO517" i="1"/>
  <c r="AZ517" i="1" s="1" a="1"/>
  <c r="AZ517" i="1" s="1"/>
  <c r="AN513" i="1"/>
  <c r="AY513" i="1" s="1" a="1"/>
  <c r="AY513" i="1" s="1"/>
  <c r="AM510" i="1"/>
  <c r="AQ509" i="1"/>
  <c r="BB509" i="1" s="1" a="1"/>
  <c r="BB509" i="1" s="1"/>
  <c r="AN506" i="1"/>
  <c r="AY506" i="1" s="1" a="1"/>
  <c r="AY506" i="1" s="1"/>
  <c r="AM486" i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AQ470" i="1"/>
  <c r="BB470" i="1" s="1" a="1"/>
  <c r="BB470" i="1" s="1"/>
  <c r="AO556" i="1"/>
  <c r="AZ556" i="1" s="1" a="1"/>
  <c r="AZ556" i="1" s="1"/>
  <c r="AO582" i="1"/>
  <c r="AZ582" i="1" s="1" a="1"/>
  <c r="AZ582" i="1" s="1"/>
  <c r="AM569" i="1"/>
  <c r="AM585" i="1"/>
  <c r="AQ575" i="1"/>
  <c r="BB575" i="1" s="1" a="1"/>
  <c r="BB575" i="1" s="1"/>
  <c r="AN570" i="1"/>
  <c r="AY570" i="1" s="1" a="1"/>
  <c r="AY570" i="1" s="1"/>
  <c r="AM568" i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O482" i="1"/>
  <c r="AZ482" i="1" s="1" a="1"/>
  <c r="AZ482" i="1" s="1"/>
  <c r="AQ475" i="1"/>
  <c r="BB475" i="1" s="1" a="1"/>
  <c r="BB475" i="1" s="1"/>
  <c r="AM473" i="1"/>
  <c r="AO469" i="1"/>
  <c r="AZ469" i="1" s="1" a="1"/>
  <c r="AZ469" i="1" s="1"/>
  <c r="AM466" i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M467" i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O520" i="1"/>
  <c r="AZ520" i="1" s="1" a="1"/>
  <c r="AZ520" i="1" s="1"/>
  <c r="AM517" i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BI573" i="1" s="1"/>
  <c r="AJ568" i="1"/>
  <c r="AN565" i="1"/>
  <c r="AY565" i="1" s="1" a="1"/>
  <c r="AY565" i="1" s="1"/>
  <c r="AQ564" i="1"/>
  <c r="BB564" i="1" s="1" a="1"/>
  <c r="BB564" i="1" s="1"/>
  <c r="AM553" i="1"/>
  <c r="AO542" i="1"/>
  <c r="AZ542" i="1" s="1" a="1"/>
  <c r="AZ542" i="1" s="1"/>
  <c r="AM538" i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Q519" i="1"/>
  <c r="BB519" i="1" s="1" a="1"/>
  <c r="BB519" i="1" s="1"/>
  <c r="AM516" i="1"/>
  <c r="AM515" i="1"/>
  <c r="AO514" i="1"/>
  <c r="AZ514" i="1" s="1" a="1"/>
  <c r="AZ514" i="1" s="1"/>
  <c r="AO513" i="1"/>
  <c r="AZ513" i="1" s="1" a="1"/>
  <c r="AZ513" i="1" s="1"/>
  <c r="AM507" i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H469" i="1"/>
  <c r="AG469" i="1" s="1"/>
  <c r="AJ464" i="1"/>
  <c r="AN463" i="1"/>
  <c r="AY463" i="1" s="1" a="1"/>
  <c r="AY463" i="1" s="1"/>
  <c r="AM563" i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Q580" i="1"/>
  <c r="BB580" i="1" s="1" a="1"/>
  <c r="BB580" i="1" s="1"/>
  <c r="AN577" i="1"/>
  <c r="AY577" i="1" s="1" a="1"/>
  <c r="AY577" i="1" s="1"/>
  <c r="BI577" i="1" s="1"/>
  <c r="AN574" i="1"/>
  <c r="AY574" i="1" s="1" a="1"/>
  <c r="AY574" i="1" s="1"/>
  <c r="AM565" i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M513" i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O480" i="1"/>
  <c r="AZ480" i="1" s="1" a="1"/>
  <c r="AZ480" i="1" s="1"/>
  <c r="AM475" i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AQ563" i="1"/>
  <c r="BB563" i="1" s="1" a="1"/>
  <c r="BB563" i="1" s="1"/>
  <c r="AN562" i="1"/>
  <c r="AY562" i="1" s="1" a="1"/>
  <c r="AY562" i="1" s="1"/>
  <c r="AO561" i="1"/>
  <c r="AZ561" i="1" s="1" a="1"/>
  <c r="AZ561" i="1" s="1"/>
  <c r="AM558" i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M495" i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Q463" i="1"/>
  <c r="BB463" i="1" s="1" a="1"/>
  <c r="BB463" i="1" s="1"/>
  <c r="AN581" i="1"/>
  <c r="AY581" i="1" s="1" a="1"/>
  <c r="AY581" i="1" s="1"/>
  <c r="AM557" i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M564" i="1"/>
  <c r="AO563" i="1"/>
  <c r="AZ563" i="1" s="1" a="1"/>
  <c r="AZ563" i="1" s="1"/>
  <c r="AM562" i="1"/>
  <c r="AM561" i="1"/>
  <c r="AM541" i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M574" i="1"/>
  <c r="AO568" i="1"/>
  <c r="AZ568" i="1" s="1" a="1"/>
  <c r="AZ568" i="1" s="1"/>
  <c r="AM559" i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Q511" i="1"/>
  <c r="BB511" i="1" s="1" a="1"/>
  <c r="BB511" i="1" s="1"/>
  <c r="AM491" i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O484" i="1"/>
  <c r="AZ484" i="1" s="1" a="1"/>
  <c r="AZ484" i="1" s="1"/>
  <c r="AO486" i="1"/>
  <c r="AZ486" i="1" s="1" a="1"/>
  <c r="AZ486" i="1" s="1"/>
  <c r="AM465" i="1"/>
  <c r="AQ491" i="1"/>
  <c r="BB491" i="1" s="1" a="1"/>
  <c r="BB491" i="1" s="1"/>
  <c r="AM508" i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O491" i="1"/>
  <c r="AZ491" i="1" s="1" a="1"/>
  <c r="AZ491" i="1" s="1"/>
  <c r="AM472" i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AQ516" i="1"/>
  <c r="BB516" i="1" s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O489" i="1"/>
  <c r="AZ489" i="1" s="1" a="1"/>
  <c r="AZ489" i="1" s="1"/>
  <c r="AM461" i="1"/>
  <c r="AM556" i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BI487" i="1" s="1"/>
  <c r="AO479" i="1"/>
  <c r="AZ479" i="1" s="1" a="1"/>
  <c r="AZ479" i="1" s="1"/>
  <c r="AO578" i="1"/>
  <c r="AZ578" i="1" s="1" a="1"/>
  <c r="AZ578" i="1" s="1"/>
  <c r="AM468" i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BI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BI483" i="1" l="1"/>
  <c r="BI583" i="1"/>
  <c r="AX461" i="1" a="1"/>
  <c r="AX461" i="1" s="1"/>
  <c r="AP461" i="1"/>
  <c r="BA461" i="1" s="1" a="1"/>
  <c r="BA461" i="1" s="1"/>
  <c r="BI461" i="1" s="1"/>
  <c r="AP494" i="1"/>
  <c r="BA494" i="1" s="1" a="1"/>
  <c r="BA494" i="1" s="1"/>
  <c r="AX494" i="1" a="1"/>
  <c r="AX494" i="1" s="1"/>
  <c r="BI539" i="1"/>
  <c r="AP537" i="1"/>
  <c r="BA537" i="1" s="1" a="1"/>
  <c r="BA537" i="1" s="1"/>
  <c r="AX537" i="1" a="1"/>
  <c r="AX537" i="1" s="1"/>
  <c r="BI492" i="1"/>
  <c r="AP516" i="1"/>
  <c r="BA516" i="1" s="1" a="1"/>
  <c r="BA516" i="1" s="1"/>
  <c r="AX516" i="1" a="1"/>
  <c r="AX516" i="1" s="1"/>
  <c r="AX553" i="1" a="1"/>
  <c r="AX553" i="1" s="1"/>
  <c r="AP553" i="1"/>
  <c r="BA553" i="1" s="1" a="1"/>
  <c r="BA553" i="1" s="1"/>
  <c r="BI553" i="1" s="1"/>
  <c r="AP522" i="1"/>
  <c r="BA522" i="1" s="1" a="1"/>
  <c r="BA522" i="1" s="1"/>
  <c r="BI522" i="1" s="1"/>
  <c r="AX522" i="1" a="1"/>
  <c r="AX522" i="1" s="1"/>
  <c r="BI524" i="1"/>
  <c r="AX468" i="1" a="1"/>
  <c r="AX468" i="1" s="1"/>
  <c r="AP468" i="1"/>
  <c r="BA468" i="1" s="1" a="1"/>
  <c r="BA468" i="1" s="1"/>
  <c r="AX460" i="1" a="1"/>
  <c r="AX460" i="1" s="1"/>
  <c r="AP460" i="1"/>
  <c r="BA460" i="1" s="1" a="1"/>
  <c r="BA460" i="1" s="1"/>
  <c r="AX491" i="1" a="1"/>
  <c r="AX491" i="1" s="1"/>
  <c r="AP491" i="1"/>
  <c r="BA491" i="1" s="1" a="1"/>
  <c r="BA491" i="1" s="1"/>
  <c r="BI491" i="1" s="1"/>
  <c r="AP541" i="1"/>
  <c r="BA541" i="1" s="1" a="1"/>
  <c r="BA541" i="1" s="1"/>
  <c r="AX541" i="1" a="1"/>
  <c r="AX541" i="1" s="1"/>
  <c r="AX521" i="1" a="1"/>
  <c r="AX521" i="1" s="1"/>
  <c r="AP521" i="1"/>
  <c r="BA521" i="1" s="1" a="1"/>
  <c r="BA521" i="1" s="1"/>
  <c r="AP473" i="1"/>
  <c r="BA473" i="1" s="1" a="1"/>
  <c r="BA473" i="1" s="1"/>
  <c r="AX473" i="1" a="1"/>
  <c r="AX473" i="1" s="1"/>
  <c r="BI473" i="1" s="1"/>
  <c r="AP486" i="1"/>
  <c r="BA486" i="1" s="1" a="1"/>
  <c r="BA486" i="1" s="1"/>
  <c r="AX486" i="1" a="1"/>
  <c r="AX486" i="1" s="1"/>
  <c r="AP560" i="1"/>
  <c r="BA560" i="1" s="1" a="1"/>
  <c r="BA560" i="1" s="1"/>
  <c r="AX560" i="1" a="1"/>
  <c r="AX560" i="1" s="1"/>
  <c r="AX508" i="1" a="1"/>
  <c r="AX508" i="1" s="1"/>
  <c r="AP508" i="1"/>
  <c r="BA508" i="1" s="1" a="1"/>
  <c r="BA508" i="1" s="1"/>
  <c r="AX559" i="1" a="1"/>
  <c r="AX559" i="1" s="1"/>
  <c r="AP559" i="1"/>
  <c r="BA559" i="1" s="1" a="1"/>
  <c r="BA559" i="1" s="1"/>
  <c r="BI559" i="1" s="1"/>
  <c r="AX561" i="1" a="1"/>
  <c r="AX561" i="1" s="1"/>
  <c r="AP561" i="1"/>
  <c r="BA561" i="1" s="1" a="1"/>
  <c r="BA561" i="1" s="1"/>
  <c r="AX513" i="1" a="1"/>
  <c r="AX513" i="1" s="1"/>
  <c r="AP513" i="1"/>
  <c r="BA513" i="1" s="1" a="1"/>
  <c r="BA513" i="1" s="1"/>
  <c r="BI513" i="1" s="1"/>
  <c r="AP520" i="1"/>
  <c r="BA520" i="1" s="1" a="1"/>
  <c r="BA520" i="1" s="1"/>
  <c r="AX520" i="1" a="1"/>
  <c r="AX520" i="1" s="1"/>
  <c r="BI520" i="1" s="1"/>
  <c r="AX509" i="1" a="1"/>
  <c r="AX509" i="1" s="1"/>
  <c r="AP509" i="1"/>
  <c r="BA509" i="1" s="1" a="1"/>
  <c r="BA509" i="1" s="1"/>
  <c r="AP585" i="1"/>
  <c r="BA585" i="1" s="1" a="1"/>
  <c r="BA585" i="1" s="1"/>
  <c r="AX585" i="1" a="1"/>
  <c r="AX585" i="1" s="1"/>
  <c r="BI585" i="1" s="1"/>
  <c r="AX463" i="1" a="1"/>
  <c r="AX463" i="1" s="1"/>
  <c r="AP463" i="1"/>
  <c r="BA463" i="1" s="1" a="1"/>
  <c r="BA463" i="1" s="1"/>
  <c r="AP512" i="1"/>
  <c r="BA512" i="1" s="1" a="1"/>
  <c r="BA512" i="1" s="1"/>
  <c r="AX512" i="1" a="1"/>
  <c r="AX512" i="1" s="1"/>
  <c r="AP562" i="1"/>
  <c r="BA562" i="1" s="1" a="1"/>
  <c r="BA562" i="1" s="1"/>
  <c r="AX562" i="1" a="1"/>
  <c r="AX562" i="1" s="1"/>
  <c r="AP514" i="1"/>
  <c r="BA514" i="1" s="1" a="1"/>
  <c r="BA514" i="1" s="1"/>
  <c r="AX514" i="1" a="1"/>
  <c r="AX514" i="1" s="1"/>
  <c r="AX563" i="1" a="1"/>
  <c r="AX563" i="1" s="1"/>
  <c r="AP563" i="1"/>
  <c r="BA563" i="1" s="1" a="1"/>
  <c r="BA563" i="1" s="1"/>
  <c r="AP532" i="1"/>
  <c r="BA532" i="1" s="1" a="1"/>
  <c r="BA532" i="1" s="1"/>
  <c r="AX532" i="1" a="1"/>
  <c r="AX532" i="1" s="1"/>
  <c r="AP569" i="1"/>
  <c r="BA569" i="1" s="1" a="1"/>
  <c r="BA569" i="1" s="1"/>
  <c r="AX569" i="1" a="1"/>
  <c r="AX569" i="1" s="1"/>
  <c r="BI530" i="1"/>
  <c r="AX462" i="1" a="1"/>
  <c r="AX462" i="1" s="1"/>
  <c r="AP462" i="1"/>
  <c r="BA462" i="1" s="1" a="1"/>
  <c r="BA462" i="1" s="1"/>
  <c r="AX587" i="1" a="1"/>
  <c r="AX587" i="1" s="1"/>
  <c r="AP587" i="1"/>
  <c r="BA587" i="1" s="1" a="1"/>
  <c r="BA587" i="1" s="1"/>
  <c r="AX465" i="1" a="1"/>
  <c r="AX465" i="1" s="1"/>
  <c r="AP465" i="1"/>
  <c r="BA465" i="1" s="1" a="1"/>
  <c r="BA465" i="1" s="1"/>
  <c r="AP574" i="1"/>
  <c r="BA574" i="1" s="1" a="1"/>
  <c r="BA574" i="1" s="1"/>
  <c r="AX574" i="1" a="1"/>
  <c r="AX574" i="1" s="1"/>
  <c r="AX557" i="1" a="1"/>
  <c r="AX557" i="1" s="1"/>
  <c r="AP557" i="1"/>
  <c r="BA557" i="1" s="1" a="1"/>
  <c r="BA557" i="1" s="1"/>
  <c r="AP519" i="1"/>
  <c r="BA519" i="1" s="1" a="1"/>
  <c r="BA519" i="1" s="1"/>
  <c r="AX519" i="1" a="1"/>
  <c r="AX519" i="1" s="1"/>
  <c r="AX475" i="1" a="1"/>
  <c r="AX475" i="1" s="1"/>
  <c r="AP475" i="1"/>
  <c r="BA475" i="1" s="1" a="1"/>
  <c r="BA475" i="1" s="1"/>
  <c r="AX565" i="1" a="1"/>
  <c r="AX565" i="1" s="1"/>
  <c r="AP565" i="1"/>
  <c r="BA565" i="1" s="1" a="1"/>
  <c r="BA565" i="1" s="1"/>
  <c r="BI565" i="1" s="1"/>
  <c r="AX467" i="1" a="1"/>
  <c r="AX467" i="1" s="1"/>
  <c r="AP467" i="1"/>
  <c r="BA467" i="1" s="1" a="1"/>
  <c r="BA467" i="1" s="1"/>
  <c r="AX485" i="1" a="1"/>
  <c r="AX485" i="1" s="1"/>
  <c r="AP485" i="1"/>
  <c r="BA485" i="1" s="1" a="1"/>
  <c r="BA485" i="1" s="1"/>
  <c r="BI485" i="1" s="1"/>
  <c r="AP510" i="1"/>
  <c r="BA510" i="1" s="1" a="1"/>
  <c r="BA510" i="1" s="1"/>
  <c r="AX510" i="1" a="1"/>
  <c r="AX510" i="1" s="1"/>
  <c r="AX540" i="1" a="1"/>
  <c r="AX540" i="1" s="1"/>
  <c r="AP540" i="1"/>
  <c r="BA540" i="1" s="1" a="1"/>
  <c r="BA540" i="1" s="1"/>
  <c r="AP527" i="1"/>
  <c r="BA527" i="1" s="1" a="1"/>
  <c r="BA527" i="1" s="1"/>
  <c r="AX527" i="1" a="1"/>
  <c r="AX527" i="1" s="1"/>
  <c r="BI479" i="1"/>
  <c r="BI529" i="1"/>
  <c r="AX584" i="1" a="1"/>
  <c r="AX584" i="1" s="1"/>
  <c r="AP584" i="1"/>
  <c r="BA584" i="1" s="1" a="1"/>
  <c r="BA584" i="1" s="1"/>
  <c r="AX472" i="1" a="1"/>
  <c r="AX472" i="1" s="1"/>
  <c r="AP472" i="1"/>
  <c r="BA472" i="1" s="1" a="1"/>
  <c r="BA472" i="1" s="1"/>
  <c r="AX579" i="1" a="1"/>
  <c r="AX579" i="1" s="1"/>
  <c r="AP579" i="1"/>
  <c r="BA579" i="1" s="1" a="1"/>
  <c r="BA579" i="1" s="1"/>
  <c r="AP564" i="1"/>
  <c r="BA564" i="1" s="1" a="1"/>
  <c r="BA564" i="1" s="1"/>
  <c r="AX564" i="1" a="1"/>
  <c r="AX564" i="1" s="1"/>
  <c r="BI581" i="1"/>
  <c r="AX471" i="1" a="1"/>
  <c r="AX471" i="1" s="1"/>
  <c r="AP471" i="1"/>
  <c r="BA471" i="1" s="1" a="1"/>
  <c r="BA471" i="1" s="1"/>
  <c r="AX470" i="1" a="1"/>
  <c r="AX470" i="1" s="1"/>
  <c r="AP470" i="1"/>
  <c r="BA470" i="1" s="1" a="1"/>
  <c r="BA470" i="1" s="1"/>
  <c r="AP533" i="1"/>
  <c r="BA533" i="1" s="1" a="1"/>
  <c r="BA533" i="1" s="1"/>
  <c r="AX533" i="1" a="1"/>
  <c r="AX533" i="1" s="1"/>
  <c r="AX511" i="1" a="1"/>
  <c r="AX511" i="1" s="1"/>
  <c r="AP511" i="1"/>
  <c r="BA511" i="1" s="1" a="1"/>
  <c r="BA511" i="1" s="1"/>
  <c r="AP580" i="1"/>
  <c r="BA580" i="1" s="1" a="1"/>
  <c r="BA580" i="1" s="1"/>
  <c r="AX580" i="1" a="1"/>
  <c r="AX580" i="1" s="1"/>
  <c r="AX528" i="1" a="1"/>
  <c r="AX528" i="1" s="1"/>
  <c r="AP528" i="1"/>
  <c r="BA528" i="1" s="1" a="1"/>
  <c r="BA528" i="1" s="1"/>
  <c r="BI582" i="1"/>
  <c r="AX523" i="1" a="1"/>
  <c r="AX523" i="1" s="1"/>
  <c r="AP523" i="1"/>
  <c r="BA523" i="1" s="1" a="1"/>
  <c r="BA523" i="1" s="1"/>
  <c r="AX567" i="1" a="1"/>
  <c r="AX567" i="1" s="1"/>
  <c r="AP567" i="1"/>
  <c r="BA567" i="1" s="1" a="1"/>
  <c r="BA567" i="1" s="1"/>
  <c r="BI567" i="1" s="1"/>
  <c r="AP558" i="1"/>
  <c r="BA558" i="1" s="1" a="1"/>
  <c r="BA558" i="1" s="1"/>
  <c r="AX558" i="1" a="1"/>
  <c r="AX558" i="1" s="1"/>
  <c r="AX481" i="1" a="1"/>
  <c r="AX481" i="1" s="1"/>
  <c r="AP481" i="1"/>
  <c r="BA481" i="1" s="1" a="1"/>
  <c r="BA481" i="1" s="1"/>
  <c r="AX507" i="1" a="1"/>
  <c r="AX507" i="1" s="1"/>
  <c r="AP507" i="1"/>
  <c r="BA507" i="1" s="1" a="1"/>
  <c r="BA507" i="1" s="1"/>
  <c r="BI536" i="1"/>
  <c r="AX570" i="1" a="1"/>
  <c r="AX570" i="1" s="1"/>
  <c r="AP570" i="1"/>
  <c r="BA570" i="1" s="1" a="1"/>
  <c r="BA570" i="1" s="1"/>
  <c r="AX554" i="1" a="1"/>
  <c r="AX554" i="1" s="1"/>
  <c r="AP554" i="1"/>
  <c r="BA554" i="1" s="1" a="1"/>
  <c r="BA554" i="1" s="1"/>
  <c r="BI531" i="1"/>
  <c r="AX459" i="1" a="1"/>
  <c r="AX459" i="1" s="1"/>
  <c r="AP459" i="1"/>
  <c r="BA459" i="1" s="1" a="1"/>
  <c r="BA459" i="1" s="1"/>
  <c r="AP575" i="1"/>
  <c r="BA575" i="1" s="1" a="1"/>
  <c r="BA575" i="1" s="1"/>
  <c r="AX575" i="1" a="1"/>
  <c r="AX575" i="1" s="1"/>
  <c r="BI525" i="1"/>
  <c r="AX464" i="1" a="1"/>
  <c r="AX464" i="1" s="1"/>
  <c r="AP464" i="1"/>
  <c r="BA464" i="1" s="1" a="1"/>
  <c r="BA464" i="1" s="1"/>
  <c r="AX495" i="1" a="1"/>
  <c r="AX495" i="1" s="1"/>
  <c r="AP495" i="1"/>
  <c r="BA495" i="1" s="1" a="1"/>
  <c r="BA495" i="1" s="1"/>
  <c r="BI526" i="1"/>
  <c r="AX474" i="1" a="1"/>
  <c r="AX474" i="1" s="1"/>
  <c r="AP474" i="1"/>
  <c r="BA474" i="1" s="1" a="1"/>
  <c r="BA474" i="1" s="1"/>
  <c r="AX469" i="1" a="1"/>
  <c r="AX469" i="1" s="1"/>
  <c r="AP469" i="1"/>
  <c r="BA469" i="1" s="1" a="1"/>
  <c r="BA469" i="1" s="1"/>
  <c r="BI535" i="1"/>
  <c r="AP518" i="1"/>
  <c r="BA518" i="1" s="1" a="1"/>
  <c r="BA518" i="1" s="1"/>
  <c r="AX518" i="1" a="1"/>
  <c r="AX518" i="1" s="1"/>
  <c r="AX542" i="1" a="1"/>
  <c r="AX542" i="1" s="1"/>
  <c r="AP542" i="1"/>
  <c r="BA542" i="1" s="1" a="1"/>
  <c r="BA542" i="1" s="1"/>
  <c r="AP490" i="1"/>
  <c r="BA490" i="1" s="1" a="1"/>
  <c r="BA490" i="1" s="1"/>
  <c r="AX490" i="1" a="1"/>
  <c r="AX490" i="1" s="1"/>
  <c r="AP555" i="1"/>
  <c r="BA555" i="1" s="1" a="1"/>
  <c r="BA555" i="1" s="1"/>
  <c r="AX555" i="1" a="1"/>
  <c r="AX555" i="1" s="1"/>
  <c r="AX589" i="1" a="1"/>
  <c r="AX589" i="1" s="1"/>
  <c r="AP589" i="1"/>
  <c r="BA589" i="1" s="1" a="1"/>
  <c r="BA589" i="1" s="1"/>
  <c r="BI578" i="1"/>
  <c r="BI576" i="1"/>
  <c r="AX506" i="1" a="1"/>
  <c r="AX506" i="1" s="1"/>
  <c r="AP506" i="1"/>
  <c r="BA506" i="1" s="1" a="1"/>
  <c r="BA506" i="1" s="1"/>
  <c r="BI534" i="1"/>
  <c r="AP493" i="1"/>
  <c r="BA493" i="1" s="1" a="1"/>
  <c r="BA493" i="1" s="1"/>
  <c r="AX493" i="1" a="1"/>
  <c r="AX493" i="1" s="1"/>
  <c r="AP588" i="1"/>
  <c r="BA588" i="1" s="1" a="1"/>
  <c r="BA588" i="1" s="1"/>
  <c r="AX588" i="1" a="1"/>
  <c r="AX588" i="1" s="1"/>
  <c r="BI478" i="1"/>
  <c r="AX538" i="1" a="1"/>
  <c r="AX538" i="1" s="1"/>
  <c r="AP538" i="1"/>
  <c r="BA538" i="1" s="1" a="1"/>
  <c r="BA538" i="1" s="1"/>
  <c r="BI482" i="1"/>
  <c r="AX480" i="1" a="1"/>
  <c r="AX480" i="1" s="1"/>
  <c r="AP480" i="1"/>
  <c r="BA480" i="1" s="1" a="1"/>
  <c r="BA480" i="1" s="1"/>
  <c r="AX476" i="1" a="1"/>
  <c r="AX476" i="1" s="1"/>
  <c r="AP476" i="1"/>
  <c r="BA476" i="1" s="1" a="1"/>
  <c r="BA476" i="1" s="1"/>
  <c r="AX556" i="1" a="1"/>
  <c r="AX556" i="1" s="1"/>
  <c r="AP556" i="1"/>
  <c r="BA556" i="1" s="1" a="1"/>
  <c r="BA556" i="1" s="1"/>
  <c r="BI572" i="1"/>
  <c r="BI488" i="1"/>
  <c r="AP515" i="1"/>
  <c r="BA515" i="1" s="1" a="1"/>
  <c r="BA515" i="1" s="1"/>
  <c r="AX515" i="1" a="1"/>
  <c r="AX515" i="1" s="1"/>
  <c r="BI515" i="1" s="1"/>
  <c r="AX566" i="1" a="1"/>
  <c r="AX566" i="1" s="1"/>
  <c r="AP566" i="1"/>
  <c r="BA566" i="1" s="1" a="1"/>
  <c r="BA566" i="1" s="1"/>
  <c r="AP517" i="1"/>
  <c r="BA517" i="1" s="1" a="1"/>
  <c r="BA517" i="1" s="1"/>
  <c r="AX517" i="1" a="1"/>
  <c r="AX517" i="1" s="1"/>
  <c r="AX466" i="1" a="1"/>
  <c r="AX466" i="1" s="1"/>
  <c r="AP466" i="1"/>
  <c r="BA466" i="1" s="1" a="1"/>
  <c r="BA466" i="1" s="1"/>
  <c r="AP568" i="1"/>
  <c r="BA568" i="1" s="1" a="1"/>
  <c r="BA568" i="1" s="1"/>
  <c r="AX568" i="1" a="1"/>
  <c r="AX568" i="1" s="1"/>
  <c r="BI477" i="1"/>
  <c r="BI489" i="1"/>
  <c r="AY444" i="1" a="1"/>
  <c r="AY444" i="1" s="1"/>
  <c r="BI444" i="1" s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I463" i="1" l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<sst xmlns="http://schemas.openxmlformats.org/spreadsheetml/2006/main" count="3963" uniqueCount="654">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</sst>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3" fillId="11" borderId="0" xfId="0" applyFont="1" applyFill="1" applyAlignment="1">
      <alignment horizontal="left" vertical="center"/>
    </xf>
  </cellXfs>
  <cellStyles count="1">
    <cellStyle name="Normal" xfId="0" builtinId="0"/>
  </cellStyles>
  <dxfs count="38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zoomScale="87" zoomScaleNormal="90" workbookViewId="0">
      <selection activeCell="BI137" sqref="BI137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8" bestFit="1" customWidth="1"/>
    <col min="45" max="45" width="28.5" style="188" bestFit="1" customWidth="1"/>
    <col min="46" max="46" width="24" style="188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8" t="s">
        <v>17</v>
      </c>
      <c r="AS1" s="188" t="s">
        <v>18</v>
      </c>
      <c r="AT1" s="188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15" t="str">
        <f>VLOOKUP(LEFT(C53,LEN(layout)+3),label,RIGHT(C53,1)+1,0)</f>
        <v>F1</v>
      </c>
      <c r="D3" s="216"/>
      <c r="E3" s="226"/>
      <c r="G3" s="215" t="str">
        <f>VLOOKUP(LEFT(G53,LEN(layout)+3),label,RIGHT(G53,1)+1,0)</f>
        <v>F2</v>
      </c>
      <c r="H3" s="216"/>
      <c r="I3" s="226"/>
      <c r="J3" s="215" t="str">
        <f>VLOOKUP(LEFT(J53,LEN(layout)+3),label,RIGHT(J53,1)+1,0)</f>
        <v>F3</v>
      </c>
      <c r="K3" s="216"/>
      <c r="L3" s="226"/>
      <c r="M3" s="215" t="str">
        <f>VLOOKUP(LEFT(M53,LEN(layout)+3),label,RIGHT(M53,1)+1,0)</f>
        <v>F4</v>
      </c>
      <c r="N3" s="216"/>
      <c r="O3" s="226"/>
      <c r="P3" s="215" t="str">
        <f>VLOOKUP(LEFT(P53,LEN(layout)+3),label,RIGHT(P53,1)+1,0)</f>
        <v>F4</v>
      </c>
      <c r="Q3" s="216"/>
      <c r="R3" s="226"/>
      <c r="S3" s="215" t="str">
        <f>VLOOKUP(LEFT(S53,LEN(layout)+3),label,RIGHT(S53,1)+1,0)</f>
        <v>F6</v>
      </c>
      <c r="T3" s="216"/>
      <c r="U3" s="226"/>
      <c r="W3" s="206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9"/>
      <c r="AS3" s="189"/>
      <c r="AT3" s="189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17"/>
      <c r="D4" s="218"/>
      <c r="E4" s="226"/>
      <c r="G4" s="217"/>
      <c r="H4" s="218"/>
      <c r="I4" s="226"/>
      <c r="J4" s="217"/>
      <c r="K4" s="218"/>
      <c r="L4" s="226"/>
      <c r="M4" s="217"/>
      <c r="N4" s="218"/>
      <c r="O4" s="226"/>
      <c r="P4" s="217"/>
      <c r="Q4" s="218"/>
      <c r="R4" s="226"/>
      <c r="S4" s="217"/>
      <c r="T4" s="218"/>
      <c r="U4" s="226"/>
      <c r="V4" s="1" t="s">
        <v>22</v>
      </c>
      <c r="W4" s="204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9"/>
      <c r="AS4" s="189"/>
      <c r="AT4" s="189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19"/>
      <c r="D5" s="220"/>
      <c r="E5" s="226"/>
      <c r="G5" s="219"/>
      <c r="H5" s="220"/>
      <c r="I5" s="226"/>
      <c r="J5" s="219"/>
      <c r="K5" s="220"/>
      <c r="L5" s="226"/>
      <c r="M5" s="219"/>
      <c r="N5" s="220"/>
      <c r="O5" s="226"/>
      <c r="P5" s="219"/>
      <c r="Q5" s="220"/>
      <c r="R5" s="226"/>
      <c r="S5" s="219"/>
      <c r="T5" s="220"/>
      <c r="U5" s="226"/>
      <c r="W5" s="204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9"/>
      <c r="AS5" s="189"/>
      <c r="AT5" s="189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4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9"/>
      <c r="AS6" s="189"/>
      <c r="AT6" s="189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4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9"/>
      <c r="AS7" s="189"/>
      <c r="AT7" s="189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x!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x√y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04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9"/>
      <c r="AS8" s="189"/>
      <c r="AT8" s="189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15" t="str">
        <f>VLOOKUP(LEFT(C59,LEN(layout)+3),label,RIGHT(C59,1)+1,0)</f>
        <v>x^2</v>
      </c>
      <c r="D9" s="216"/>
      <c r="E9" s="221" t="str">
        <f>SUBSTITUTE(VLOOKUP(LEFT(E59,LEN(layout)+3),label,RIGHT(E59,1)+2,0),0,"")</f>
        <v>A</v>
      </c>
      <c r="G9" s="215" t="str">
        <f>VLOOKUP(LEFT(G59,LEN(layout)+3),label,RIGHT(G59,1)+1,0)</f>
        <v>√x</v>
      </c>
      <c r="H9" s="216"/>
      <c r="I9" s="221" t="str">
        <f>SUBSTITUTE(VLOOKUP(LEFT(I59,LEN(layout)+3),label,RIGHT(I59,1)+2,0),0,"")</f>
        <v>B</v>
      </c>
      <c r="J9" s="215" t="str">
        <f>VLOOKUP(LEFT(J59,LEN(layout)+3),label,RIGHT(J59,1)+1,0)</f>
        <v>1/x</v>
      </c>
      <c r="K9" s="216"/>
      <c r="L9" s="221" t="str">
        <f>SUBSTITUTE(VLOOKUP(LEFT(L59,LEN(layout)+3),label,RIGHT(L59,1)+2,0),0,"")</f>
        <v>C</v>
      </c>
      <c r="M9" s="215" t="str">
        <f>VLOOKUP(LEFT(M59,LEN(layout)+3),label,RIGHT(M59,1)+1,0)</f>
        <v>y^x</v>
      </c>
      <c r="N9" s="216"/>
      <c r="O9" s="221" t="str">
        <f>SUBSTITUTE(VLOOKUP(LEFT(O59,LEN(layout)+3),label,RIGHT(O59,1)+2,0),0,"")</f>
        <v>D</v>
      </c>
      <c r="P9" s="215" t="str">
        <f>VLOOKUP(LEFT(P59,LEN(layout)+3),label,RIGHT(P59,1)+1,0)</f>
        <v>LOG</v>
      </c>
      <c r="Q9" s="216"/>
      <c r="R9" s="221" t="str">
        <f>SUBSTITUTE(VLOOKUP(LEFT(R59,LEN(layout)+3),label,RIGHT(R59,1)+2,0),0,"")</f>
        <v>E</v>
      </c>
      <c r="S9" s="215" t="str">
        <f>VLOOKUP(LEFT(S59,LEN(layout)+3),label,RIGHT(S59,1)+1,0)</f>
        <v>LN</v>
      </c>
      <c r="T9" s="216"/>
      <c r="U9" s="221" t="str">
        <f>SUBSTITUTE(VLOOKUP(LEFT(U59,LEN(layout)+3),label,RIGHT(U59,1)+2,0),0,"")</f>
        <v>F</v>
      </c>
      <c r="W9" s="205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9"/>
      <c r="AS9" s="189"/>
      <c r="AT9" s="189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17"/>
      <c r="D10" s="218"/>
      <c r="E10" s="221"/>
      <c r="G10" s="217"/>
      <c r="H10" s="218"/>
      <c r="I10" s="221"/>
      <c r="J10" s="217"/>
      <c r="K10" s="218"/>
      <c r="L10" s="221"/>
      <c r="M10" s="217"/>
      <c r="N10" s="218"/>
      <c r="O10" s="221"/>
      <c r="P10" s="217"/>
      <c r="Q10" s="218"/>
      <c r="R10" s="221"/>
      <c r="S10" s="217"/>
      <c r="T10" s="218"/>
      <c r="U10" s="221"/>
      <c r="W10" s="204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9"/>
      <c r="AS10" s="189"/>
      <c r="AT10" s="189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19"/>
      <c r="D11" s="220"/>
      <c r="E11" s="221"/>
      <c r="G11" s="219"/>
      <c r="H11" s="220"/>
      <c r="I11" s="221"/>
      <c r="J11" s="219"/>
      <c r="K11" s="220"/>
      <c r="L11" s="221"/>
      <c r="M11" s="219"/>
      <c r="N11" s="220"/>
      <c r="O11" s="221"/>
      <c r="P11" s="219"/>
      <c r="Q11" s="220"/>
      <c r="R11" s="221"/>
      <c r="S11" s="219"/>
      <c r="T11" s="220"/>
      <c r="U11" s="221"/>
      <c r="W11" s="205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9"/>
      <c r="AS11" s="189"/>
      <c r="AT11" s="189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√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!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^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205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9"/>
      <c r="AS12" s="189"/>
      <c r="AT12" s="189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5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9"/>
      <c r="AS13" s="189"/>
      <c r="AT13" s="189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07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9"/>
      <c r="AS14" s="189"/>
      <c r="AT14" s="189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15" t="str">
        <f>VLOOKUP(LEFT(C65,LEN(layout)+3),label,RIGHT(C65,1)+1,0)</f>
        <v>STO</v>
      </c>
      <c r="D15" s="216"/>
      <c r="E15" s="221" t="str">
        <f>SUBSTITUTE(VLOOKUP(LEFT(E65,LEN(layout)+3),label,RIGHT(E65,1)+2,0),0,"")</f>
        <v>G</v>
      </c>
      <c r="G15" s="215" t="str">
        <f>VLOOKUP(LEFT(G65,LEN(layout)+3),label,RIGHT(G65,1)+1,0)</f>
        <v>RCL</v>
      </c>
      <c r="H15" s="216"/>
      <c r="I15" s="221" t="str">
        <f>SUBSTITUTE(VLOOKUP(LEFT(I65,LEN(layout)+3),label,RIGHT(I65,1)+2,0),0,"")</f>
        <v>H</v>
      </c>
      <c r="J15" s="215" t="str">
        <f>VLOOKUP(LEFT(J65,LEN(layout)+3),label,RIGHT(J65,1)+1,0)</f>
        <v>RDN</v>
      </c>
      <c r="K15" s="216"/>
      <c r="L15" s="221" t="str">
        <f>SUBSTITUTE(VLOOKUP(LEFT(L65,LEN(layout)+3),label,RIGHT(L65,1)+2,0),0,"")</f>
        <v>I</v>
      </c>
      <c r="M15" s="215" t="str">
        <f>VLOOKUP(LEFT(M65,LEN(layout)+3),label,RIGHT(M65,1)+1,0)</f>
        <v>DRG</v>
      </c>
      <c r="N15" s="216"/>
      <c r="O15" s="221" t="str">
        <f>SUBSTITUTE(VLOOKUP(LEFT(O65,LEN(layout)+3),label,RIGHT(O65,1)+2,0),0,"")</f>
        <v>J</v>
      </c>
      <c r="P15" s="215" t="str">
        <f>VLOOKUP(LEFT(P65,LEN(layout)+3),label,RIGHT(P65,1)+1,0)</f>
        <v xml:space="preserve"> f </v>
      </c>
      <c r="Q15" s="216"/>
      <c r="R15" s="221" t="str">
        <f>SUBSTITUTE(VLOOKUP(LEFT(R65,LEN(layout)+3),label,RIGHT(R65,1)+2,0),0,"")</f>
        <v xml:space="preserve"> </v>
      </c>
      <c r="S15" s="215" t="str">
        <f>VLOOKUP(LEFT(S65,LEN(layout)+3),label,RIGHT(S65,1)+1,0)</f>
        <v xml:space="preserve"> g </v>
      </c>
      <c r="T15" s="216"/>
      <c r="U15" s="221" t="str">
        <f>SUBSTITUTE(VLOOKUP(LEFT(U65,LEN(layout)+3),label,RIGHT(U65,1)+2,0),0,"")</f>
        <v xml:space="preserve"> 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9"/>
      <c r="AS15" s="189"/>
      <c r="AT15" s="189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17"/>
      <c r="D16" s="218"/>
      <c r="E16" s="221"/>
      <c r="G16" s="217"/>
      <c r="H16" s="218"/>
      <c r="I16" s="221"/>
      <c r="J16" s="217"/>
      <c r="K16" s="218"/>
      <c r="L16" s="221"/>
      <c r="M16" s="217"/>
      <c r="N16" s="218"/>
      <c r="O16" s="221"/>
      <c r="P16" s="217"/>
      <c r="Q16" s="218"/>
      <c r="R16" s="221"/>
      <c r="S16" s="217"/>
      <c r="T16" s="218"/>
      <c r="U16" s="221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9"/>
      <c r="AS16" s="189"/>
      <c r="AT16" s="189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19"/>
      <c r="D17" s="220"/>
      <c r="E17" s="221"/>
      <c r="G17" s="219"/>
      <c r="H17" s="220"/>
      <c r="I17" s="221"/>
      <c r="J17" s="219"/>
      <c r="K17" s="220"/>
      <c r="L17" s="221"/>
      <c r="M17" s="219"/>
      <c r="N17" s="220"/>
      <c r="O17" s="221"/>
      <c r="P17" s="219"/>
      <c r="Q17" s="220"/>
      <c r="R17" s="221"/>
      <c r="S17" s="219"/>
      <c r="T17" s="220"/>
      <c r="U17" s="221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9"/>
      <c r="AS17" s="189"/>
      <c r="AT17" s="189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 xml:space="preserve"> 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 xml:space="preserve"> </v>
      </c>
      <c r="U18" s="26" t="str">
        <f>VLOOKUP(LEFT(U65,LEN(layout)+3),label,RIGHT(U65,1)+6,0)</f>
        <v xml:space="preserve"> g 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9"/>
      <c r="AS18" s="189"/>
      <c r="AT18" s="189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9"/>
      <c r="AS19" s="189"/>
      <c r="AT19" s="189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28" t="str">
        <f>VLOOKUP(LEFT(C70,LEN(layout)+3),label,RIGHT(C70,1)+1,0)</f>
        <v>COMPLEX</v>
      </c>
      <c r="D20" s="228"/>
      <c r="E20" s="228"/>
      <c r="F20" s="228" t="str">
        <f>VLOOKUP(LEFT(F70,LEN(layout)+3),label,RIGHT(F70,1)+1,0)</f>
        <v>[ CPX ]</v>
      </c>
      <c r="G20" s="228"/>
      <c r="H20" s="228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DISP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PFX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9"/>
      <c r="AS20" s="189"/>
      <c r="AT20" s="189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15" t="str">
        <f>VLOOKUP(LEFT(C71,LEN(layout)+3),label,RIGHT(C71,1)+1,0)</f>
        <v>ENTER</v>
      </c>
      <c r="D21" s="222"/>
      <c r="E21" s="222"/>
      <c r="F21" s="229"/>
      <c r="G21" s="229"/>
      <c r="H21" s="230"/>
      <c r="I21" s="221" t="str">
        <f>SUBSTITUTE(VLOOKUP(LEFT(I71,LEN(layout)+3),label,RIGHT(I71,1)+2,0),0,"")</f>
        <v>ENTER</v>
      </c>
      <c r="J21" s="215" t="str">
        <f>VLOOKUP(LEFT(J71,LEN(layout)+3),label,RIGHT(J71,1)+1,0)</f>
        <v>x &lt;&gt; y</v>
      </c>
      <c r="K21" s="216"/>
      <c r="L21" s="221" t="str">
        <f>SUBSTITUTE(VLOOKUP(LEFT(L71,LEN(layout)+3),label,RIGHT(L71,1)+2,0),0,"")</f>
        <v>K</v>
      </c>
      <c r="M21" s="215" t="str">
        <f>VLOOKUP(LEFT(M71,LEN(layout)+3),label,RIGHT(M71,1)+1,0)</f>
        <v>CHS</v>
      </c>
      <c r="N21" s="216"/>
      <c r="O21" s="221" t="str">
        <f>SUBSTITUTE(VLOOKUP(LEFT(O71,LEN(layout)+3),label,RIGHT(O71,1)+2,0),0,"")</f>
        <v>L</v>
      </c>
      <c r="P21" s="215" t="str">
        <f>VLOOKUP(LEFT(P71,LEN(layout)+3),label,RIGHT(P71,1)+1,0)</f>
        <v>EEX</v>
      </c>
      <c r="Q21" s="216"/>
      <c r="R21" s="221" t="str">
        <f>SUBSTITUTE(VLOOKUP(LEFT(R71,LEN(layout)+3),label,RIGHT(R71,1)+2,0),0,"")</f>
        <v>M</v>
      </c>
      <c r="S21" s="215" t="str">
        <f>VLOOKUP(LEFT(S71,LEN(layout)+3),label,RIGHT(S71,1)+1,0)</f>
        <v>&lt;=</v>
      </c>
      <c r="T21" s="216"/>
      <c r="U21" s="221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9"/>
      <c r="AS21" s="189"/>
      <c r="AT21" s="189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17"/>
      <c r="D22" s="223"/>
      <c r="E22" s="223"/>
      <c r="F22" s="231"/>
      <c r="G22" s="231"/>
      <c r="H22" s="232"/>
      <c r="I22" s="221"/>
      <c r="J22" s="217"/>
      <c r="K22" s="218"/>
      <c r="L22" s="221"/>
      <c r="M22" s="217"/>
      <c r="N22" s="218"/>
      <c r="O22" s="221"/>
      <c r="P22" s="217"/>
      <c r="Q22" s="218"/>
      <c r="R22" s="221"/>
      <c r="S22" s="217"/>
      <c r="T22" s="218"/>
      <c r="U22" s="221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9"/>
      <c r="AS22" s="189"/>
      <c r="AT22" s="189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19"/>
      <c r="D23" s="224"/>
      <c r="E23" s="224"/>
      <c r="F23" s="233"/>
      <c r="G23" s="233"/>
      <c r="H23" s="234"/>
      <c r="I23" s="221"/>
      <c r="J23" s="219"/>
      <c r="K23" s="220"/>
      <c r="L23" s="221"/>
      <c r="M23" s="219"/>
      <c r="N23" s="220"/>
      <c r="O23" s="221"/>
      <c r="P23" s="219"/>
      <c r="Q23" s="220"/>
      <c r="R23" s="221"/>
      <c r="S23" s="219"/>
      <c r="T23" s="220"/>
      <c r="U23" s="221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9"/>
      <c r="AS23" s="189"/>
      <c r="AT23" s="189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42" t="str">
        <f>VLOOKUP(LEFT(C70,LEN(layout)+3),label,RIGHT(C70,1)+6,0)</f>
        <v>X.SWAP</v>
      </c>
      <c r="D24" s="242"/>
      <c r="E24" s="242"/>
      <c r="F24" s="242" t="str">
        <f>VLOOKUP(LEFT(F70,LEN(layout)+3),label,RIGHT(F70,1)+6,0)</f>
        <v>a.PARSE</v>
      </c>
      <c r="G24" s="242"/>
      <c r="H24" s="242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9"/>
      <c r="AS24" s="189"/>
      <c r="AT24" s="189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9"/>
      <c r="AS25" s="189"/>
      <c r="AT25" s="189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9"/>
      <c r="AS26" s="189"/>
      <c r="AT26" s="189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15" t="str">
        <f>VLOOKUP(LEFT(C77,LEN(layout)+3),label,RIGHT(C77,1)+1,0)</f>
        <v>XEQ</v>
      </c>
      <c r="D27" s="216"/>
      <c r="E27" s="221" t="str">
        <f>SUBSTITUTE(VLOOKUP(LEFT(E77,LEN(layout)+3),label,RIGHT(E77,1)+2,0),0,"")</f>
        <v xml:space="preserve"> </v>
      </c>
      <c r="F27" s="215">
        <f>VLOOKUP(LEFT(F77,LEN(layout)+3),label,RIGHT(F77,1)+1,0)</f>
        <v>7</v>
      </c>
      <c r="G27" s="222"/>
      <c r="H27" s="216"/>
      <c r="I27" s="221" t="str">
        <f>SUBSTITUTE(VLOOKUP(LEFT(I77,LEN(layout)+3),label,RIGHT(I77,1)+2,0),0,"")</f>
        <v>N</v>
      </c>
      <c r="J27" s="215">
        <f>VLOOKUP(LEFT(J77,LEN(layout)+3),label,RIGHT(J77,1)+1,0)</f>
        <v>8</v>
      </c>
      <c r="K27" s="222"/>
      <c r="L27" s="216"/>
      <c r="M27" s="225" t="str">
        <f>SUBSTITUTE(VLOOKUP(LEFT(M77,LEN(layout)+3),label,RIGHT(M77,1)+2,0),0,"")</f>
        <v>O</v>
      </c>
      <c r="N27" s="215">
        <f>VLOOKUP(LEFT(N77,LEN(layout)+3),label,RIGHT(N77,1)+1,0)</f>
        <v>9</v>
      </c>
      <c r="O27" s="222"/>
      <c r="P27" s="216"/>
      <c r="Q27" s="221" t="str">
        <f>SUBSTITUTE(VLOOKUP(LEFT(Q77,LEN(layout)+3),label,RIGHT(Q77,1)+2,0),0,"")</f>
        <v>P</v>
      </c>
      <c r="R27" s="215" t="str">
        <f>VLOOKUP(LEFT(R77,LEN(layout)+3),label,RIGHT(R77,1)+1,0)</f>
        <v>÷</v>
      </c>
      <c r="S27" s="222"/>
      <c r="T27" s="216"/>
      <c r="U27" s="221" t="str">
        <f>SUBSTITUTE(VLOOKUP(LEFT(U77,LEN(layout)+3),label,RIGHT(U77,1)+2,0),0,"")</f>
        <v>Q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9"/>
      <c r="AS27" s="189"/>
      <c r="AT27" s="189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17"/>
      <c r="D28" s="218"/>
      <c r="E28" s="221"/>
      <c r="F28" s="217"/>
      <c r="G28" s="223"/>
      <c r="H28" s="227"/>
      <c r="I28" s="221"/>
      <c r="J28" s="217"/>
      <c r="K28" s="223"/>
      <c r="L28" s="218"/>
      <c r="M28" s="225"/>
      <c r="N28" s="217"/>
      <c r="O28" s="223"/>
      <c r="P28" s="218"/>
      <c r="Q28" s="221"/>
      <c r="R28" s="217"/>
      <c r="S28" s="223"/>
      <c r="T28" s="218"/>
      <c r="U28" s="221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9"/>
      <c r="AS28" s="189"/>
      <c r="AT28" s="189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19"/>
      <c r="D29" s="220"/>
      <c r="E29" s="221"/>
      <c r="F29" s="219"/>
      <c r="G29" s="224"/>
      <c r="H29" s="220"/>
      <c r="I29" s="221"/>
      <c r="J29" s="219"/>
      <c r="K29" s="224"/>
      <c r="L29" s="220"/>
      <c r="M29" s="225"/>
      <c r="N29" s="219"/>
      <c r="O29" s="224"/>
      <c r="P29" s="220"/>
      <c r="Q29" s="221"/>
      <c r="R29" s="219"/>
      <c r="S29" s="224"/>
      <c r="T29" s="220"/>
      <c r="U29" s="221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9"/>
      <c r="AS29" s="189"/>
      <c r="AT29" s="189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 xml:space="preserve"> </v>
      </c>
      <c r="D30" s="25" t="str">
        <f>VLOOKUP(LEFT(D76,LEN(layout)+3),label,RIGHT(D76,1)+6,0)</f>
        <v>alpha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9"/>
      <c r="AS30" s="189"/>
      <c r="AT30" s="189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9"/>
      <c r="AS31" s="189"/>
      <c r="AT31" s="189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MATX ]</v>
      </c>
      <c r="O32" s="7"/>
      <c r="P32" s="7" t="str">
        <f>VLOOKUP(LEFT(P82,LEN(layout)+3),label,RIGHT(P82,1)+1,0)</f>
        <v>[ X.FN ]</v>
      </c>
      <c r="Q32" s="7"/>
      <c r="R32" s="7" t="str">
        <f>VLOOKUP(LEFT(R82,LEN(layout)+3),label,RIGHT(R82,1)+1,0)</f>
        <v>[ EQN ]</v>
      </c>
      <c r="S32" s="7"/>
      <c r="T32" s="7" t="str">
        <f>VLOOKUP(LEFT(T82,LEN(layout)+3),label,RIGHT(T82,1)+1,0)</f>
        <v>[ ADV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9"/>
      <c r="AS32" s="189"/>
      <c r="AT32" s="189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15" t="str">
        <f>VLOOKUP(LEFT(C83,LEN(layout)+3),label,RIGHT(C83,1)+1,0)</f>
        <v>Up</v>
      </c>
      <c r="D33" s="216"/>
      <c r="E33" s="221" t="str">
        <f>SUBSTITUTE(VLOOKUP(LEFT(E83,LEN(layout)+3),label,RIGHT(E83,1)+2,0),0,"")</f>
        <v>&lt;-HOME</v>
      </c>
      <c r="F33" s="215">
        <f>VLOOKUP(LEFT(F83,LEN(layout)+3),label,RIGHT(F83,1)+1,0)</f>
        <v>4</v>
      </c>
      <c r="G33" s="222"/>
      <c r="H33" s="236"/>
      <c r="I33" s="221" t="str">
        <f>SUBSTITUTE(VLOOKUP(LEFT(I83,LEN(layout)+3),label,RIGHT(I83,1)+2,0),0,"")</f>
        <v>R</v>
      </c>
      <c r="J33" s="215">
        <f>VLOOKUP(LEFT(J83,LEN(layout)+3),label,RIGHT(J83,1)+1,0)</f>
        <v>5</v>
      </c>
      <c r="K33" s="222"/>
      <c r="L33" s="216"/>
      <c r="M33" s="221" t="str">
        <f>SUBSTITUTE(VLOOKUP(LEFT(M83,LEN(layout)+3),label,RIGHT(M83,1)+2,0),0,"")</f>
        <v>S</v>
      </c>
      <c r="N33" s="215">
        <f>VLOOKUP(LEFT(N83,LEN(layout)+3),label,RIGHT(N83,1)+1,0)</f>
        <v>6</v>
      </c>
      <c r="O33" s="222"/>
      <c r="P33" s="216"/>
      <c r="Q33" s="221" t="str">
        <f>SUBSTITUTE(VLOOKUP(LEFT(Q83,LEN(layout)+3),label,RIGHT(Q83,1)+2,0),0,"")</f>
        <v>T</v>
      </c>
      <c r="R33" s="215" t="str">
        <f>VLOOKUP(LEFT(R83,LEN(layout)+3),label,RIGHT(R83,1)+1,0)</f>
        <v>✕</v>
      </c>
      <c r="S33" s="222"/>
      <c r="T33" s="216"/>
      <c r="U33" s="221" t="str">
        <f>SUBSTITUTE(VLOOKUP(LEFT(U83,LEN(layout)+3),label,RIGHT(U83,1)+2,0),0,"")</f>
        <v>U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9"/>
      <c r="AS33" s="189"/>
      <c r="AT33" s="189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17"/>
      <c r="D34" s="218"/>
      <c r="E34" s="221"/>
      <c r="F34" s="217"/>
      <c r="G34" s="223"/>
      <c r="H34" s="218"/>
      <c r="I34" s="221"/>
      <c r="J34" s="217"/>
      <c r="K34" s="223"/>
      <c r="L34" s="218"/>
      <c r="M34" s="221"/>
      <c r="N34" s="217"/>
      <c r="O34" s="223"/>
      <c r="P34" s="218"/>
      <c r="Q34" s="221"/>
      <c r="R34" s="217"/>
      <c r="S34" s="223"/>
      <c r="T34" s="218"/>
      <c r="U34" s="221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9"/>
      <c r="AS34" s="189"/>
      <c r="AT34" s="189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19"/>
      <c r="D35" s="220"/>
      <c r="E35" s="221"/>
      <c r="F35" s="219"/>
      <c r="G35" s="224"/>
      <c r="H35" s="220"/>
      <c r="I35" s="221"/>
      <c r="J35" s="219"/>
      <c r="K35" s="224"/>
      <c r="L35" s="220"/>
      <c r="M35" s="221"/>
      <c r="N35" s="219"/>
      <c r="O35" s="224"/>
      <c r="P35" s="220"/>
      <c r="Q35" s="221"/>
      <c r="R35" s="219"/>
      <c r="S35" s="224"/>
      <c r="T35" s="220"/>
      <c r="U35" s="221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9"/>
      <c r="AS35" s="189"/>
      <c r="AT35" s="189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9"/>
      <c r="AS36" s="189"/>
      <c r="AT36" s="189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9"/>
      <c r="AS37" s="189"/>
      <c r="AT37" s="189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a.FN ]</v>
      </c>
      <c r="Q38" s="7"/>
      <c r="R38" s="7" t="str">
        <f>VLOOKUP(LEFT(R88,LEN(layout)+3),label,RIGHT(R88,1)+1,0)</f>
        <v>[ PROB ]</v>
      </c>
      <c r="S38" s="7"/>
      <c r="T38" s="7" t="str">
        <f>VLOOKUP(LEFT(T88,LEN(layout)+3),label,RIGHT(T88,1)+1,0)</f>
        <v>[ FIN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9"/>
      <c r="AS38" s="189"/>
      <c r="AT38" s="189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15" t="str">
        <f>VLOOKUP(LEFT(C89,LEN(layout)+3),label,RIGHT(C89,1)+1,0)</f>
        <v>Dn</v>
      </c>
      <c r="D39" s="216"/>
      <c r="E39" s="221" t="str">
        <f>SUBSTITUTE(VLOOKUP(LEFT(E89,LEN(layout)+3),label,RIGHT(E89,1)+2,0),0,"")</f>
        <v>END-&gt;</v>
      </c>
      <c r="F39" s="215">
        <f>VLOOKUP(LEFT(F89,LEN(layout)+3),label,RIGHT(F89,1)+1,0)</f>
        <v>1</v>
      </c>
      <c r="G39" s="222"/>
      <c r="H39" s="216"/>
      <c r="I39" s="221" t="str">
        <f>SUBSTITUTE(VLOOKUP(LEFT(I89,LEN(layout)+3),label,RIGHT(I89,1)+2,0),0,"")</f>
        <v>V</v>
      </c>
      <c r="J39" s="215">
        <f>VLOOKUP(LEFT(J89,LEN(layout)+3),label,RIGHT(J89,1)+1,0)</f>
        <v>2</v>
      </c>
      <c r="K39" s="222"/>
      <c r="L39" s="216"/>
      <c r="M39" s="221" t="str">
        <f>SUBSTITUTE(VLOOKUP(LEFT(M89,LEN(layout)+3),label,RIGHT(M89,1)+2,0),0,"")</f>
        <v>W</v>
      </c>
      <c r="N39" s="215">
        <f>VLOOKUP(LEFT(N89,LEN(layout)+3),label,RIGHT(N89,1)+1,0)</f>
        <v>3</v>
      </c>
      <c r="O39" s="222"/>
      <c r="P39" s="216"/>
      <c r="Q39" s="221" t="str">
        <f>SUBSTITUTE(VLOOKUP(LEFT(Q89,LEN(layout)+3),label,RIGHT(Q89,1)+2,0),0,"")</f>
        <v>X</v>
      </c>
      <c r="R39" s="215" t="str">
        <f>VLOOKUP(LEFT(R89,LEN(layout)+3),label,RIGHT(R89,1)+1,0)</f>
        <v>-</v>
      </c>
      <c r="S39" s="222"/>
      <c r="T39" s="216"/>
      <c r="U39" s="221" t="str">
        <f>SUBSTITUTE(VLOOKUP(LEFT(U89,LEN(layout)+3),label,RIGHT(U89,1)+2,0),0,"")</f>
        <v>Y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9"/>
      <c r="AS39" s="189"/>
      <c r="AT39" s="189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17"/>
      <c r="D40" s="218"/>
      <c r="E40" s="221"/>
      <c r="F40" s="217"/>
      <c r="G40" s="223"/>
      <c r="H40" s="227"/>
      <c r="I40" s="221"/>
      <c r="J40" s="217"/>
      <c r="K40" s="223"/>
      <c r="L40" s="218"/>
      <c r="M40" s="221"/>
      <c r="N40" s="217"/>
      <c r="O40" s="223"/>
      <c r="P40" s="218"/>
      <c r="Q40" s="221"/>
      <c r="R40" s="217"/>
      <c r="S40" s="223"/>
      <c r="T40" s="218"/>
      <c r="U40" s="221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9"/>
      <c r="AS40" s="189"/>
      <c r="AT40" s="189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19"/>
      <c r="D41" s="220"/>
      <c r="E41" s="221"/>
      <c r="F41" s="219"/>
      <c r="G41" s="224"/>
      <c r="H41" s="235"/>
      <c r="I41" s="221"/>
      <c r="J41" s="219"/>
      <c r="K41" s="224"/>
      <c r="L41" s="220"/>
      <c r="M41" s="221"/>
      <c r="N41" s="219"/>
      <c r="O41" s="224"/>
      <c r="P41" s="220"/>
      <c r="Q41" s="221"/>
      <c r="R41" s="219"/>
      <c r="S41" s="224"/>
      <c r="T41" s="220"/>
      <c r="U41" s="221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9"/>
      <c r="AS41" s="189"/>
      <c r="AT41" s="189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9"/>
      <c r="AS42" s="189"/>
      <c r="AT42" s="189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9"/>
      <c r="AS43" s="189"/>
      <c r="AT43" s="189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I/O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9"/>
      <c r="AS44" s="189"/>
      <c r="AT44" s="189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15" t="str">
        <f>VLOOKUP(LEFT(C95,LEN(layout)+3),label,RIGHT(C95,1)+1,0)</f>
        <v>EXIT</v>
      </c>
      <c r="D45" s="216"/>
      <c r="E45" s="221" t="str">
        <f>SUBSTITUTE(VLOOKUP(LEFT(E95,LEN(layout)+3),label,RIGHT(E95,1)+2,0),0,"")</f>
        <v>EXIT</v>
      </c>
      <c r="F45" s="215">
        <f>VLOOKUP(LEFT(F95,LEN(layout)+3),label,RIGHT(F95,1)+1,0)</f>
        <v>0</v>
      </c>
      <c r="G45" s="222"/>
      <c r="H45" s="216"/>
      <c r="I45" s="221" t="str">
        <f>SUBSTITUTE(VLOOKUP(LEFT(I95,LEN(layout)+3),label,RIGHT(I95,1)+2,0),0,"")</f>
        <v>Z</v>
      </c>
      <c r="J45" s="215" t="str">
        <f>VLOOKUP(LEFT(J95,LEN(layout)+3),label,RIGHT(J95,1)+1,0)</f>
        <v>•</v>
      </c>
      <c r="K45" s="222"/>
      <c r="L45" s="216"/>
      <c r="M45" s="221" t="str">
        <f>SUBSTITUTE(VLOOKUP(LEFT(M95,LEN(layout)+3),label,RIGHT(M95,1)+2,0),0,"")</f>
        <v>,</v>
      </c>
      <c r="N45" s="215" t="str">
        <f>VLOOKUP(LEFT(N95,LEN(layout)+3),label,RIGHT(N95,1)+1,0)</f>
        <v>R/S</v>
      </c>
      <c r="O45" s="222"/>
      <c r="P45" s="216"/>
      <c r="Q45" s="221" t="str">
        <f>SUBSTITUTE(VLOOKUP(LEFT(Q95,LEN(layout)+3),label,RIGHT(Q95,1)+2,0),0,"")</f>
        <v>？</v>
      </c>
      <c r="R45" s="215" t="str">
        <f>VLOOKUP(LEFT(R95,LEN(layout)+3),label,RIGHT(R95,1)+1,0)</f>
        <v>+</v>
      </c>
      <c r="S45" s="222"/>
      <c r="T45" s="216"/>
      <c r="U45" s="221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9"/>
      <c r="AS45" s="189"/>
      <c r="AT45" s="189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17"/>
      <c r="D46" s="218"/>
      <c r="E46" s="221"/>
      <c r="F46" s="217"/>
      <c r="G46" s="223"/>
      <c r="H46" s="218"/>
      <c r="I46" s="221"/>
      <c r="J46" s="217"/>
      <c r="K46" s="223"/>
      <c r="L46" s="218"/>
      <c r="M46" s="221"/>
      <c r="N46" s="217"/>
      <c r="O46" s="223"/>
      <c r="P46" s="218"/>
      <c r="Q46" s="221"/>
      <c r="R46" s="217"/>
      <c r="S46" s="223"/>
      <c r="T46" s="218"/>
      <c r="U46" s="221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9"/>
      <c r="AS46" s="189"/>
      <c r="AT46" s="189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19"/>
      <c r="D47" s="220"/>
      <c r="E47" s="221"/>
      <c r="F47" s="219"/>
      <c r="G47" s="224"/>
      <c r="H47" s="220"/>
      <c r="I47" s="221"/>
      <c r="J47" s="219"/>
      <c r="K47" s="224"/>
      <c r="L47" s="220"/>
      <c r="M47" s="221"/>
      <c r="N47" s="219"/>
      <c r="O47" s="224"/>
      <c r="P47" s="220"/>
      <c r="Q47" s="221"/>
      <c r="R47" s="219"/>
      <c r="S47" s="224"/>
      <c r="T47" s="220"/>
      <c r="U47" s="221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;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: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6" t="str">
        <f>X52</f>
        <v>C47</v>
      </c>
      <c r="AM52" s="214" t="s">
        <v>39</v>
      </c>
      <c r="AN52" s="214"/>
      <c r="AO52" s="214"/>
      <c r="AP52" s="71" t="s">
        <v>40</v>
      </c>
      <c r="AQ52" s="31" t="s">
        <v>41</v>
      </c>
      <c r="AR52" s="190" t="s">
        <v>42</v>
      </c>
      <c r="AS52" s="191" t="s">
        <v>42</v>
      </c>
      <c r="AT52" s="192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37" t="str">
        <f>layout&amp;"."&amp;$B55+C51+$A53</f>
        <v>R47.11,1</v>
      </c>
      <c r="D53" s="230"/>
      <c r="E53" s="226"/>
      <c r="G53" s="237" t="str">
        <f>layout&amp;"."&amp;$B55+G51+$A53</f>
        <v>R47.12,1</v>
      </c>
      <c r="H53" s="230"/>
      <c r="I53" s="226"/>
      <c r="J53" s="237" t="str">
        <f>layout&amp;"."&amp;$B55+J51+$A53</f>
        <v>R47.13,1</v>
      </c>
      <c r="K53" s="230"/>
      <c r="L53" s="226"/>
      <c r="M53" s="237" t="str">
        <f>layout&amp;"."&amp;$B55+M51+$A53</f>
        <v>R47.14,1</v>
      </c>
      <c r="N53" s="230"/>
      <c r="O53" s="226"/>
      <c r="P53" s="237" t="str">
        <f>layout&amp;"."&amp;$B55+P51+$A53</f>
        <v>R47.15,1</v>
      </c>
      <c r="Q53" s="230"/>
      <c r="R53" s="226"/>
      <c r="S53" s="237" t="str">
        <f>layout&amp;"."&amp;$B55+S51+$A53</f>
        <v>R47.16,1</v>
      </c>
      <c r="T53" s="230"/>
      <c r="U53" s="226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26"/>
      <c r="D54" s="232"/>
      <c r="E54" s="226"/>
      <c r="G54" s="226"/>
      <c r="H54" s="232"/>
      <c r="I54" s="226"/>
      <c r="J54" s="226"/>
      <c r="K54" s="232"/>
      <c r="L54" s="226"/>
      <c r="M54" s="226"/>
      <c r="N54" s="232"/>
      <c r="O54" s="226"/>
      <c r="P54" s="226"/>
      <c r="Q54" s="232"/>
      <c r="R54" s="226"/>
      <c r="S54" s="226"/>
      <c r="T54" s="232"/>
      <c r="U54" s="226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3" t="s">
        <v>51</v>
      </c>
      <c r="AS54" s="194" t="s">
        <v>52</v>
      </c>
      <c r="AT54" s="195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 "ITM_SEMICOLON", "ITM_0",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 "ITM_SEMICOLON", "ITM_0",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 "ITM_SEMICOLON", "ITM_0",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 "ITM_SEMICOLON", "ITM_0",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 "ITM_SEMICOLON", "ITM_0",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 "ITM_SEMICOLON", "ITM_0",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 "ITM_SEMICOLON", "ITM_0",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 "ITM_SEMICOLON", "ITM_0",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38"/>
      <c r="D55" s="234"/>
      <c r="E55" s="226"/>
      <c r="G55" s="238"/>
      <c r="H55" s="234"/>
      <c r="I55" s="226"/>
      <c r="J55" s="238"/>
      <c r="K55" s="234"/>
      <c r="L55" s="226"/>
      <c r="M55" s="238"/>
      <c r="N55" s="234"/>
      <c r="O55" s="226"/>
      <c r="P55" s="238"/>
      <c r="Q55" s="234"/>
      <c r="R55" s="226"/>
      <c r="S55" s="238"/>
      <c r="T55" s="234"/>
      <c r="U55" s="226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6" t="s">
        <v>58</v>
      </c>
      <c r="AS55" s="187" t="s">
        <v>59</v>
      </c>
      <c r="AT55" s="197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 "ITM_SEMICOLON", "ITM_0",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 "ITM_SEMICOLON", "ITM_0",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 "ITM_SEMICOLON", "ITM_0",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 "ITM_SEMICOLON", "ITM_0",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 "ITM_SEMICOLON", "ITM_0",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 "ITM_SEMICOLON", "ITM_0",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 "ITM_SEMICOLON", "ITM_0",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 "ITM_SEMICOLON", "ITM_0",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6" t="s">
        <v>65</v>
      </c>
      <c r="AS56" s="187" t="s">
        <v>66</v>
      </c>
      <c r="AT56" s="197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 "ITM_SEMICOLON", "ITM_0",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 "ITM_SEMICOLON", "ITM_0",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 "ITM_SEMICOLON", "ITM_0",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 "ITM_SEMICOLON", "ITM_0",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 "ITM_SEMICOLON", "ITM_0",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 "ITM_SEMICOLON", "ITM_0",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 "ITM_SEMICOLON", "ITM_0",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 "ITM_SEMICOLON", "ITM_0",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6" t="s">
        <v>72</v>
      </c>
      <c r="AS57" s="187" t="s">
        <v>73</v>
      </c>
      <c r="AT57" s="197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 "ITM_SEMICOLON", "ITM_0",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 "ITM_SEMICOLON", "ITM_0",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 "ITM_SEMICOLON", "ITM_0",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 "ITM_SEMICOLON", "ITM_0",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 "ITM_SEMICOLON", "ITM_0",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 "ITM_SEMICOLON", "ITM_0",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 "ITM_SEMICOLON", "ITM_0",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 "ITM_SEMICOLON", "ITM_0",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R47.21,2</v>
      </c>
      <c r="D58" s="4" t="str">
        <f>layout&amp;"."&amp;$B58+D57+D56</f>
        <v>R47.21,3</v>
      </c>
      <c r="G58" s="4" t="str">
        <f>layout&amp;"."&amp;$B58+G57+G56</f>
        <v>R47.22,2</v>
      </c>
      <c r="H58" s="4" t="str">
        <f>layout&amp;"."&amp;$B58+H57+H56</f>
        <v>R47.22,3</v>
      </c>
      <c r="J58" s="4" t="str">
        <f>layout&amp;"."&amp;$B58+J57+J56</f>
        <v>R47.23,2</v>
      </c>
      <c r="K58" s="4" t="str">
        <f>layout&amp;"."&amp;$B58+K57+K56</f>
        <v>R47.23,3</v>
      </c>
      <c r="M58" s="4" t="str">
        <f>layout&amp;"."&amp;$B58+M57+M56</f>
        <v>R47.24,2</v>
      </c>
      <c r="N58" s="4" t="str">
        <f>layout&amp;"."&amp;$B58+N57+N56</f>
        <v>R47.24,3</v>
      </c>
      <c r="P58" s="4" t="str">
        <f>layout&amp;"."&amp;$B58+P57+P56</f>
        <v>R47.25,2</v>
      </c>
      <c r="Q58" s="4" t="str">
        <f>layout&amp;"."&amp;$B58+Q57+Q56</f>
        <v>R47.25,3</v>
      </c>
      <c r="S58" s="4" t="str">
        <f>layout&amp;"."&amp;$B58+S57+S56</f>
        <v>R47.26,2</v>
      </c>
      <c r="T58" s="4" t="str">
        <f>layout&amp;"."&amp;$B58+T57+T56</f>
        <v>R47.26,3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6" t="s">
        <v>79</v>
      </c>
      <c r="AS58" s="187" t="s">
        <v>80</v>
      </c>
      <c r="AT58" s="198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 "ITM_SEMICOLON", "ITM_0",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 "ITM_SEMICOLON", "ITM_0",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 "ITM_SEMICOLON", "ITM_0",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 "ITM_SEMICOLON", "ITM_0",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 "ITM_SEMICOLON", "ITM_0",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 "ITM_SEMICOLON", "ITM_0",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 "ITM_SEMICOLON", "ITM_0",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 "ITM_SEMICOLON", "ITM_0",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37" t="str">
        <f>layout&amp;"."&amp;$B61+C57+$A59</f>
        <v>R47.21,1</v>
      </c>
      <c r="D59" s="230"/>
      <c r="E59" s="239" t="str">
        <f>layout&amp;"."&amp;$B59+E57+E56</f>
        <v>R47.21,4</v>
      </c>
      <c r="G59" s="237" t="str">
        <f>layout&amp;"."&amp;$B61+G57+$A59</f>
        <v>R47.22,1</v>
      </c>
      <c r="H59" s="230"/>
      <c r="I59" s="239" t="str">
        <f>layout&amp;"."&amp;$B59+I57+I56</f>
        <v>R47.22,4</v>
      </c>
      <c r="J59" s="237" t="str">
        <f>layout&amp;"."&amp;$B61+J57+$A59</f>
        <v>R47.23,1</v>
      </c>
      <c r="K59" s="230"/>
      <c r="L59" s="239" t="str">
        <f>layout&amp;"."&amp;$B59+L57+L56</f>
        <v>R47.23,4</v>
      </c>
      <c r="M59" s="237" t="str">
        <f>layout&amp;"."&amp;$B61+M57+$A59</f>
        <v>R47.24,1</v>
      </c>
      <c r="N59" s="230"/>
      <c r="O59" s="239" t="str">
        <f>layout&amp;"."&amp;$B59+O57+O56</f>
        <v>R47.24,4</v>
      </c>
      <c r="P59" s="237" t="str">
        <f>layout&amp;"."&amp;$B61+P57+$A59</f>
        <v>R47.25,1</v>
      </c>
      <c r="Q59" s="230"/>
      <c r="R59" s="239" t="str">
        <f>layout&amp;"."&amp;$B59+R57+R56</f>
        <v>R47.25,4</v>
      </c>
      <c r="S59" s="237" t="str">
        <f>layout&amp;"."&amp;$B61+S57+$A59</f>
        <v>R47.26,1</v>
      </c>
      <c r="T59" s="230"/>
      <c r="U59" s="239" t="str">
        <f>layout&amp;"."&amp;$B59+U57+U56</f>
        <v>R47.26,4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6" t="s">
        <v>86</v>
      </c>
      <c r="AS59" s="187" t="s">
        <v>87</v>
      </c>
      <c r="AT59" s="198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 "ITM_SEMICOLON", "ITM_0",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 "ITM_SEMICOLON", "ITM_0",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 "ITM_SEMICOLON", "ITM_0",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 "ITM_SEMICOLON", "ITM_0",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 "ITM_SEMICOLON", "ITM_0",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 "ITM_SEMICOLON", "ITM_0",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 "ITM_SEMICOLON", "ITM_0",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 "ITM_SEMICOLON", "ITM_0",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26"/>
      <c r="D60" s="232"/>
      <c r="E60" s="239" t="e">
        <f>layout&amp;"."&amp;$B60+E59+E58</f>
        <v>#VALUE!</v>
      </c>
      <c r="G60" s="226"/>
      <c r="H60" s="232"/>
      <c r="I60" s="239" t="e">
        <f>layout&amp;"."&amp;$B60+I59+I58</f>
        <v>#VALUE!</v>
      </c>
      <c r="J60" s="226"/>
      <c r="K60" s="232"/>
      <c r="L60" s="239" t="e">
        <f>layout&amp;"."&amp;$B60+L59+L58</f>
        <v>#VALUE!</v>
      </c>
      <c r="M60" s="226"/>
      <c r="N60" s="232"/>
      <c r="O60" s="239" t="e">
        <f>layout&amp;"."&amp;$B60+O59+O58</f>
        <v>#VALUE!</v>
      </c>
      <c r="P60" s="226"/>
      <c r="Q60" s="232"/>
      <c r="R60" s="239" t="e">
        <f>layout&amp;"."&amp;$B60+R59+R58</f>
        <v>#VALUE!</v>
      </c>
      <c r="S60" s="226"/>
      <c r="T60" s="232"/>
      <c r="U60" s="239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6" t="s">
        <v>92</v>
      </c>
      <c r="AS60" s="187" t="s">
        <v>93</v>
      </c>
      <c r="AT60" s="198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 "ITM_SEMICOLON", "ITM_0",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 "ITM_SEMICOLON", "ITM_0",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 "ITM_SEMICOLON", "ITM_0",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 "ITM_SEMICOLON", "ITM_0",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 "ITM_SEMICOLON", "ITM_0",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 "ITM_SEMICOLON", "ITM_0",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 "ITM_SEMICOLON", "ITM_0",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 "ITM_SEMICOLON", "ITM_0",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38"/>
      <c r="D61" s="234"/>
      <c r="E61" s="239" t="e">
        <f>layout&amp;"."&amp;$B61+E60+E59</f>
        <v>#VALUE!</v>
      </c>
      <c r="G61" s="238"/>
      <c r="H61" s="234"/>
      <c r="I61" s="239" t="e">
        <f>layout&amp;"."&amp;$B61+I60+I59</f>
        <v>#VALUE!</v>
      </c>
      <c r="J61" s="238"/>
      <c r="K61" s="234"/>
      <c r="L61" s="239" t="e">
        <f>layout&amp;"."&amp;$B61+L60+L59</f>
        <v>#VALUE!</v>
      </c>
      <c r="M61" s="238"/>
      <c r="N61" s="234"/>
      <c r="O61" s="239" t="e">
        <f>layout&amp;"."&amp;$B61+O60+O59</f>
        <v>#VALUE!</v>
      </c>
      <c r="P61" s="238"/>
      <c r="Q61" s="234"/>
      <c r="R61" s="239" t="e">
        <f>layout&amp;"."&amp;$B61+R60+R59</f>
        <v>#VALUE!</v>
      </c>
      <c r="S61" s="238"/>
      <c r="T61" s="234"/>
      <c r="U61" s="239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>#16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8" t="str">
        <f t="shared" si="9"/>
        <v>ITM_H</v>
      </c>
      <c r="AR61" s="196" t="s">
        <v>98</v>
      </c>
      <c r="AS61" s="187" t="s">
        <v>99</v>
      </c>
      <c r="AT61" s="198" t="s">
        <v>100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 "ITM_SEMICOLON", "ITM_0",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 "ITM_SEMICOLON", "ITM_0",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 "ITM_SEMICOLON", "ITM_0",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 "ITM_SEMICOLON", "ITM_0",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 "ITM_SEMICOLON", "ITM_0",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 "ITM_SEMICOLON", "ITM_0",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 "ITM_SEMICOLON", "ITM_0",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 "ITM_SEMICOLON", "ITM_0", AT61), ".lo", ),"MNU_", "-MNU_")</f>
        <v>ITM_HEX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6" t="s">
        <v>105</v>
      </c>
      <c r="AS62" s="187" t="s">
        <v>106</v>
      </c>
      <c r="AT62" s="197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 "ITM_SEMICOLON", "ITM_0",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 "ITM_SEMICOLON", "ITM_0",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 "ITM_SEMICOLON", "ITM_0",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 "ITM_SEMICOLON", "ITM_0",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 "ITM_SEMICOLON", "ITM_0",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 "ITM_SEMICOLON", "ITM_0",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 "ITM_SEMICOLON", "ITM_0",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 "ITM_SEMICOLON", "ITM_0",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6" t="s">
        <v>112</v>
      </c>
      <c r="AS63" s="187" t="s">
        <v>113</v>
      </c>
      <c r="AT63" s="197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 "ITM_SEMICOLON", "ITM_0",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 "ITM_SEMICOLON", "ITM_0",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 "ITM_SEMICOLON", "ITM_0",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 "ITM_SEMICOLON", "ITM_0",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 "ITM_SEMICOLON", "ITM_0",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 "ITM_SEMICOLON", "ITM_0",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 "ITM_SEMICOLON", "ITM_0",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 "ITM_SEMICOLON", "ITM_0",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R47.31,2</v>
      </c>
      <c r="D64" s="4" t="str">
        <f>layout&amp;"."&amp;$B64+D63+D62</f>
        <v>R47.31,3</v>
      </c>
      <c r="G64" s="4" t="str">
        <f>layout&amp;"."&amp;$B64+G63+G62</f>
        <v>R47.32,2</v>
      </c>
      <c r="H64" s="4" t="str">
        <f>layout&amp;"."&amp;$B64+H63+H62</f>
        <v>R47.32,3</v>
      </c>
      <c r="J64" s="4" t="str">
        <f>layout&amp;"."&amp;$B64+J63+J62</f>
        <v>R47.33,2</v>
      </c>
      <c r="K64" s="4" t="str">
        <f>layout&amp;"."&amp;$B64+K63+K62</f>
        <v>R47.33,3</v>
      </c>
      <c r="M64" s="4" t="str">
        <f>layout&amp;"."&amp;$B64+M63+M62</f>
        <v>R47.34,2</v>
      </c>
      <c r="N64" s="4" t="str">
        <f>layout&amp;"."&amp;$B64+N63+N62</f>
        <v>R47.34,3</v>
      </c>
      <c r="P64" s="4" t="str">
        <f>layout&amp;"."&amp;$B64+P63+P62</f>
        <v>R47.35,2</v>
      </c>
      <c r="Q64" s="4" t="str">
        <f>layout&amp;"."&amp;$B64+Q63+Q62</f>
        <v>R47.35,3</v>
      </c>
      <c r="S64" s="4" t="str">
        <f>layout&amp;"."&amp;$B64+S63+S62</f>
        <v>R47.36,2</v>
      </c>
      <c r="T64" s="4" t="str">
        <f>layout&amp;"."&amp;$B64+T63+T62</f>
        <v>R47.36,3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6" t="s">
        <v>119</v>
      </c>
      <c r="AS64" s="187" t="s">
        <v>120</v>
      </c>
      <c r="AT64" s="197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 "ITM_SEMICOLON", "ITM_0",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 "ITM_SEMICOLON", "ITM_0",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 "ITM_SEMICOLON", "ITM_0",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 "ITM_SEMICOLON", "ITM_0",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 "ITM_SEMICOLON", "ITM_0",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 "ITM_SEMICOLON", "ITM_0",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 "ITM_SEMICOLON", "ITM_0",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 "ITM_SEMICOLON", "ITM_0",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37" t="str">
        <f>layout&amp;"."&amp;$B67+C63+$A65</f>
        <v>R47.31,1</v>
      </c>
      <c r="D65" s="230"/>
      <c r="E65" s="239" t="str">
        <f>layout&amp;"."&amp;$B65+E63+E62</f>
        <v>R47.31,4</v>
      </c>
      <c r="G65" s="237" t="str">
        <f>layout&amp;"."&amp;$B67+G63+$A65</f>
        <v>R47.32,1</v>
      </c>
      <c r="H65" s="230"/>
      <c r="I65" s="239" t="str">
        <f>layout&amp;"."&amp;$B65+I63+I62</f>
        <v>R47.32,4</v>
      </c>
      <c r="J65" s="237" t="str">
        <f>layout&amp;"."&amp;$B67+J63+$A65</f>
        <v>R47.33,1</v>
      </c>
      <c r="K65" s="230"/>
      <c r="L65" s="239" t="str">
        <f>layout&amp;"."&amp;$B65+L63+L62</f>
        <v>R47.33,4</v>
      </c>
      <c r="M65" s="237" t="str">
        <f>layout&amp;"."&amp;$B67+M63+$A65</f>
        <v>R47.34,1</v>
      </c>
      <c r="N65" s="230"/>
      <c r="O65" s="239" t="str">
        <f>layout&amp;"."&amp;$B65+O63+O62</f>
        <v>R47.34,4</v>
      </c>
      <c r="P65" s="237" t="str">
        <f>layout&amp;"."&amp;$B67+P63+$A65</f>
        <v>R47.35,1</v>
      </c>
      <c r="Q65" s="230"/>
      <c r="R65" s="239" t="str">
        <f>layout&amp;"."&amp;$B65+R63+R62</f>
        <v>R47.35,4</v>
      </c>
      <c r="S65" s="237" t="str">
        <f>layout&amp;"."&amp;$B67+S63+$A65</f>
        <v>R47.36,1</v>
      </c>
      <c r="T65" s="230"/>
      <c r="U65" s="239" t="str">
        <f>layout&amp;"."&amp;$B65+U63+U62</f>
        <v>R47.36,4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6" t="s">
        <v>126</v>
      </c>
      <c r="AS65" s="187" t="s">
        <v>127</v>
      </c>
      <c r="AT65" s="197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 "ITM_SEMICOLON", "ITM_0",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 "ITM_SEMICOLON", "ITM_0",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 "ITM_SEMICOLON", "ITM_0",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 "ITM_SEMICOLON", "ITM_0",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 "ITM_SEMICOLON", "ITM_0",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 "ITM_SEMICOLON", "ITM_0",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 "ITM_SEMICOLON", "ITM_0",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 "ITM_SEMICOLON", "ITM_0",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26"/>
      <c r="D66" s="232"/>
      <c r="E66" s="239" t="e">
        <f>layout&amp;"."&amp;$B66+E65+E64</f>
        <v>#VALUE!</v>
      </c>
      <c r="G66" s="226"/>
      <c r="H66" s="232"/>
      <c r="I66" s="239" t="e">
        <f>layout&amp;"."&amp;$B66+I65+I64</f>
        <v>#VALUE!</v>
      </c>
      <c r="J66" s="226"/>
      <c r="K66" s="232"/>
      <c r="L66" s="239" t="e">
        <f>layout&amp;"."&amp;$B66+L65+L64</f>
        <v>#VALUE!</v>
      </c>
      <c r="M66" s="226"/>
      <c r="N66" s="232"/>
      <c r="O66" s="239" t="e">
        <f>layout&amp;"."&amp;$B66+O65+O64</f>
        <v>#VALUE!</v>
      </c>
      <c r="P66" s="226"/>
      <c r="Q66" s="232"/>
      <c r="R66" s="239" t="e">
        <f>layout&amp;"."&amp;$B66+R65+R64</f>
        <v>#VALUE!</v>
      </c>
      <c r="S66" s="226"/>
      <c r="T66" s="232"/>
      <c r="U66" s="239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9" t="s">
        <v>132</v>
      </c>
      <c r="AS66" s="187" t="s">
        <v>133</v>
      </c>
      <c r="AT66" s="198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 "ITM_SEMICOLON", "ITM_0",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 "ITM_SEMICOLON", "ITM_0",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 "ITM_SEMICOLON", "ITM_0",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 "ITM_SEMICOLON", "ITM_0",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 "ITM_SEMICOLON", "ITM_0",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 "ITM_SEMICOLON", "ITM_0",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 "ITM_SEMICOLON", "ITM_0",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 "ITM_SEMICOLON", "ITM_0",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38"/>
      <c r="D67" s="234"/>
      <c r="E67" s="239" t="e">
        <f>layout&amp;"."&amp;$B67+E66+E65</f>
        <v>#VALUE!</v>
      </c>
      <c r="G67" s="238"/>
      <c r="H67" s="234"/>
      <c r="I67" s="239" t="e">
        <f>layout&amp;"."&amp;$B67+I66+I65</f>
        <v>#VALUE!</v>
      </c>
      <c r="J67" s="238"/>
      <c r="K67" s="234"/>
      <c r="L67" s="239" t="e">
        <f>layout&amp;"."&amp;$B67+L66+L65</f>
        <v>#VALUE!</v>
      </c>
      <c r="M67" s="238"/>
      <c r="N67" s="234"/>
      <c r="O67" s="239" t="e">
        <f>layout&amp;"."&amp;$B67+O66+O65</f>
        <v>#VALUE!</v>
      </c>
      <c r="P67" s="238"/>
      <c r="Q67" s="234"/>
      <c r="R67" s="239" t="e">
        <f>layout&amp;"."&amp;$B67+R66+R65</f>
        <v>#VALUE!</v>
      </c>
      <c r="S67" s="238"/>
      <c r="T67" s="234"/>
      <c r="U67" s="239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 xml:space="preserve"> 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6" t="s">
        <v>139</v>
      </c>
      <c r="AS67" s="187" t="s">
        <v>140</v>
      </c>
      <c r="AT67" s="198" t="s">
        <v>81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 "ITM_SEMICOLON", "ITM_0",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 "ITM_SEMICOLON", "ITM_0",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 "ITM_SEMICOLON", "ITM_0",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 "ITM_SEMICOLON", "ITM_0",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 "ITM_SEMICOLON", "ITM_0",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 "ITM_SEMICOLON", "ITM_0",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 "ITM_SEMICOLON", "ITM_0",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 "ITM_SEMICOLON", "ITM_0", AT67), ".lo", ),"MNU_", "-MNU_")</f>
        <v>ITM_NULL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 xml:space="preserve"> 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6" t="s">
        <v>145</v>
      </c>
      <c r="AS68" s="187" t="s">
        <v>146</v>
      </c>
      <c r="AT68" s="198" t="s">
        <v>81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 "ITM_SEMICOLON", "ITM_0",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 "ITM_SEMICOLON", "ITM_0",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 "ITM_SEMICOLON", "ITM_0",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 "ITM_SEMICOLON", "ITM_0",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 "ITM_SEMICOLON", "ITM_0",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 "ITM_SEMICOLON", "ITM_0",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 "ITM_SEMICOLON", "ITM_0",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 "ITM_SEMICOLON", "ITM_0", AT68), ".lo", ),"MNU_", "-MNU_")</f>
        <v>ITM_NULL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>#8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8" t="str">
        <f t="shared" si="9"/>
        <v>ITM_O</v>
      </c>
      <c r="AR69" s="196" t="s">
        <v>151</v>
      </c>
      <c r="AS69" s="187" t="s">
        <v>152</v>
      </c>
      <c r="AT69" s="198" t="s">
        <v>153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 "ITM_SEMICOLON", "ITM_0",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 "ITM_SEMICOLON", "ITM_0",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 "ITM_SEMICOLON", "ITM_0",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 "ITM_SEMICOLON", "ITM_0",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 "ITM_SEMICOLON", "ITM_0",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 "ITM_SEMICOLON", "ITM_0",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 "ITM_SEMICOLON", "ITM_0",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 "ITM_SEMICOLON", "ITM_0", AT69), ".lo", ),"MNU_", "-MNU_")</f>
        <v>ITM_OCT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40" t="str">
        <f>layout&amp;"."&amp;$B70+C69+C68</f>
        <v>R47.41,2</v>
      </c>
      <c r="D70" s="240">
        <f t="shared" ref="D70:E70" si="16">$B70+D69+D68</f>
        <v>41.2</v>
      </c>
      <c r="E70" s="240">
        <f t="shared" si="16"/>
        <v>41.2</v>
      </c>
      <c r="F70" s="240" t="str">
        <f>layout&amp;"."&amp;$B70+F69+F68</f>
        <v>R47.41,3</v>
      </c>
      <c r="G70" s="240">
        <f t="shared" ref="G70" si="17">$B70+G69+G68</f>
        <v>41.3</v>
      </c>
      <c r="H70" s="240">
        <f t="shared" ref="H70" si="18">$B70+H69+H68</f>
        <v>41.3</v>
      </c>
      <c r="J70" s="4" t="str">
        <f>layout&amp;"."&amp;$B70+J69+J68</f>
        <v>R47.42,2</v>
      </c>
      <c r="K70" s="4" t="str">
        <f>layout&amp;"."&amp;$B70+K69+K68</f>
        <v>R47.42,3</v>
      </c>
      <c r="M70" s="4" t="str">
        <f>layout&amp;"."&amp;$B70+M69+M68</f>
        <v>R47.43,2</v>
      </c>
      <c r="N70" s="4" t="str">
        <f>layout&amp;"."&amp;$B70+N69+N68</f>
        <v>R47.43,3</v>
      </c>
      <c r="P70" s="4" t="str">
        <f>layout&amp;"."&amp;$B70+P69+P68</f>
        <v>R47.44,2</v>
      </c>
      <c r="Q70" s="4" t="str">
        <f>layout&amp;"."&amp;$B70+Q69+Q68</f>
        <v>R47.44,3</v>
      </c>
      <c r="S70" s="4" t="str">
        <f>layout&amp;"."&amp;$B70+S69+S68</f>
        <v>R47.45,2</v>
      </c>
      <c r="T70" s="4" t="str">
        <f>layout&amp;"."&amp;$B70+T69+T68</f>
        <v>R47.45,3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9" t="s">
        <v>157</v>
      </c>
      <c r="AS70" s="187" t="s">
        <v>157</v>
      </c>
      <c r="AT70" s="198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 "ITM_SEMICOLON", "ITM_0",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 "ITM_SEMICOLON", "ITM_0",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 "ITM_SEMICOLON", "ITM_0",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 "ITM_SEMICOLON", "ITM_0",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 "ITM_SEMICOLON", "ITM_0",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 "ITM_SEMICOLON", "ITM_0",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 "ITM_SEMICOLON", "ITM_0",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 "ITM_SEMICOLON", "ITM_0",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37" t="str">
        <f>layout&amp;"."&amp;$B73+C69+$A71</f>
        <v>R47.41,1</v>
      </c>
      <c r="D71" s="229"/>
      <c r="E71" s="229">
        <f t="shared" ref="E71" si="19">$B73+E69+$A71</f>
        <v>41.1</v>
      </c>
      <c r="F71" s="229"/>
      <c r="G71" s="229">
        <f t="shared" ref="G71" si="20">$B73+G69+$A71</f>
        <v>41.1</v>
      </c>
      <c r="H71" s="230"/>
      <c r="I71" s="241" t="str">
        <f>layout&amp;"."&amp;$B71+I69+I68</f>
        <v>R47.41,4</v>
      </c>
      <c r="J71" s="237" t="str">
        <f>layout&amp;"."&amp;$B73+J69+$A71</f>
        <v>R47.42,1</v>
      </c>
      <c r="K71" s="230"/>
      <c r="L71" s="241" t="str">
        <f>layout&amp;"."&amp;$B71+L69+L68</f>
        <v>R47.42,4</v>
      </c>
      <c r="M71" s="237" t="str">
        <f>layout&amp;"."&amp;$B73+M69+$A71</f>
        <v>R47.43,1</v>
      </c>
      <c r="N71" s="230"/>
      <c r="O71" s="241" t="str">
        <f>layout&amp;"."&amp;$B71+O69+O68</f>
        <v>R47.43,4</v>
      </c>
      <c r="P71" s="237" t="str">
        <f>layout&amp;"."&amp;$B73+P69+$A71</f>
        <v>R47.44,1</v>
      </c>
      <c r="Q71" s="230"/>
      <c r="R71" s="241" t="str">
        <f>layout&amp;"."&amp;$B71+R69+R68</f>
        <v>R47.44,4</v>
      </c>
      <c r="S71" s="237" t="str">
        <f>layout&amp;"."&amp;$B73+S69+$A71</f>
        <v>R47.45,1</v>
      </c>
      <c r="T71" s="230"/>
      <c r="U71" s="239" t="str">
        <f>layout&amp;"."&amp;$B71+U69+U68</f>
        <v>R47.45,4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9" t="s">
        <v>163</v>
      </c>
      <c r="AS71" s="187" t="s">
        <v>164</v>
      </c>
      <c r="AT71" s="198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 "ITM_SEMICOLON", "ITM_0",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 "ITM_SEMICOLON", "ITM_0",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 "ITM_SEMICOLON", "ITM_0",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 "ITM_SEMICOLON", "ITM_0",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 "ITM_SEMICOLON", "ITM_0",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 "ITM_SEMICOLON", "ITM_0",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 "ITM_SEMICOLON", "ITM_0",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 "ITM_SEMICOLON", "ITM_0",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26"/>
      <c r="D72" s="231"/>
      <c r="E72" s="231"/>
      <c r="F72" s="231"/>
      <c r="G72" s="231"/>
      <c r="H72" s="232"/>
      <c r="I72" s="241" t="e">
        <f>layout&amp;"."&amp;$B72+I71+I70</f>
        <v>#VALUE!</v>
      </c>
      <c r="J72" s="226"/>
      <c r="K72" s="232"/>
      <c r="L72" s="241" t="e">
        <f>layout&amp;"."&amp;$B72+L71+L70</f>
        <v>#VALUE!</v>
      </c>
      <c r="M72" s="226"/>
      <c r="N72" s="232"/>
      <c r="O72" s="241" t="e">
        <f>layout&amp;"."&amp;$B72+O71+O70</f>
        <v>#VALUE!</v>
      </c>
      <c r="P72" s="226"/>
      <c r="Q72" s="232"/>
      <c r="R72" s="241" t="e">
        <f>layout&amp;"."&amp;$B72+R71+R70</f>
        <v>#VALUE!</v>
      </c>
      <c r="S72" s="226"/>
      <c r="T72" s="232"/>
      <c r="U72" s="239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6" t="s">
        <v>169</v>
      </c>
      <c r="AS72" s="187" t="s">
        <v>170</v>
      </c>
      <c r="AT72" s="198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 "ITM_SEMICOLON", "ITM_0",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 "ITM_SEMICOLON", "ITM_0",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 "ITM_SEMICOLON", "ITM_0",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 "ITM_SEMICOLON", "ITM_0",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 "ITM_SEMICOLON", "ITM_0",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 "ITM_SEMICOLON", "ITM_0",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 "ITM_SEMICOLON", "ITM_0",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 "ITM_SEMICOLON", "ITM_0",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38"/>
      <c r="D73" s="233"/>
      <c r="E73" s="233"/>
      <c r="F73" s="233"/>
      <c r="G73" s="233"/>
      <c r="H73" s="234"/>
      <c r="I73" s="241" t="e">
        <f>layout&amp;"."&amp;$B73+I72+I71</f>
        <v>#VALUE!</v>
      </c>
      <c r="J73" s="238"/>
      <c r="K73" s="234"/>
      <c r="L73" s="241" t="e">
        <f>layout&amp;"."&amp;$B73+L72+L71</f>
        <v>#VALUE!</v>
      </c>
      <c r="M73" s="238"/>
      <c r="N73" s="234"/>
      <c r="O73" s="241" t="e">
        <f>layout&amp;"."&amp;$B73+O72+O71</f>
        <v>#VALUE!</v>
      </c>
      <c r="P73" s="238"/>
      <c r="Q73" s="234"/>
      <c r="R73" s="241" t="e">
        <f>layout&amp;"."&amp;$B73+R72+R71</f>
        <v>#VALUE!</v>
      </c>
      <c r="S73" s="238"/>
      <c r="T73" s="234"/>
      <c r="U73" s="239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6" t="s">
        <v>174</v>
      </c>
      <c r="AS73" s="187" t="s">
        <v>175</v>
      </c>
      <c r="AT73" s="198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 "ITM_SEMICOLON", "ITM_0",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 "ITM_SEMICOLON", "ITM_0",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 "ITM_SEMICOLON", "ITM_0",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 "ITM_SEMICOLON", "ITM_0",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 "ITM_SEMICOLON", "ITM_0",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 "ITM_SEMICOLON", "ITM_0",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 "ITM_SEMICOLON", "ITM_0",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 "ITM_SEMICOLON", "ITM_0",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6" t="s">
        <v>179</v>
      </c>
      <c r="AS74" s="187" t="s">
        <v>180</v>
      </c>
      <c r="AT74" s="198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 "ITM_SEMICOLON", "ITM_0",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 "ITM_SEMICOLON", "ITM_0",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 "ITM_SEMICOLON", "ITM_0",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 "ITM_SEMICOLON", "ITM_0",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 "ITM_SEMICOLON", "ITM_0",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 "ITM_SEMICOLON", "ITM_0",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 "ITM_SEMICOLON", "ITM_0",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 "ITM_SEMICOLON", "ITM_0",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6" t="s">
        <v>185</v>
      </c>
      <c r="AS75" s="187" t="s">
        <v>186</v>
      </c>
      <c r="AT75" s="198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 "ITM_SEMICOLON", "ITM_0",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 "ITM_SEMICOLON", "ITM_0",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 "ITM_SEMICOLON", "ITM_0",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 "ITM_SEMICOLON", "ITM_0",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 "ITM_SEMICOLON", "ITM_0",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 "ITM_SEMICOLON", "ITM_0",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 "ITM_SEMICOLON", "ITM_0",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 "ITM_SEMICOLON", "ITM_0",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R47.51,2</v>
      </c>
      <c r="D76" s="4" t="str">
        <f>layout&amp;"."&amp;$B76+D75+D74</f>
        <v>R47.51,3</v>
      </c>
      <c r="F76" s="4" t="str">
        <f>layout&amp;"."&amp;$B76+F75+F74</f>
        <v>R47.52,2</v>
      </c>
      <c r="H76" s="4" t="str">
        <f>layout&amp;"."&amp;$B76+H75+H74</f>
        <v>R47.52,3</v>
      </c>
      <c r="J76" s="4" t="str">
        <f>layout&amp;"."&amp;$B76+J75+J74</f>
        <v>R47.53,2</v>
      </c>
      <c r="L76" s="4" t="str">
        <f>layout&amp;"."&amp;$B76+L75+L74</f>
        <v>R47.53,3</v>
      </c>
      <c r="N76" s="4" t="str">
        <f>layout&amp;"."&amp;$B76+N75+N74</f>
        <v>R47.54,2</v>
      </c>
      <c r="P76" s="4" t="str">
        <f>layout&amp;"."&amp;$B76+P75+P74</f>
        <v>R47.54,3</v>
      </c>
      <c r="R76" s="4" t="str">
        <f>layout&amp;"."&amp;$B76+R75+R74</f>
        <v>R47.55,2</v>
      </c>
      <c r="T76" s="4" t="str">
        <f>layout&amp;"."&amp;$B76+T75+T74</f>
        <v>R47.55,3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9" t="s">
        <v>192</v>
      </c>
      <c r="AS76" s="187" t="s">
        <v>193</v>
      </c>
      <c r="AT76" s="198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 "ITM_SEMICOLON", "ITM_0",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 "ITM_SEMICOLON", "ITM_0",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 "ITM_SEMICOLON", "ITM_0",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 "ITM_SEMICOLON", "ITM_0",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 "ITM_SEMICOLON", "ITM_0",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 "ITM_SEMICOLON", "ITM_0",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 "ITM_SEMICOLON", "ITM_0",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 "ITM_SEMICOLON", "ITM_0",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37" t="str">
        <f>layout&amp;"."&amp;$B79+C75+$A77</f>
        <v>R47.51,1</v>
      </c>
      <c r="D77" s="230"/>
      <c r="E77" s="241" t="str">
        <f>layout&amp;"."&amp;$B77+E75+E74</f>
        <v>R47.51,4</v>
      </c>
      <c r="F77" s="237" t="str">
        <f>layout&amp;"."&amp;$B77+F75+$A77</f>
        <v>R47.52,1</v>
      </c>
      <c r="G77" s="229">
        <f t="shared" ref="G77" si="22">$B79+G75+$A77</f>
        <v>52.1</v>
      </c>
      <c r="H77" s="230"/>
      <c r="I77" s="241" t="str">
        <f>layout&amp;"."&amp;$B77+I75+I74</f>
        <v>R47.52,4</v>
      </c>
      <c r="J77" s="237" t="str">
        <f>layout&amp;"."&amp;$B77+J75+$A77</f>
        <v>R47.53,1</v>
      </c>
      <c r="K77" s="229">
        <f t="shared" ref="K77" si="23">$B79+K75+$A77</f>
        <v>53.1</v>
      </c>
      <c r="L77" s="230"/>
      <c r="M77" s="241" t="str">
        <f>layout&amp;"."&amp;$B77+M75+M74</f>
        <v>R47.53,4</v>
      </c>
      <c r="N77" s="237" t="str">
        <f>layout&amp;"."&amp;$B77+N75+$A77</f>
        <v>R47.54,1</v>
      </c>
      <c r="O77" s="229">
        <f t="shared" ref="O77" si="24">$B79+O75+$A77</f>
        <v>54.1</v>
      </c>
      <c r="P77" s="230"/>
      <c r="Q77" s="241" t="str">
        <f>layout&amp;"."&amp;$B77+Q75+Q74</f>
        <v>R47.54,4</v>
      </c>
      <c r="R77" s="237" t="str">
        <f>layout&amp;"."&amp;$B77+R75+$A77</f>
        <v>R47.55,1</v>
      </c>
      <c r="S77" s="229">
        <f t="shared" ref="S77" si="25">$B79+S75+$A77</f>
        <v>55.1</v>
      </c>
      <c r="T77" s="230"/>
      <c r="U77" s="239" t="str">
        <f>layout&amp;"."&amp;$B77+U75+U74</f>
        <v>R47.55,4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6" t="s">
        <v>198</v>
      </c>
      <c r="AS77" s="187" t="s">
        <v>199</v>
      </c>
      <c r="AT77" s="198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 "ITM_SEMICOLON", "ITM_0",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 "ITM_SEMICOLON", "ITM_0",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 "ITM_SEMICOLON", "ITM_0",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 "ITM_SEMICOLON", "ITM_0",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 "ITM_SEMICOLON", "ITM_0",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 "ITM_SEMICOLON", "ITM_0",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 "ITM_SEMICOLON", "ITM_0",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 "ITM_SEMICOLON", "ITM_0",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26"/>
      <c r="D78" s="232"/>
      <c r="E78" s="241" t="e">
        <f>layout&amp;"."&amp;$B78+E77+E76</f>
        <v>#VALUE!</v>
      </c>
      <c r="F78" s="226"/>
      <c r="G78" s="231"/>
      <c r="H78" s="232"/>
      <c r="I78" s="241" t="e">
        <f>layout&amp;"."&amp;$B78+I77+I76</f>
        <v>#VALUE!</v>
      </c>
      <c r="J78" s="226"/>
      <c r="K78" s="231"/>
      <c r="L78" s="232"/>
      <c r="M78" s="241" t="e">
        <f>layout&amp;"."&amp;$B78+M77+M76</f>
        <v>#VALUE!</v>
      </c>
      <c r="N78" s="226"/>
      <c r="O78" s="231"/>
      <c r="P78" s="232"/>
      <c r="Q78" s="241" t="e">
        <f>layout&amp;"."&amp;$B78+Q77+Q76</f>
        <v>#VALUE!</v>
      </c>
      <c r="R78" s="226"/>
      <c r="S78" s="231"/>
      <c r="T78" s="232"/>
      <c r="U78" s="239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6" t="s">
        <v>203</v>
      </c>
      <c r="AS78" s="187" t="s">
        <v>204</v>
      </c>
      <c r="AT78" s="198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 "ITM_SEMICOLON", "ITM_0",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 "ITM_SEMICOLON", "ITM_0",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 "ITM_SEMICOLON", "ITM_0",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 "ITM_SEMICOLON", "ITM_0",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 "ITM_SEMICOLON", "ITM_0",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 "ITM_SEMICOLON", "ITM_0",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 "ITM_SEMICOLON", "ITM_0",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 "ITM_SEMICOLON", "ITM_0",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38"/>
      <c r="D79" s="234"/>
      <c r="E79" s="241" t="e">
        <f>layout&amp;"."&amp;$B79+E78+E77</f>
        <v>#VALUE!</v>
      </c>
      <c r="F79" s="238"/>
      <c r="G79" s="233"/>
      <c r="H79" s="234"/>
      <c r="I79" s="241" t="e">
        <f>layout&amp;"."&amp;$B79+I78+I77</f>
        <v>#VALUE!</v>
      </c>
      <c r="J79" s="238"/>
      <c r="K79" s="233"/>
      <c r="L79" s="234"/>
      <c r="M79" s="241" t="e">
        <f>layout&amp;"."&amp;$B79+M78+M77</f>
        <v>#VALUE!</v>
      </c>
      <c r="N79" s="238"/>
      <c r="O79" s="233"/>
      <c r="P79" s="234"/>
      <c r="Q79" s="241" t="e">
        <f>layout&amp;"."&amp;$B79+Q78+Q77</f>
        <v>#VALUE!</v>
      </c>
      <c r="R79" s="238"/>
      <c r="S79" s="233"/>
      <c r="T79" s="234"/>
      <c r="U79" s="239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6" t="s">
        <v>208</v>
      </c>
      <c r="AS79" s="187" t="s">
        <v>209</v>
      </c>
      <c r="AT79" s="198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 "ITM_SEMICOLON", "ITM_0",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 "ITM_SEMICOLON", "ITM_0",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 "ITM_SEMICOLON", "ITM_0",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 "ITM_SEMICOLON", "ITM_0",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 "ITM_SEMICOLON", "ITM_0",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 "ITM_SEMICOLON", "ITM_0",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 "ITM_SEMICOLON", "ITM_0",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 "ITM_SEMICOLON", "ITM_0",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6" t="s">
        <v>214</v>
      </c>
      <c r="AS80" s="187" t="s">
        <v>215</v>
      </c>
      <c r="AT80" s="198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 "ITM_SEMICOLON", "ITM_0",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 "ITM_SEMICOLON", "ITM_0",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 "ITM_SEMICOLON", "ITM_0",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 "ITM_SEMICOLON", "ITM_0",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 "ITM_SEMICOLON", "ITM_0",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 "ITM_SEMICOLON", "ITM_0",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 "ITM_SEMICOLON", "ITM_0",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 "ITM_SEMICOLON", "ITM_0",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9" t="s">
        <v>219</v>
      </c>
      <c r="AS81" s="187" t="s">
        <v>220</v>
      </c>
      <c r="AT81" s="198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 "ITM_SEMICOLON", "ITM_0",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 "ITM_SEMICOLON", "ITM_0",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 "ITM_SEMICOLON", "ITM_0",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 "ITM_SEMICOLON", "ITM_0",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 "ITM_SEMICOLON", "ITM_0",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 "ITM_SEMICOLON", "ITM_0",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 "ITM_SEMICOLON", "ITM_0",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 "ITM_SEMICOLON", "ITM_0",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R47.61,2</v>
      </c>
      <c r="D82" s="4" t="str">
        <f>layout&amp;"."&amp;$B82+D81+D80</f>
        <v>R47.61,3</v>
      </c>
      <c r="F82" s="4" t="str">
        <f>layout&amp;"."&amp;$B82+F81+F80</f>
        <v>R47.62,2</v>
      </c>
      <c r="H82" s="4" t="str">
        <f>layout&amp;"."&amp;$B82+H81+H80</f>
        <v>R47.62,3</v>
      </c>
      <c r="J82" s="4" t="str">
        <f>layout&amp;"."&amp;$B82+J81+J80</f>
        <v>R47.63,2</v>
      </c>
      <c r="L82" s="4" t="str">
        <f>layout&amp;"."&amp;$B82+L81+L80</f>
        <v>R47.63,3</v>
      </c>
      <c r="N82" s="4" t="str">
        <f>layout&amp;"."&amp;$B82+N81+N80</f>
        <v>R47.64,2</v>
      </c>
      <c r="P82" s="4" t="str">
        <f>layout&amp;"."&amp;$B82+P81+P80</f>
        <v>R47.64,3</v>
      </c>
      <c r="R82" s="4" t="str">
        <f>layout&amp;"."&amp;$B82+R81+R80</f>
        <v>R47.65,2</v>
      </c>
      <c r="T82" s="4" t="str">
        <f>layout&amp;"."&amp;$B82+T81+T80</f>
        <v>R47.65,3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6" t="s">
        <v>225</v>
      </c>
      <c r="AS82" s="187" t="s">
        <v>226</v>
      </c>
      <c r="AT82" s="198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 "ITM_SEMICOLON", "ITM_0",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 "ITM_SEMICOLON", "ITM_0",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 "ITM_SEMICOLON", "ITM_0",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 "ITM_SEMICOLON", "ITM_0",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 "ITM_SEMICOLON", "ITM_0",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 "ITM_SEMICOLON", "ITM_0",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 "ITM_SEMICOLON", "ITM_0",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 "ITM_SEMICOLON", "ITM_0",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37" t="str">
        <f>layout&amp;"."&amp;$B85+C81+$A83</f>
        <v>R47.61,1</v>
      </c>
      <c r="D83" s="230"/>
      <c r="E83" s="241" t="str">
        <f>layout&amp;"."&amp;$B83+E81+E80</f>
        <v>R47.61,4</v>
      </c>
      <c r="F83" s="237" t="str">
        <f>layout&amp;"."&amp;$B83+F81+$A83</f>
        <v>R47.62,1</v>
      </c>
      <c r="G83" s="229">
        <f t="shared" ref="G83" si="27">$B85+G81+$A83</f>
        <v>62.1</v>
      </c>
      <c r="H83" s="230"/>
      <c r="I83" s="241" t="str">
        <f>layout&amp;"."&amp;$B83+I81+I80</f>
        <v>R47.62,4</v>
      </c>
      <c r="J83" s="237" t="str">
        <f>layout&amp;"."&amp;$B83+J81+$A83</f>
        <v>R47.63,1</v>
      </c>
      <c r="K83" s="229">
        <f t="shared" ref="K83" si="28">$B85+K81+$A83</f>
        <v>63.1</v>
      </c>
      <c r="L83" s="230"/>
      <c r="M83" s="241" t="str">
        <f>layout&amp;"."&amp;$B83+M81+M80</f>
        <v>R47.63,4</v>
      </c>
      <c r="N83" s="237" t="str">
        <f>layout&amp;"."&amp;$B83+N81+$A83</f>
        <v>R47.64,1</v>
      </c>
      <c r="O83" s="229">
        <f t="shared" ref="O83" si="29">$B85+O81+$A83</f>
        <v>64.099999999999994</v>
      </c>
      <c r="P83" s="230"/>
      <c r="Q83" s="241" t="str">
        <f>layout&amp;"."&amp;$B83+Q81+Q80</f>
        <v>R47.64,4</v>
      </c>
      <c r="R83" s="237" t="str">
        <f>layout&amp;"."&amp;$B83+R81+$A83</f>
        <v>R47.65,1</v>
      </c>
      <c r="S83" s="229">
        <f t="shared" ref="S83" si="30">$B85+S81+$A83</f>
        <v>65.099999999999994</v>
      </c>
      <c r="T83" s="230"/>
      <c r="U83" s="239" t="str">
        <f>layout&amp;"."&amp;$B83+U81+U80</f>
        <v>R47.65,4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6" t="s">
        <v>229</v>
      </c>
      <c r="AS83" s="187" t="s">
        <v>230</v>
      </c>
      <c r="AT83" s="198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 "ITM_SEMICOLON", "ITM_0",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 "ITM_SEMICOLON", "ITM_0",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 "ITM_SEMICOLON", "ITM_0",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 "ITM_SEMICOLON", "ITM_0",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 "ITM_SEMICOLON", "ITM_0",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 "ITM_SEMICOLON", "ITM_0",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 "ITM_SEMICOLON", "ITM_0",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 "ITM_SEMICOLON", "ITM_0",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26"/>
      <c r="D84" s="232"/>
      <c r="E84" s="241" t="e">
        <f>layout&amp;"."&amp;$B84+E83+E82</f>
        <v>#VALUE!</v>
      </c>
      <c r="F84" s="226"/>
      <c r="G84" s="231"/>
      <c r="H84" s="232"/>
      <c r="I84" s="241" t="e">
        <f>layout&amp;"."&amp;$B84+I83+I82</f>
        <v>#VALUE!</v>
      </c>
      <c r="J84" s="226"/>
      <c r="K84" s="231"/>
      <c r="L84" s="232"/>
      <c r="M84" s="241" t="e">
        <f>layout&amp;"."&amp;$B84+M83+M82</f>
        <v>#VALUE!</v>
      </c>
      <c r="N84" s="226"/>
      <c r="O84" s="231"/>
      <c r="P84" s="232"/>
      <c r="Q84" s="241" t="e">
        <f>layout&amp;"."&amp;$B84+Q83+Q82</f>
        <v>#VALUE!</v>
      </c>
      <c r="R84" s="226"/>
      <c r="S84" s="231"/>
      <c r="T84" s="232"/>
      <c r="U84" s="239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6" t="s">
        <v>234</v>
      </c>
      <c r="AS84" s="187" t="s">
        <v>235</v>
      </c>
      <c r="AT84" s="198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 "ITM_SEMICOLON", "ITM_0",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 "ITM_SEMICOLON", "ITM_0",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 "ITM_SEMICOLON", "ITM_0",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 "ITM_SEMICOLON", "ITM_0",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 "ITM_SEMICOLON", "ITM_0",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 "ITM_SEMICOLON", "ITM_0",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 "ITM_SEMICOLON", "ITM_0",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 "ITM_SEMICOLON", "ITM_0",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38"/>
      <c r="D85" s="234"/>
      <c r="E85" s="241" t="e">
        <f>layout&amp;"."&amp;$B85+E84+E83</f>
        <v>#VALUE!</v>
      </c>
      <c r="F85" s="238"/>
      <c r="G85" s="233"/>
      <c r="H85" s="234"/>
      <c r="I85" s="241" t="e">
        <f>layout&amp;"."&amp;$B85+I84+I83</f>
        <v>#VALUE!</v>
      </c>
      <c r="J85" s="238"/>
      <c r="K85" s="233"/>
      <c r="L85" s="234"/>
      <c r="M85" s="241" t="e">
        <f>layout&amp;"."&amp;$B85+M84+M83</f>
        <v>#VALUE!</v>
      </c>
      <c r="N85" s="238"/>
      <c r="O85" s="233"/>
      <c r="P85" s="234"/>
      <c r="Q85" s="241" t="e">
        <f>layout&amp;"."&amp;$B85+Q84+Q83</f>
        <v>#VALUE!</v>
      </c>
      <c r="R85" s="238"/>
      <c r="S85" s="233"/>
      <c r="T85" s="234"/>
      <c r="U85" s="239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-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199" t="s">
        <v>240</v>
      </c>
      <c r="AS85" s="187" t="s">
        <v>240</v>
      </c>
      <c r="AT85" s="198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 "ITM_SEMICOLON", "ITM_0",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 "ITM_SEMICOLON", "ITM_0",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 "ITM_SEMICOLON", "ITM_0",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 "ITM_SEMICOLON", "ITM_0",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 "ITM_SEMICOLON", "ITM_0",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 "ITM_SEMICOLON", "ITM_0", AR85), ".lo", ),"MNU_", "-MNU_")</f>
        <v>ITM_MINUS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 "ITM_SEMICOLON", "ITM_0",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 "ITM_SEMICOLON", "ITM_0",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ITM_MINUS,            ITM_MINUS,            ITM_SUB             },</v>
      </c>
      <c r="BL85" s="45" t="str">
        <f t="shared" si="11"/>
        <v>ITM_MINUS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9" t="s">
        <v>245</v>
      </c>
      <c r="AS86" s="187" t="s">
        <v>246</v>
      </c>
      <c r="AT86" s="198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 "ITM_SEMICOLON", "ITM_0",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 "ITM_SEMICOLON", "ITM_0",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 "ITM_SEMICOLON", "ITM_0",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 "ITM_SEMICOLON", "ITM_0",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 "ITM_SEMICOLON", "ITM_0",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 "ITM_SEMICOLON", "ITM_0",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 "ITM_SEMICOLON", "ITM_0",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 "ITM_SEMICOLON", "ITM_0",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199" t="s">
        <v>251</v>
      </c>
      <c r="AS87" s="187" t="s">
        <v>252</v>
      </c>
      <c r="AT87" s="198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 "ITM_SEMICOLON", "ITM_0",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 "ITM_SEMICOLON", "ITM_0",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 "ITM_SEMICOLON", "ITM_0",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 "ITM_SEMICOLON", "ITM_0",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 "ITM_SEMICOLON", "ITM_0", AQ87), ".lo", ),"MNU_", "-MNU_")</f>
        <v>ITM_COLON</v>
      </c>
      <c r="BC87" s="157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 "ITM_SEMICOLON", "ITM_0", AR87), ".lo", ),"MNU_", "-MNU_")</f>
        <v>ITM_0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 "ITM_SEMICOLON", "ITM_0",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 "ITM_SEMICOLON", "ITM_0",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ITM_0,        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R47.71,2</v>
      </c>
      <c r="D88" s="4" t="str">
        <f>layout&amp;"."&amp;$B88+D87+D86</f>
        <v>R47.71,3</v>
      </c>
      <c r="F88" s="4" t="str">
        <f>layout&amp;"."&amp;$B88+F87+F86</f>
        <v>R47.72,2</v>
      </c>
      <c r="H88" s="4" t="str">
        <f>layout&amp;"."&amp;$B88+H87+H86</f>
        <v>R47.72,3</v>
      </c>
      <c r="J88" s="4" t="str">
        <f>layout&amp;"."&amp;$B88+J87+J86</f>
        <v>R47.73,2</v>
      </c>
      <c r="L88" s="4" t="str">
        <f>layout&amp;"."&amp;$B88+L87+L86</f>
        <v>R47.73,3</v>
      </c>
      <c r="N88" s="4" t="str">
        <f>layout&amp;"."&amp;$B88+N87+N86</f>
        <v>R47.74,2</v>
      </c>
      <c r="P88" s="4" t="str">
        <f>layout&amp;"."&amp;$B88+P87+P86</f>
        <v>R47.74,3</v>
      </c>
      <c r="R88" s="4" t="str">
        <f>layout&amp;"."&amp;$B88+R87+R86</f>
        <v>R47.75,2</v>
      </c>
      <c r="T88" s="4" t="str">
        <f>layout&amp;"."&amp;$B88+T87+T86</f>
        <v>R47.75,3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10" t="s">
        <v>283</v>
      </c>
      <c r="AS88" s="208" t="s">
        <v>257</v>
      </c>
      <c r="AT88" s="198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 "ITM_SEMICOLON", "ITM_0",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 "ITM_SEMICOLON", "ITM_0",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 "ITM_SEMICOLON", "ITM_0",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 "ITM_SEMICOLON", "ITM_0",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 "ITM_SEMICOLON", "ITM_0",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 "ITM_SEMICOLON", "ITM_0",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 "ITM_SEMICOLON", "ITM_0",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 "ITM_SEMICOLON", "ITM_0",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37" t="str">
        <f>layout&amp;"."&amp;$B91+C87+$A89</f>
        <v>R47.71,1</v>
      </c>
      <c r="D89" s="230"/>
      <c r="E89" s="241" t="str">
        <f>layout&amp;"."&amp;$B89+E87+E86</f>
        <v>R47.71,4</v>
      </c>
      <c r="F89" s="237" t="str">
        <f>layout&amp;"."&amp;$B89+F87+$A89</f>
        <v>R47.72,1</v>
      </c>
      <c r="G89" s="229">
        <f t="shared" ref="G89" si="31">$B91+G87+$A89</f>
        <v>72.099999999999994</v>
      </c>
      <c r="H89" s="230"/>
      <c r="I89" s="241" t="str">
        <f>layout&amp;"."&amp;$B89+I87+I86</f>
        <v>R47.72,4</v>
      </c>
      <c r="J89" s="237" t="str">
        <f>layout&amp;"."&amp;$B89+J87+$A89</f>
        <v>R47.73,1</v>
      </c>
      <c r="K89" s="229">
        <f t="shared" ref="K89" si="32">$B91+K87+$A89</f>
        <v>73.099999999999994</v>
      </c>
      <c r="L89" s="230"/>
      <c r="M89" s="241" t="str">
        <f>layout&amp;"."&amp;$B89+M87+M86</f>
        <v>R47.73,4</v>
      </c>
      <c r="N89" s="237" t="str">
        <f>layout&amp;"."&amp;$B89+N87+$A89</f>
        <v>R47.74,1</v>
      </c>
      <c r="O89" s="229">
        <f t="shared" ref="O89" si="33">$B91+O87+$A89</f>
        <v>74.099999999999994</v>
      </c>
      <c r="P89" s="230"/>
      <c r="Q89" s="241" t="str">
        <f>layout&amp;"."&amp;$B89+Q87+Q86</f>
        <v>R47.74,4</v>
      </c>
      <c r="R89" s="237" t="str">
        <f>layout&amp;"."&amp;$B89+R87+$A89</f>
        <v>R47.75,1</v>
      </c>
      <c r="S89" s="229">
        <f t="shared" ref="S89" si="34">$B91+S87+$A89</f>
        <v>75.099999999999994</v>
      </c>
      <c r="T89" s="230"/>
      <c r="U89" s="239" t="str">
        <f>layout&amp;"."&amp;$B89+U87+U86</f>
        <v>R47.75,4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10" t="s">
        <v>635</v>
      </c>
      <c r="AS89" s="208" t="s">
        <v>262</v>
      </c>
      <c r="AT89" s="198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 "ITM_SEMICOLON", "ITM_0",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 "ITM_SEMICOLON", "ITM_0",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 "ITM_SEMICOLON", "ITM_0",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 "ITM_SEMICOLON", "ITM_0",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 "ITM_SEMICOLON", "ITM_0",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 "ITM_SEMICOLON", "ITM_0",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 "ITM_SEMICOLON", "ITM_0",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 "ITM_SEMICOLON", "ITM_0",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26"/>
      <c r="D90" s="232"/>
      <c r="E90" s="241" t="e">
        <f>layout&amp;"."&amp;$B90+E89+E88</f>
        <v>#VALUE!</v>
      </c>
      <c r="F90" s="226"/>
      <c r="G90" s="231"/>
      <c r="H90" s="232"/>
      <c r="I90" s="241" t="e">
        <f>layout&amp;"."&amp;$B90+I89+I88</f>
        <v>#VALUE!</v>
      </c>
      <c r="J90" s="226"/>
      <c r="K90" s="231"/>
      <c r="L90" s="232"/>
      <c r="M90" s="241" t="e">
        <f>layout&amp;"."&amp;$B90+M89+M88</f>
        <v>#VALUE!</v>
      </c>
      <c r="N90" s="226"/>
      <c r="O90" s="231"/>
      <c r="P90" s="232"/>
      <c r="Q90" s="241" t="e">
        <f>layout&amp;"."&amp;$B90+Q89+Q88</f>
        <v>#VALUE!</v>
      </c>
      <c r="R90" s="226"/>
      <c r="S90" s="231"/>
      <c r="T90" s="232"/>
      <c r="U90" s="239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1" t="s">
        <v>650</v>
      </c>
      <c r="AS90" s="209" t="s">
        <v>267</v>
      </c>
      <c r="AT90" s="202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 "ITM_SEMICOLON", "ITM_0",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 "ITM_SEMICOLON", "ITM_0",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 "ITM_SEMICOLON", "ITM_0",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 "ITM_SEMICOLON", "ITM_0",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 "ITM_SEMICOLON", "ITM_0",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 "ITM_SEMICOLON", "ITM_0",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 "ITM_SEMICOLON", "ITM_0",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 "ITM_SEMICOLON", "ITM_0",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38"/>
      <c r="D91" s="234"/>
      <c r="E91" s="241" t="e">
        <f>layout&amp;"."&amp;$B91+E90+E89</f>
        <v>#VALUE!</v>
      </c>
      <c r="F91" s="238"/>
      <c r="G91" s="233"/>
      <c r="H91" s="234"/>
      <c r="I91" s="241" t="e">
        <f>layout&amp;"."&amp;$B91+I90+I89</f>
        <v>#VALUE!</v>
      </c>
      <c r="J91" s="238"/>
      <c r="K91" s="233"/>
      <c r="L91" s="234"/>
      <c r="M91" s="241" t="e">
        <f>layout&amp;"."&amp;$B91+M90+M89</f>
        <v>#VALUE!</v>
      </c>
      <c r="N91" s="238"/>
      <c r="O91" s="233"/>
      <c r="P91" s="234"/>
      <c r="Q91" s="241" t="e">
        <f>layout&amp;"."&amp;$B91+Q90+Q89</f>
        <v>#VALUE!</v>
      </c>
      <c r="R91" s="238"/>
      <c r="S91" s="233"/>
      <c r="T91" s="234"/>
      <c r="U91" s="239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3"/>
      <c r="AS91" s="203"/>
      <c r="AT91" s="203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3"/>
      <c r="AS92" s="203"/>
      <c r="AT92" s="203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3"/>
      <c r="AS93" s="203"/>
      <c r="AT93" s="203"/>
    </row>
    <row r="94" spans="1:65" ht="22" thickBot="1" x14ac:dyDescent="0.25">
      <c r="A94" s="3"/>
      <c r="B94" s="3">
        <v>80</v>
      </c>
      <c r="C94" s="4" t="str">
        <f>layout&amp;"."&amp;$B94+C93+C92</f>
        <v>R47.81,2</v>
      </c>
      <c r="D94" s="4" t="str">
        <f>layout&amp;"."&amp;$B94+D93+D92</f>
        <v>R47.81,3</v>
      </c>
      <c r="F94" s="4" t="str">
        <f>layout&amp;"."&amp;$B94+F93+F92</f>
        <v>R47.82,2</v>
      </c>
      <c r="H94" s="4" t="str">
        <f>layout&amp;"."&amp;$B94+H93+H92</f>
        <v>R47.82,3</v>
      </c>
      <c r="J94" s="4" t="str">
        <f>layout&amp;"."&amp;$B94+J93+J92</f>
        <v>R47.83,2</v>
      </c>
      <c r="L94" s="4" t="str">
        <f>layout&amp;"."&amp;$B94+L93+L92</f>
        <v>R47.83,3</v>
      </c>
      <c r="N94" s="4" t="str">
        <f>layout&amp;"."&amp;$B94+N93+N92</f>
        <v>R47.84,2</v>
      </c>
      <c r="P94" s="4" t="str">
        <f>layout&amp;"."&amp;$B94+P93+P92</f>
        <v>R47.84,3</v>
      </c>
      <c r="R94" s="4" t="str">
        <f>layout&amp;"."&amp;$B94+R93+R92</f>
        <v>R47.85,2</v>
      </c>
      <c r="T94" s="4" t="str">
        <f>layout&amp;"."&amp;$B94+T93+T92</f>
        <v>R47.85,3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3"/>
      <c r="AS94" s="203"/>
      <c r="AT94" s="203"/>
    </row>
    <row r="95" spans="1:65" ht="21" x14ac:dyDescent="0.2">
      <c r="A95" s="3">
        <v>0.1</v>
      </c>
      <c r="B95" s="3">
        <v>80</v>
      </c>
      <c r="C95" s="237" t="str">
        <f>layout&amp;"."&amp;$B97+C93+$A95</f>
        <v>R47.81,1</v>
      </c>
      <c r="D95" s="230"/>
      <c r="E95" s="241" t="str">
        <f>layout&amp;"."&amp;$B95+E93+E92</f>
        <v>R47.81,4</v>
      </c>
      <c r="F95" s="237" t="str">
        <f>layout&amp;"."&amp;$B95+F93+$A95</f>
        <v>R47.82,1</v>
      </c>
      <c r="G95" s="229">
        <f t="shared" ref="G95" si="35">$B97+G93+$A95</f>
        <v>82.1</v>
      </c>
      <c r="H95" s="230"/>
      <c r="I95" s="241" t="str">
        <f>layout&amp;"."&amp;$B95+I93+I92</f>
        <v>R47.82,4</v>
      </c>
      <c r="J95" s="237" t="str">
        <f>layout&amp;"."&amp;$B95+J93+$A95</f>
        <v>R47.83,1</v>
      </c>
      <c r="K95" s="229">
        <f t="shared" ref="K95" si="36">$B97+K93+$A95</f>
        <v>83.1</v>
      </c>
      <c r="L95" s="230"/>
      <c r="M95" s="241" t="str">
        <f>layout&amp;"."&amp;$B95+M93+M92</f>
        <v>R47.83,4</v>
      </c>
      <c r="N95" s="237" t="str">
        <f>layout&amp;"."&amp;$B95+N93+$A95</f>
        <v>R47.84,1</v>
      </c>
      <c r="O95" s="229">
        <f t="shared" ref="O95" si="37">$B97+O93+$A95</f>
        <v>84.1</v>
      </c>
      <c r="P95" s="230"/>
      <c r="Q95" s="241" t="str">
        <f>layout&amp;"."&amp;$B95+Q93+Q92</f>
        <v>R47.84,4</v>
      </c>
      <c r="R95" s="237" t="str">
        <f>layout&amp;"."&amp;$B95+R93+$A95</f>
        <v>R47.85,1</v>
      </c>
      <c r="S95" s="229">
        <f t="shared" ref="S95" si="38">$B97+S93+$A95</f>
        <v>85.1</v>
      </c>
      <c r="T95" s="230"/>
      <c r="U95" s="239" t="str">
        <f>layout&amp;"."&amp;$B95+U93+U92</f>
        <v>R47.85,4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26"/>
      <c r="D96" s="232"/>
      <c r="E96" s="241" t="e">
        <f>layout&amp;"."&amp;$B96+E95+E94</f>
        <v>#VALUE!</v>
      </c>
      <c r="F96" s="226"/>
      <c r="G96" s="231"/>
      <c r="H96" s="232"/>
      <c r="I96" s="241" t="e">
        <f>layout&amp;"."&amp;$B96+I95+I94</f>
        <v>#VALUE!</v>
      </c>
      <c r="J96" s="226"/>
      <c r="K96" s="231"/>
      <c r="L96" s="232"/>
      <c r="M96" s="241" t="e">
        <f>layout&amp;"."&amp;$B96+M95+M94</f>
        <v>#VALUE!</v>
      </c>
      <c r="N96" s="226"/>
      <c r="O96" s="231"/>
      <c r="P96" s="232"/>
      <c r="Q96" s="241" t="e">
        <f>layout&amp;"."&amp;$B96+Q95+Q94</f>
        <v>#VALUE!</v>
      </c>
      <c r="R96" s="226"/>
      <c r="S96" s="231"/>
      <c r="T96" s="232"/>
      <c r="U96" s="239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3"/>
      <c r="AS96" s="203"/>
      <c r="AT96" s="203"/>
      <c r="BG96" s="75"/>
    </row>
    <row r="97" spans="1:77" ht="22" thickBot="1" x14ac:dyDescent="0.25">
      <c r="A97" s="3">
        <v>0.1</v>
      </c>
      <c r="B97" s="3">
        <v>80</v>
      </c>
      <c r="C97" s="238"/>
      <c r="D97" s="234"/>
      <c r="E97" s="241" t="e">
        <f>layout&amp;"."&amp;$B97+E96+E95</f>
        <v>#VALUE!</v>
      </c>
      <c r="F97" s="238"/>
      <c r="G97" s="233"/>
      <c r="H97" s="234"/>
      <c r="I97" s="241" t="e">
        <f>layout&amp;"."&amp;$B97+I96+I95</f>
        <v>#VALUE!</v>
      </c>
      <c r="J97" s="238"/>
      <c r="K97" s="233"/>
      <c r="L97" s="234"/>
      <c r="M97" s="241" t="e">
        <f>layout&amp;"."&amp;$B97+M96+M95</f>
        <v>#VALUE!</v>
      </c>
      <c r="N97" s="238"/>
      <c r="O97" s="233"/>
      <c r="P97" s="234"/>
      <c r="Q97" s="241" t="e">
        <f>layout&amp;"."&amp;$B97+Q96+Q95</f>
        <v>#VALUE!</v>
      </c>
      <c r="R97" s="238"/>
      <c r="S97" s="233"/>
      <c r="T97" s="234"/>
      <c r="U97" s="239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6" t="str">
        <f>X97</f>
        <v>WP43</v>
      </c>
      <c r="AM97" s="214" t="s">
        <v>39</v>
      </c>
      <c r="AN97" s="214"/>
      <c r="AO97" s="214"/>
      <c r="AP97" s="71" t="s">
        <v>40</v>
      </c>
      <c r="AQ97" s="31" t="s">
        <v>41</v>
      </c>
      <c r="AR97" s="190" t="s">
        <v>42</v>
      </c>
      <c r="AS97" s="191" t="s">
        <v>42</v>
      </c>
      <c r="AT97" s="192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3" t="s">
        <v>276</v>
      </c>
      <c r="AS99" s="194" t="s">
        <v>277</v>
      </c>
      <c r="AT99" s="195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 "ITM_SEMICOLON", "ITM_0",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 "ITM_SEMICOLON", "ITM_0",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 "ITM_SEMICOLON", "ITM_0",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 "ITM_SEMICOLON", "ITM_0",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 "ITM_SEMICOLON", "ITM_0",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 "ITM_SEMICOLON", "ITM_0",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 "ITM_SEMICOLON", "ITM_0",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 "ITM_SEMICOLON", "ITM_0",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6" t="s">
        <v>283</v>
      </c>
      <c r="AS100" s="187" t="s">
        <v>284</v>
      </c>
      <c r="AT100" s="197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 "ITM_SEMICOLON", "ITM_0",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 "ITM_SEMICOLON", "ITM_0",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 "ITM_SEMICOLON", "ITM_0",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 "ITM_SEMICOLON", "ITM_0",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 "ITM_SEMICOLON", "ITM_0",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 "ITM_SEMICOLON", "ITM_0",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 "ITM_SEMICOLON", "ITM_0",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 "ITM_SEMICOLON", "ITM_0",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6" t="s">
        <v>291</v>
      </c>
      <c r="AS101" s="187" t="s">
        <v>292</v>
      </c>
      <c r="AT101" s="197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 "ITM_SEMICOLON", "ITM_0",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 "ITM_SEMICOLON", "ITM_0",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 "ITM_SEMICOLON", "ITM_0",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 "ITM_SEMICOLON", "ITM_0",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 "ITM_SEMICOLON", "ITM_0",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 "ITM_SEMICOLON", "ITM_0",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 "ITM_SEMICOLON", "ITM_0",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 "ITM_SEMICOLON", "ITM_0",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6" t="s">
        <v>298</v>
      </c>
      <c r="AS102" s="187" t="s">
        <v>99</v>
      </c>
      <c r="AT102" s="197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 "ITM_SEMICOLON", "ITM_0",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 "ITM_SEMICOLON", "ITM_0",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 "ITM_SEMICOLON", "ITM_0",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 "ITM_SEMICOLON", "ITM_0",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 "ITM_SEMICOLON", "ITM_0",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 "ITM_SEMICOLON", "ITM_0",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 "ITM_SEMICOLON", "ITM_0",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 "ITM_SEMICOLON", "ITM_0",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6" t="s">
        <v>304</v>
      </c>
      <c r="AS103" s="187" t="s">
        <v>305</v>
      </c>
      <c r="AT103" s="198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 "ITM_SEMICOLON", "ITM_0",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 "ITM_SEMICOLON", "ITM_0",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 "ITM_SEMICOLON", "ITM_0",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 "ITM_SEMICOLON", "ITM_0",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 "ITM_SEMICOLON", "ITM_0",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 "ITM_SEMICOLON", "ITM_0",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 "ITM_SEMICOLON", "ITM_0",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 "ITM_SEMICOLON", "ITM_0",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6" t="s">
        <v>66</v>
      </c>
      <c r="AS104" s="187" t="s">
        <v>310</v>
      </c>
      <c r="AT104" s="198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 "ITM_SEMICOLON", "ITM_0",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 "ITM_SEMICOLON", "ITM_0",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 "ITM_SEMICOLON", "ITM_0",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 "ITM_SEMICOLON", "ITM_0",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 "ITM_SEMICOLON", "ITM_0",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 "ITM_SEMICOLON", "ITM_0",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 "ITM_SEMICOLON", "ITM_0",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 "ITM_SEMICOLON", "ITM_0",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6" t="s">
        <v>317</v>
      </c>
      <c r="AS105" s="187" t="s">
        <v>292</v>
      </c>
      <c r="AT105" s="198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 "ITM_SEMICOLON", "ITM_0",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 "ITM_SEMICOLON", "ITM_0",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 "ITM_SEMICOLON", "ITM_0",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 "ITM_SEMICOLON", "ITM_0",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 "ITM_SEMICOLON", "ITM_0",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 "ITM_SEMICOLON", "ITM_0",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 "ITM_SEMICOLON", "ITM_0",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 "ITM_SEMICOLON", "ITM_0",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#16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6" t="s">
        <v>321</v>
      </c>
      <c r="AS106" s="187" t="s">
        <v>322</v>
      </c>
      <c r="AT106" s="198" t="s">
        <v>100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 "ITM_SEMICOLON", "ITM_0",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 "ITM_SEMICOLON", "ITM_0",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 "ITM_SEMICOLON", "ITM_0",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 "ITM_SEMICOLON", "ITM_0",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 "ITM_SEMICOLON", "ITM_0",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 "ITM_SEMICOLON", "ITM_0",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 "ITM_SEMICOLON", "ITM_0",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 "ITM_SEMICOLON", "ITM_0", AT106), ".lo", ),"MNU_", "-MNU_")</f>
        <v>ITM_HEX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6" t="s">
        <v>327</v>
      </c>
      <c r="AS107" s="187" t="s">
        <v>328</v>
      </c>
      <c r="AT107" s="197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 "ITM_SEMICOLON", "ITM_0",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 "ITM_SEMICOLON", "ITM_0",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 "ITM_SEMICOLON", "ITM_0",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 "ITM_SEMICOLON", "ITM_0",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 "ITM_SEMICOLON", "ITM_0",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 "ITM_SEMICOLON", "ITM_0",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 "ITM_SEMICOLON", "ITM_0",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 "ITM_SEMICOLON", "ITM_0",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6" t="s">
        <v>93</v>
      </c>
      <c r="AS108" s="187" t="s">
        <v>334</v>
      </c>
      <c r="AT108" s="197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 "ITM_SEMICOLON", "ITM_0",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 "ITM_SEMICOLON", "ITM_0",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 "ITM_SEMICOLON", "ITM_0",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 "ITM_SEMICOLON", "ITM_0",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 "ITM_SEMICOLON", "ITM_0",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 "ITM_SEMICOLON", "ITM_0",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 "ITM_SEMICOLON", "ITM_0",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 "ITM_SEMICOLON", "ITM_0",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6" t="s">
        <v>81</v>
      </c>
      <c r="AS109" s="187" t="s">
        <v>246</v>
      </c>
      <c r="AT109" s="197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 "ITM_SEMICOLON", "ITM_0",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 "ITM_SEMICOLON", "ITM_0",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 "ITM_SEMICOLON", "ITM_0",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 "ITM_SEMICOLON", "ITM_0",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 "ITM_SEMICOLON", "ITM_0",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 "ITM_SEMICOLON", "ITM_0",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 "ITM_SEMICOLON", "ITM_0",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 "ITM_SEMICOLON", "ITM_0",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6" t="s">
        <v>342</v>
      </c>
      <c r="AS110" s="187" t="s">
        <v>81</v>
      </c>
      <c r="AT110" s="197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 "ITM_SEMICOLON", "ITM_0",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 "ITM_SEMICOLON", "ITM_0",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 "ITM_SEMICOLON", "ITM_0",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 "ITM_SEMICOLON", "ITM_0",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 "ITM_SEMICOLON", "ITM_0",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 "ITM_SEMICOLON", "ITM_0",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 "ITM_SEMICOLON", "ITM_0",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 "ITM_SEMICOLON", "ITM_0",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9" t="s">
        <v>81</v>
      </c>
      <c r="AS111" s="187" t="s">
        <v>81</v>
      </c>
      <c r="AT111" s="198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 "ITM_SEMICOLON", "ITM_0",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 "ITM_SEMICOLON", "ITM_0",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 "ITM_SEMICOLON", "ITM_0",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 "ITM_SEMICOLON", "ITM_0",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 "ITM_SEMICOLON", "ITM_0",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 "ITM_SEMICOLON", "ITM_0",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 "ITM_SEMICOLON", "ITM_0",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 "ITM_SEMICOLON", "ITM_0",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6" t="s">
        <v>140</v>
      </c>
      <c r="AS112" s="187" t="s">
        <v>349</v>
      </c>
      <c r="AT112" s="198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 "ITM_SEMICOLON", "ITM_0",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 "ITM_SEMICOLON", "ITM_0",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 "ITM_SEMICOLON", "ITM_0",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 "ITM_SEMICOLON", "ITM_0",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 "ITM_SEMICOLON", "ITM_0",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 "ITM_SEMICOLON", "ITM_0",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 "ITM_SEMICOLON", "ITM_0",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 "ITM_SEMICOLON", "ITM_0",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6" t="s">
        <v>146</v>
      </c>
      <c r="AS113" s="187" t="s">
        <v>354</v>
      </c>
      <c r="AT113" s="198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 "ITM_SEMICOLON", "ITM_0",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 "ITM_SEMICOLON", "ITM_0",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 "ITM_SEMICOLON", "ITM_0",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 "ITM_SEMICOLON", "ITM_0",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 "ITM_SEMICOLON", "ITM_0",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 "ITM_SEMICOLON", "ITM_0",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 "ITM_SEMICOLON", "ITM_0",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 "ITM_SEMICOLON", "ITM_0",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6" t="s">
        <v>360</v>
      </c>
      <c r="AS114" s="187" t="s">
        <v>361</v>
      </c>
      <c r="AT114" s="198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 "ITM_SEMICOLON", "ITM_0",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 "ITM_SEMICOLON", "ITM_0",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 "ITM_SEMICOLON", "ITM_0",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 "ITM_SEMICOLON", "ITM_0",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 "ITM_SEMICOLON", "ITM_0",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 "ITM_SEMICOLON", "ITM_0",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 "ITM_SEMICOLON", "ITM_0",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 "ITM_SEMICOLON", "ITM_0",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9" t="s">
        <v>366</v>
      </c>
      <c r="AS115" s="187" t="s">
        <v>367</v>
      </c>
      <c r="AT115" s="198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 "ITM_SEMICOLON", "ITM_0",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 "ITM_SEMICOLON", "ITM_0",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 "ITM_SEMICOLON", "ITM_0",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 "ITM_SEMICOLON", "ITM_0",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 "ITM_SEMICOLON", "ITM_0",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 "ITM_SEMICOLON", "ITM_0",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 "ITM_SEMICOLON", "ITM_0",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 "ITM_SEMICOLON", "ITM_0",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9" t="s">
        <v>262</v>
      </c>
      <c r="AS116" s="187" t="s">
        <v>370</v>
      </c>
      <c r="AT116" s="198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 "ITM_SEMICOLON", "ITM_0",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 "ITM_SEMICOLON", "ITM_0",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 "ITM_SEMICOLON", "ITM_0",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 "ITM_SEMICOLON", "ITM_0",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 "ITM_SEMICOLON", "ITM_0",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 "ITM_SEMICOLON", "ITM_0",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 "ITM_SEMICOLON", "ITM_0",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 "ITM_SEMICOLON", "ITM_0",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6" t="s">
        <v>170</v>
      </c>
      <c r="AS117" s="187" t="s">
        <v>374</v>
      </c>
      <c r="AT117" s="198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 "ITM_SEMICOLON", "ITM_0",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 "ITM_SEMICOLON", "ITM_0",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 "ITM_SEMICOLON", "ITM_0",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 "ITM_SEMICOLON", "ITM_0",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 "ITM_SEMICOLON", "ITM_0",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 "ITM_SEMICOLON", "ITM_0",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 "ITM_SEMICOLON", "ITM_0",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 "ITM_SEMICOLON", "ITM_0",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6" t="s">
        <v>175</v>
      </c>
      <c r="AS118" s="187" t="s">
        <v>106</v>
      </c>
      <c r="AT118" s="198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 "ITM_SEMICOLON", "ITM_0",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 "ITM_SEMICOLON", "ITM_0",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 "ITM_SEMICOLON", "ITM_0",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 "ITM_SEMICOLON", "ITM_0",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 "ITM_SEMICOLON", "ITM_0",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 "ITM_SEMICOLON", "ITM_0",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 "ITM_SEMICOLON", "ITM_0",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 "ITM_SEMICOLON", "ITM_0",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6" t="s">
        <v>180</v>
      </c>
      <c r="AS119" s="187" t="s">
        <v>81</v>
      </c>
      <c r="AT119" s="198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 "ITM_SEMICOLON", "ITM_0",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 "ITM_SEMICOLON", "ITM_0",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 "ITM_SEMICOLON", "ITM_0",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 "ITM_SEMICOLON", "ITM_0",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 "ITM_SEMICOLON", "ITM_0",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 "ITM_SEMICOLON", "ITM_0",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 "ITM_SEMICOLON", "ITM_0",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 "ITM_SEMICOLON", "ITM_0",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6" t="s">
        <v>81</v>
      </c>
      <c r="AS120" s="187" t="s">
        <v>383</v>
      </c>
      <c r="AT120" s="198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 "ITM_SEMICOLON", "ITM_0",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 "ITM_SEMICOLON", "ITM_0",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 "ITM_SEMICOLON", "ITM_0",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 "ITM_SEMICOLON", "ITM_0",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 "ITM_SEMICOLON", "ITM_0",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 "ITM_SEMICOLON", "ITM_0",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 "ITM_SEMICOLON", "ITM_0",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 "ITM_SEMICOLON", "ITM_0",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9" t="s">
        <v>387</v>
      </c>
      <c r="AS121" s="187" t="s">
        <v>388</v>
      </c>
      <c r="AT121" s="198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 "ITM_SEMICOLON", "ITM_0",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 "ITM_SEMICOLON", "ITM_0",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 "ITM_SEMICOLON", "ITM_0",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 "ITM_SEMICOLON", "ITM_0",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 "ITM_SEMICOLON", "ITM_0",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 "ITM_SEMICOLON", "ITM_0",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 "ITM_SEMICOLON", "ITM_0",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 "ITM_SEMICOLON", "ITM_0",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6" t="s">
        <v>199</v>
      </c>
      <c r="AS122" s="187" t="s">
        <v>52</v>
      </c>
      <c r="AT122" s="198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 "ITM_SEMICOLON", "ITM_0",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 "ITM_SEMICOLON", "ITM_0",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 "ITM_SEMICOLON", "ITM_0",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 "ITM_SEMICOLON", "ITM_0",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 "ITM_SEMICOLON", "ITM_0",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 "ITM_SEMICOLON", "ITM_0",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 "ITM_SEMICOLON", "ITM_0",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 "ITM_SEMICOLON", "ITM_0",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6" t="s">
        <v>204</v>
      </c>
      <c r="AS123" s="187" t="s">
        <v>396</v>
      </c>
      <c r="AT123" s="198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 "ITM_SEMICOLON", "ITM_0",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 "ITM_SEMICOLON", "ITM_0",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 "ITM_SEMICOLON", "ITM_0",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 "ITM_SEMICOLON", "ITM_0",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 "ITM_SEMICOLON", "ITM_0",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 "ITM_SEMICOLON", "ITM_0",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 "ITM_SEMICOLON", "ITM_0",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 "ITM_SEMICOLON", "ITM_0",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6" t="s">
        <v>209</v>
      </c>
      <c r="AS124" s="187" t="s">
        <v>400</v>
      </c>
      <c r="AT124" s="198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 "ITM_SEMICOLON", "ITM_0",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 "ITM_SEMICOLON", "ITM_0",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 "ITM_SEMICOLON", "ITM_0",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 "ITM_SEMICOLON", "ITM_0",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 "ITM_SEMICOLON", "ITM_0",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 "ITM_SEMICOLON", "ITM_0",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 "ITM_SEMICOLON", "ITM_0",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 "ITM_SEMICOLON", "ITM_0",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6" t="s">
        <v>405</v>
      </c>
      <c r="AS125" s="187" t="s">
        <v>406</v>
      </c>
      <c r="AT125" s="198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 "ITM_SEMICOLON", "ITM_0",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 "ITM_SEMICOLON", "ITM_0",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 "ITM_SEMICOLON", "ITM_0",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 "ITM_SEMICOLON", "ITM_0",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 "ITM_SEMICOLON", "ITM_0",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 "ITM_SEMICOLON", "ITM_0",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 "ITM_SEMICOLON", "ITM_0",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 "ITM_SEMICOLON", "ITM_0",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9" t="s">
        <v>240</v>
      </c>
      <c r="AS126" s="187" t="s">
        <v>408</v>
      </c>
      <c r="AT126" s="198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 "ITM_SEMICOLON", "ITM_0",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 "ITM_SEMICOLON", "ITM_0",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 "ITM_SEMICOLON", "ITM_0",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 "ITM_SEMICOLON", "ITM_0",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 "ITM_SEMICOLON", "ITM_0",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 "ITM_SEMICOLON", "ITM_0",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 "ITM_SEMICOLON", "ITM_0",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 "ITM_SEMICOLON", "ITM_0",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6" t="s">
        <v>226</v>
      </c>
      <c r="AS127" s="187" t="s">
        <v>412</v>
      </c>
      <c r="AT127" s="198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 "ITM_SEMICOLON", "ITM_0",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 "ITM_SEMICOLON", "ITM_0",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 "ITM_SEMICOLON", "ITM_0",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 "ITM_SEMICOLON", "ITM_0",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 "ITM_SEMICOLON", "ITM_0",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 "ITM_SEMICOLON", "ITM_0",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 "ITM_SEMICOLON", "ITM_0",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 "ITM_SEMICOLON", "ITM_0",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6" t="s">
        <v>230</v>
      </c>
      <c r="AS128" s="187" t="s">
        <v>416</v>
      </c>
      <c r="AT128" s="198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 "ITM_SEMICOLON", "ITM_0",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 "ITM_SEMICOLON", "ITM_0",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 "ITM_SEMICOLON", "ITM_0",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 "ITM_SEMICOLON", "ITM_0",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 "ITM_SEMICOLON", "ITM_0",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 "ITM_SEMICOLON", "ITM_0",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 "ITM_SEMICOLON", "ITM_0",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 "ITM_SEMICOLON", "ITM_0",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6" t="s">
        <v>235</v>
      </c>
      <c r="AS129" s="187" t="s">
        <v>420</v>
      </c>
      <c r="AT129" s="198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 "ITM_SEMICOLON", "ITM_0",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 "ITM_SEMICOLON", "ITM_0",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 "ITM_SEMICOLON", "ITM_0",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 "ITM_SEMICOLON", "ITM_0",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 "ITM_SEMICOLON", "ITM_0",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 "ITM_SEMICOLON", "ITM_0",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 "ITM_SEMICOLON", "ITM_0",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 "ITM_SEMICOLON", "ITM_0",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9" t="s">
        <v>425</v>
      </c>
      <c r="AS130" s="187" t="s">
        <v>426</v>
      </c>
      <c r="AT130" s="198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 "ITM_SEMICOLON", "ITM_0",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 "ITM_SEMICOLON", "ITM_0",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 "ITM_SEMICOLON", "ITM_0",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 "ITM_SEMICOLON", "ITM_0",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 "ITM_SEMICOLON", "ITM_0",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 "ITM_SEMICOLON", "ITM_0",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 "ITM_SEMICOLON", "ITM_0",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 "ITM_SEMICOLON", "ITM_0",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9" t="s">
        <v>267</v>
      </c>
      <c r="AS131" s="187" t="s">
        <v>427</v>
      </c>
      <c r="AT131" s="198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 "ITM_SEMICOLON", "ITM_0",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 "ITM_SEMICOLON", "ITM_0",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 "ITM_SEMICOLON", "ITM_0",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 "ITM_SEMICOLON", "ITM_0",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 "ITM_SEMICOLON", "ITM_0",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 "ITM_SEMICOLON", "ITM_0",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 "ITM_SEMICOLON", "ITM_0",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 "ITM_SEMICOLON", "ITM_0",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9" t="s">
        <v>252</v>
      </c>
      <c r="AS132" s="187" t="s">
        <v>431</v>
      </c>
      <c r="AT132" s="198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 "ITM_SEMICOLON", "ITM_0",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 "ITM_SEMICOLON", "ITM_0",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 "ITM_SEMICOLON", "ITM_0",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 "ITM_SEMICOLON", "ITM_0",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 "ITM_SEMICOLON", "ITM_0",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 "ITM_SEMICOLON", "ITM_0",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 "ITM_SEMICOLON", "ITM_0",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 "ITM_SEMICOLON", "ITM_0",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9" t="s">
        <v>257</v>
      </c>
      <c r="AS133" s="187" t="s">
        <v>435</v>
      </c>
      <c r="AT133" s="198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 "ITM_SEMICOLON", "ITM_0",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 "ITM_SEMICOLON", "ITM_0",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 "ITM_SEMICOLON", "ITM_0",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 "ITM_SEMICOLON", "ITM_0",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 "ITM_SEMICOLON", "ITM_0",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 "ITM_SEMICOLON", "ITM_0",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 "ITM_SEMICOLON", "ITM_0",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 "ITM_SEMICOLON", "ITM_0",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9" t="s">
        <v>81</v>
      </c>
      <c r="AS134" s="187" t="s">
        <v>81</v>
      </c>
      <c r="AT134" s="198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 "ITM_SEMICOLON", "ITM_0",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 "ITM_SEMICOLON", "ITM_0",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 "ITM_SEMICOLON", "ITM_0",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 "ITM_SEMICOLON", "ITM_0",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 "ITM_SEMICOLON", "ITM_0",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 "ITM_SEMICOLON", "ITM_0",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 "ITM_SEMICOLON", "ITM_0",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 "ITM_SEMICOLON", "ITM_0",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200" t="s">
        <v>443</v>
      </c>
      <c r="AS135" s="201" t="s">
        <v>245</v>
      </c>
      <c r="AT135" s="202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 "ITM_SEMICOLON", "ITM_0",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 "ITM_SEMICOLON", "ITM_0",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 "ITM_SEMICOLON", "ITM_0",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 "ITM_SEMICOLON", "ITM_0",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 "ITM_SEMICOLON", "ITM_0",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 "ITM_SEMICOLON", "ITM_0",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 "ITM_SEMICOLON", "ITM_0",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 "ITM_SEMICOLON", "ITM_0",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3"/>
      <c r="AS136" s="203"/>
      <c r="AT136" s="203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3"/>
      <c r="AS137" s="203"/>
      <c r="AT137" s="203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243" t="s">
        <v>652</v>
      </c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/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6" t="str">
        <f>X142</f>
        <v>E47</v>
      </c>
      <c r="AM142" s="214" t="s">
        <v>39</v>
      </c>
      <c r="AN142" s="214"/>
      <c r="AO142" s="214"/>
      <c r="AP142" s="71" t="s">
        <v>40</v>
      </c>
      <c r="AQ142" s="31" t="s">
        <v>41</v>
      </c>
      <c r="AR142" s="190" t="s">
        <v>42</v>
      </c>
      <c r="AS142" s="191" t="s">
        <v>42</v>
      </c>
      <c r="AT142" s="192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3" t="s">
        <v>51</v>
      </c>
      <c r="AS144" s="194" t="s">
        <v>81</v>
      </c>
      <c r="AT144" s="195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 "ITM_SEMICOLON", "ITM_0",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 "ITM_SEMICOLON", "ITM_0",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 "ITM_SEMICOLON", "ITM_0",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 "ITM_SEMICOLON", "ITM_0",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 "ITM_SEMICOLON", "ITM_0",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 "ITM_SEMICOLON", "ITM_0",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 "ITM_SEMICOLON", "ITM_0",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 "ITM_SEMICOLON", "ITM_0",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6" t="s">
        <v>58</v>
      </c>
      <c r="AS145" s="187" t="s">
        <v>81</v>
      </c>
      <c r="AT145" s="197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 "ITM_SEMICOLON", "ITM_0",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 "ITM_SEMICOLON", "ITM_0",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 "ITM_SEMICOLON", "ITM_0",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 "ITM_SEMICOLON", "ITM_0",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 "ITM_SEMICOLON", "ITM_0",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 "ITM_SEMICOLON", "ITM_0",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 "ITM_SEMICOLON", "ITM_0",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 "ITM_SEMICOLON", "ITM_0",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6" t="s">
        <v>65</v>
      </c>
      <c r="AS146" s="187" t="s">
        <v>81</v>
      </c>
      <c r="AT146" s="197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 "ITM_SEMICOLON", "ITM_0",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 "ITM_SEMICOLON", "ITM_0",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 "ITM_SEMICOLON", "ITM_0",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 "ITM_SEMICOLON", "ITM_0",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 "ITM_SEMICOLON", "ITM_0",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 "ITM_SEMICOLON", "ITM_0",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 "ITM_SEMICOLON", "ITM_0",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 "ITM_SEMICOLON", "ITM_0",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6" t="s">
        <v>72</v>
      </c>
      <c r="AS147" s="187" t="s">
        <v>66</v>
      </c>
      <c r="AT147" s="197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 "ITM_SEMICOLON", "ITM_0",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 "ITM_SEMICOLON", "ITM_0",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 "ITM_SEMICOLON", "ITM_0",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 "ITM_SEMICOLON", "ITM_0",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 "ITM_SEMICOLON", "ITM_0",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 "ITM_SEMICOLON", "ITM_0",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 "ITM_SEMICOLON", "ITM_0",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 "ITM_SEMICOLON", "ITM_0",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6" t="s">
        <v>79</v>
      </c>
      <c r="AS148" s="187" t="s">
        <v>73</v>
      </c>
      <c r="AT148" s="198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 "ITM_SEMICOLON", "ITM_0",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 "ITM_SEMICOLON", "ITM_0",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 "ITM_SEMICOLON", "ITM_0",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 "ITM_SEMICOLON", "ITM_0",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 "ITM_SEMICOLON", "ITM_0",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 "ITM_SEMICOLON", "ITM_0",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 "ITM_SEMICOLON", "ITM_0",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 "ITM_SEMICOLON", "ITM_0",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6" t="s">
        <v>86</v>
      </c>
      <c r="AS149" s="187" t="s">
        <v>80</v>
      </c>
      <c r="AT149" s="198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 "ITM_SEMICOLON", "ITM_0",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 "ITM_SEMICOLON", "ITM_0",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 "ITM_SEMICOLON", "ITM_0",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 "ITM_SEMICOLON", "ITM_0",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 "ITM_SEMICOLON", "ITM_0",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 "ITM_SEMICOLON", "ITM_0",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 "ITM_SEMICOLON", "ITM_0",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 "ITM_SEMICOLON", "ITM_0",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9" t="s">
        <v>81</v>
      </c>
      <c r="AS150" s="187" t="s">
        <v>81</v>
      </c>
      <c r="AT150" s="198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 "ITM_SEMICOLON", "ITM_0",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 "ITM_SEMICOLON", "ITM_0",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 "ITM_SEMICOLON", "ITM_0",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 "ITM_SEMICOLON", "ITM_0",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 "ITM_SEMICOLON", "ITM_0",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 "ITM_SEMICOLON", "ITM_0",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 "ITM_SEMICOLON", "ITM_0",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 "ITM_SEMICOLON", "ITM_0",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9" t="s">
        <v>81</v>
      </c>
      <c r="AS151" s="187" t="s">
        <v>81</v>
      </c>
      <c r="AT151" s="198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 "ITM_SEMICOLON", "ITM_0",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 "ITM_SEMICOLON", "ITM_0",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 "ITM_SEMICOLON", "ITM_0",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 "ITM_SEMICOLON", "ITM_0",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 "ITM_SEMICOLON", "ITM_0",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 "ITM_SEMICOLON", "ITM_0",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 "ITM_SEMICOLON", "ITM_0",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 "ITM_SEMICOLON", "ITM_0",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6" t="s">
        <v>92</v>
      </c>
      <c r="AS152" s="187" t="s">
        <v>106</v>
      </c>
      <c r="AT152" s="198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 "ITM_SEMICOLON", "ITM_0",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 "ITM_SEMICOLON", "ITM_0",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 "ITM_SEMICOLON", "ITM_0",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 "ITM_SEMICOLON", "ITM_0",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 "ITM_SEMICOLON", "ITM_0",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 "ITM_SEMICOLON", "ITM_0",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 "ITM_SEMICOLON", "ITM_0",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 "ITM_SEMICOLON", "ITM_0",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6" t="s">
        <v>98</v>
      </c>
      <c r="AS153" s="187" t="s">
        <v>113</v>
      </c>
      <c r="AT153" s="198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 "ITM_SEMICOLON", "ITM_0",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 "ITM_SEMICOLON", "ITM_0",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 "ITM_SEMICOLON", "ITM_0",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 "ITM_SEMICOLON", "ITM_0",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 "ITM_SEMICOLON", "ITM_0",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 "ITM_SEMICOLON", "ITM_0",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 "ITM_SEMICOLON", "ITM_0",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 "ITM_SEMICOLON", "ITM_0",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6" t="s">
        <v>105</v>
      </c>
      <c r="AS154" s="187" t="s">
        <v>120</v>
      </c>
      <c r="AT154" s="197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 "ITM_SEMICOLON", "ITM_0",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 "ITM_SEMICOLON", "ITM_0",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 "ITM_SEMICOLON", "ITM_0",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 "ITM_SEMICOLON", "ITM_0",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 "ITM_SEMICOLON", "ITM_0",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 "ITM_SEMICOLON", "ITM_0",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 "ITM_SEMICOLON", "ITM_0",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 "ITM_SEMICOLON", "ITM_0",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6" t="s">
        <v>112</v>
      </c>
      <c r="AS155" s="187" t="s">
        <v>127</v>
      </c>
      <c r="AT155" s="197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 "ITM_SEMICOLON", "ITM_0",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 "ITM_SEMICOLON", "ITM_0",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 "ITM_SEMICOLON", "ITM_0",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 "ITM_SEMICOLON", "ITM_0",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 "ITM_SEMICOLON", "ITM_0",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 "ITM_SEMICOLON", "ITM_0",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 "ITM_SEMICOLON", "ITM_0",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 "ITM_SEMICOLON", "ITM_0",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9" t="s">
        <v>132</v>
      </c>
      <c r="AS156" s="187" t="s">
        <v>133</v>
      </c>
      <c r="AT156" s="198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 "ITM_SEMICOLON", "ITM_0",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 "ITM_SEMICOLON", "ITM_0",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 "ITM_SEMICOLON", "ITM_0",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 "ITM_SEMICOLON", "ITM_0",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 "ITM_SEMICOLON", "ITM_0",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 "ITM_SEMICOLON", "ITM_0",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 "ITM_SEMICOLON", "ITM_0",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 "ITM_SEMICOLON", "ITM_0",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6" t="s">
        <v>119</v>
      </c>
      <c r="AS157" s="187" t="s">
        <v>140</v>
      </c>
      <c r="AT157" s="197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 "ITM_SEMICOLON", "ITM_0",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 "ITM_SEMICOLON", "ITM_0",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 "ITM_SEMICOLON", "ITM_0",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 "ITM_SEMICOLON", "ITM_0",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 "ITM_SEMICOLON", "ITM_0",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 "ITM_SEMICOLON", "ITM_0",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 "ITM_SEMICOLON", "ITM_0",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 "ITM_SEMICOLON", "ITM_0",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6" t="s">
        <v>126</v>
      </c>
      <c r="AS158" s="187" t="s">
        <v>146</v>
      </c>
      <c r="AT158" s="197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 "ITM_SEMICOLON", "ITM_0",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 "ITM_SEMICOLON", "ITM_0",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 "ITM_SEMICOLON", "ITM_0",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 "ITM_SEMICOLON", "ITM_0",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 "ITM_SEMICOLON", "ITM_0",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 "ITM_SEMICOLON", "ITM_0",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 "ITM_SEMICOLON", "ITM_0",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 "ITM_SEMICOLON", "ITM_0",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6" t="s">
        <v>139</v>
      </c>
      <c r="AS159" s="187" t="s">
        <v>152</v>
      </c>
      <c r="AT159" s="198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 "ITM_SEMICOLON", "ITM_0",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 "ITM_SEMICOLON", "ITM_0",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 "ITM_SEMICOLON", "ITM_0",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 "ITM_SEMICOLON", "ITM_0",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 "ITM_SEMICOLON", "ITM_0",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 "ITM_SEMICOLON", "ITM_0",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 "ITM_SEMICOLON", "ITM_0",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 "ITM_SEMICOLON", "ITM_0",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9" t="s">
        <v>157</v>
      </c>
      <c r="AS160" s="187" t="s">
        <v>157</v>
      </c>
      <c r="AT160" s="198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 "ITM_SEMICOLON", "ITM_0",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 "ITM_SEMICOLON", "ITM_0",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 "ITM_SEMICOLON", "ITM_0",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 "ITM_SEMICOLON", "ITM_0",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 "ITM_SEMICOLON", "ITM_0",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 "ITM_SEMICOLON", "ITM_0",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 "ITM_SEMICOLON", "ITM_0",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 "ITM_SEMICOLON", "ITM_0",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9" t="s">
        <v>81</v>
      </c>
      <c r="AS161" s="187" t="s">
        <v>87</v>
      </c>
      <c r="AT161" s="198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 "ITM_SEMICOLON", "ITM_0",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 "ITM_SEMICOLON", "ITM_0",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 "ITM_SEMICOLON", "ITM_0",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 "ITM_SEMICOLON", "ITM_0",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 "ITM_SEMICOLON", "ITM_0",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 "ITM_SEMICOLON", "ITM_0",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 "ITM_SEMICOLON", "ITM_0",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 "ITM_SEMICOLON", "ITM_0",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6" t="s">
        <v>145</v>
      </c>
      <c r="AS162" s="187" t="s">
        <v>170</v>
      </c>
      <c r="AT162" s="198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 "ITM_SEMICOLON", "ITM_0",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 "ITM_SEMICOLON", "ITM_0",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 "ITM_SEMICOLON", "ITM_0",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 "ITM_SEMICOLON", "ITM_0",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 "ITM_SEMICOLON", "ITM_0",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 "ITM_SEMICOLON", "ITM_0",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 "ITM_SEMICOLON", "ITM_0",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 "ITM_SEMICOLON", "ITM_0",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6" t="s">
        <v>151</v>
      </c>
      <c r="AS163" s="187" t="s">
        <v>175</v>
      </c>
      <c r="AT163" s="198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 "ITM_SEMICOLON", "ITM_0",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 "ITM_SEMICOLON", "ITM_0",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 "ITM_SEMICOLON", "ITM_0",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 "ITM_SEMICOLON", "ITM_0",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 "ITM_SEMICOLON", "ITM_0",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 "ITM_SEMICOLON", "ITM_0",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 "ITM_SEMICOLON", "ITM_0",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 "ITM_SEMICOLON", "ITM_0",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6" t="s">
        <v>169</v>
      </c>
      <c r="AS164" s="187" t="s">
        <v>180</v>
      </c>
      <c r="AT164" s="198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 "ITM_SEMICOLON", "ITM_0",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 "ITM_SEMICOLON", "ITM_0",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 "ITM_SEMICOLON", "ITM_0",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 "ITM_SEMICOLON", "ITM_0",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 "ITM_SEMICOLON", "ITM_0",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 "ITM_SEMICOLON", "ITM_0",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 "ITM_SEMICOLON", "ITM_0",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 "ITM_SEMICOLON", "ITM_0",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6" t="s">
        <v>174</v>
      </c>
      <c r="AS165" s="187" t="s">
        <v>186</v>
      </c>
      <c r="AT165" s="198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 "ITM_SEMICOLON", "ITM_0",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 "ITM_SEMICOLON", "ITM_0",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 "ITM_SEMICOLON", "ITM_0",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 "ITM_SEMICOLON", "ITM_0",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 "ITM_SEMICOLON", "ITM_0",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 "ITM_SEMICOLON", "ITM_0",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 "ITM_SEMICOLON", "ITM_0",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 "ITM_SEMICOLON", "ITM_0",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9" t="s">
        <v>163</v>
      </c>
      <c r="AS166" s="187" t="s">
        <v>164</v>
      </c>
      <c r="AT166" s="198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 "ITM_SEMICOLON", "ITM_0",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 "ITM_SEMICOLON", "ITM_0",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 "ITM_SEMICOLON", "ITM_0",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 "ITM_SEMICOLON", "ITM_0",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 "ITM_SEMICOLON", "ITM_0",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 "ITM_SEMICOLON", "ITM_0",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 "ITM_SEMICOLON", "ITM_0",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 "ITM_SEMICOLON", "ITM_0",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6" t="s">
        <v>179</v>
      </c>
      <c r="AS167" s="187" t="s">
        <v>199</v>
      </c>
      <c r="AT167" s="198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 "ITM_SEMICOLON", "ITM_0",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 "ITM_SEMICOLON", "ITM_0",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 "ITM_SEMICOLON", "ITM_0",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 "ITM_SEMICOLON", "ITM_0",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 "ITM_SEMICOLON", "ITM_0",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 "ITM_SEMICOLON", "ITM_0",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 "ITM_SEMICOLON", "ITM_0",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 "ITM_SEMICOLON", "ITM_0",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6" t="s">
        <v>185</v>
      </c>
      <c r="AS168" s="187" t="s">
        <v>204</v>
      </c>
      <c r="AT168" s="198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 "ITM_SEMICOLON", "ITM_0",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 "ITM_SEMICOLON", "ITM_0",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 "ITM_SEMICOLON", "ITM_0",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 "ITM_SEMICOLON", "ITM_0",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 "ITM_SEMICOLON", "ITM_0",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 "ITM_SEMICOLON", "ITM_0",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 "ITM_SEMICOLON", "ITM_0",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 "ITM_SEMICOLON", "ITM_0",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6" t="s">
        <v>198</v>
      </c>
      <c r="AS169" s="187" t="s">
        <v>209</v>
      </c>
      <c r="AT169" s="198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 "ITM_SEMICOLON", "ITM_0",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 "ITM_SEMICOLON", "ITM_0",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 "ITM_SEMICOLON", "ITM_0",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 "ITM_SEMICOLON", "ITM_0",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 "ITM_SEMICOLON", "ITM_0",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 "ITM_SEMICOLON", "ITM_0",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 "ITM_SEMICOLON", "ITM_0",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 "ITM_SEMICOLON", "ITM_0",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6" t="s">
        <v>203</v>
      </c>
      <c r="AS170" s="187" t="s">
        <v>215</v>
      </c>
      <c r="AT170" s="198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 "ITM_SEMICOLON", "ITM_0",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 "ITM_SEMICOLON", "ITM_0",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 "ITM_SEMICOLON", "ITM_0",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 "ITM_SEMICOLON", "ITM_0",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 "ITM_SEMICOLON", "ITM_0",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 "ITM_SEMICOLON", "ITM_0",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 "ITM_SEMICOLON", "ITM_0",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 "ITM_SEMICOLON", "ITM_0",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9" t="s">
        <v>192</v>
      </c>
      <c r="AS171" s="187" t="s">
        <v>193</v>
      </c>
      <c r="AT171" s="198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 "ITM_SEMICOLON", "ITM_0",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 "ITM_SEMICOLON", "ITM_0",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 "ITM_SEMICOLON", "ITM_0",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 "ITM_SEMICOLON", "ITM_0",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 "ITM_SEMICOLON", "ITM_0",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 "ITM_SEMICOLON", "ITM_0",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 "ITM_SEMICOLON", "ITM_0",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 "ITM_SEMICOLON", "ITM_0",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6" t="s">
        <v>208</v>
      </c>
      <c r="AS172" s="187" t="s">
        <v>226</v>
      </c>
      <c r="AT172" s="198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 "ITM_SEMICOLON", "ITM_0",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 "ITM_SEMICOLON", "ITM_0",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 "ITM_SEMICOLON", "ITM_0",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 "ITM_SEMICOLON", "ITM_0",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 "ITM_SEMICOLON", "ITM_0",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 "ITM_SEMICOLON", "ITM_0",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 "ITM_SEMICOLON", "ITM_0",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 "ITM_SEMICOLON", "ITM_0",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6" t="s">
        <v>214</v>
      </c>
      <c r="AS173" s="187" t="s">
        <v>230</v>
      </c>
      <c r="AT173" s="198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 "ITM_SEMICOLON", "ITM_0",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 "ITM_SEMICOLON", "ITM_0",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 "ITM_SEMICOLON", "ITM_0",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 "ITM_SEMICOLON", "ITM_0",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 "ITM_SEMICOLON", "ITM_0",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 "ITM_SEMICOLON", "ITM_0",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 "ITM_SEMICOLON", "ITM_0",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 "ITM_SEMICOLON", "ITM_0",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6" t="s">
        <v>225</v>
      </c>
      <c r="AS174" s="187" t="s">
        <v>235</v>
      </c>
      <c r="AT174" s="198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 "ITM_SEMICOLON", "ITM_0",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 "ITM_SEMICOLON", "ITM_0",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 "ITM_SEMICOLON", "ITM_0",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 "ITM_SEMICOLON", "ITM_0",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 "ITM_SEMICOLON", "ITM_0",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 "ITM_SEMICOLON", "ITM_0",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 "ITM_SEMICOLON", "ITM_0",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 "ITM_SEMICOLON", "ITM_0",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6" t="s">
        <v>229</v>
      </c>
      <c r="AS175" s="187" t="s">
        <v>240</v>
      </c>
      <c r="AT175" s="198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 "ITM_SEMICOLON", "ITM_0",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 "ITM_SEMICOLON", "ITM_0",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 "ITM_SEMICOLON", "ITM_0",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 "ITM_SEMICOLON", "ITM_0",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 "ITM_SEMICOLON", "ITM_0",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 "ITM_SEMICOLON", "ITM_0",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 "ITM_SEMICOLON", "ITM_0",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 "ITM_SEMICOLON", "ITM_0",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9" t="s">
        <v>245</v>
      </c>
      <c r="AS176" s="187" t="s">
        <v>246</v>
      </c>
      <c r="AT176" s="198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 "ITM_SEMICOLON", "ITM_0",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 "ITM_SEMICOLON", "ITM_0",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 "ITM_SEMICOLON", "ITM_0",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 "ITM_SEMICOLON", "ITM_0",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 "ITM_SEMICOLON", "ITM_0",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 "ITM_SEMICOLON", "ITM_0",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 "ITM_SEMICOLON", "ITM_0",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 "ITM_SEMICOLON", "ITM_0",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6" t="s">
        <v>234</v>
      </c>
      <c r="AS177" s="187" t="s">
        <v>252</v>
      </c>
      <c r="AT177" s="198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 "ITM_SEMICOLON", "ITM_0",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 "ITM_SEMICOLON", "ITM_0",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 "ITM_SEMICOLON", "ITM_0",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 "ITM_SEMICOLON", "ITM_0",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 "ITM_SEMICOLON", "ITM_0",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 "ITM_SEMICOLON", "ITM_0",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 "ITM_SEMICOLON", "ITM_0",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 "ITM_SEMICOLON", "ITM_0",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9" t="s">
        <v>257</v>
      </c>
      <c r="AS178" s="187" t="s">
        <v>257</v>
      </c>
      <c r="AT178" s="198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 "ITM_SEMICOLON", "ITM_0",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 "ITM_SEMICOLON", "ITM_0",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 "ITM_SEMICOLON", "ITM_0",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 "ITM_SEMICOLON", "ITM_0",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 "ITM_SEMICOLON", "ITM_0",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 "ITM_SEMICOLON", "ITM_0",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 "ITM_SEMICOLON", "ITM_0",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 "ITM_SEMICOLON", "ITM_0",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9" t="s">
        <v>262</v>
      </c>
      <c r="AS179" s="187" t="s">
        <v>262</v>
      </c>
      <c r="AT179" s="198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 "ITM_SEMICOLON", "ITM_0",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 "ITM_SEMICOLON", "ITM_0",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 "ITM_SEMICOLON", "ITM_0",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 "ITM_SEMICOLON", "ITM_0",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 "ITM_SEMICOLON", "ITM_0",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 "ITM_SEMICOLON", "ITM_0",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 "ITM_SEMICOLON", "ITM_0",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 "ITM_SEMICOLON", "ITM_0",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200" t="s">
        <v>267</v>
      </c>
      <c r="AS180" s="201" t="s">
        <v>267</v>
      </c>
      <c r="AT180" s="202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 "ITM_SEMICOLON", "ITM_0",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 "ITM_SEMICOLON", "ITM_0",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 "ITM_SEMICOLON", "ITM_0",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 "ITM_SEMICOLON", "ITM_0",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 "ITM_SEMICOLON", "ITM_0",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 "ITM_SEMICOLON", "ITM_0",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 "ITM_SEMICOLON", "ITM_0",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 "ITM_SEMICOLON", "ITM_0",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6" t="str">
        <f>X187</f>
        <v>V47</v>
      </c>
      <c r="AM187" s="214" t="s">
        <v>39</v>
      </c>
      <c r="AN187" s="214"/>
      <c r="AO187" s="214"/>
      <c r="AP187" s="71" t="s">
        <v>40</v>
      </c>
      <c r="AQ187" s="31" t="s">
        <v>41</v>
      </c>
      <c r="AR187" s="190" t="s">
        <v>42</v>
      </c>
      <c r="AS187" s="191" t="s">
        <v>42</v>
      </c>
      <c r="AT187" s="192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3" t="s">
        <v>51</v>
      </c>
      <c r="AS189" s="194" t="s">
        <v>59</v>
      </c>
      <c r="AT189" s="195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 "ITM_SEMICOLON", "ITM_0",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 "ITM_SEMICOLON", "ITM_0",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 "ITM_SEMICOLON", "ITM_0",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 "ITM_SEMICOLON", "ITM_0",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 "ITM_SEMICOLON", "ITM_0",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 "ITM_SEMICOLON", "ITM_0",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 "ITM_SEMICOLON", "ITM_0",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 "ITM_SEMICOLON", "ITM_0",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6" t="s">
        <v>58</v>
      </c>
      <c r="AS190" s="187" t="s">
        <v>66</v>
      </c>
      <c r="AT190" s="197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 "ITM_SEMICOLON", "ITM_0",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 "ITM_SEMICOLON", "ITM_0",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 "ITM_SEMICOLON", "ITM_0",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 "ITM_SEMICOLON", "ITM_0",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 "ITM_SEMICOLON", "ITM_0",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 "ITM_SEMICOLON", "ITM_0",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 "ITM_SEMICOLON", "ITM_0",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 "ITM_SEMICOLON", "ITM_0",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6" t="s">
        <v>65</v>
      </c>
      <c r="AS191" s="187" t="s">
        <v>73</v>
      </c>
      <c r="AT191" s="197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 "ITM_SEMICOLON", "ITM_0",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 "ITM_SEMICOLON", "ITM_0",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 "ITM_SEMICOLON", "ITM_0",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 "ITM_SEMICOLON", "ITM_0",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 "ITM_SEMICOLON", "ITM_0",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 "ITM_SEMICOLON", "ITM_0",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 "ITM_SEMICOLON", "ITM_0",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 "ITM_SEMICOLON", "ITM_0",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6" t="s">
        <v>72</v>
      </c>
      <c r="AS192" s="187" t="s">
        <v>80</v>
      </c>
      <c r="AT192" s="197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 "ITM_SEMICOLON", "ITM_0",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 "ITM_SEMICOLON", "ITM_0",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 "ITM_SEMICOLON", "ITM_0",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 "ITM_SEMICOLON", "ITM_0",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 "ITM_SEMICOLON", "ITM_0",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 "ITM_SEMICOLON", "ITM_0",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 "ITM_SEMICOLON", "ITM_0",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 "ITM_SEMICOLON", "ITM_0",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9" t="s">
        <v>81</v>
      </c>
      <c r="AS193" s="187" t="s">
        <v>81</v>
      </c>
      <c r="AT193" s="198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 "ITM_SEMICOLON", "ITM_0",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 "ITM_SEMICOLON", "ITM_0",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 "ITM_SEMICOLON", "ITM_0",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 "ITM_SEMICOLON", "ITM_0",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 "ITM_SEMICOLON", "ITM_0",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 "ITM_SEMICOLON", "ITM_0",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 "ITM_SEMICOLON", "ITM_0",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 "ITM_SEMICOLON", "ITM_0",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9" t="s">
        <v>81</v>
      </c>
      <c r="AS194" s="187" t="s">
        <v>81</v>
      </c>
      <c r="AT194" s="198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 "ITM_SEMICOLON", "ITM_0",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 "ITM_SEMICOLON", "ITM_0",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 "ITM_SEMICOLON", "ITM_0",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 "ITM_SEMICOLON", "ITM_0",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 "ITM_SEMICOLON", "ITM_0",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 "ITM_SEMICOLON", "ITM_0",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 "ITM_SEMICOLON", "ITM_0",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 "ITM_SEMICOLON", "ITM_0",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6" t="s">
        <v>79</v>
      </c>
      <c r="AS195" s="187" t="s">
        <v>93</v>
      </c>
      <c r="AT195" s="198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 "ITM_SEMICOLON", "ITM_0",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 "ITM_SEMICOLON", "ITM_0",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 "ITM_SEMICOLON", "ITM_0",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 "ITM_SEMICOLON", "ITM_0",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 "ITM_SEMICOLON", "ITM_0",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 "ITM_SEMICOLON", "ITM_0",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 "ITM_SEMICOLON", "ITM_0",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 "ITM_SEMICOLON", "ITM_0",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#16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6" t="s">
        <v>86</v>
      </c>
      <c r="AS196" s="187" t="s">
        <v>99</v>
      </c>
      <c r="AT196" s="198" t="s">
        <v>100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 "ITM_SEMICOLON", "ITM_0",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 "ITM_SEMICOLON", "ITM_0",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 "ITM_SEMICOLON", "ITM_0",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 "ITM_SEMICOLON", "ITM_0",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 "ITM_SEMICOLON", "ITM_0",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 "ITM_SEMICOLON", "ITM_0",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 "ITM_SEMICOLON", "ITM_0",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 "ITM_SEMICOLON", "ITM_0", AT196), ".lo", ),"MNU_", "-MNU_")</f>
        <v>ITM_HEX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6" t="s">
        <v>92</v>
      </c>
      <c r="AS197" s="187" t="s">
        <v>106</v>
      </c>
      <c r="AT197" s="198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 "ITM_SEMICOLON", "ITM_0",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 "ITM_SEMICOLON", "ITM_0",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 "ITM_SEMICOLON", "ITM_0",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 "ITM_SEMICOLON", "ITM_0",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 "ITM_SEMICOLON", "ITM_0",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 "ITM_SEMICOLON", "ITM_0",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 "ITM_SEMICOLON", "ITM_0",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 "ITM_SEMICOLON", "ITM_0",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6" t="s">
        <v>98</v>
      </c>
      <c r="AS198" s="187" t="s">
        <v>113</v>
      </c>
      <c r="AT198" s="198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 "ITM_SEMICOLON", "ITM_0",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 "ITM_SEMICOLON", "ITM_0",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 "ITM_SEMICOLON", "ITM_0",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 "ITM_SEMICOLON", "ITM_0",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 "ITM_SEMICOLON", "ITM_0",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 "ITM_SEMICOLON", "ITM_0",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 "ITM_SEMICOLON", "ITM_0",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 "ITM_SEMICOLON", "ITM_0",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6" t="s">
        <v>105</v>
      </c>
      <c r="AS199" s="187" t="s">
        <v>120</v>
      </c>
      <c r="AT199" s="197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 "ITM_SEMICOLON", "ITM_0",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 "ITM_SEMICOLON", "ITM_0",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 "ITM_SEMICOLON", "ITM_0",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 "ITM_SEMICOLON", "ITM_0",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 "ITM_SEMICOLON", "ITM_0",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 "ITM_SEMICOLON", "ITM_0",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 "ITM_SEMICOLON", "ITM_0",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 "ITM_SEMICOLON", "ITM_0",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6" t="s">
        <v>112</v>
      </c>
      <c r="AS200" s="187" t="s">
        <v>127</v>
      </c>
      <c r="AT200" s="197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 "ITM_SEMICOLON", "ITM_0",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 "ITM_SEMICOLON", "ITM_0",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 "ITM_SEMICOLON", "ITM_0",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 "ITM_SEMICOLON", "ITM_0",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 "ITM_SEMICOLON", "ITM_0",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 "ITM_SEMICOLON", "ITM_0",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 "ITM_SEMICOLON", "ITM_0",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 "ITM_SEMICOLON", "ITM_0",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9" t="s">
        <v>132</v>
      </c>
      <c r="AS201" s="187" t="s">
        <v>133</v>
      </c>
      <c r="AT201" s="198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 "ITM_SEMICOLON", "ITM_0",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 "ITM_SEMICOLON", "ITM_0",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 "ITM_SEMICOLON", "ITM_0",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 "ITM_SEMICOLON", "ITM_0",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 "ITM_SEMICOLON", "ITM_0",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 "ITM_SEMICOLON", "ITM_0",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 "ITM_SEMICOLON", "ITM_0",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 "ITM_SEMICOLON", "ITM_0",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6" t="s">
        <v>119</v>
      </c>
      <c r="AS202" s="187" t="s">
        <v>140</v>
      </c>
      <c r="AT202" s="197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 "ITM_SEMICOLON", "ITM_0",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 "ITM_SEMICOLON", "ITM_0",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 "ITM_SEMICOLON", "ITM_0",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 "ITM_SEMICOLON", "ITM_0",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 "ITM_SEMICOLON", "ITM_0",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 "ITM_SEMICOLON", "ITM_0",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 "ITM_SEMICOLON", "ITM_0",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 "ITM_SEMICOLON", "ITM_0",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6" t="s">
        <v>126</v>
      </c>
      <c r="AS203" s="187" t="s">
        <v>146</v>
      </c>
      <c r="AT203" s="197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 "ITM_SEMICOLON", "ITM_0",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 "ITM_SEMICOLON", "ITM_0",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 "ITM_SEMICOLON", "ITM_0",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 "ITM_SEMICOLON", "ITM_0",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 "ITM_SEMICOLON", "ITM_0",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 "ITM_SEMICOLON", "ITM_0",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 "ITM_SEMICOLON", "ITM_0",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 "ITM_SEMICOLON", "ITM_0",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6" t="s">
        <v>139</v>
      </c>
      <c r="AS204" s="187" t="s">
        <v>152</v>
      </c>
      <c r="AT204" s="198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 "ITM_SEMICOLON", "ITM_0",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 "ITM_SEMICOLON", "ITM_0",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 "ITM_SEMICOLON", "ITM_0",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 "ITM_SEMICOLON", "ITM_0",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 "ITM_SEMICOLON", "ITM_0",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 "ITM_SEMICOLON", "ITM_0",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 "ITM_SEMICOLON", "ITM_0",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 "ITM_SEMICOLON", "ITM_0",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9" t="s">
        <v>157</v>
      </c>
      <c r="AS205" s="187" t="s">
        <v>157</v>
      </c>
      <c r="AT205" s="198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 "ITM_SEMICOLON", "ITM_0",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 "ITM_SEMICOLON", "ITM_0",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 "ITM_SEMICOLON", "ITM_0",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 "ITM_SEMICOLON", "ITM_0",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 "ITM_SEMICOLON", "ITM_0",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 "ITM_SEMICOLON", "ITM_0",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 "ITM_SEMICOLON", "ITM_0",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 "ITM_SEMICOLON", "ITM_0",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6" t="s">
        <v>145</v>
      </c>
      <c r="AS206" s="187" t="s">
        <v>240</v>
      </c>
      <c r="AT206" s="198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 "ITM_SEMICOLON", "ITM_0",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 "ITM_SEMICOLON", "ITM_0",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 "ITM_SEMICOLON", "ITM_0",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 "ITM_SEMICOLON", "ITM_0",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 "ITM_SEMICOLON", "ITM_0",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 "ITM_SEMICOLON", "ITM_0",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 "ITM_SEMICOLON", "ITM_0",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 "ITM_SEMICOLON", "ITM_0",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6" t="s">
        <v>151</v>
      </c>
      <c r="AS207" s="187" t="s">
        <v>170</v>
      </c>
      <c r="AT207" s="198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 "ITM_SEMICOLON", "ITM_0",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 "ITM_SEMICOLON", "ITM_0",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 "ITM_SEMICOLON", "ITM_0",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 "ITM_SEMICOLON", "ITM_0",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 "ITM_SEMICOLON", "ITM_0",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 "ITM_SEMICOLON", "ITM_0",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 "ITM_SEMICOLON", "ITM_0",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 "ITM_SEMICOLON", "ITM_0",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6" t="s">
        <v>169</v>
      </c>
      <c r="AS208" s="187" t="s">
        <v>175</v>
      </c>
      <c r="AT208" s="198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 "ITM_SEMICOLON", "ITM_0",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 "ITM_SEMICOLON", "ITM_0",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 "ITM_SEMICOLON", "ITM_0",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 "ITM_SEMICOLON", "ITM_0",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 "ITM_SEMICOLON", "ITM_0",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 "ITM_SEMICOLON", "ITM_0",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 "ITM_SEMICOLON", "ITM_0",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 "ITM_SEMICOLON", "ITM_0",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6" t="s">
        <v>174</v>
      </c>
      <c r="AS209" s="187" t="s">
        <v>180</v>
      </c>
      <c r="AT209" s="198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 "ITM_SEMICOLON", "ITM_0",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 "ITM_SEMICOLON", "ITM_0",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 "ITM_SEMICOLON", "ITM_0",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 "ITM_SEMICOLON", "ITM_0",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 "ITM_SEMICOLON", "ITM_0",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 "ITM_SEMICOLON", "ITM_0",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 "ITM_SEMICOLON", "ITM_0",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 "ITM_SEMICOLON", "ITM_0",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6" t="s">
        <v>179</v>
      </c>
      <c r="AS210" s="187" t="s">
        <v>87</v>
      </c>
      <c r="AT210" s="198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 "ITM_SEMICOLON", "ITM_0",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 "ITM_SEMICOLON", "ITM_0",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 "ITM_SEMICOLON", "ITM_0",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 "ITM_SEMICOLON", "ITM_0",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 "ITM_SEMICOLON", "ITM_0",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 "ITM_SEMICOLON", "ITM_0",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 "ITM_SEMICOLON", "ITM_0",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 "ITM_SEMICOLON", "ITM_0",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6" t="s">
        <v>185</v>
      </c>
      <c r="AS211" s="187" t="s">
        <v>267</v>
      </c>
      <c r="AT211" s="198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 "ITM_SEMICOLON", "ITM_0",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 "ITM_SEMICOLON", "ITM_0",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 "ITM_SEMICOLON", "ITM_0",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 "ITM_SEMICOLON", "ITM_0",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 "ITM_SEMICOLON", "ITM_0",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 "ITM_SEMICOLON", "ITM_0",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 "ITM_SEMICOLON", "ITM_0",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 "ITM_SEMICOLON", "ITM_0",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6" t="s">
        <v>198</v>
      </c>
      <c r="AS212" s="187" t="s">
        <v>199</v>
      </c>
      <c r="AT212" s="198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 "ITM_SEMICOLON", "ITM_0",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 "ITM_SEMICOLON", "ITM_0",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 "ITM_SEMICOLON", "ITM_0",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 "ITM_SEMICOLON", "ITM_0",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 "ITM_SEMICOLON", "ITM_0",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 "ITM_SEMICOLON", "ITM_0",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 "ITM_SEMICOLON", "ITM_0",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 "ITM_SEMICOLON", "ITM_0",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6" t="s">
        <v>203</v>
      </c>
      <c r="AS213" s="187" t="s">
        <v>204</v>
      </c>
      <c r="AT213" s="198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 "ITM_SEMICOLON", "ITM_0",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 "ITM_SEMICOLON", "ITM_0",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 "ITM_SEMICOLON", "ITM_0",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 "ITM_SEMICOLON", "ITM_0",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 "ITM_SEMICOLON", "ITM_0",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 "ITM_SEMICOLON", "ITM_0",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 "ITM_SEMICOLON", "ITM_0",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 "ITM_SEMICOLON", "ITM_0",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6" t="s">
        <v>208</v>
      </c>
      <c r="AS214" s="187" t="s">
        <v>209</v>
      </c>
      <c r="AT214" s="198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 "ITM_SEMICOLON", "ITM_0",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 "ITM_SEMICOLON", "ITM_0",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 "ITM_SEMICOLON", "ITM_0",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 "ITM_SEMICOLON", "ITM_0",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 "ITM_SEMICOLON", "ITM_0",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 "ITM_SEMICOLON", "ITM_0",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 "ITM_SEMICOLON", "ITM_0",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 "ITM_SEMICOLON", "ITM_0",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9" t="s">
        <v>163</v>
      </c>
      <c r="AS215" s="187" t="s">
        <v>164</v>
      </c>
      <c r="AT215" s="198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 "ITM_SEMICOLON", "ITM_0",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 "ITM_SEMICOLON", "ITM_0",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 "ITM_SEMICOLON", "ITM_0",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 "ITM_SEMICOLON", "ITM_0",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 "ITM_SEMICOLON", "ITM_0",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 "ITM_SEMICOLON", "ITM_0",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 "ITM_SEMICOLON", "ITM_0",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 "ITM_SEMICOLON", "ITM_0",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6" t="s">
        <v>214</v>
      </c>
      <c r="AS216" s="187" t="s">
        <v>215</v>
      </c>
      <c r="AT216" s="198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 "ITM_SEMICOLON", "ITM_0",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 "ITM_SEMICOLON", "ITM_0",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 "ITM_SEMICOLON", "ITM_0",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 "ITM_SEMICOLON", "ITM_0",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 "ITM_SEMICOLON", "ITM_0",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 "ITM_SEMICOLON", "ITM_0",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 "ITM_SEMICOLON", "ITM_0",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 "ITM_SEMICOLON", "ITM_0",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6" t="s">
        <v>225</v>
      </c>
      <c r="AS217" s="187" t="s">
        <v>226</v>
      </c>
      <c r="AT217" s="198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 "ITM_SEMICOLON", "ITM_0",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 "ITM_SEMICOLON", "ITM_0",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 "ITM_SEMICOLON", "ITM_0",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 "ITM_SEMICOLON", "ITM_0",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 "ITM_SEMICOLON", "ITM_0",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 "ITM_SEMICOLON", "ITM_0",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 "ITM_SEMICOLON", "ITM_0",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 "ITM_SEMICOLON", "ITM_0",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6" t="s">
        <v>229</v>
      </c>
      <c r="AS218" s="187" t="s">
        <v>230</v>
      </c>
      <c r="AT218" s="198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 "ITM_SEMICOLON", "ITM_0",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 "ITM_SEMICOLON", "ITM_0",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 "ITM_SEMICOLON", "ITM_0",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 "ITM_SEMICOLON", "ITM_0",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 "ITM_SEMICOLON", "ITM_0",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 "ITM_SEMICOLON", "ITM_0",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 "ITM_SEMICOLON", "ITM_0",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 "ITM_SEMICOLON", "ITM_0",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6" t="s">
        <v>234</v>
      </c>
      <c r="AS219" s="187" t="s">
        <v>235</v>
      </c>
      <c r="AT219" s="198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 "ITM_SEMICOLON", "ITM_0",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 "ITM_SEMICOLON", "ITM_0",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 "ITM_SEMICOLON", "ITM_0",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 "ITM_SEMICOLON", "ITM_0",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 "ITM_SEMICOLON", "ITM_0",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 "ITM_SEMICOLON", "ITM_0",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 "ITM_SEMICOLON", "ITM_0",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 "ITM_SEMICOLON", "ITM_0",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9" t="s">
        <v>192</v>
      </c>
      <c r="AS220" s="187" t="s">
        <v>193</v>
      </c>
      <c r="AT220" s="198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 "ITM_SEMICOLON", "ITM_0",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 "ITM_SEMICOLON", "ITM_0",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 "ITM_SEMICOLON", "ITM_0",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 "ITM_SEMICOLON", "ITM_0",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 "ITM_SEMICOLON", "ITM_0",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 "ITM_SEMICOLON", "ITM_0",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 "ITM_SEMICOLON", "ITM_0",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 "ITM_SEMICOLON", "ITM_0",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9" t="s">
        <v>186</v>
      </c>
      <c r="AS221" s="187" t="s">
        <v>186</v>
      </c>
      <c r="AT221" s="198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 "ITM_SEMICOLON", "ITM_0",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 "ITM_SEMICOLON", "ITM_0",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 "ITM_SEMICOLON", "ITM_0",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 "ITM_SEMICOLON", "ITM_0",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 "ITM_SEMICOLON", "ITM_0",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 "ITM_SEMICOLON", "ITM_0",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 "ITM_SEMICOLON", "ITM_0",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 "ITM_SEMICOLON", "ITM_0",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199" t="s">
        <v>251</v>
      </c>
      <c r="AS222" s="187" t="s">
        <v>252</v>
      </c>
      <c r="AT222" s="198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 "ITM_SEMICOLON", "ITM_0",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 "ITM_SEMICOLON", "ITM_0",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 "ITM_SEMICOLON", "ITM_0",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 "ITM_SEMICOLON", "ITM_0",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 "ITM_SEMICOLON", "ITM_0", AQ222), ".lo", ),"MNU_", "-MNU_")</f>
        <v>ITM_COLON</v>
      </c>
      <c r="BC222" s="157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 "ITM_SEMICOLON", "ITM_0", AR222), ".lo", ),"MNU_", "-MNU_")</f>
        <v>ITM_0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 "ITM_SEMICOLON", "ITM_0",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 "ITM_SEMICOLON", "ITM_0",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ITM_0,        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9" t="s">
        <v>257</v>
      </c>
      <c r="AS223" s="187" t="s">
        <v>257</v>
      </c>
      <c r="AT223" s="198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 "ITM_SEMICOLON", "ITM_0",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 "ITM_SEMICOLON", "ITM_0",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 "ITM_SEMICOLON", "ITM_0",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 "ITM_SEMICOLON", "ITM_0",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 "ITM_SEMICOLON", "ITM_0",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 "ITM_SEMICOLON", "ITM_0",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 "ITM_SEMICOLON", "ITM_0",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 "ITM_SEMICOLON", "ITM_0",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9" t="s">
        <v>262</v>
      </c>
      <c r="AS224" s="187" t="s">
        <v>262</v>
      </c>
      <c r="AT224" s="198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 "ITM_SEMICOLON", "ITM_0",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 "ITM_SEMICOLON", "ITM_0",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 "ITM_SEMICOLON", "ITM_0",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 "ITM_SEMICOLON", "ITM_0",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 "ITM_SEMICOLON", "ITM_0",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 "ITM_SEMICOLON", "ITM_0",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 "ITM_SEMICOLON", "ITM_0",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 "ITM_SEMICOLON", "ITM_0",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200" t="s">
        <v>245</v>
      </c>
      <c r="AS225" s="201" t="s">
        <v>246</v>
      </c>
      <c r="AT225" s="202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 "ITM_SEMICOLON", "ITM_0",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 "ITM_SEMICOLON", "ITM_0",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 "ITM_SEMICOLON", "ITM_0",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 "ITM_SEMICOLON", "ITM_0",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 "ITM_SEMICOLON", "ITM_0",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 "ITM_SEMICOLON", "ITM_0",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 "ITM_SEMICOLON", "ITM_0",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 "ITM_SEMICOLON", "ITM_0",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6" t="str">
        <f>X232</f>
        <v>N47</v>
      </c>
      <c r="AM232" s="214" t="s">
        <v>39</v>
      </c>
      <c r="AN232" s="214"/>
      <c r="AO232" s="214"/>
      <c r="AP232" s="71" t="s">
        <v>40</v>
      </c>
      <c r="AQ232" s="31" t="s">
        <v>41</v>
      </c>
      <c r="AR232" s="190" t="s">
        <v>42</v>
      </c>
      <c r="AS232" s="191" t="s">
        <v>42</v>
      </c>
      <c r="AT232" s="192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3" t="s">
        <v>51</v>
      </c>
      <c r="AS234" s="194" t="s">
        <v>113</v>
      </c>
      <c r="AT234" s="195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 "ITM_SEMICOLON", "ITM_0",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 "ITM_SEMICOLON", "ITM_0",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 "ITM_SEMICOLON", "ITM_0",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 "ITM_SEMICOLON", "ITM_0",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 "ITM_SEMICOLON", "ITM_0",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 "ITM_SEMICOLON", "ITM_0",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 "ITM_SEMICOLON", "ITM_0",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 "ITM_SEMICOLON", "ITM_0",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6" t="s">
        <v>58</v>
      </c>
      <c r="AS235" s="187" t="s">
        <v>120</v>
      </c>
      <c r="AT235" s="197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 "ITM_SEMICOLON", "ITM_0",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 "ITM_SEMICOLON", "ITM_0",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 "ITM_SEMICOLON", "ITM_0",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 "ITM_SEMICOLON", "ITM_0",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 "ITM_SEMICOLON", "ITM_0",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 "ITM_SEMICOLON", "ITM_0",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 "ITM_SEMICOLON", "ITM_0",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 "ITM_SEMICOLON", "ITM_0",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6" t="s">
        <v>65</v>
      </c>
      <c r="AS236" s="187" t="s">
        <v>127</v>
      </c>
      <c r="AT236" s="197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 "ITM_SEMICOLON", "ITM_0",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 "ITM_SEMICOLON", "ITM_0",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 "ITM_SEMICOLON", "ITM_0",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 "ITM_SEMICOLON", "ITM_0",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 "ITM_SEMICOLON", "ITM_0",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 "ITM_SEMICOLON", "ITM_0",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 "ITM_SEMICOLON", "ITM_0",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 "ITM_SEMICOLON", "ITM_0",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6" t="s">
        <v>72</v>
      </c>
      <c r="AS237" s="187" t="s">
        <v>59</v>
      </c>
      <c r="AT237" s="197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 "ITM_SEMICOLON", "ITM_0",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 "ITM_SEMICOLON", "ITM_0",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 "ITM_SEMICOLON", "ITM_0",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 "ITM_SEMICOLON", "ITM_0",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 "ITM_SEMICOLON", "ITM_0",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 "ITM_SEMICOLON", "ITM_0",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 "ITM_SEMICOLON", "ITM_0",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 "ITM_SEMICOLON", "ITM_0",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6" t="s">
        <v>79</v>
      </c>
      <c r="AS238" s="187" t="s">
        <v>66</v>
      </c>
      <c r="AT238" s="198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 "ITM_SEMICOLON", "ITM_0",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 "ITM_SEMICOLON", "ITM_0",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 "ITM_SEMICOLON", "ITM_0",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 "ITM_SEMICOLON", "ITM_0",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 "ITM_SEMICOLON", "ITM_0",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 "ITM_SEMICOLON", "ITM_0",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 "ITM_SEMICOLON", "ITM_0",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 "ITM_SEMICOLON", "ITM_0",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9" t="s">
        <v>163</v>
      </c>
      <c r="AS239" s="187" t="s">
        <v>164</v>
      </c>
      <c r="AT239" s="198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 "ITM_SEMICOLON", "ITM_0",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 "ITM_SEMICOLON", "ITM_0",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 "ITM_SEMICOLON", "ITM_0",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 "ITM_SEMICOLON", "ITM_0",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 "ITM_SEMICOLON", "ITM_0",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 "ITM_SEMICOLON", "ITM_0",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 "ITM_SEMICOLON", "ITM_0",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 "ITM_SEMICOLON", "ITM_0",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6" t="s">
        <v>86</v>
      </c>
      <c r="AS240" s="187" t="s">
        <v>106</v>
      </c>
      <c r="AT240" s="198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 "ITM_SEMICOLON", "ITM_0",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 "ITM_SEMICOLON", "ITM_0",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 "ITM_SEMICOLON", "ITM_0",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 "ITM_SEMICOLON", "ITM_0",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 "ITM_SEMICOLON", "ITM_0",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 "ITM_SEMICOLON", "ITM_0",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 "ITM_SEMICOLON", "ITM_0",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 "ITM_SEMICOLON", "ITM_0",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#16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6" t="s">
        <v>92</v>
      </c>
      <c r="AS241" s="187" t="s">
        <v>93</v>
      </c>
      <c r="AT241" s="198" t="s">
        <v>100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 "ITM_SEMICOLON", "ITM_0",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 "ITM_SEMICOLON", "ITM_0",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 "ITM_SEMICOLON", "ITM_0",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 "ITM_SEMICOLON", "ITM_0",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 "ITM_SEMICOLON", "ITM_0",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 "ITM_SEMICOLON", "ITM_0",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 "ITM_SEMICOLON", "ITM_0",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 "ITM_SEMICOLON", "ITM_0", AT241), ".lo", ),"MNU_", "-MNU_")</f>
        <v>ITM_HEX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6" t="s">
        <v>98</v>
      </c>
      <c r="AS242" s="187" t="s">
        <v>81</v>
      </c>
      <c r="AT242" s="198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 "ITM_SEMICOLON", "ITM_0",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 "ITM_SEMICOLON", "ITM_0",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 "ITM_SEMICOLON", "ITM_0",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 "ITM_SEMICOLON", "ITM_0",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 "ITM_SEMICOLON", "ITM_0",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 "ITM_SEMICOLON", "ITM_0",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 "ITM_SEMICOLON", "ITM_0",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 "ITM_SEMICOLON", "ITM_0",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6" t="s">
        <v>105</v>
      </c>
      <c r="AS243" s="187" t="s">
        <v>80</v>
      </c>
      <c r="AT243" s="197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 "ITM_SEMICOLON", "ITM_0",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 "ITM_SEMICOLON", "ITM_0",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 "ITM_SEMICOLON", "ITM_0",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 "ITM_SEMICOLON", "ITM_0",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 "ITM_SEMICOLON", "ITM_0",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 "ITM_SEMICOLON", "ITM_0",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 "ITM_SEMICOLON", "ITM_0",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 "ITM_SEMICOLON", "ITM_0",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6" t="s">
        <v>112</v>
      </c>
      <c r="AS244" s="187" t="s">
        <v>81</v>
      </c>
      <c r="AT244" s="197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 "ITM_SEMICOLON", "ITM_0",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 "ITM_SEMICOLON", "ITM_0",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 "ITM_SEMICOLON", "ITM_0",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 "ITM_SEMICOLON", "ITM_0",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 "ITM_SEMICOLON", "ITM_0",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 "ITM_SEMICOLON", "ITM_0",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 "ITM_SEMICOLON", "ITM_0",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 "ITM_SEMICOLON", "ITM_0",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9" t="s">
        <v>192</v>
      </c>
      <c r="AS245" s="187" t="s">
        <v>193</v>
      </c>
      <c r="AT245" s="198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 "ITM_SEMICOLON", "ITM_0",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 "ITM_SEMICOLON", "ITM_0",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 "ITM_SEMICOLON", "ITM_0",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 "ITM_SEMICOLON", "ITM_0",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 "ITM_SEMICOLON", "ITM_0",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 "ITM_SEMICOLON", "ITM_0",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 "ITM_SEMICOLON", "ITM_0",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 "ITM_SEMICOLON", "ITM_0",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9" t="s">
        <v>132</v>
      </c>
      <c r="AS246" s="187" t="s">
        <v>133</v>
      </c>
      <c r="AT246" s="198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 "ITM_SEMICOLON", "ITM_0",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 "ITM_SEMICOLON", "ITM_0",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 "ITM_SEMICOLON", "ITM_0",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 "ITM_SEMICOLON", "ITM_0",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 "ITM_SEMICOLON", "ITM_0",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 "ITM_SEMICOLON", "ITM_0",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 "ITM_SEMICOLON", "ITM_0",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 "ITM_SEMICOLON", "ITM_0",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6" t="s">
        <v>119</v>
      </c>
      <c r="AS247" s="187" t="s">
        <v>140</v>
      </c>
      <c r="AT247" s="197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 "ITM_SEMICOLON", "ITM_0",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 "ITM_SEMICOLON", "ITM_0",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 "ITM_SEMICOLON", "ITM_0",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 "ITM_SEMICOLON", "ITM_0",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 "ITM_SEMICOLON", "ITM_0",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 "ITM_SEMICOLON", "ITM_0",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 "ITM_SEMICOLON", "ITM_0",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 "ITM_SEMICOLON", "ITM_0",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6" t="s">
        <v>126</v>
      </c>
      <c r="AS248" s="187" t="s">
        <v>146</v>
      </c>
      <c r="AT248" s="197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 "ITM_SEMICOLON", "ITM_0",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 "ITM_SEMICOLON", "ITM_0",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 "ITM_SEMICOLON", "ITM_0",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 "ITM_SEMICOLON", "ITM_0",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 "ITM_SEMICOLON", "ITM_0",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 "ITM_SEMICOLON", "ITM_0",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 "ITM_SEMICOLON", "ITM_0",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 "ITM_SEMICOLON", "ITM_0",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#8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6" t="s">
        <v>139</v>
      </c>
      <c r="AS249" s="187" t="s">
        <v>152</v>
      </c>
      <c r="AT249" s="198" t="s">
        <v>153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 "ITM_SEMICOLON", "ITM_0",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 "ITM_SEMICOLON", "ITM_0",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 "ITM_SEMICOLON", "ITM_0",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 "ITM_SEMICOLON", "ITM_0",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 "ITM_SEMICOLON", "ITM_0",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 "ITM_SEMICOLON", "ITM_0",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 "ITM_SEMICOLON", "ITM_0",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 "ITM_SEMICOLON", "ITM_0", AT249), ".lo", ),"MNU_", "-MNU_")</f>
        <v>ITM_OCT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9" t="s">
        <v>157</v>
      </c>
      <c r="AS250" s="187" t="s">
        <v>157</v>
      </c>
      <c r="AT250" s="198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 "ITM_SEMICOLON", "ITM_0",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 "ITM_SEMICOLON", "ITM_0",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 "ITM_SEMICOLON", "ITM_0",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 "ITM_SEMICOLON", "ITM_0",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 "ITM_SEMICOLON", "ITM_0",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 "ITM_SEMICOLON", "ITM_0",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 "ITM_SEMICOLON", "ITM_0",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 "ITM_SEMICOLON", "ITM_0",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6" t="s">
        <v>145</v>
      </c>
      <c r="AS251" s="187" t="s">
        <v>87</v>
      </c>
      <c r="AT251" s="198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 "ITM_SEMICOLON", "ITM_0",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 "ITM_SEMICOLON", "ITM_0",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 "ITM_SEMICOLON", "ITM_0",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 "ITM_SEMICOLON", "ITM_0",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 "ITM_SEMICOLON", "ITM_0",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 "ITM_SEMICOLON", "ITM_0",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 "ITM_SEMICOLON", "ITM_0",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 "ITM_SEMICOLON", "ITM_0",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6" t="s">
        <v>151</v>
      </c>
      <c r="AS252" s="187" t="s">
        <v>170</v>
      </c>
      <c r="AT252" s="198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 "ITM_SEMICOLON", "ITM_0",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 "ITM_SEMICOLON", "ITM_0",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 "ITM_SEMICOLON", "ITM_0",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 "ITM_SEMICOLON", "ITM_0",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 "ITM_SEMICOLON", "ITM_0",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 "ITM_SEMICOLON", "ITM_0",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 "ITM_SEMICOLON", "ITM_0",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 "ITM_SEMICOLON", "ITM_0",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6" t="s">
        <v>169</v>
      </c>
      <c r="AS253" s="187" t="s">
        <v>175</v>
      </c>
      <c r="AT253" s="198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 "ITM_SEMICOLON", "ITM_0",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 "ITM_SEMICOLON", "ITM_0",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 "ITM_SEMICOLON", "ITM_0",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 "ITM_SEMICOLON", "ITM_0",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 "ITM_SEMICOLON", "ITM_0",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 "ITM_SEMICOLON", "ITM_0",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 "ITM_SEMICOLON", "ITM_0",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 "ITM_SEMICOLON", "ITM_0",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6" t="s">
        <v>174</v>
      </c>
      <c r="AS254" s="187" t="s">
        <v>180</v>
      </c>
      <c r="AT254" s="198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 "ITM_SEMICOLON", "ITM_0",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 "ITM_SEMICOLON", "ITM_0",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 "ITM_SEMICOLON", "ITM_0",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 "ITM_SEMICOLON", "ITM_0",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 "ITM_SEMICOLON", "ITM_0",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 "ITM_SEMICOLON", "ITM_0",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 "ITM_SEMICOLON", "ITM_0",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 "ITM_SEMICOLON", "ITM_0",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6" t="s">
        <v>179</v>
      </c>
      <c r="AS255" s="187" t="s">
        <v>186</v>
      </c>
      <c r="AT255" s="198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 "ITM_SEMICOLON", "ITM_0",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 "ITM_SEMICOLON", "ITM_0",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 "ITM_SEMICOLON", "ITM_0",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 "ITM_SEMICOLON", "ITM_0",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 "ITM_SEMICOLON", "ITM_0",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 "ITM_SEMICOLON", "ITM_0",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 "ITM_SEMICOLON", "ITM_0",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 "ITM_SEMICOLON", "ITM_0",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9" t="s">
        <v>81</v>
      </c>
      <c r="AS256" s="187" t="s">
        <v>81</v>
      </c>
      <c r="AT256" s="198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 "ITM_SEMICOLON", "ITM_0",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 "ITM_SEMICOLON", "ITM_0",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 "ITM_SEMICOLON", "ITM_0",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 "ITM_SEMICOLON", "ITM_0",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 "ITM_SEMICOLON", "ITM_0",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 "ITM_SEMICOLON", "ITM_0",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 "ITM_SEMICOLON", "ITM_0",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 "ITM_SEMICOLON", "ITM_0",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6" t="s">
        <v>185</v>
      </c>
      <c r="AS257" s="187" t="s">
        <v>199</v>
      </c>
      <c r="AT257" s="198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 "ITM_SEMICOLON", "ITM_0",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 "ITM_SEMICOLON", "ITM_0",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 "ITM_SEMICOLON", "ITM_0",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 "ITM_SEMICOLON", "ITM_0",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 "ITM_SEMICOLON", "ITM_0",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 "ITM_SEMICOLON", "ITM_0",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 "ITM_SEMICOLON", "ITM_0",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 "ITM_SEMICOLON", "ITM_0",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6" t="s">
        <v>198</v>
      </c>
      <c r="AS258" s="187" t="s">
        <v>204</v>
      </c>
      <c r="AT258" s="198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 "ITM_SEMICOLON", "ITM_0",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 "ITM_SEMICOLON", "ITM_0",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 "ITM_SEMICOLON", "ITM_0",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 "ITM_SEMICOLON", "ITM_0",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 "ITM_SEMICOLON", "ITM_0",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 "ITM_SEMICOLON", "ITM_0",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 "ITM_SEMICOLON", "ITM_0",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 "ITM_SEMICOLON", "ITM_0",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6" t="s">
        <v>203</v>
      </c>
      <c r="AS259" s="187" t="s">
        <v>209</v>
      </c>
      <c r="AT259" s="198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 "ITM_SEMICOLON", "ITM_0",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 "ITM_SEMICOLON", "ITM_0",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 "ITM_SEMICOLON", "ITM_0",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 "ITM_SEMICOLON", "ITM_0",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 "ITM_SEMICOLON", "ITM_0",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 "ITM_SEMICOLON", "ITM_0",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 "ITM_SEMICOLON", "ITM_0",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 "ITM_SEMICOLON", "ITM_0",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6" t="s">
        <v>208</v>
      </c>
      <c r="AS260" s="187" t="s">
        <v>215</v>
      </c>
      <c r="AT260" s="198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 "ITM_SEMICOLON", "ITM_0",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 "ITM_SEMICOLON", "ITM_0",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 "ITM_SEMICOLON", "ITM_0",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 "ITM_SEMICOLON", "ITM_0",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 "ITM_SEMICOLON", "ITM_0",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 "ITM_SEMICOLON", "ITM_0",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 "ITM_SEMICOLON", "ITM_0",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 "ITM_SEMICOLON", "ITM_0",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f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9" t="s">
        <v>81</v>
      </c>
      <c r="AS261" s="187" t="s">
        <v>81</v>
      </c>
      <c r="AT261" s="198" t="s">
        <v>340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 "ITM_SEMICOLON", "ITM_0",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 "ITM_SEMICOLON", "ITM_0",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 "ITM_SEMICOLON", "ITM_0",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 "ITM_SEMICOLON", "ITM_0",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 "ITM_SEMICOLON", "ITM_0",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 "ITM_SEMICOLON", "ITM_0",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 "ITM_SEMICOLON", "ITM_0",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 "ITM_SEMICOLON", "ITM_0", AT261), ".lo", ),"MNU_", "-MNU_")</f>
        <v>ITM_SHIFTf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6" t="s">
        <v>214</v>
      </c>
      <c r="AS262" s="187" t="s">
        <v>226</v>
      </c>
      <c r="AT262" s="198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 "ITM_SEMICOLON", "ITM_0",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 "ITM_SEMICOLON", "ITM_0",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 "ITM_SEMICOLON", "ITM_0",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 "ITM_SEMICOLON", "ITM_0",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 "ITM_SEMICOLON", "ITM_0",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 "ITM_SEMICOLON", "ITM_0",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 "ITM_SEMICOLON", "ITM_0",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 "ITM_SEMICOLON", "ITM_0",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6" t="s">
        <v>225</v>
      </c>
      <c r="AS263" s="187" t="s">
        <v>230</v>
      </c>
      <c r="AT263" s="198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 "ITM_SEMICOLON", "ITM_0",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 "ITM_SEMICOLON", "ITM_0",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 "ITM_SEMICOLON", "ITM_0",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 "ITM_SEMICOLON", "ITM_0",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 "ITM_SEMICOLON", "ITM_0",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 "ITM_SEMICOLON", "ITM_0",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 "ITM_SEMICOLON", "ITM_0",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 "ITM_SEMICOLON", "ITM_0",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6" t="s">
        <v>229</v>
      </c>
      <c r="AS264" s="187" t="s">
        <v>235</v>
      </c>
      <c r="AT264" s="198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 "ITM_SEMICOLON", "ITM_0",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 "ITM_SEMICOLON", "ITM_0",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 "ITM_SEMICOLON", "ITM_0",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 "ITM_SEMICOLON", "ITM_0",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 "ITM_SEMICOLON", "ITM_0",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 "ITM_SEMICOLON", "ITM_0",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 "ITM_SEMICOLON", "ITM_0",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 "ITM_SEMICOLON", "ITM_0",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9" t="s">
        <v>240</v>
      </c>
      <c r="AS265" s="187" t="s">
        <v>240</v>
      </c>
      <c r="AT265" s="198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 "ITM_SEMICOLON", "ITM_0",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 "ITM_SEMICOLON", "ITM_0",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 "ITM_SEMICOLON", "ITM_0",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 "ITM_SEMICOLON", "ITM_0",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 "ITM_SEMICOLON", "ITM_0",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 "ITM_SEMICOLON", "ITM_0",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 "ITM_SEMICOLON", "ITM_0",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 "ITM_SEMICOLON", "ITM_0",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9" t="s">
        <v>245</v>
      </c>
      <c r="AS266" s="187" t="s">
        <v>246</v>
      </c>
      <c r="AT266" s="198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 "ITM_SEMICOLON", "ITM_0",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 "ITM_SEMICOLON", "ITM_0",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 "ITM_SEMICOLON", "ITM_0",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 "ITM_SEMICOLON", "ITM_0",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 "ITM_SEMICOLON", "ITM_0",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 "ITM_SEMICOLON", "ITM_0",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 "ITM_SEMICOLON", "ITM_0",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 "ITM_SEMICOLON", "ITM_0",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6" t="s">
        <v>234</v>
      </c>
      <c r="AS267" s="187" t="s">
        <v>252</v>
      </c>
      <c r="AT267" s="198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 "ITM_SEMICOLON", "ITM_0",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 "ITM_SEMICOLON", "ITM_0",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 "ITM_SEMICOLON", "ITM_0",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 "ITM_SEMICOLON", "ITM_0",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 "ITM_SEMICOLON", "ITM_0",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 "ITM_SEMICOLON", "ITM_0",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 "ITM_SEMICOLON", "ITM_0",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 "ITM_SEMICOLON", "ITM_0",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9" t="s">
        <v>257</v>
      </c>
      <c r="AS268" s="187" t="s">
        <v>257</v>
      </c>
      <c r="AT268" s="198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 "ITM_SEMICOLON", "ITM_0",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 "ITM_SEMICOLON", "ITM_0",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 "ITM_SEMICOLON", "ITM_0",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 "ITM_SEMICOLON", "ITM_0",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 "ITM_SEMICOLON", "ITM_0",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 "ITM_SEMICOLON", "ITM_0",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 "ITM_SEMICOLON", "ITM_0",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 "ITM_SEMICOLON", "ITM_0",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9" t="s">
        <v>262</v>
      </c>
      <c r="AS269" s="187" t="s">
        <v>262</v>
      </c>
      <c r="AT269" s="198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 "ITM_SEMICOLON", "ITM_0",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 "ITM_SEMICOLON", "ITM_0",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 "ITM_SEMICOLON", "ITM_0",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 "ITM_SEMICOLON", "ITM_0",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 "ITM_SEMICOLON", "ITM_0",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 "ITM_SEMICOLON", "ITM_0",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 "ITM_SEMICOLON", "ITM_0",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 "ITM_SEMICOLON", "ITM_0",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200" t="s">
        <v>267</v>
      </c>
      <c r="AS270" s="201" t="s">
        <v>267</v>
      </c>
      <c r="AT270" s="202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 "ITM_SEMICOLON", "ITM_0",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 "ITM_SEMICOLON", "ITM_0",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 "ITM_SEMICOLON", "ITM_0",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 "ITM_SEMICOLON", "ITM_0",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 "ITM_SEMICOLON", "ITM_0",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 "ITM_SEMICOLON", "ITM_0",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 "ITM_SEMICOLON", "ITM_0",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 "ITM_SEMICOLON", "ITM_0",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3"/>
      <c r="AS271" s="203"/>
      <c r="AT271" s="203"/>
      <c r="BG271" s="75"/>
      <c r="BI271" s="16" t="s">
        <v>269</v>
      </c>
    </row>
    <row r="272" spans="24:61" ht="21" x14ac:dyDescent="0.2">
      <c r="AK272" s="6"/>
      <c r="AQ272" s="29"/>
      <c r="AR272" s="203"/>
      <c r="AS272" s="203"/>
      <c r="AT272" s="203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3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6" t="str">
        <f>X277</f>
        <v>D47</v>
      </c>
      <c r="AM277" s="214" t="s">
        <v>39</v>
      </c>
      <c r="AN277" s="214"/>
      <c r="AO277" s="214"/>
      <c r="AP277" s="71" t="s">
        <v>40</v>
      </c>
      <c r="AQ277" s="31" t="s">
        <v>41</v>
      </c>
      <c r="AR277" s="190" t="s">
        <v>42</v>
      </c>
      <c r="AS277" s="191" t="s">
        <v>42</v>
      </c>
      <c r="AT277" s="192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3" t="s">
        <v>51</v>
      </c>
      <c r="AS279" s="194" t="s">
        <v>80</v>
      </c>
      <c r="AT279" s="195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 "ITM_SEMICOLON", "ITM_0",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 "ITM_SEMICOLON", "ITM_0",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 "ITM_SEMICOLON", "ITM_0",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 "ITM_SEMICOLON", "ITM_0",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 "ITM_SEMICOLON", "ITM_0",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 "ITM_SEMICOLON", "ITM_0",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 "ITM_SEMICOLON", "ITM_0",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 "ITM_SEMICOLON", "ITM_0",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6" t="s">
        <v>58</v>
      </c>
      <c r="AS280" s="187" t="s">
        <v>73</v>
      </c>
      <c r="AT280" s="197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 "ITM_SEMICOLON", "ITM_0",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 "ITM_SEMICOLON", "ITM_0",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 "ITM_SEMICOLON", "ITM_0",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 "ITM_SEMICOLON", "ITM_0",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 "ITM_SEMICOLON", "ITM_0",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 "ITM_SEMICOLON", "ITM_0",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 "ITM_SEMICOLON", "ITM_0",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 "ITM_SEMICOLON", "ITM_0",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6" t="s">
        <v>65</v>
      </c>
      <c r="AS281" s="187" t="s">
        <v>66</v>
      </c>
      <c r="AT281" s="197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 "ITM_SEMICOLON", "ITM_0",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 "ITM_SEMICOLON", "ITM_0",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 "ITM_SEMICOLON", "ITM_0",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 "ITM_SEMICOLON", "ITM_0",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 "ITM_SEMICOLON", "ITM_0",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 "ITM_SEMICOLON", "ITM_0",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 "ITM_SEMICOLON", "ITM_0",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 "ITM_SEMICOLON", "ITM_0",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6" t="s">
        <v>72</v>
      </c>
      <c r="AS282" s="187" t="s">
        <v>113</v>
      </c>
      <c r="AT282" s="197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 "ITM_SEMICOLON", "ITM_0",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 "ITM_SEMICOLON", "ITM_0",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 "ITM_SEMICOLON", "ITM_0",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 "ITM_SEMICOLON", "ITM_0",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 "ITM_SEMICOLON", "ITM_0",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 "ITM_SEMICOLON", "ITM_0",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 "ITM_SEMICOLON", "ITM_0",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 "ITM_SEMICOLON", "ITM_0",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6" t="s">
        <v>79</v>
      </c>
      <c r="AS283" s="187" t="s">
        <v>120</v>
      </c>
      <c r="AT283" s="198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 "ITM_SEMICOLON", "ITM_0",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 "ITM_SEMICOLON", "ITM_0",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 "ITM_SEMICOLON", "ITM_0",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 "ITM_SEMICOLON", "ITM_0",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 "ITM_SEMICOLON", "ITM_0",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 "ITM_SEMICOLON", "ITM_0",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 "ITM_SEMICOLON", "ITM_0",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 "ITM_SEMICOLON", "ITM_0",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6" t="s">
        <v>86</v>
      </c>
      <c r="AS284" s="187" t="s">
        <v>127</v>
      </c>
      <c r="AT284" s="198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 "ITM_SEMICOLON", "ITM_0",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 "ITM_SEMICOLON", "ITM_0",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 "ITM_SEMICOLON", "ITM_0",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 "ITM_SEMICOLON", "ITM_0",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 "ITM_SEMICOLON", "ITM_0",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 "ITM_SEMICOLON", "ITM_0",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 "ITM_SEMICOLON", "ITM_0",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 "ITM_SEMICOLON", "ITM_0",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6" t="s">
        <v>92</v>
      </c>
      <c r="AS285" s="187" t="s">
        <v>81</v>
      </c>
      <c r="AT285" s="198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 "ITM_SEMICOLON", "ITM_0",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 "ITM_SEMICOLON", "ITM_0",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 "ITM_SEMICOLON", "ITM_0",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 "ITM_SEMICOLON", "ITM_0",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 "ITM_SEMICOLON", "ITM_0",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 "ITM_SEMICOLON", "ITM_0",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 "ITM_SEMICOLON", "ITM_0",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 "ITM_SEMICOLON", "ITM_0",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#16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6" t="s">
        <v>98</v>
      </c>
      <c r="AS286" s="187" t="s">
        <v>93</v>
      </c>
      <c r="AT286" s="198" t="s">
        <v>100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 "ITM_SEMICOLON", "ITM_0",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 "ITM_SEMICOLON", "ITM_0",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 "ITM_SEMICOLON", "ITM_0",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 "ITM_SEMICOLON", "ITM_0",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 "ITM_SEMICOLON", "ITM_0",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 "ITM_SEMICOLON", "ITM_0",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 "ITM_SEMICOLON", "ITM_0",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 "ITM_SEMICOLON", "ITM_0", AT286), ".lo", ),"MNU_", "-MNU_")</f>
        <v>ITM_HEX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6" t="s">
        <v>105</v>
      </c>
      <c r="AS287" s="187" t="s">
        <v>81</v>
      </c>
      <c r="AT287" s="197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 "ITM_SEMICOLON", "ITM_0",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 "ITM_SEMICOLON", "ITM_0",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 "ITM_SEMICOLON", "ITM_0",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 "ITM_SEMICOLON", "ITM_0",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 "ITM_SEMICOLON", "ITM_0",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 "ITM_SEMICOLON", "ITM_0",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 "ITM_SEMICOLON", "ITM_0",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 "ITM_SEMICOLON", "ITM_0",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6" t="s">
        <v>112</v>
      </c>
      <c r="AS288" s="187" t="s">
        <v>59</v>
      </c>
      <c r="AT288" s="197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 "ITM_SEMICOLON", "ITM_0",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 "ITM_SEMICOLON", "ITM_0",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 "ITM_SEMICOLON", "ITM_0",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 "ITM_SEMICOLON", "ITM_0",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 "ITM_SEMICOLON", "ITM_0",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 "ITM_SEMICOLON", "ITM_0",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 "ITM_SEMICOLON", "ITM_0",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 "ITM_SEMICOLON", "ITM_0",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9" t="s">
        <v>81</v>
      </c>
      <c r="AS289" s="187" t="s">
        <v>81</v>
      </c>
      <c r="AT289" s="198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 "ITM_SEMICOLON", "ITM_0",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 "ITM_SEMICOLON", "ITM_0",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 "ITM_SEMICOLON", "ITM_0",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 "ITM_SEMICOLON", "ITM_0",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 "ITM_SEMICOLON", "ITM_0",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 "ITM_SEMICOLON", "ITM_0",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 "ITM_SEMICOLON", "ITM_0",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 "ITM_SEMICOLON", "ITM_0",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9" t="s">
        <v>81</v>
      </c>
      <c r="AS290" s="187" t="s">
        <v>81</v>
      </c>
      <c r="AT290" s="198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 "ITM_SEMICOLON", "ITM_0",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 "ITM_SEMICOLON", "ITM_0",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 "ITM_SEMICOLON", "ITM_0",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 "ITM_SEMICOLON", "ITM_0",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 "ITM_SEMICOLON", "ITM_0",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 "ITM_SEMICOLON", "ITM_0",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 "ITM_SEMICOLON", "ITM_0",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 "ITM_SEMICOLON", "ITM_0",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9" t="s">
        <v>132</v>
      </c>
      <c r="AS291" s="187" t="s">
        <v>133</v>
      </c>
      <c r="AT291" s="198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 "ITM_SEMICOLON", "ITM_0",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 "ITM_SEMICOLON", "ITM_0",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 "ITM_SEMICOLON", "ITM_0",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 "ITM_SEMICOLON", "ITM_0",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 "ITM_SEMICOLON", "ITM_0",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 "ITM_SEMICOLON", "ITM_0",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 "ITM_SEMICOLON", "ITM_0",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 "ITM_SEMICOLON", "ITM_0",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6" t="s">
        <v>119</v>
      </c>
      <c r="AS292" s="187" t="s">
        <v>140</v>
      </c>
      <c r="AT292" s="197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 "ITM_SEMICOLON", "ITM_0",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 "ITM_SEMICOLON", "ITM_0",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 "ITM_SEMICOLON", "ITM_0",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 "ITM_SEMICOLON", "ITM_0",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 "ITM_SEMICOLON", "ITM_0",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 "ITM_SEMICOLON", "ITM_0",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 "ITM_SEMICOLON", "ITM_0",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 "ITM_SEMICOLON", "ITM_0",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6" t="s">
        <v>126</v>
      </c>
      <c r="AS293" s="187" t="s">
        <v>146</v>
      </c>
      <c r="AT293" s="197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 "ITM_SEMICOLON", "ITM_0",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 "ITM_SEMICOLON", "ITM_0",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 "ITM_SEMICOLON", "ITM_0",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 "ITM_SEMICOLON", "ITM_0",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 "ITM_SEMICOLON", "ITM_0",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 "ITM_SEMICOLON", "ITM_0",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 "ITM_SEMICOLON", "ITM_0",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 "ITM_SEMICOLON", "ITM_0",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6" t="s">
        <v>139</v>
      </c>
      <c r="AS294" s="187" t="s">
        <v>152</v>
      </c>
      <c r="AT294" s="198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 "ITM_SEMICOLON", "ITM_0",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 "ITM_SEMICOLON", "ITM_0",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 "ITM_SEMICOLON", "ITM_0",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 "ITM_SEMICOLON", "ITM_0",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 "ITM_SEMICOLON", "ITM_0",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 "ITM_SEMICOLON", "ITM_0",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 "ITM_SEMICOLON", "ITM_0",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 "ITM_SEMICOLON", "ITM_0",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9" t="s">
        <v>157</v>
      </c>
      <c r="AS295" s="187" t="s">
        <v>157</v>
      </c>
      <c r="AT295" s="198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 "ITM_SEMICOLON", "ITM_0",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 "ITM_SEMICOLON", "ITM_0",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 "ITM_SEMICOLON", "ITM_0",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 "ITM_SEMICOLON", "ITM_0",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 "ITM_SEMICOLON", "ITM_0",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 "ITM_SEMICOLON", "ITM_0",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 "ITM_SEMICOLON", "ITM_0",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 "ITM_SEMICOLON", "ITM_0",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9" t="s">
        <v>81</v>
      </c>
      <c r="AS296" s="187" t="s">
        <v>87</v>
      </c>
      <c r="AT296" s="198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 "ITM_SEMICOLON", "ITM_0",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 "ITM_SEMICOLON", "ITM_0",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 "ITM_SEMICOLON", "ITM_0",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 "ITM_SEMICOLON", "ITM_0",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 "ITM_SEMICOLON", "ITM_0",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 "ITM_SEMICOLON", "ITM_0",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 "ITM_SEMICOLON", "ITM_0",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 "ITM_SEMICOLON", "ITM_0",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6" t="s">
        <v>145</v>
      </c>
      <c r="AS297" s="187" t="s">
        <v>170</v>
      </c>
      <c r="AT297" s="198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 "ITM_SEMICOLON", "ITM_0",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 "ITM_SEMICOLON", "ITM_0",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 "ITM_SEMICOLON", "ITM_0",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 "ITM_SEMICOLON", "ITM_0",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 "ITM_SEMICOLON", "ITM_0",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 "ITM_SEMICOLON", "ITM_0",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 "ITM_SEMICOLON", "ITM_0",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 "ITM_SEMICOLON", "ITM_0",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6" t="s">
        <v>151</v>
      </c>
      <c r="AS298" s="187" t="s">
        <v>175</v>
      </c>
      <c r="AT298" s="198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 "ITM_SEMICOLON", "ITM_0",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 "ITM_SEMICOLON", "ITM_0",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 "ITM_SEMICOLON", "ITM_0",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 "ITM_SEMICOLON", "ITM_0",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 "ITM_SEMICOLON", "ITM_0",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 "ITM_SEMICOLON", "ITM_0",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 "ITM_SEMICOLON", "ITM_0",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 "ITM_SEMICOLON", "ITM_0",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6" t="s">
        <v>169</v>
      </c>
      <c r="AS299" s="187" t="s">
        <v>180</v>
      </c>
      <c r="AT299" s="198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 "ITM_SEMICOLON", "ITM_0",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 "ITM_SEMICOLON", "ITM_0",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 "ITM_SEMICOLON", "ITM_0",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 "ITM_SEMICOLON", "ITM_0",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 "ITM_SEMICOLON", "ITM_0",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 "ITM_SEMICOLON", "ITM_0",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 "ITM_SEMICOLON", "ITM_0",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 "ITM_SEMICOLON", "ITM_0",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6" t="s">
        <v>174</v>
      </c>
      <c r="AS300" s="187" t="s">
        <v>186</v>
      </c>
      <c r="AT300" s="198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 "ITM_SEMICOLON", "ITM_0",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 "ITM_SEMICOLON", "ITM_0",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 "ITM_SEMICOLON", "ITM_0",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 "ITM_SEMICOLON", "ITM_0",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 "ITM_SEMICOLON", "ITM_0",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 "ITM_SEMICOLON", "ITM_0",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 "ITM_SEMICOLON", "ITM_0",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 "ITM_SEMICOLON", "ITM_0",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9" t="s">
        <v>163</v>
      </c>
      <c r="AS301" s="187" t="s">
        <v>164</v>
      </c>
      <c r="AT301" s="198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 "ITM_SEMICOLON", "ITM_0",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 "ITM_SEMICOLON", "ITM_0",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 "ITM_SEMICOLON", "ITM_0",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 "ITM_SEMICOLON", "ITM_0",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 "ITM_SEMICOLON", "ITM_0",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 "ITM_SEMICOLON", "ITM_0",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 "ITM_SEMICOLON", "ITM_0",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 "ITM_SEMICOLON", "ITM_0",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6" t="s">
        <v>179</v>
      </c>
      <c r="AS302" s="187" t="s">
        <v>199</v>
      </c>
      <c r="AT302" s="198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 "ITM_SEMICOLON", "ITM_0",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 "ITM_SEMICOLON", "ITM_0",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 "ITM_SEMICOLON", "ITM_0",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 "ITM_SEMICOLON", "ITM_0",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 "ITM_SEMICOLON", "ITM_0",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 "ITM_SEMICOLON", "ITM_0",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 "ITM_SEMICOLON", "ITM_0",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 "ITM_SEMICOLON", "ITM_0",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6" t="s">
        <v>185</v>
      </c>
      <c r="AS303" s="187" t="s">
        <v>204</v>
      </c>
      <c r="AT303" s="198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 "ITM_SEMICOLON", "ITM_0",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 "ITM_SEMICOLON", "ITM_0",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 "ITM_SEMICOLON", "ITM_0",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 "ITM_SEMICOLON", "ITM_0",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 "ITM_SEMICOLON", "ITM_0",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 "ITM_SEMICOLON", "ITM_0",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 "ITM_SEMICOLON", "ITM_0",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 "ITM_SEMICOLON", "ITM_0",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6" t="s">
        <v>198</v>
      </c>
      <c r="AS304" s="187" t="s">
        <v>209</v>
      </c>
      <c r="AT304" s="198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 "ITM_SEMICOLON", "ITM_0",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 "ITM_SEMICOLON", "ITM_0",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 "ITM_SEMICOLON", "ITM_0",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 "ITM_SEMICOLON", "ITM_0",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 "ITM_SEMICOLON", "ITM_0",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 "ITM_SEMICOLON", "ITM_0",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 "ITM_SEMICOLON", "ITM_0",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 "ITM_SEMICOLON", "ITM_0",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6" t="s">
        <v>203</v>
      </c>
      <c r="AS305" s="187" t="s">
        <v>215</v>
      </c>
      <c r="AT305" s="198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 "ITM_SEMICOLON", "ITM_0",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 "ITM_SEMICOLON", "ITM_0",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 "ITM_SEMICOLON", "ITM_0",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 "ITM_SEMICOLON", "ITM_0",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 "ITM_SEMICOLON", "ITM_0",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 "ITM_SEMICOLON", "ITM_0",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 "ITM_SEMICOLON", "ITM_0",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 "ITM_SEMICOLON", "ITM_0",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9" t="s">
        <v>192</v>
      </c>
      <c r="AS306" s="187" t="s">
        <v>193</v>
      </c>
      <c r="AT306" s="198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 "ITM_SEMICOLON", "ITM_0",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 "ITM_SEMICOLON", "ITM_0",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 "ITM_SEMICOLON", "ITM_0",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 "ITM_SEMICOLON", "ITM_0",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 "ITM_SEMICOLON", "ITM_0",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 "ITM_SEMICOLON", "ITM_0",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 "ITM_SEMICOLON", "ITM_0",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 "ITM_SEMICOLON", "ITM_0",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6" t="s">
        <v>208</v>
      </c>
      <c r="AS307" s="187" t="s">
        <v>226</v>
      </c>
      <c r="AT307" s="198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 "ITM_SEMICOLON", "ITM_0",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 "ITM_SEMICOLON", "ITM_0",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 "ITM_SEMICOLON", "ITM_0",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 "ITM_SEMICOLON", "ITM_0",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 "ITM_SEMICOLON", "ITM_0",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 "ITM_SEMICOLON", "ITM_0",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 "ITM_SEMICOLON", "ITM_0",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 "ITM_SEMICOLON", "ITM_0",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6" t="s">
        <v>214</v>
      </c>
      <c r="AS308" s="187" t="s">
        <v>230</v>
      </c>
      <c r="AT308" s="198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 "ITM_SEMICOLON", "ITM_0",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 "ITM_SEMICOLON", "ITM_0",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 "ITM_SEMICOLON", "ITM_0",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 "ITM_SEMICOLON", "ITM_0",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 "ITM_SEMICOLON", "ITM_0",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 "ITM_SEMICOLON", "ITM_0",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 "ITM_SEMICOLON", "ITM_0",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 "ITM_SEMICOLON", "ITM_0",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6" t="s">
        <v>225</v>
      </c>
      <c r="AS309" s="187" t="s">
        <v>235</v>
      </c>
      <c r="AT309" s="198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 "ITM_SEMICOLON", "ITM_0",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 "ITM_SEMICOLON", "ITM_0",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 "ITM_SEMICOLON", "ITM_0",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 "ITM_SEMICOLON", "ITM_0",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 "ITM_SEMICOLON", "ITM_0",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 "ITM_SEMICOLON", "ITM_0",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 "ITM_SEMICOLON", "ITM_0",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 "ITM_SEMICOLON", "ITM_0",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6" t="s">
        <v>229</v>
      </c>
      <c r="AS310" s="187" t="s">
        <v>240</v>
      </c>
      <c r="AT310" s="198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 "ITM_SEMICOLON", "ITM_0",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 "ITM_SEMICOLON", "ITM_0",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 "ITM_SEMICOLON", "ITM_0",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 "ITM_SEMICOLON", "ITM_0",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 "ITM_SEMICOLON", "ITM_0",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 "ITM_SEMICOLON", "ITM_0",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 "ITM_SEMICOLON", "ITM_0",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 "ITM_SEMICOLON", "ITM_0",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9" t="s">
        <v>245</v>
      </c>
      <c r="AS311" s="187" t="s">
        <v>246</v>
      </c>
      <c r="AT311" s="198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 "ITM_SEMICOLON", "ITM_0",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 "ITM_SEMICOLON", "ITM_0",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 "ITM_SEMICOLON", "ITM_0",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 "ITM_SEMICOLON", "ITM_0",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 "ITM_SEMICOLON", "ITM_0",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 "ITM_SEMICOLON", "ITM_0",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 "ITM_SEMICOLON", "ITM_0",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 "ITM_SEMICOLON", "ITM_0",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6" t="s">
        <v>234</v>
      </c>
      <c r="AS312" s="187" t="s">
        <v>252</v>
      </c>
      <c r="AT312" s="198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 "ITM_SEMICOLON", "ITM_0",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 "ITM_SEMICOLON", "ITM_0",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 "ITM_SEMICOLON", "ITM_0",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 "ITM_SEMICOLON", "ITM_0",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 "ITM_SEMICOLON", "ITM_0",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 "ITM_SEMICOLON", "ITM_0",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 "ITM_SEMICOLON", "ITM_0",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 "ITM_SEMICOLON", "ITM_0",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9" t="s">
        <v>257</v>
      </c>
      <c r="AS313" s="187" t="s">
        <v>257</v>
      </c>
      <c r="AT313" s="198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 "ITM_SEMICOLON", "ITM_0",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 "ITM_SEMICOLON", "ITM_0",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 "ITM_SEMICOLON", "ITM_0",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 "ITM_SEMICOLON", "ITM_0",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 "ITM_SEMICOLON", "ITM_0",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 "ITM_SEMICOLON", "ITM_0",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 "ITM_SEMICOLON", "ITM_0",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 "ITM_SEMICOLON", "ITM_0",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9" t="s">
        <v>262</v>
      </c>
      <c r="AS314" s="187" t="s">
        <v>262</v>
      </c>
      <c r="AT314" s="198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 "ITM_SEMICOLON", "ITM_0",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 "ITM_SEMICOLON", "ITM_0",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 "ITM_SEMICOLON", "ITM_0",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 "ITM_SEMICOLON", "ITM_0",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 "ITM_SEMICOLON", "ITM_0",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 "ITM_SEMICOLON", "ITM_0",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 "ITM_SEMICOLON", "ITM_0",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 "ITM_SEMICOLON", "ITM_0",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200" t="s">
        <v>267</v>
      </c>
      <c r="AS315" s="201" t="s">
        <v>267</v>
      </c>
      <c r="AT315" s="202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 "ITM_SEMICOLON", "ITM_0",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 "ITM_SEMICOLON", "ITM_0",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 "ITM_SEMICOLON", "ITM_0",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 "ITM_SEMICOLON", "ITM_0",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 "ITM_SEMICOLON", "ITM_0",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 "ITM_SEMICOLON", "ITM_0",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 "ITM_SEMICOLON", "ITM_0",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 "ITM_SEMICOLON", "ITM_0",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3"/>
      <c r="AS316" s="203"/>
      <c r="AT316" s="203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3"/>
      <c r="AS317" s="203"/>
      <c r="AT317" s="203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6" t="str">
        <f>X322</f>
        <v>DM42</v>
      </c>
      <c r="AM322" s="214" t="s">
        <v>39</v>
      </c>
      <c r="AN322" s="214"/>
      <c r="AO322" s="214"/>
      <c r="AP322" s="71" t="s">
        <v>40</v>
      </c>
      <c r="AQ322" s="31" t="s">
        <v>41</v>
      </c>
      <c r="AR322" s="190" t="s">
        <v>42</v>
      </c>
      <c r="AS322" s="191" t="s">
        <v>42</v>
      </c>
      <c r="AT322" s="192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3" t="s">
        <v>51</v>
      </c>
      <c r="AS324" s="194" t="s">
        <v>52</v>
      </c>
      <c r="AT324" s="195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 "ITM_SEMICOLON", "ITM_0",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 "ITM_SEMICOLON", "ITM_0",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 "ITM_SEMICOLON", "ITM_0",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 "ITM_SEMICOLON", "ITM_0",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 "ITM_SEMICOLON", "ITM_0",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 "ITM_SEMICOLON", "ITM_0",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 "ITM_SEMICOLON", "ITM_0",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 "ITM_SEMICOLON", "ITM_0",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6" t="s">
        <v>58</v>
      </c>
      <c r="AS325" s="187" t="s">
        <v>59</v>
      </c>
      <c r="AT325" s="197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 "ITM_SEMICOLON", "ITM_0",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 "ITM_SEMICOLON", "ITM_0",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 "ITM_SEMICOLON", "ITM_0",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 "ITM_SEMICOLON", "ITM_0",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 "ITM_SEMICOLON", "ITM_0",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 "ITM_SEMICOLON", "ITM_0",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 "ITM_SEMICOLON", "ITM_0",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 "ITM_SEMICOLON", "ITM_0",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6" t="s">
        <v>65</v>
      </c>
      <c r="AS326" s="187" t="s">
        <v>66</v>
      </c>
      <c r="AT326" s="197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 "ITM_SEMICOLON", "ITM_0",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 "ITM_SEMICOLON", "ITM_0",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 "ITM_SEMICOLON", "ITM_0",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 "ITM_SEMICOLON", "ITM_0",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 "ITM_SEMICOLON", "ITM_0",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 "ITM_SEMICOLON", "ITM_0",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 "ITM_SEMICOLON", "ITM_0",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 "ITM_SEMICOLON", "ITM_0",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6" t="s">
        <v>72</v>
      </c>
      <c r="AS327" s="187" t="s">
        <v>73</v>
      </c>
      <c r="AT327" s="197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 "ITM_SEMICOLON", "ITM_0",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 "ITM_SEMICOLON", "ITM_0",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 "ITM_SEMICOLON", "ITM_0",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 "ITM_SEMICOLON", "ITM_0",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 "ITM_SEMICOLON", "ITM_0",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 "ITM_SEMICOLON", "ITM_0",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 "ITM_SEMICOLON", "ITM_0",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 "ITM_SEMICOLON", "ITM_0",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6" t="s">
        <v>79</v>
      </c>
      <c r="AS328" s="187" t="s">
        <v>80</v>
      </c>
      <c r="AT328" s="198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 "ITM_SEMICOLON", "ITM_0",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 "ITM_SEMICOLON", "ITM_0",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 "ITM_SEMICOLON", "ITM_0",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 "ITM_SEMICOLON", "ITM_0",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 "ITM_SEMICOLON", "ITM_0",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 "ITM_SEMICOLON", "ITM_0",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 "ITM_SEMICOLON", "ITM_0",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 "ITM_SEMICOLON", "ITM_0",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6" t="s">
        <v>86</v>
      </c>
      <c r="AS329" s="187" t="s">
        <v>87</v>
      </c>
      <c r="AT329" s="198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 "ITM_SEMICOLON", "ITM_0",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 "ITM_SEMICOLON", "ITM_0",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 "ITM_SEMICOLON", "ITM_0",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 "ITM_SEMICOLON", "ITM_0",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 "ITM_SEMICOLON", "ITM_0",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 "ITM_SEMICOLON", "ITM_0",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 "ITM_SEMICOLON", "ITM_0",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 "ITM_SEMICOLON", "ITM_0",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6" t="s">
        <v>92</v>
      </c>
      <c r="AS330" s="187" t="s">
        <v>93</v>
      </c>
      <c r="AT330" s="198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 "ITM_SEMICOLON", "ITM_0",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 "ITM_SEMICOLON", "ITM_0",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 "ITM_SEMICOLON", "ITM_0",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 "ITM_SEMICOLON", "ITM_0",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 "ITM_SEMICOLON", "ITM_0",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 "ITM_SEMICOLON", "ITM_0",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 "ITM_SEMICOLON", "ITM_0",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 "ITM_SEMICOLON", "ITM_0",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#16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6" t="s">
        <v>98</v>
      </c>
      <c r="AS331" s="187" t="s">
        <v>99</v>
      </c>
      <c r="AT331" s="198" t="s">
        <v>100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 "ITM_SEMICOLON", "ITM_0",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 "ITM_SEMICOLON", "ITM_0",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 "ITM_SEMICOLON", "ITM_0",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 "ITM_SEMICOLON", "ITM_0",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 "ITM_SEMICOLON", "ITM_0",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 "ITM_SEMICOLON", "ITM_0",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 "ITM_SEMICOLON", "ITM_0",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 "ITM_SEMICOLON", "ITM_0", AT331), ".lo", ),"MNU_", "-MNU_")</f>
        <v>ITM_HEX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6" t="s">
        <v>105</v>
      </c>
      <c r="AS332" s="187" t="s">
        <v>106</v>
      </c>
      <c r="AT332" s="197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 "ITM_SEMICOLON", "ITM_0",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 "ITM_SEMICOLON", "ITM_0",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 "ITM_SEMICOLON", "ITM_0",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 "ITM_SEMICOLON", "ITM_0",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 "ITM_SEMICOLON", "ITM_0",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 "ITM_SEMICOLON", "ITM_0",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 "ITM_SEMICOLON", "ITM_0",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 "ITM_SEMICOLON", "ITM_0",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6" t="s">
        <v>112</v>
      </c>
      <c r="AS333" s="187" t="s">
        <v>113</v>
      </c>
      <c r="AT333" s="197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 "ITM_SEMICOLON", "ITM_0",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 "ITM_SEMICOLON", "ITM_0",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 "ITM_SEMICOLON", "ITM_0",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 "ITM_SEMICOLON", "ITM_0",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 "ITM_SEMICOLON", "ITM_0",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 "ITM_SEMICOLON", "ITM_0",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 "ITM_SEMICOLON", "ITM_0",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 "ITM_SEMICOLON", "ITM_0",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6" t="s">
        <v>119</v>
      </c>
      <c r="AS334" s="187" t="s">
        <v>120</v>
      </c>
      <c r="AT334" s="197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 "ITM_SEMICOLON", "ITM_0",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 "ITM_SEMICOLON", "ITM_0",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 "ITM_SEMICOLON", "ITM_0",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 "ITM_SEMICOLON", "ITM_0",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 "ITM_SEMICOLON", "ITM_0",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 "ITM_SEMICOLON", "ITM_0",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 "ITM_SEMICOLON", "ITM_0",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 "ITM_SEMICOLON", "ITM_0",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6" t="s">
        <v>126</v>
      </c>
      <c r="AS335" s="187" t="s">
        <v>127</v>
      </c>
      <c r="AT335" s="197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 "ITM_SEMICOLON", "ITM_0",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 "ITM_SEMICOLON", "ITM_0",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 "ITM_SEMICOLON", "ITM_0",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 "ITM_SEMICOLON", "ITM_0",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 "ITM_SEMICOLON", "ITM_0",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 "ITM_SEMICOLON", "ITM_0",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 "ITM_SEMICOLON", "ITM_0",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 "ITM_SEMICOLON", "ITM_0",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9" t="s">
        <v>132</v>
      </c>
      <c r="AS336" s="187" t="s">
        <v>133</v>
      </c>
      <c r="AT336" s="198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 "ITM_SEMICOLON", "ITM_0",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 "ITM_SEMICOLON", "ITM_0",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 "ITM_SEMICOLON", "ITM_0",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 "ITM_SEMICOLON", "ITM_0",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 "ITM_SEMICOLON", "ITM_0",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 "ITM_SEMICOLON", "ITM_0",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 "ITM_SEMICOLON", "ITM_0",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 "ITM_SEMICOLON", "ITM_0",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6" t="s">
        <v>139</v>
      </c>
      <c r="AS337" s="187" t="s">
        <v>140</v>
      </c>
      <c r="AT337" s="198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 "ITM_SEMICOLON", "ITM_0",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 "ITM_SEMICOLON", "ITM_0",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 "ITM_SEMICOLON", "ITM_0",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 "ITM_SEMICOLON", "ITM_0",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 "ITM_SEMICOLON", "ITM_0",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 "ITM_SEMICOLON", "ITM_0",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 "ITM_SEMICOLON", "ITM_0",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 "ITM_SEMICOLON", "ITM_0",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6" t="s">
        <v>145</v>
      </c>
      <c r="AS338" s="187" t="s">
        <v>146</v>
      </c>
      <c r="AT338" s="198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 "ITM_SEMICOLON", "ITM_0",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 "ITM_SEMICOLON", "ITM_0",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 "ITM_SEMICOLON", "ITM_0",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 "ITM_SEMICOLON", "ITM_0",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 "ITM_SEMICOLON", "ITM_0",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 "ITM_SEMICOLON", "ITM_0",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 "ITM_SEMICOLON", "ITM_0",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 "ITM_SEMICOLON", "ITM_0",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#8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6" t="s">
        <v>151</v>
      </c>
      <c r="AS339" s="187" t="s">
        <v>152</v>
      </c>
      <c r="AT339" s="198" t="s">
        <v>153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 "ITM_SEMICOLON", "ITM_0",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 "ITM_SEMICOLON", "ITM_0",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 "ITM_SEMICOLON", "ITM_0",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 "ITM_SEMICOLON", "ITM_0",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 "ITM_SEMICOLON", "ITM_0",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 "ITM_SEMICOLON", "ITM_0",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 "ITM_SEMICOLON", "ITM_0",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 "ITM_SEMICOLON", "ITM_0", AT339), ".lo", ),"MNU_", "-MNU_")</f>
        <v>ITM_OCT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9" t="s">
        <v>157</v>
      </c>
      <c r="AS340" s="187" t="s">
        <v>157</v>
      </c>
      <c r="AT340" s="198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 "ITM_SEMICOLON", "ITM_0",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 "ITM_SEMICOLON", "ITM_0",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 "ITM_SEMICOLON", "ITM_0",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 "ITM_SEMICOLON", "ITM_0",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 "ITM_SEMICOLON", "ITM_0",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 "ITM_SEMICOLON", "ITM_0",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 "ITM_SEMICOLON", "ITM_0",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 "ITM_SEMICOLON", "ITM_0",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9" t="s">
        <v>163</v>
      </c>
      <c r="AS341" s="187" t="s">
        <v>164</v>
      </c>
      <c r="AT341" s="198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 "ITM_SEMICOLON", "ITM_0",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 "ITM_SEMICOLON", "ITM_0",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 "ITM_SEMICOLON", "ITM_0",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 "ITM_SEMICOLON", "ITM_0",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 "ITM_SEMICOLON", "ITM_0",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 "ITM_SEMICOLON", "ITM_0",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 "ITM_SEMICOLON", "ITM_0",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 "ITM_SEMICOLON", "ITM_0",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6" t="s">
        <v>169</v>
      </c>
      <c r="AS342" s="187" t="s">
        <v>170</v>
      </c>
      <c r="AT342" s="198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 "ITM_SEMICOLON", "ITM_0",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 "ITM_SEMICOLON", "ITM_0",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 "ITM_SEMICOLON", "ITM_0",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 "ITM_SEMICOLON", "ITM_0",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 "ITM_SEMICOLON", "ITM_0",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 "ITM_SEMICOLON", "ITM_0",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 "ITM_SEMICOLON", "ITM_0",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 "ITM_SEMICOLON", "ITM_0",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6" t="s">
        <v>174</v>
      </c>
      <c r="AS343" s="187" t="s">
        <v>175</v>
      </c>
      <c r="AT343" s="198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 "ITM_SEMICOLON", "ITM_0",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 "ITM_SEMICOLON", "ITM_0",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 "ITM_SEMICOLON", "ITM_0",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 "ITM_SEMICOLON", "ITM_0",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 "ITM_SEMICOLON", "ITM_0",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 "ITM_SEMICOLON", "ITM_0",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 "ITM_SEMICOLON", "ITM_0",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 "ITM_SEMICOLON", "ITM_0",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6" t="s">
        <v>179</v>
      </c>
      <c r="AS344" s="187" t="s">
        <v>180</v>
      </c>
      <c r="AT344" s="198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 "ITM_SEMICOLON", "ITM_0",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 "ITM_SEMICOLON", "ITM_0",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 "ITM_SEMICOLON", "ITM_0",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 "ITM_SEMICOLON", "ITM_0",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 "ITM_SEMICOLON", "ITM_0",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 "ITM_SEMICOLON", "ITM_0",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 "ITM_SEMICOLON", "ITM_0",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 "ITM_SEMICOLON", "ITM_0",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6" t="s">
        <v>185</v>
      </c>
      <c r="AS345" s="187" t="s">
        <v>186</v>
      </c>
      <c r="AT345" s="198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 "ITM_SEMICOLON", "ITM_0",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 "ITM_SEMICOLON", "ITM_0",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 "ITM_SEMICOLON", "ITM_0",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 "ITM_SEMICOLON", "ITM_0",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 "ITM_SEMICOLON", "ITM_0",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 "ITM_SEMICOLON", "ITM_0",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 "ITM_SEMICOLON", "ITM_0",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 "ITM_SEMICOLON", "ITM_0",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9" t="s">
        <v>192</v>
      </c>
      <c r="AS346" s="187" t="s">
        <v>193</v>
      </c>
      <c r="AT346" s="198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 "ITM_SEMICOLON", "ITM_0",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 "ITM_SEMICOLON", "ITM_0",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 "ITM_SEMICOLON", "ITM_0",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 "ITM_SEMICOLON", "ITM_0",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 "ITM_SEMICOLON", "ITM_0",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 "ITM_SEMICOLON", "ITM_0",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 "ITM_SEMICOLON", "ITM_0",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 "ITM_SEMICOLON", "ITM_0",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6" t="s">
        <v>198</v>
      </c>
      <c r="AS347" s="187" t="s">
        <v>199</v>
      </c>
      <c r="AT347" s="198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 "ITM_SEMICOLON", "ITM_0",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 "ITM_SEMICOLON", "ITM_0",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 "ITM_SEMICOLON", "ITM_0",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 "ITM_SEMICOLON", "ITM_0",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 "ITM_SEMICOLON", "ITM_0",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 "ITM_SEMICOLON", "ITM_0",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 "ITM_SEMICOLON", "ITM_0",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 "ITM_SEMICOLON", "ITM_0",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6" t="s">
        <v>203</v>
      </c>
      <c r="AS348" s="187" t="s">
        <v>204</v>
      </c>
      <c r="AT348" s="198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 "ITM_SEMICOLON", "ITM_0",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 "ITM_SEMICOLON", "ITM_0",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 "ITM_SEMICOLON", "ITM_0",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 "ITM_SEMICOLON", "ITM_0",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 "ITM_SEMICOLON", "ITM_0",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 "ITM_SEMICOLON", "ITM_0",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 "ITM_SEMICOLON", "ITM_0",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 "ITM_SEMICOLON", "ITM_0",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6" t="s">
        <v>208</v>
      </c>
      <c r="AS349" s="187" t="s">
        <v>209</v>
      </c>
      <c r="AT349" s="198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 "ITM_SEMICOLON", "ITM_0",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 "ITM_SEMICOLON", "ITM_0",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 "ITM_SEMICOLON", "ITM_0",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 "ITM_SEMICOLON", "ITM_0",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 "ITM_SEMICOLON", "ITM_0",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 "ITM_SEMICOLON", "ITM_0",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 "ITM_SEMICOLON", "ITM_0",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 "ITM_SEMICOLON", "ITM_0",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6" t="s">
        <v>214</v>
      </c>
      <c r="AS350" s="187" t="s">
        <v>215</v>
      </c>
      <c r="AT350" s="198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 "ITM_SEMICOLON", "ITM_0",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 "ITM_SEMICOLON", "ITM_0",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 "ITM_SEMICOLON", "ITM_0",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 "ITM_SEMICOLON", "ITM_0",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 "ITM_SEMICOLON", "ITM_0",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 "ITM_SEMICOLON", "ITM_0",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 "ITM_SEMICOLON", "ITM_0",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 "ITM_SEMICOLON", "ITM_0",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9" t="s">
        <v>219</v>
      </c>
      <c r="AS351" s="187" t="s">
        <v>220</v>
      </c>
      <c r="AT351" s="198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 "ITM_SEMICOLON", "ITM_0",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 "ITM_SEMICOLON", "ITM_0",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 "ITM_SEMICOLON", "ITM_0",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 "ITM_SEMICOLON", "ITM_0",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 "ITM_SEMICOLON", "ITM_0",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 "ITM_SEMICOLON", "ITM_0",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 "ITM_SEMICOLON", "ITM_0",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 "ITM_SEMICOLON", "ITM_0",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6" t="s">
        <v>225</v>
      </c>
      <c r="AS352" s="187" t="s">
        <v>226</v>
      </c>
      <c r="AT352" s="198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 "ITM_SEMICOLON", "ITM_0",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 "ITM_SEMICOLON", "ITM_0",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 "ITM_SEMICOLON", "ITM_0",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 "ITM_SEMICOLON", "ITM_0",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 "ITM_SEMICOLON", "ITM_0",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 "ITM_SEMICOLON", "ITM_0",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 "ITM_SEMICOLON", "ITM_0",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 "ITM_SEMICOLON", "ITM_0",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6" t="s">
        <v>229</v>
      </c>
      <c r="AS353" s="187" t="s">
        <v>230</v>
      </c>
      <c r="AT353" s="198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 "ITM_SEMICOLON", "ITM_0",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 "ITM_SEMICOLON", "ITM_0",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 "ITM_SEMICOLON", "ITM_0",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 "ITM_SEMICOLON", "ITM_0",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 "ITM_SEMICOLON", "ITM_0",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 "ITM_SEMICOLON", "ITM_0",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 "ITM_SEMICOLON", "ITM_0",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 "ITM_SEMICOLON", "ITM_0",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6" t="s">
        <v>234</v>
      </c>
      <c r="AS354" s="187" t="s">
        <v>235</v>
      </c>
      <c r="AT354" s="198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 "ITM_SEMICOLON", "ITM_0",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 "ITM_SEMICOLON", "ITM_0",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 "ITM_SEMICOLON", "ITM_0",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 "ITM_SEMICOLON", "ITM_0",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 "ITM_SEMICOLON", "ITM_0",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 "ITM_SEMICOLON", "ITM_0",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 "ITM_SEMICOLON", "ITM_0",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 "ITM_SEMICOLON", "ITM_0",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9" t="s">
        <v>240</v>
      </c>
      <c r="AS355" s="187" t="s">
        <v>240</v>
      </c>
      <c r="AT355" s="198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 "ITM_SEMICOLON", "ITM_0",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 "ITM_SEMICOLON", "ITM_0",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 "ITM_SEMICOLON", "ITM_0",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 "ITM_SEMICOLON", "ITM_0",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 "ITM_SEMICOLON", "ITM_0",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 "ITM_SEMICOLON", "ITM_0",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 "ITM_SEMICOLON", "ITM_0",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 "ITM_SEMICOLON", "ITM_0",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9" t="s">
        <v>245</v>
      </c>
      <c r="AS356" s="187" t="s">
        <v>246</v>
      </c>
      <c r="AT356" s="198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 "ITM_SEMICOLON", "ITM_0",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 "ITM_SEMICOLON", "ITM_0",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 "ITM_SEMICOLON", "ITM_0",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 "ITM_SEMICOLON", "ITM_0",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 "ITM_SEMICOLON", "ITM_0",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 "ITM_SEMICOLON", "ITM_0",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 "ITM_SEMICOLON", "ITM_0",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 "ITM_SEMICOLON", "ITM_0",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199" t="s">
        <v>251</v>
      </c>
      <c r="AS357" s="187" t="s">
        <v>252</v>
      </c>
      <c r="AT357" s="198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 "ITM_SEMICOLON", "ITM_0",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 "ITM_SEMICOLON", "ITM_0",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 "ITM_SEMICOLON", "ITM_0",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 "ITM_SEMICOLON", "ITM_0",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 "ITM_SEMICOLON", "ITM_0", AQ357), ".lo", ),"MNU_", "-MNU_")</f>
        <v>ITM_COLON</v>
      </c>
      <c r="BC357" s="157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 "ITM_SEMICOLON", "ITM_0", AR357), ".lo", ),"MNU_", "-MNU_")</f>
        <v>ITM_0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 "ITM_SEMICOLON", "ITM_0",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 "ITM_SEMICOLON", "ITM_0",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ITM_0,        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10" t="s">
        <v>283</v>
      </c>
      <c r="AS358" s="208" t="s">
        <v>257</v>
      </c>
      <c r="AT358" s="198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 "ITM_SEMICOLON", "ITM_0",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 "ITM_SEMICOLON", "ITM_0",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 "ITM_SEMICOLON", "ITM_0",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 "ITM_SEMICOLON", "ITM_0",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 "ITM_SEMICOLON", "ITM_0",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 "ITM_SEMICOLON", "ITM_0",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 "ITM_SEMICOLON", "ITM_0",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 "ITM_SEMICOLON", "ITM_0",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10" t="s">
        <v>635</v>
      </c>
      <c r="AS359" s="208" t="s">
        <v>262</v>
      </c>
      <c r="AT359" s="198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 "ITM_SEMICOLON", "ITM_0",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 "ITM_SEMICOLON", "ITM_0",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 "ITM_SEMICOLON", "ITM_0",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 "ITM_SEMICOLON", "ITM_0",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 "ITM_SEMICOLON", "ITM_0",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 "ITM_SEMICOLON", "ITM_0",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 "ITM_SEMICOLON", "ITM_0",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 "ITM_SEMICOLON", "ITM_0",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1" t="s">
        <v>650</v>
      </c>
      <c r="AS360" s="209" t="s">
        <v>267</v>
      </c>
      <c r="AT360" s="202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 "ITM_SEMICOLON", "ITM_0",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 "ITM_SEMICOLON", "ITM_0",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 "ITM_SEMICOLON", "ITM_0",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 "ITM_SEMICOLON", "ITM_0",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 "ITM_SEMICOLON", "ITM_0",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 "ITM_SEMICOLON", "ITM_0",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 "ITM_SEMICOLON", "ITM_0",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 "ITM_SEMICOLON", "ITM_0",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3"/>
      <c r="AS361" s="203"/>
      <c r="AT361" s="203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3"/>
      <c r="AS362" s="203"/>
      <c r="AT362" s="203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6" t="str">
        <f>X367</f>
        <v>S47</v>
      </c>
      <c r="AM367" s="214" t="s">
        <v>39</v>
      </c>
      <c r="AN367" s="214"/>
      <c r="AO367" s="214"/>
      <c r="AP367" s="71" t="s">
        <v>40</v>
      </c>
      <c r="AQ367" s="31" t="s">
        <v>41</v>
      </c>
      <c r="AR367" s="190" t="s">
        <v>42</v>
      </c>
      <c r="AS367" s="191" t="s">
        <v>42</v>
      </c>
      <c r="AT367" s="192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3" t="s">
        <v>51</v>
      </c>
      <c r="AS369" s="194" t="s">
        <v>81</v>
      </c>
      <c r="AT369" s="195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 "ITM_SEMICOLON", "ITM_0",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 "ITM_SEMICOLON", "ITM_0",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 "ITM_SEMICOLON", "ITM_0",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 "ITM_SEMICOLON", "ITM_0",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 "ITM_SEMICOLON", "ITM_0",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 "ITM_SEMICOLON", "ITM_0",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 "ITM_SEMICOLON", "ITM_0",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 "ITM_SEMICOLON", "ITM_0",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6" t="s">
        <v>58</v>
      </c>
      <c r="AS370" s="187" t="s">
        <v>81</v>
      </c>
      <c r="AT370" s="197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 "ITM_SEMICOLON", "ITM_0",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 "ITM_SEMICOLON", "ITM_0",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 "ITM_SEMICOLON", "ITM_0",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 "ITM_SEMICOLON", "ITM_0",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 "ITM_SEMICOLON", "ITM_0",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 "ITM_SEMICOLON", "ITM_0",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 "ITM_SEMICOLON", "ITM_0",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 "ITM_SEMICOLON", "ITM_0",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6" t="s">
        <v>65</v>
      </c>
      <c r="AS371" s="187" t="s">
        <v>81</v>
      </c>
      <c r="AT371" s="197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 "ITM_SEMICOLON", "ITM_0",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 "ITM_SEMICOLON", "ITM_0",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 "ITM_SEMICOLON", "ITM_0",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 "ITM_SEMICOLON", "ITM_0",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 "ITM_SEMICOLON", "ITM_0",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 "ITM_SEMICOLON", "ITM_0",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 "ITM_SEMICOLON", "ITM_0",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 "ITM_SEMICOLON", "ITM_0",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6" t="s">
        <v>72</v>
      </c>
      <c r="AS372" s="187" t="s">
        <v>66</v>
      </c>
      <c r="AT372" s="197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 "ITM_SEMICOLON", "ITM_0",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 "ITM_SEMICOLON", "ITM_0",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 "ITM_SEMICOLON", "ITM_0",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 "ITM_SEMICOLON", "ITM_0",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 "ITM_SEMICOLON", "ITM_0",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 "ITM_SEMICOLON", "ITM_0",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 "ITM_SEMICOLON", "ITM_0",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 "ITM_SEMICOLON", "ITM_0",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6" t="s">
        <v>79</v>
      </c>
      <c r="AS373" s="187" t="s">
        <v>73</v>
      </c>
      <c r="AT373" s="198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 "ITM_SEMICOLON", "ITM_0",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 "ITM_SEMICOLON", "ITM_0",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 "ITM_SEMICOLON", "ITM_0",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 "ITM_SEMICOLON", "ITM_0",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 "ITM_SEMICOLON", "ITM_0",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 "ITM_SEMICOLON", "ITM_0",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 "ITM_SEMICOLON", "ITM_0",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 "ITM_SEMICOLON", "ITM_0",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6" t="s">
        <v>86</v>
      </c>
      <c r="AS374" s="187" t="s">
        <v>80</v>
      </c>
      <c r="AT374" s="198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 "ITM_SEMICOLON", "ITM_0",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 "ITM_SEMICOLON", "ITM_0",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 "ITM_SEMICOLON", "ITM_0",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 "ITM_SEMICOLON", "ITM_0",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 "ITM_SEMICOLON", "ITM_0",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 "ITM_SEMICOLON", "ITM_0",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 "ITM_SEMICOLON", "ITM_0",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 "ITM_SEMICOLON", "ITM_0",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 xml:space="preserve"> f 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9" t="s">
        <v>81</v>
      </c>
      <c r="AS375" s="187" t="s">
        <v>81</v>
      </c>
      <c r="AT375" s="198" t="s">
        <v>340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 "ITM_SEMICOLON", "ITM_0",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 "ITM_SEMICOLON", "ITM_0",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 "ITM_SEMICOLON", "ITM_0",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 "ITM_SEMICOLON", "ITM_0",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 "ITM_SEMICOLON", "ITM_0",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 "ITM_SEMICOLON", "ITM_0",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 "ITM_SEMICOLON", "ITM_0",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 "ITM_SEMICOLON", "ITM_0", AT375), ".lo", ),"MNU_", "-MNU_")</f>
        <v>ITM_SHIFTf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g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9" t="s">
        <v>81</v>
      </c>
      <c r="AS376" s="187" t="s">
        <v>81</v>
      </c>
      <c r="AT376" s="198" t="s">
        <v>343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 "ITM_SEMICOLON", "ITM_0",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 "ITM_SEMICOLON", "ITM_0",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 "ITM_SEMICOLON", "ITM_0",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 "ITM_SEMICOLON", "ITM_0",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 "ITM_SEMICOLON", "ITM_0",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 "ITM_SEMICOLON", "ITM_0",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 "ITM_SEMICOLON", "ITM_0",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 "ITM_SEMICOLON", "ITM_0", AT376), ".lo", ),"MNU_", "-MNU_")</f>
        <v>ITM_SHIFTg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6" t="s">
        <v>92</v>
      </c>
      <c r="AS377" s="187" t="s">
        <v>106</v>
      </c>
      <c r="AT377" s="198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 "ITM_SEMICOLON", "ITM_0",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 "ITM_SEMICOLON", "ITM_0",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 "ITM_SEMICOLON", "ITM_0",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 "ITM_SEMICOLON", "ITM_0",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 "ITM_SEMICOLON", "ITM_0",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 "ITM_SEMICOLON", "ITM_0",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 "ITM_SEMICOLON", "ITM_0",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 "ITM_SEMICOLON", "ITM_0",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6" t="s">
        <v>98</v>
      </c>
      <c r="AS378" s="187" t="s">
        <v>113</v>
      </c>
      <c r="AT378" s="198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 "ITM_SEMICOLON", "ITM_0",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 "ITM_SEMICOLON", "ITM_0",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 "ITM_SEMICOLON", "ITM_0",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 "ITM_SEMICOLON", "ITM_0",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 "ITM_SEMICOLON", "ITM_0",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 "ITM_SEMICOLON", "ITM_0",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 "ITM_SEMICOLON", "ITM_0",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 "ITM_SEMICOLON", "ITM_0",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6" t="s">
        <v>105</v>
      </c>
      <c r="AS379" s="187" t="s">
        <v>120</v>
      </c>
      <c r="AT379" s="197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 "ITM_SEMICOLON", "ITM_0",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 "ITM_SEMICOLON", "ITM_0",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 "ITM_SEMICOLON", "ITM_0",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 "ITM_SEMICOLON", "ITM_0",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 "ITM_SEMICOLON", "ITM_0",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 "ITM_SEMICOLON", "ITM_0",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 "ITM_SEMICOLON", "ITM_0",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 "ITM_SEMICOLON", "ITM_0",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6" t="s">
        <v>112</v>
      </c>
      <c r="AS380" s="187" t="s">
        <v>127</v>
      </c>
      <c r="AT380" s="197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 "ITM_SEMICOLON", "ITM_0",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 "ITM_SEMICOLON", "ITM_0",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 "ITM_SEMICOLON", "ITM_0",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 "ITM_SEMICOLON", "ITM_0",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 "ITM_SEMICOLON", "ITM_0",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 "ITM_SEMICOLON", "ITM_0",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 "ITM_SEMICOLON", "ITM_0",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 "ITM_SEMICOLON", "ITM_0",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9" t="s">
        <v>132</v>
      </c>
      <c r="AS381" s="187" t="s">
        <v>133</v>
      </c>
      <c r="AT381" s="198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 "ITM_SEMICOLON", "ITM_0",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 "ITM_SEMICOLON", "ITM_0",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 "ITM_SEMICOLON", "ITM_0",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 "ITM_SEMICOLON", "ITM_0",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 "ITM_SEMICOLON", "ITM_0",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 "ITM_SEMICOLON", "ITM_0",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 "ITM_SEMICOLON", "ITM_0",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 "ITM_SEMICOLON", "ITM_0",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6" t="s">
        <v>119</v>
      </c>
      <c r="AS382" s="187" t="s">
        <v>140</v>
      </c>
      <c r="AT382" s="197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 "ITM_SEMICOLON", "ITM_0",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 "ITM_SEMICOLON", "ITM_0",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 "ITM_SEMICOLON", "ITM_0",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 "ITM_SEMICOLON", "ITM_0",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 "ITM_SEMICOLON", "ITM_0",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 "ITM_SEMICOLON", "ITM_0",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 "ITM_SEMICOLON", "ITM_0",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 "ITM_SEMICOLON", "ITM_0",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6" t="s">
        <v>126</v>
      </c>
      <c r="AS383" s="187" t="s">
        <v>146</v>
      </c>
      <c r="AT383" s="197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 "ITM_SEMICOLON", "ITM_0",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 "ITM_SEMICOLON", "ITM_0",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 "ITM_SEMICOLON", "ITM_0",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 "ITM_SEMICOLON", "ITM_0",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 "ITM_SEMICOLON", "ITM_0",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 "ITM_SEMICOLON", "ITM_0",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 "ITM_SEMICOLON", "ITM_0",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 "ITM_SEMICOLON", "ITM_0",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6" t="s">
        <v>139</v>
      </c>
      <c r="AS384" s="187" t="s">
        <v>152</v>
      </c>
      <c r="AT384" s="198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 "ITM_SEMICOLON", "ITM_0",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 "ITM_SEMICOLON", "ITM_0",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 "ITM_SEMICOLON", "ITM_0",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 "ITM_SEMICOLON", "ITM_0",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 "ITM_SEMICOLON", "ITM_0",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 "ITM_SEMICOLON", "ITM_0",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 "ITM_SEMICOLON", "ITM_0",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 "ITM_SEMICOLON", "ITM_0",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9" t="s">
        <v>157</v>
      </c>
      <c r="AS385" s="187" t="s">
        <v>157</v>
      </c>
      <c r="AT385" s="198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 "ITM_SEMICOLON", "ITM_0",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 "ITM_SEMICOLON", "ITM_0",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 "ITM_SEMICOLON", "ITM_0",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 "ITM_SEMICOLON", "ITM_0",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 "ITM_SEMICOLON", "ITM_0",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 "ITM_SEMICOLON", "ITM_0",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 "ITM_SEMICOLON", "ITM_0",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 "ITM_SEMICOLON", "ITM_0",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9" t="s">
        <v>81</v>
      </c>
      <c r="AS386" s="187" t="s">
        <v>87</v>
      </c>
      <c r="AT386" s="198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 "ITM_SEMICOLON", "ITM_0",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 "ITM_SEMICOLON", "ITM_0",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 "ITM_SEMICOLON", "ITM_0",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 "ITM_SEMICOLON", "ITM_0",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 "ITM_SEMICOLON", "ITM_0",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 "ITM_SEMICOLON", "ITM_0",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 "ITM_SEMICOLON", "ITM_0",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 "ITM_SEMICOLON", "ITM_0",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6" t="s">
        <v>145</v>
      </c>
      <c r="AS387" s="187" t="s">
        <v>170</v>
      </c>
      <c r="AT387" s="198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 "ITM_SEMICOLON", "ITM_0",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 "ITM_SEMICOLON", "ITM_0",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 "ITM_SEMICOLON", "ITM_0",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 "ITM_SEMICOLON", "ITM_0",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 "ITM_SEMICOLON", "ITM_0",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 "ITM_SEMICOLON", "ITM_0",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 "ITM_SEMICOLON", "ITM_0",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 "ITM_SEMICOLON", "ITM_0",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6" t="s">
        <v>151</v>
      </c>
      <c r="AS388" s="187" t="s">
        <v>175</v>
      </c>
      <c r="AT388" s="198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 "ITM_SEMICOLON", "ITM_0",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 "ITM_SEMICOLON", "ITM_0",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 "ITM_SEMICOLON", "ITM_0",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 "ITM_SEMICOLON", "ITM_0",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 "ITM_SEMICOLON", "ITM_0",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 "ITM_SEMICOLON", "ITM_0",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 "ITM_SEMICOLON", "ITM_0",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 "ITM_SEMICOLON", "ITM_0",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6" t="s">
        <v>169</v>
      </c>
      <c r="AS389" s="187" t="s">
        <v>180</v>
      </c>
      <c r="AT389" s="198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 "ITM_SEMICOLON", "ITM_0",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 "ITM_SEMICOLON", "ITM_0",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 "ITM_SEMICOLON", "ITM_0",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 "ITM_SEMICOLON", "ITM_0",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 "ITM_SEMICOLON", "ITM_0",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 "ITM_SEMICOLON", "ITM_0",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 "ITM_SEMICOLON", "ITM_0",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 "ITM_SEMICOLON", "ITM_0",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6" t="s">
        <v>174</v>
      </c>
      <c r="AS390" s="187" t="s">
        <v>186</v>
      </c>
      <c r="AT390" s="198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 "ITM_SEMICOLON", "ITM_0",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 "ITM_SEMICOLON", "ITM_0",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 "ITM_SEMICOLON", "ITM_0",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 "ITM_SEMICOLON", "ITM_0",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 "ITM_SEMICOLON", "ITM_0",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 "ITM_SEMICOLON", "ITM_0",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 "ITM_SEMICOLON", "ITM_0",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 "ITM_SEMICOLON", "ITM_0",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9" t="s">
        <v>163</v>
      </c>
      <c r="AS391" s="187" t="s">
        <v>164</v>
      </c>
      <c r="AT391" s="198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 "ITM_SEMICOLON", "ITM_0",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 "ITM_SEMICOLON", "ITM_0",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 "ITM_SEMICOLON", "ITM_0",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 "ITM_SEMICOLON", "ITM_0",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 "ITM_SEMICOLON", "ITM_0",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 "ITM_SEMICOLON", "ITM_0",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 "ITM_SEMICOLON", "ITM_0",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 "ITM_SEMICOLON", "ITM_0",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6" t="s">
        <v>179</v>
      </c>
      <c r="AS392" s="187" t="s">
        <v>199</v>
      </c>
      <c r="AT392" s="198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 "ITM_SEMICOLON", "ITM_0",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 "ITM_SEMICOLON", "ITM_0",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 "ITM_SEMICOLON", "ITM_0",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 "ITM_SEMICOLON", "ITM_0",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 "ITM_SEMICOLON", "ITM_0",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 "ITM_SEMICOLON", "ITM_0",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 "ITM_SEMICOLON", "ITM_0",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 "ITM_SEMICOLON", "ITM_0",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6" t="s">
        <v>185</v>
      </c>
      <c r="AS393" s="187" t="s">
        <v>204</v>
      </c>
      <c r="AT393" s="198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 "ITM_SEMICOLON", "ITM_0",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 "ITM_SEMICOLON", "ITM_0",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 "ITM_SEMICOLON", "ITM_0",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 "ITM_SEMICOLON", "ITM_0",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 "ITM_SEMICOLON", "ITM_0",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 "ITM_SEMICOLON", "ITM_0",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 "ITM_SEMICOLON", "ITM_0",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 "ITM_SEMICOLON", "ITM_0",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6" t="s">
        <v>198</v>
      </c>
      <c r="AS394" s="187" t="s">
        <v>209</v>
      </c>
      <c r="AT394" s="198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 "ITM_SEMICOLON", "ITM_0",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 "ITM_SEMICOLON", "ITM_0",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 "ITM_SEMICOLON", "ITM_0",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 "ITM_SEMICOLON", "ITM_0",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 "ITM_SEMICOLON", "ITM_0",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 "ITM_SEMICOLON", "ITM_0",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 "ITM_SEMICOLON", "ITM_0",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 "ITM_SEMICOLON", "ITM_0",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6" t="s">
        <v>203</v>
      </c>
      <c r="AS395" s="187" t="s">
        <v>215</v>
      </c>
      <c r="AT395" s="198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 "ITM_SEMICOLON", "ITM_0",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 "ITM_SEMICOLON", "ITM_0",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 "ITM_SEMICOLON", "ITM_0",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 "ITM_SEMICOLON", "ITM_0",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 "ITM_SEMICOLON", "ITM_0",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 "ITM_SEMICOLON", "ITM_0",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 "ITM_SEMICOLON", "ITM_0",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 "ITM_SEMICOLON", "ITM_0",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9" t="s">
        <v>192</v>
      </c>
      <c r="AS396" s="187" t="s">
        <v>193</v>
      </c>
      <c r="AT396" s="198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 "ITM_SEMICOLON", "ITM_0",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 "ITM_SEMICOLON", "ITM_0",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 "ITM_SEMICOLON", "ITM_0",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 "ITM_SEMICOLON", "ITM_0",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 "ITM_SEMICOLON", "ITM_0",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 "ITM_SEMICOLON", "ITM_0",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 "ITM_SEMICOLON", "ITM_0",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 "ITM_SEMICOLON", "ITM_0",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6" t="s">
        <v>208</v>
      </c>
      <c r="AS397" s="187" t="s">
        <v>226</v>
      </c>
      <c r="AT397" s="198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 "ITM_SEMICOLON", "ITM_0",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 "ITM_SEMICOLON", "ITM_0",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 "ITM_SEMICOLON", "ITM_0",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 "ITM_SEMICOLON", "ITM_0",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 "ITM_SEMICOLON", "ITM_0",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 "ITM_SEMICOLON", "ITM_0",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 "ITM_SEMICOLON", "ITM_0",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 "ITM_SEMICOLON", "ITM_0",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6" t="s">
        <v>214</v>
      </c>
      <c r="AS398" s="187" t="s">
        <v>230</v>
      </c>
      <c r="AT398" s="198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 "ITM_SEMICOLON", "ITM_0",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 "ITM_SEMICOLON", "ITM_0",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 "ITM_SEMICOLON", "ITM_0",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 "ITM_SEMICOLON", "ITM_0",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 "ITM_SEMICOLON", "ITM_0",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 "ITM_SEMICOLON", "ITM_0",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 "ITM_SEMICOLON", "ITM_0",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 "ITM_SEMICOLON", "ITM_0",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6" t="s">
        <v>225</v>
      </c>
      <c r="AS399" s="187" t="s">
        <v>235</v>
      </c>
      <c r="AT399" s="198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 "ITM_SEMICOLON", "ITM_0",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 "ITM_SEMICOLON", "ITM_0",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 "ITM_SEMICOLON", "ITM_0",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 "ITM_SEMICOLON", "ITM_0",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 "ITM_SEMICOLON", "ITM_0",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 "ITM_SEMICOLON", "ITM_0",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 "ITM_SEMICOLON", "ITM_0",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 "ITM_SEMICOLON", "ITM_0",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6" t="s">
        <v>229</v>
      </c>
      <c r="AS400" s="187" t="s">
        <v>240</v>
      </c>
      <c r="AT400" s="198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 "ITM_SEMICOLON", "ITM_0",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 "ITM_SEMICOLON", "ITM_0",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 "ITM_SEMICOLON", "ITM_0",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 "ITM_SEMICOLON", "ITM_0",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 "ITM_SEMICOLON", "ITM_0",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 "ITM_SEMICOLON", "ITM_0",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 "ITM_SEMICOLON", "ITM_0",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 "ITM_SEMICOLON", "ITM_0",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9" t="s">
        <v>245</v>
      </c>
      <c r="AS401" s="187" t="s">
        <v>246</v>
      </c>
      <c r="AT401" s="198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 "ITM_SEMICOLON", "ITM_0",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 "ITM_SEMICOLON", "ITM_0",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 "ITM_SEMICOLON", "ITM_0",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 "ITM_SEMICOLON", "ITM_0",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 "ITM_SEMICOLON", "ITM_0",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 "ITM_SEMICOLON", "ITM_0",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 "ITM_SEMICOLON", "ITM_0",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 "ITM_SEMICOLON", "ITM_0",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6" t="s">
        <v>234</v>
      </c>
      <c r="AS402" s="187" t="s">
        <v>252</v>
      </c>
      <c r="AT402" s="198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 "ITM_SEMICOLON", "ITM_0",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 "ITM_SEMICOLON", "ITM_0",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 "ITM_SEMICOLON", "ITM_0",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 "ITM_SEMICOLON", "ITM_0",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 "ITM_SEMICOLON", "ITM_0",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 "ITM_SEMICOLON", "ITM_0",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 "ITM_SEMICOLON", "ITM_0",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 "ITM_SEMICOLON", "ITM_0",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9" t="s">
        <v>257</v>
      </c>
      <c r="AS403" s="187" t="s">
        <v>257</v>
      </c>
      <c r="AT403" s="198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 "ITM_SEMICOLON", "ITM_0",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 "ITM_SEMICOLON", "ITM_0",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 "ITM_SEMICOLON", "ITM_0",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 "ITM_SEMICOLON", "ITM_0",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 "ITM_SEMICOLON", "ITM_0",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 "ITM_SEMICOLON", "ITM_0",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 "ITM_SEMICOLON", "ITM_0",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 "ITM_SEMICOLON", "ITM_0",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9" t="s">
        <v>262</v>
      </c>
      <c r="AS404" s="187" t="s">
        <v>262</v>
      </c>
      <c r="AT404" s="198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 "ITM_SEMICOLON", "ITM_0",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 "ITM_SEMICOLON", "ITM_0",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 "ITM_SEMICOLON", "ITM_0",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 "ITM_SEMICOLON", "ITM_0",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 "ITM_SEMICOLON", "ITM_0",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 "ITM_SEMICOLON", "ITM_0",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 "ITM_SEMICOLON", "ITM_0",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 "ITM_SEMICOLON", "ITM_0",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200" t="s">
        <v>267</v>
      </c>
      <c r="AS405" s="201" t="s">
        <v>267</v>
      </c>
      <c r="AT405" s="202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 "ITM_SEMICOLON", "ITM_0",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 "ITM_SEMICOLON", "ITM_0",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 "ITM_SEMICOLON", "ITM_0",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 "ITM_SEMICOLON", "ITM_0",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 "ITM_SEMICOLON", "ITM_0",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 "ITM_SEMICOLON", "ITM_0",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 "ITM_SEMICOLON", "ITM_0",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 "ITM_SEMICOLON", "ITM_0",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3"/>
      <c r="AS407" s="203"/>
      <c r="AT407" s="203"/>
      <c r="BG407" s="75"/>
      <c r="BI407" s="13"/>
    </row>
    <row r="408" spans="20:65" ht="22" thickBot="1" x14ac:dyDescent="0.25">
      <c r="T408" s="185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3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6" t="str">
        <f>X412</f>
        <v>R47</v>
      </c>
      <c r="AM412" s="214" t="s">
        <v>39</v>
      </c>
      <c r="AN412" s="214"/>
      <c r="AO412" s="214"/>
      <c r="AP412" s="71" t="s">
        <v>40</v>
      </c>
      <c r="AQ412" s="31" t="s">
        <v>41</v>
      </c>
      <c r="AR412" s="190" t="s">
        <v>42</v>
      </c>
      <c r="AS412" s="191" t="s">
        <v>42</v>
      </c>
      <c r="AT412" s="192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3" t="s">
        <v>51</v>
      </c>
      <c r="AS414" s="194" t="s">
        <v>638</v>
      </c>
      <c r="AT414" s="195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 "ITM_SEMICOLON", "ITM_0",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 "ITM_SEMICOLON", "ITM_0",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 "ITM_SEMICOLON", "ITM_0",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 "ITM_SEMICOLON", "ITM_0",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 "ITM_SEMICOLON", "ITM_0",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 "ITM_SEMICOLON", "ITM_0",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 "ITM_SEMICOLON", "ITM_0",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 "ITM_SEMICOLON", "ITM_0",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6" t="s">
        <v>58</v>
      </c>
      <c r="AS415" s="187" t="s">
        <v>66</v>
      </c>
      <c r="AT415" s="197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 "ITM_SEMICOLON", "ITM_0",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 "ITM_SEMICOLON", "ITM_0",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 "ITM_SEMICOLON", "ITM_0",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 "ITM_SEMICOLON", "ITM_0",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 "ITM_SEMICOLON", "ITM_0",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 "ITM_SEMICOLON", "ITM_0",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 "ITM_SEMICOLON", "ITM_0",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 "ITM_SEMICOLON", "ITM_0",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6" t="s">
        <v>65</v>
      </c>
      <c r="AS416" s="187" t="s">
        <v>635</v>
      </c>
      <c r="AT416" s="197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 "ITM_SEMICOLON", "ITM_0",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 "ITM_SEMICOLON", "ITM_0",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 "ITM_SEMICOLON", "ITM_0",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 "ITM_SEMICOLON", "ITM_0",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 "ITM_SEMICOLON", "ITM_0",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 "ITM_SEMICOLON", "ITM_0",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 "ITM_SEMICOLON", "ITM_0",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 "ITM_SEMICOLON", "ITM_0",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6" t="s">
        <v>72</v>
      </c>
      <c r="AS417" s="187" t="s">
        <v>59</v>
      </c>
      <c r="AT417" s="197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 "ITM_SEMICOLON", "ITM_0",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 "ITM_SEMICOLON", "ITM_0",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 "ITM_SEMICOLON", "ITM_0",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 "ITM_SEMICOLON", "ITM_0",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 "ITM_SEMICOLON", "ITM_0",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 "ITM_SEMICOLON", "ITM_0",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 "ITM_SEMICOLON", "ITM_0",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 "ITM_SEMICOLON", "ITM_0",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6" t="s">
        <v>79</v>
      </c>
      <c r="AS418" s="187" t="s">
        <v>637</v>
      </c>
      <c r="AT418" s="198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 "ITM_SEMICOLON", "ITM_0",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 "ITM_SEMICOLON", "ITM_0",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 "ITM_SEMICOLON", "ITM_0",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 "ITM_SEMICOLON", "ITM_0",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 "ITM_SEMICOLON", "ITM_0",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 "ITM_SEMICOLON", "ITM_0",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 "ITM_SEMICOLON", "ITM_0",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 "ITM_SEMICOLON", "ITM_0",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 xml:space="preserve"> 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6" t="s">
        <v>86</v>
      </c>
      <c r="AS419" s="187" t="s">
        <v>283</v>
      </c>
      <c r="AT419" s="198" t="s">
        <v>81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 "ITM_SEMICOLON", "ITM_0",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 "ITM_SEMICOLON", "ITM_0",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 "ITM_SEMICOLON", "ITM_0",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 "ITM_SEMICOLON", "ITM_0",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 "ITM_SEMICOLON", "ITM_0",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 "ITM_SEMICOLON", "ITM_0",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 "ITM_SEMICOLON", "ITM_0",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 "ITM_SEMICOLON", "ITM_0", AT419), ".lo", ),"MNU_", "-MNU_")</f>
        <v>ITM_NULL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6" t="s">
        <v>92</v>
      </c>
      <c r="AS420" s="187" t="s">
        <v>93</v>
      </c>
      <c r="AT420" s="198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 "ITM_SEMICOLON", "ITM_0",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 "ITM_SEMICOLON", "ITM_0",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 "ITM_SEMICOLON", "ITM_0",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 "ITM_SEMICOLON", "ITM_0",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 "ITM_SEMICOLON", "ITM_0",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 "ITM_SEMICOLON", "ITM_0",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 "ITM_SEMICOLON", "ITM_0",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 "ITM_SEMICOLON", "ITM_0",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>#16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6" t="s">
        <v>98</v>
      </c>
      <c r="AS421" s="187" t="s">
        <v>99</v>
      </c>
      <c r="AT421" s="198" t="s">
        <v>100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 "ITM_SEMICOLON", "ITM_0",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 "ITM_SEMICOLON", "ITM_0",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 "ITM_SEMICOLON", "ITM_0",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 "ITM_SEMICOLON", "ITM_0",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 "ITM_SEMICOLON", "ITM_0",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 "ITM_SEMICOLON", "ITM_0",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 "ITM_SEMICOLON", "ITM_0",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 "ITM_SEMICOLON", "ITM_0", AT421), ".lo", ),"MNU_", "-MNU_")</f>
        <v>ITM_HEX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6" t="s">
        <v>105</v>
      </c>
      <c r="AS422" s="187" t="s">
        <v>106</v>
      </c>
      <c r="AT422" s="197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 "ITM_SEMICOLON", "ITM_0",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 "ITM_SEMICOLON", "ITM_0",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 "ITM_SEMICOLON", "ITM_0",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 "ITM_SEMICOLON", "ITM_0",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 "ITM_SEMICOLON", "ITM_0",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 "ITM_SEMICOLON", "ITM_0",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 "ITM_SEMICOLON", "ITM_0",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 "ITM_SEMICOLON", "ITM_0",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6" t="s">
        <v>112</v>
      </c>
      <c r="AS423" s="187" t="s">
        <v>642</v>
      </c>
      <c r="AT423" s="197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 "ITM_SEMICOLON", "ITM_0",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 "ITM_SEMICOLON", "ITM_0",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 "ITM_SEMICOLON", "ITM_0",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 "ITM_SEMICOLON", "ITM_0",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 "ITM_SEMICOLON", "ITM_0",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 "ITM_SEMICOLON", "ITM_0",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 "ITM_SEMICOLON", "ITM_0",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 "ITM_SEMICOLON", "ITM_0",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80" t="s">
        <v>218</v>
      </c>
      <c r="AG424" s="77" t="b">
        <f t="shared" si="153"/>
        <v>1</v>
      </c>
      <c r="AH424" s="83" t="str">
        <f t="shared" si="144"/>
        <v xml:space="preserve"> 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ITM_NULL</v>
      </c>
      <c r="AR424" s="199" t="s">
        <v>81</v>
      </c>
      <c r="AS424" s="187" t="s">
        <v>81</v>
      </c>
      <c r="AT424" s="198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 "ITM_SEMICOLON", "ITM_0",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 "ITM_SEMICOLON", "ITM_0",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 "ITM_SEMICOLON", "ITM_0",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 "ITM_SEMICOLON", "ITM_0",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 "ITM_SEMICOLON", "ITM_0", AQ424), ".lo", ),"MNU_", "-MNU_")</f>
        <v>ITM_NULL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 "ITM_SEMICOLON", "ITM_0",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 "ITM_SEMICOLON", "ITM_0",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 "ITM_SEMICOLON", "ITM_0",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ITM_NULL,  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81" t="s">
        <v>218</v>
      </c>
      <c r="AG425" s="77" t="b">
        <f t="shared" si="153"/>
        <v>1</v>
      </c>
      <c r="AH425" s="83" t="str">
        <f t="shared" si="144"/>
        <v xml:space="preserve"> </v>
      </c>
      <c r="AI425" s="84" t="str">
        <f t="shared" si="145"/>
        <v xml:space="preserve"> 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ITM_NULL</v>
      </c>
      <c r="AR425" s="199" t="s">
        <v>81</v>
      </c>
      <c r="AS425" s="187" t="s">
        <v>81</v>
      </c>
      <c r="AT425" s="198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 "ITM_SEMICOLON", "ITM_0",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 "ITM_SEMICOLON", "ITM_0",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 "ITM_SEMICOLON", "ITM_0",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 "ITM_SEMICOLON", "ITM_0",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 "ITM_SEMICOLON", "ITM_0", AQ425), ".lo", ),"MNU_", "-MNU_")</f>
        <v>ITM_NULL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 "ITM_SEMICOLON", "ITM_0",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 "ITM_SEMICOLON", "ITM_0",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 "ITM_SEMICOLON", "ITM_0",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ITM_NULL,  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9" t="s">
        <v>132</v>
      </c>
      <c r="AS426" s="187" t="s">
        <v>133</v>
      </c>
      <c r="AT426" s="198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 "ITM_SEMICOLON", "ITM_0",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 "ITM_SEMICOLON", "ITM_0",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 "ITM_SEMICOLON", "ITM_0",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 "ITM_SEMICOLON", "ITM_0",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 "ITM_SEMICOLON", "ITM_0",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 "ITM_SEMICOLON", "ITM_0",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 "ITM_SEMICOLON", "ITM_0",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 "ITM_SEMICOLON", "ITM_0",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6" t="s">
        <v>119</v>
      </c>
      <c r="AS427" s="187" t="s">
        <v>140</v>
      </c>
      <c r="AT427" s="197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 "ITM_SEMICOLON", "ITM_0",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 "ITM_SEMICOLON", "ITM_0",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 "ITM_SEMICOLON", "ITM_0",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 "ITM_SEMICOLON", "ITM_0",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 "ITM_SEMICOLON", "ITM_0",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 "ITM_SEMICOLON", "ITM_0",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 "ITM_SEMICOLON", "ITM_0",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 "ITM_SEMICOLON", "ITM_0",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6" t="s">
        <v>126</v>
      </c>
      <c r="AS428" s="187" t="s">
        <v>146</v>
      </c>
      <c r="AT428" s="197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 "ITM_SEMICOLON", "ITM_0",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 "ITM_SEMICOLON", "ITM_0",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 "ITM_SEMICOLON", "ITM_0",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 "ITM_SEMICOLON", "ITM_0",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 "ITM_SEMICOLON", "ITM_0",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 "ITM_SEMICOLON", "ITM_0",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 "ITM_SEMICOLON", "ITM_0",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 "ITM_SEMICOLON", "ITM_0",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 xml:space="preserve"> 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6" t="s">
        <v>139</v>
      </c>
      <c r="AS429" s="187" t="s">
        <v>152</v>
      </c>
      <c r="AT429" s="198" t="s">
        <v>81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 "ITM_SEMICOLON", "ITM_0",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 "ITM_SEMICOLON", "ITM_0",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 "ITM_SEMICOLON", "ITM_0",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 "ITM_SEMICOLON", "ITM_0",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 "ITM_SEMICOLON", "ITM_0",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 "ITM_SEMICOLON", "ITM_0",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 "ITM_SEMICOLON", "ITM_0",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 "ITM_SEMICOLON", "ITM_0", AT429), ".lo", ),"MNU_", "-MNU_")</f>
        <v>ITM_NULL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ITM_NULL 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9" t="s">
        <v>157</v>
      </c>
      <c r="AS430" s="187" t="s">
        <v>157</v>
      </c>
      <c r="AT430" s="198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 "ITM_SEMICOLON", "ITM_0",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 "ITM_SEMICOLON", "ITM_0",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 "ITM_SEMICOLON", "ITM_0",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 "ITM_SEMICOLON", "ITM_0",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 "ITM_SEMICOLON", "ITM_0",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 "ITM_SEMICOLON", "ITM_0",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 "ITM_SEMICOLON", "ITM_0",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 "ITM_SEMICOLON", "ITM_0",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49" t="str">
        <f>" "</f>
        <v xml:space="preserve"> </v>
      </c>
      <c r="AG431" s="77" t="b">
        <f t="shared" si="153"/>
        <v>1</v>
      </c>
      <c r="AH431" s="83" t="str">
        <f t="shared" si="144"/>
        <v xml:space="preserve"> </v>
      </c>
      <c r="AI431" s="84" t="str">
        <f t="shared" si="145"/>
        <v>alpha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ITM_NULL</v>
      </c>
      <c r="AR431" s="199" t="s">
        <v>81</v>
      </c>
      <c r="AS431" s="187" t="s">
        <v>87</v>
      </c>
      <c r="AT431" s="198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 "ITM_SEMICOLON", "ITM_0",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 "ITM_SEMICOLON", "ITM_0",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 "ITM_SEMICOLON", "ITM_0",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 "ITM_SEMICOLON", "ITM_0",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 "ITM_SEMICOLON", "ITM_0", AQ431), ".lo", ),"MNU_", "-MNU_")</f>
        <v>ITM_NULL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 "ITM_SEMICOLON", "ITM_0", AR431), ".lo", ),"MNU_", "-MNU_")</f>
        <v>ITM_NULL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 "ITM_SEMICOLON", "ITM_0", AS431), ".lo", ),"MNU_", "-MNU_")</f>
        <v>ITM_alpha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 "ITM_SEMICOLON", "ITM_0",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ITM_NULL,             ITM_NULL,             ITM_alpha,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6" t="s">
        <v>145</v>
      </c>
      <c r="AS432" s="187" t="s">
        <v>170</v>
      </c>
      <c r="AT432" s="198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 "ITM_SEMICOLON", "ITM_0",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 "ITM_SEMICOLON", "ITM_0",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 "ITM_SEMICOLON", "ITM_0",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 "ITM_SEMICOLON", "ITM_0",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 "ITM_SEMICOLON", "ITM_0",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 "ITM_SEMICOLON", "ITM_0",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 "ITM_SEMICOLON", "ITM_0",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 "ITM_SEMICOLON", "ITM_0",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6" t="s">
        <v>151</v>
      </c>
      <c r="AS433" s="187" t="s">
        <v>175</v>
      </c>
      <c r="AT433" s="198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 "ITM_SEMICOLON", "ITM_0",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 "ITM_SEMICOLON", "ITM_0",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 "ITM_SEMICOLON", "ITM_0",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 "ITM_SEMICOLON", "ITM_0",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 "ITM_SEMICOLON", "ITM_0",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 "ITM_SEMICOLON", "ITM_0",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 "ITM_SEMICOLON", "ITM_0",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 "ITM_SEMICOLON", "ITM_0",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6" t="s">
        <v>169</v>
      </c>
      <c r="AS434" s="187" t="s">
        <v>180</v>
      </c>
      <c r="AT434" s="198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 "ITM_SEMICOLON", "ITM_0",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 "ITM_SEMICOLON", "ITM_0",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 "ITM_SEMICOLON", "ITM_0",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 "ITM_SEMICOLON", "ITM_0",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 "ITM_SEMICOLON", "ITM_0",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 "ITM_SEMICOLON", "ITM_0",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 "ITM_SEMICOLON", "ITM_0",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 "ITM_SEMICOLON", "ITM_0",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6" t="s">
        <v>174</v>
      </c>
      <c r="AS435" s="187" t="s">
        <v>186</v>
      </c>
      <c r="AT435" s="198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 "ITM_SEMICOLON", "ITM_0",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 "ITM_SEMICOLON", "ITM_0",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 "ITM_SEMICOLON", "ITM_0",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 "ITM_SEMICOLON", "ITM_0",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 "ITM_SEMICOLON", "ITM_0",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 "ITM_SEMICOLON", "ITM_0",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 "ITM_SEMICOLON", "ITM_0",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 "ITM_SEMICOLON", "ITM_0",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9" t="s">
        <v>163</v>
      </c>
      <c r="AS436" s="187" t="s">
        <v>164</v>
      </c>
      <c r="AT436" s="198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 "ITM_SEMICOLON", "ITM_0",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 "ITM_SEMICOLON", "ITM_0",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 "ITM_SEMICOLON", "ITM_0",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 "ITM_SEMICOLON", "ITM_0",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 "ITM_SEMICOLON", "ITM_0",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 "ITM_SEMICOLON", "ITM_0",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 "ITM_SEMICOLON", "ITM_0",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 "ITM_SEMICOLON", "ITM_0",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6" t="s">
        <v>179</v>
      </c>
      <c r="AS437" s="187" t="s">
        <v>199</v>
      </c>
      <c r="AT437" s="198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 "ITM_SEMICOLON", "ITM_0",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 "ITM_SEMICOLON", "ITM_0",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 "ITM_SEMICOLON", "ITM_0",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 "ITM_SEMICOLON", "ITM_0",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 "ITM_SEMICOLON", "ITM_0",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 "ITM_SEMICOLON", "ITM_0",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 "ITM_SEMICOLON", "ITM_0",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 "ITM_SEMICOLON", "ITM_0",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6" t="s">
        <v>185</v>
      </c>
      <c r="AS438" s="187" t="s">
        <v>204</v>
      </c>
      <c r="AT438" s="198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 "ITM_SEMICOLON", "ITM_0",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 "ITM_SEMICOLON", "ITM_0",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 "ITM_SEMICOLON", "ITM_0",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 "ITM_SEMICOLON", "ITM_0",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 "ITM_SEMICOLON", "ITM_0",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 "ITM_SEMICOLON", "ITM_0",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 "ITM_SEMICOLON", "ITM_0",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 "ITM_SEMICOLON", "ITM_0",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6" t="s">
        <v>198</v>
      </c>
      <c r="AS439" s="187" t="s">
        <v>209</v>
      </c>
      <c r="AT439" s="198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 "ITM_SEMICOLON", "ITM_0",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 "ITM_SEMICOLON", "ITM_0",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 "ITM_SEMICOLON", "ITM_0",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 "ITM_SEMICOLON", "ITM_0",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 "ITM_SEMICOLON", "ITM_0",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 "ITM_SEMICOLON", "ITM_0",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 "ITM_SEMICOLON", "ITM_0",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 "ITM_SEMICOLON", "ITM_0",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6" t="s">
        <v>203</v>
      </c>
      <c r="AS440" s="187" t="s">
        <v>215</v>
      </c>
      <c r="AT440" s="198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 "ITM_SEMICOLON", "ITM_0",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 "ITM_SEMICOLON", "ITM_0",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 "ITM_SEMICOLON", "ITM_0",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 "ITM_SEMICOLON", "ITM_0",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 "ITM_SEMICOLON", "ITM_0",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 "ITM_SEMICOLON", "ITM_0",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 "ITM_SEMICOLON", "ITM_0",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 "ITM_SEMICOLON", "ITM_0",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9" t="s">
        <v>192</v>
      </c>
      <c r="AS441" s="187" t="s">
        <v>193</v>
      </c>
      <c r="AT441" s="198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 "ITM_SEMICOLON", "ITM_0",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 "ITM_SEMICOLON", "ITM_0",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 "ITM_SEMICOLON", "ITM_0",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 "ITM_SEMICOLON", "ITM_0",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 "ITM_SEMICOLON", "ITM_0",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 "ITM_SEMICOLON", "ITM_0",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 "ITM_SEMICOLON", "ITM_0",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 "ITM_SEMICOLON", "ITM_0",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6" t="s">
        <v>208</v>
      </c>
      <c r="AS442" s="187" t="s">
        <v>226</v>
      </c>
      <c r="AT442" s="198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 "ITM_SEMICOLON", "ITM_0",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 "ITM_SEMICOLON", "ITM_0",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 "ITM_SEMICOLON", "ITM_0",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 "ITM_SEMICOLON", "ITM_0",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 "ITM_SEMICOLON", "ITM_0",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 "ITM_SEMICOLON", "ITM_0",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 "ITM_SEMICOLON", "ITM_0",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 "ITM_SEMICOLON", "ITM_0",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6" t="s">
        <v>214</v>
      </c>
      <c r="AS443" s="187" t="s">
        <v>230</v>
      </c>
      <c r="AT443" s="198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 "ITM_SEMICOLON", "ITM_0",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 "ITM_SEMICOLON", "ITM_0",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 "ITM_SEMICOLON", "ITM_0",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 "ITM_SEMICOLON", "ITM_0",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 "ITM_SEMICOLON", "ITM_0",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 "ITM_SEMICOLON", "ITM_0",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 "ITM_SEMICOLON", "ITM_0",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 "ITM_SEMICOLON", "ITM_0",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6" t="s">
        <v>225</v>
      </c>
      <c r="AS444" s="187" t="s">
        <v>235</v>
      </c>
      <c r="AT444" s="198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 "ITM_SEMICOLON", "ITM_0",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 "ITM_SEMICOLON", "ITM_0",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 "ITM_SEMICOLON", "ITM_0",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 "ITM_SEMICOLON", "ITM_0",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 "ITM_SEMICOLON", "ITM_0",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 "ITM_SEMICOLON", "ITM_0",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 "ITM_SEMICOLON", "ITM_0",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 "ITM_SEMICOLON", "ITM_0",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6" t="s">
        <v>229</v>
      </c>
      <c r="AS445" s="187" t="s">
        <v>240</v>
      </c>
      <c r="AT445" s="198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 "ITM_SEMICOLON", "ITM_0",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 "ITM_SEMICOLON", "ITM_0",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 "ITM_SEMICOLON", "ITM_0",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 "ITM_SEMICOLON", "ITM_0",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 "ITM_SEMICOLON", "ITM_0",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 "ITM_SEMICOLON", "ITM_0",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 "ITM_SEMICOLON", "ITM_0",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 "ITM_SEMICOLON", "ITM_0",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9" t="s">
        <v>245</v>
      </c>
      <c r="AS446" s="187" t="s">
        <v>246</v>
      </c>
      <c r="AT446" s="198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 "ITM_SEMICOLON", "ITM_0",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 "ITM_SEMICOLON", "ITM_0",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 "ITM_SEMICOLON", "ITM_0",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 "ITM_SEMICOLON", "ITM_0",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 "ITM_SEMICOLON", "ITM_0",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 "ITM_SEMICOLON", "ITM_0",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 "ITM_SEMICOLON", "ITM_0",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 "ITM_SEMICOLON", "ITM_0",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6" t="s">
        <v>234</v>
      </c>
      <c r="AS447" s="187" t="s">
        <v>252</v>
      </c>
      <c r="AT447" s="198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 "ITM_SEMICOLON", "ITM_0",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 "ITM_SEMICOLON", "ITM_0",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 "ITM_SEMICOLON", "ITM_0",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 "ITM_SEMICOLON", "ITM_0",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 "ITM_SEMICOLON", "ITM_0",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 "ITM_SEMICOLON", "ITM_0",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 "ITM_SEMICOLON", "ITM_0",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 "ITM_SEMICOLON", "ITM_0",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12" t="s">
        <v>251</v>
      </c>
      <c r="AS448" s="208" t="s">
        <v>257</v>
      </c>
      <c r="AT448" s="198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 "ITM_SEMICOLON", "ITM_0",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 "ITM_SEMICOLON", "ITM_0",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 "ITM_SEMICOLON", "ITM_0",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 "ITM_SEMICOLON", "ITM_0",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 "ITM_SEMICOLON", "ITM_0", AQ448), ".lo", ),"MNU_", "-MNU_")</f>
        <v>ITM_COMMA</v>
      </c>
      <c r="BC448" s="157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 "ITM_SEMICOLON", "ITM_0", AR448), ".lo", ),"MNU_", "-MNU_")</f>
        <v>ITM_0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 "ITM_SEMICOLON", "ITM_0",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 "ITM_SEMICOLON", "ITM_0",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ITM_0,        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2" t="s">
        <v>484</v>
      </c>
      <c r="AS449" s="208" t="s">
        <v>262</v>
      </c>
      <c r="AT449" s="198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 "ITM_SEMICOLON", "ITM_0",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 "ITM_SEMICOLON", "ITM_0",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 "ITM_SEMICOLON", "ITM_0",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 "ITM_SEMICOLON", "ITM_0",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 "ITM_SEMICOLON", "ITM_0",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 "ITM_SEMICOLON", "ITM_0",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 "ITM_SEMICOLON", "ITM_0",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 "ITM_SEMICOLON", "ITM_0",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3" t="s">
        <v>650</v>
      </c>
      <c r="AS450" s="209" t="s">
        <v>267</v>
      </c>
      <c r="AT450" s="202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 "ITM_SEMICOLON", "ITM_0",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 "ITM_SEMICOLON", "ITM_0",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 "ITM_SEMICOLON", "ITM_0",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 "ITM_SEMICOLON", "ITM_0",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 "ITM_SEMICOLON", "ITM_0",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 "ITM_SEMICOLON", "ITM_0",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 "ITM_SEMICOLON", "ITM_0",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 "ITM_SEMICOLON", "ITM_0",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3"/>
      <c r="AS451" s="203"/>
      <c r="AT451" s="203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3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6" t="str">
        <f>X457</f>
        <v>R47bkfg</v>
      </c>
      <c r="AM457" s="214" t="s">
        <v>39</v>
      </c>
      <c r="AN457" s="214"/>
      <c r="AO457" s="214"/>
      <c r="AP457" s="71" t="s">
        <v>40</v>
      </c>
      <c r="AQ457" s="31" t="s">
        <v>41</v>
      </c>
      <c r="AR457" s="190" t="s">
        <v>42</v>
      </c>
      <c r="AS457" s="191" t="s">
        <v>42</v>
      </c>
      <c r="AT457" s="192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3" t="s">
        <v>51</v>
      </c>
      <c r="AS459" s="194" t="s">
        <v>638</v>
      </c>
      <c r="AT459" s="195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 "ITM_SEMICOLON", "ITM_0",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 "ITM_SEMICOLON", "ITM_0",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 "ITM_SEMICOLON", "ITM_0",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 "ITM_SEMICOLON", "ITM_0",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 "ITM_SEMICOLON", "ITM_0",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 "ITM_SEMICOLON", "ITM_0",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 "ITM_SEMICOLON", "ITM_0",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 "ITM_SEMICOLON", "ITM_0",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6" t="s">
        <v>58</v>
      </c>
      <c r="AS460" s="187" t="s">
        <v>66</v>
      </c>
      <c r="AT460" s="197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 "ITM_SEMICOLON", "ITM_0",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 "ITM_SEMICOLON", "ITM_0",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 "ITM_SEMICOLON", "ITM_0",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 "ITM_SEMICOLON", "ITM_0",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 "ITM_SEMICOLON", "ITM_0",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 "ITM_SEMICOLON", "ITM_0",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 "ITM_SEMICOLON", "ITM_0",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 "ITM_SEMICOLON", "ITM_0",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6" t="s">
        <v>65</v>
      </c>
      <c r="AS461" s="187" t="s">
        <v>635</v>
      </c>
      <c r="AT461" s="197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 "ITM_SEMICOLON", "ITM_0",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 "ITM_SEMICOLON", "ITM_0",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 "ITM_SEMICOLON", "ITM_0",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 "ITM_SEMICOLON", "ITM_0",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 "ITM_SEMICOLON", "ITM_0",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 "ITM_SEMICOLON", "ITM_0",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 "ITM_SEMICOLON", "ITM_0",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 "ITM_SEMICOLON", "ITM_0",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6" t="s">
        <v>72</v>
      </c>
      <c r="AS462" s="187" t="s">
        <v>59</v>
      </c>
      <c r="AT462" s="197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 "ITM_SEMICOLON", "ITM_0",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 "ITM_SEMICOLON", "ITM_0",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 "ITM_SEMICOLON", "ITM_0",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 "ITM_SEMICOLON", "ITM_0",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 "ITM_SEMICOLON", "ITM_0",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 "ITM_SEMICOLON", "ITM_0",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 "ITM_SEMICOLON", "ITM_0",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 "ITM_SEMICOLON", "ITM_0",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6" t="s">
        <v>79</v>
      </c>
      <c r="AS463" s="187" t="s">
        <v>637</v>
      </c>
      <c r="AT463" s="198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 "ITM_SEMICOLON", "ITM_0",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 "ITM_SEMICOLON", "ITM_0",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 "ITM_SEMICOLON", "ITM_0",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 "ITM_SEMICOLON", "ITM_0",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 "ITM_SEMICOLON", "ITM_0",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 "ITM_SEMICOLON", "ITM_0",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 "ITM_SEMICOLON", "ITM_0",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 "ITM_SEMICOLON", "ITM_0",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 xml:space="preserve"> 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6" t="s">
        <v>86</v>
      </c>
      <c r="AS464" s="187" t="s">
        <v>283</v>
      </c>
      <c r="AT464" s="198" t="s">
        <v>81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 "ITM_SEMICOLON", "ITM_0",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 "ITM_SEMICOLON", "ITM_0",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 "ITM_SEMICOLON", "ITM_0",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 "ITM_SEMICOLON", "ITM_0",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 "ITM_SEMICOLON", "ITM_0",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 "ITM_SEMICOLON", "ITM_0",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 "ITM_SEMICOLON", "ITM_0",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 "ITM_SEMICOLON", "ITM_0", AT464), ".lo", ),"MNU_", "-MNU_")</f>
        <v>ITM_NULL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6" t="s">
        <v>92</v>
      </c>
      <c r="AS465" s="187" t="s">
        <v>93</v>
      </c>
      <c r="AT465" s="198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 "ITM_SEMICOLON", "ITM_0",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 "ITM_SEMICOLON", "ITM_0",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 "ITM_SEMICOLON", "ITM_0",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 "ITM_SEMICOLON", "ITM_0",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 "ITM_SEMICOLON", "ITM_0",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 "ITM_SEMICOLON", "ITM_0",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 "ITM_SEMICOLON", "ITM_0",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 "ITM_SEMICOLON", "ITM_0",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>#16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6" t="s">
        <v>98</v>
      </c>
      <c r="AS466" s="187" t="s">
        <v>99</v>
      </c>
      <c r="AT466" s="198" t="s">
        <v>100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 "ITM_SEMICOLON", "ITM_0",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 "ITM_SEMICOLON", "ITM_0",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 "ITM_SEMICOLON", "ITM_0",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 "ITM_SEMICOLON", "ITM_0",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 "ITM_SEMICOLON", "ITM_0",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 "ITM_SEMICOLON", "ITM_0",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 "ITM_SEMICOLON", "ITM_0",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 "ITM_SEMICOLON", "ITM_0", AT466), ".lo", ),"MNU_", "-MNU_")</f>
        <v>ITM_HEX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6" t="s">
        <v>105</v>
      </c>
      <c r="AS467" s="187" t="s">
        <v>106</v>
      </c>
      <c r="AT467" s="197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 "ITM_SEMICOLON", "ITM_0",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 "ITM_SEMICOLON", "ITM_0",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 "ITM_SEMICOLON", "ITM_0",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 "ITM_SEMICOLON", "ITM_0",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 "ITM_SEMICOLON", "ITM_0",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 "ITM_SEMICOLON", "ITM_0",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 "ITM_SEMICOLON", "ITM_0",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 "ITM_SEMICOLON", "ITM_0",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6" t="s">
        <v>112</v>
      </c>
      <c r="AS468" s="187" t="s">
        <v>642</v>
      </c>
      <c r="AT468" s="197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 "ITM_SEMICOLON", "ITM_0",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 "ITM_SEMICOLON", "ITM_0",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 "ITM_SEMICOLON", "ITM_0",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 "ITM_SEMICOLON", "ITM_0",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 "ITM_SEMICOLON", "ITM_0",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 "ITM_SEMICOLON", "ITM_0",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 "ITM_SEMICOLON", "ITM_0",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 "ITM_SEMICOLON", "ITM_0",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2" t="s">
        <v>218</v>
      </c>
      <c r="AD469" s="182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f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199" t="s">
        <v>81</v>
      </c>
      <c r="AS469" s="187" t="s">
        <v>81</v>
      </c>
      <c r="AT469" s="198" t="s">
        <v>340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 "ITM_SEMICOLON", "ITM_0",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 "ITM_SEMICOLON", "ITM_0",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 "ITM_SEMICOLON", "ITM_0",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 "ITM_SEMICOLON", "ITM_0",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 "ITM_SEMICOLON", "ITM_0",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 "ITM_SEMICOLON", "ITM_0",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 "ITM_SEMICOLON", "ITM_0",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 "ITM_SEMICOLON", "ITM_0", AT469), ".lo", ),"MNU_", "-MNU_")</f>
        <v>ITM_SHIFTf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ITM_SHIFTf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3" t="s">
        <v>218</v>
      </c>
      <c r="AD470" s="183" t="s">
        <v>218</v>
      </c>
      <c r="AE470" s="3"/>
      <c r="AF470" s="181" t="s">
        <v>218</v>
      </c>
      <c r="AG470" s="77" t="b">
        <f t="shared" si="175"/>
        <v>1</v>
      </c>
      <c r="AH470" s="83" t="str">
        <f t="shared" si="165"/>
        <v xml:space="preserve"> </v>
      </c>
      <c r="AI470" s="84" t="str">
        <f t="shared" si="166"/>
        <v xml:space="preserve"> </v>
      </c>
      <c r="AJ470" s="85" t="str">
        <f t="shared" si="167"/>
        <v xml:space="preserve"> g 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ITM_NULL</v>
      </c>
      <c r="AR470" s="199" t="s">
        <v>81</v>
      </c>
      <c r="AS470" s="187" t="s">
        <v>81</v>
      </c>
      <c r="AT470" s="198" t="s">
        <v>343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 "ITM_SEMICOLON", "ITM_0",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 "ITM_SEMICOLON", "ITM_0",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 "ITM_SEMICOLON", "ITM_0",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 "ITM_SEMICOLON", "ITM_0",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 "ITM_SEMICOLON", "ITM_0", AQ470), ".lo", ),"MNU_", "-MNU_")</f>
        <v>ITM_NULL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 "ITM_SEMICOLON", "ITM_0",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 "ITM_SEMICOLON", "ITM_0",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 "ITM_SEMICOLON", "ITM_0", AT470), ".lo", ),"MNU_", "-MNU_")</f>
        <v>ITM_SHIFTg</v>
      </c>
      <c r="BG470" s="75"/>
      <c r="BI470" s="13" t="str">
        <f t="shared" si="173"/>
        <v xml:space="preserve">  {36,                  KEY_fg,               ITM_NULL,             ITM_NULL,             KEY_fg,               ITM_NULL,             ITM_NULL,             ITM_NULL,             ITM_SHIFTg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9" t="s">
        <v>132</v>
      </c>
      <c r="AS471" s="187" t="s">
        <v>133</v>
      </c>
      <c r="AT471" s="198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 "ITM_SEMICOLON", "ITM_0",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 "ITM_SEMICOLON", "ITM_0",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 "ITM_SEMICOLON", "ITM_0",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 "ITM_SEMICOLON", "ITM_0",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 "ITM_SEMICOLON", "ITM_0",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 "ITM_SEMICOLON", "ITM_0",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 "ITM_SEMICOLON", "ITM_0",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 "ITM_SEMICOLON", "ITM_0",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6" t="s">
        <v>119</v>
      </c>
      <c r="AS472" s="187" t="s">
        <v>140</v>
      </c>
      <c r="AT472" s="197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 "ITM_SEMICOLON", "ITM_0",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 "ITM_SEMICOLON", "ITM_0",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 "ITM_SEMICOLON", "ITM_0",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 "ITM_SEMICOLON", "ITM_0",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 "ITM_SEMICOLON", "ITM_0",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 "ITM_SEMICOLON", "ITM_0",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 "ITM_SEMICOLON", "ITM_0",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 "ITM_SEMICOLON", "ITM_0",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6" t="s">
        <v>126</v>
      </c>
      <c r="AS473" s="187" t="s">
        <v>146</v>
      </c>
      <c r="AT473" s="197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 "ITM_SEMICOLON", "ITM_0",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 "ITM_SEMICOLON", "ITM_0",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 "ITM_SEMICOLON", "ITM_0",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 "ITM_SEMICOLON", "ITM_0",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 "ITM_SEMICOLON", "ITM_0",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 "ITM_SEMICOLON", "ITM_0",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 "ITM_SEMICOLON", "ITM_0",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 "ITM_SEMICOLON", "ITM_0",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 xml:space="preserve"> 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6" t="s">
        <v>139</v>
      </c>
      <c r="AS474" s="187" t="s">
        <v>152</v>
      </c>
      <c r="AT474" s="198" t="s">
        <v>81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 "ITM_SEMICOLON", "ITM_0",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 "ITM_SEMICOLON", "ITM_0",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 "ITM_SEMICOLON", "ITM_0",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 "ITM_SEMICOLON", "ITM_0",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 "ITM_SEMICOLON", "ITM_0",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 "ITM_SEMICOLON", "ITM_0",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 "ITM_SEMICOLON", "ITM_0",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 "ITM_SEMICOLON", "ITM_0", AT474), ".lo", ),"MNU_", "-MNU_")</f>
        <v>ITM_NULL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ITM_NULL 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9" t="s">
        <v>157</v>
      </c>
      <c r="AS475" s="187" t="s">
        <v>157</v>
      </c>
      <c r="AT475" s="198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 "ITM_SEMICOLON", "ITM_0",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 "ITM_SEMICOLON", "ITM_0",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 "ITM_SEMICOLON", "ITM_0",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 "ITM_SEMICOLON", "ITM_0",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 "ITM_SEMICOLON", "ITM_0",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 "ITM_SEMICOLON", "ITM_0",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 "ITM_SEMICOLON", "ITM_0",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 "ITM_SEMICOLON", "ITM_0",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 xml:space="preserve"> </v>
      </c>
      <c r="AG476" s="77" t="b">
        <f t="shared" si="175"/>
        <v>1</v>
      </c>
      <c r="AH476" s="83" t="str">
        <f t="shared" si="165"/>
        <v xml:space="preserve"> </v>
      </c>
      <c r="AI476" s="84" t="str">
        <f t="shared" si="166"/>
        <v>alpha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ITM_NULL</v>
      </c>
      <c r="AR476" s="199" t="s">
        <v>81</v>
      </c>
      <c r="AS476" s="187" t="s">
        <v>87</v>
      </c>
      <c r="AT476" s="198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 "ITM_SEMICOLON", "ITM_0",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 "ITM_SEMICOLON", "ITM_0",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 "ITM_SEMICOLON", "ITM_0",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 "ITM_SEMICOLON", "ITM_0",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 "ITM_SEMICOLON", "ITM_0", AQ476), ".lo", ),"MNU_", "-MNU_")</f>
        <v>ITM_NULL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 "ITM_SEMICOLON", "ITM_0", AR476), ".lo", ),"MNU_", "-MNU_")</f>
        <v>ITM_NULL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 "ITM_SEMICOLON", "ITM_0", AS476), ".lo", ),"MNU_", "-MNU_")</f>
        <v>ITM_alpha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 "ITM_SEMICOLON", "ITM_0",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ITM_NULL,             ITM_NULL,             ITM_alpha,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6" t="s">
        <v>145</v>
      </c>
      <c r="AS477" s="187" t="s">
        <v>170</v>
      </c>
      <c r="AT477" s="198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 "ITM_SEMICOLON", "ITM_0",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 "ITM_SEMICOLON", "ITM_0",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 "ITM_SEMICOLON", "ITM_0",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 "ITM_SEMICOLON", "ITM_0",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 "ITM_SEMICOLON", "ITM_0",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 "ITM_SEMICOLON", "ITM_0",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 "ITM_SEMICOLON", "ITM_0",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 "ITM_SEMICOLON", "ITM_0",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6" t="s">
        <v>151</v>
      </c>
      <c r="AS478" s="187" t="s">
        <v>175</v>
      </c>
      <c r="AT478" s="198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 "ITM_SEMICOLON", "ITM_0",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 "ITM_SEMICOLON", "ITM_0",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 "ITM_SEMICOLON", "ITM_0",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 "ITM_SEMICOLON", "ITM_0",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 "ITM_SEMICOLON", "ITM_0",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 "ITM_SEMICOLON", "ITM_0",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 "ITM_SEMICOLON", "ITM_0",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 "ITM_SEMICOLON", "ITM_0",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6" t="s">
        <v>169</v>
      </c>
      <c r="AS479" s="187" t="s">
        <v>180</v>
      </c>
      <c r="AT479" s="198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 "ITM_SEMICOLON", "ITM_0",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 "ITM_SEMICOLON", "ITM_0",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 "ITM_SEMICOLON", "ITM_0",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 "ITM_SEMICOLON", "ITM_0",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 "ITM_SEMICOLON", "ITM_0",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 "ITM_SEMICOLON", "ITM_0",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 "ITM_SEMICOLON", "ITM_0",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 "ITM_SEMICOLON", "ITM_0",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6" t="s">
        <v>174</v>
      </c>
      <c r="AS480" s="187" t="s">
        <v>186</v>
      </c>
      <c r="AT480" s="198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 "ITM_SEMICOLON", "ITM_0",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 "ITM_SEMICOLON", "ITM_0",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 "ITM_SEMICOLON", "ITM_0",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 "ITM_SEMICOLON", "ITM_0",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 "ITM_SEMICOLON", "ITM_0",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 "ITM_SEMICOLON", "ITM_0",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 "ITM_SEMICOLON", "ITM_0",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 "ITM_SEMICOLON", "ITM_0",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9" t="s">
        <v>163</v>
      </c>
      <c r="AS481" s="187" t="s">
        <v>164</v>
      </c>
      <c r="AT481" s="198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 "ITM_SEMICOLON", "ITM_0",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 "ITM_SEMICOLON", "ITM_0",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 "ITM_SEMICOLON", "ITM_0",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 "ITM_SEMICOLON", "ITM_0",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 "ITM_SEMICOLON", "ITM_0",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 "ITM_SEMICOLON", "ITM_0",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 "ITM_SEMICOLON", "ITM_0",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 "ITM_SEMICOLON", "ITM_0",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6" t="s">
        <v>179</v>
      </c>
      <c r="AS482" s="187" t="s">
        <v>199</v>
      </c>
      <c r="AT482" s="198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 "ITM_SEMICOLON", "ITM_0",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 "ITM_SEMICOLON", "ITM_0",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 "ITM_SEMICOLON", "ITM_0",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 "ITM_SEMICOLON", "ITM_0",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 "ITM_SEMICOLON", "ITM_0",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 "ITM_SEMICOLON", "ITM_0",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 "ITM_SEMICOLON", "ITM_0",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 "ITM_SEMICOLON", "ITM_0",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6" t="s">
        <v>185</v>
      </c>
      <c r="AS483" s="187" t="s">
        <v>204</v>
      </c>
      <c r="AT483" s="198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 "ITM_SEMICOLON", "ITM_0",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 "ITM_SEMICOLON", "ITM_0",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 "ITM_SEMICOLON", "ITM_0",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 "ITM_SEMICOLON", "ITM_0",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 "ITM_SEMICOLON", "ITM_0",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 "ITM_SEMICOLON", "ITM_0",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 "ITM_SEMICOLON", "ITM_0",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 "ITM_SEMICOLON", "ITM_0",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6" t="s">
        <v>198</v>
      </c>
      <c r="AS484" s="187" t="s">
        <v>209</v>
      </c>
      <c r="AT484" s="198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 "ITM_SEMICOLON", "ITM_0",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 "ITM_SEMICOLON", "ITM_0",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 "ITM_SEMICOLON", "ITM_0",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 "ITM_SEMICOLON", "ITM_0",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 "ITM_SEMICOLON", "ITM_0",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 "ITM_SEMICOLON", "ITM_0",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 "ITM_SEMICOLON", "ITM_0",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 "ITM_SEMICOLON", "ITM_0",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6" t="s">
        <v>203</v>
      </c>
      <c r="AS485" s="187" t="s">
        <v>215</v>
      </c>
      <c r="AT485" s="198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 "ITM_SEMICOLON", "ITM_0",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 "ITM_SEMICOLON", "ITM_0",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 "ITM_SEMICOLON", "ITM_0",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 "ITM_SEMICOLON", "ITM_0",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 "ITM_SEMICOLON", "ITM_0",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 "ITM_SEMICOLON", "ITM_0",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 "ITM_SEMICOLON", "ITM_0",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 "ITM_SEMICOLON", "ITM_0",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9" t="s">
        <v>192</v>
      </c>
      <c r="AS486" s="187" t="s">
        <v>193</v>
      </c>
      <c r="AT486" s="198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 "ITM_SEMICOLON", "ITM_0",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 "ITM_SEMICOLON", "ITM_0",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 "ITM_SEMICOLON", "ITM_0",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 "ITM_SEMICOLON", "ITM_0",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 "ITM_SEMICOLON", "ITM_0",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 "ITM_SEMICOLON", "ITM_0",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 "ITM_SEMICOLON", "ITM_0",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 "ITM_SEMICOLON", "ITM_0",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6" t="s">
        <v>208</v>
      </c>
      <c r="AS487" s="187" t="s">
        <v>226</v>
      </c>
      <c r="AT487" s="198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 "ITM_SEMICOLON", "ITM_0",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 "ITM_SEMICOLON", "ITM_0",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 "ITM_SEMICOLON", "ITM_0",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 "ITM_SEMICOLON", "ITM_0",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 "ITM_SEMICOLON", "ITM_0",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 "ITM_SEMICOLON", "ITM_0",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 "ITM_SEMICOLON", "ITM_0",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 "ITM_SEMICOLON", "ITM_0",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6" t="s">
        <v>214</v>
      </c>
      <c r="AS488" s="187" t="s">
        <v>230</v>
      </c>
      <c r="AT488" s="198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 "ITM_SEMICOLON", "ITM_0",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 "ITM_SEMICOLON", "ITM_0",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 "ITM_SEMICOLON", "ITM_0",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 "ITM_SEMICOLON", "ITM_0",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 "ITM_SEMICOLON", "ITM_0",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 "ITM_SEMICOLON", "ITM_0",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 "ITM_SEMICOLON", "ITM_0",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 "ITM_SEMICOLON", "ITM_0",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6" t="s">
        <v>225</v>
      </c>
      <c r="AS489" s="187" t="s">
        <v>235</v>
      </c>
      <c r="AT489" s="198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 "ITM_SEMICOLON", "ITM_0",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 "ITM_SEMICOLON", "ITM_0",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 "ITM_SEMICOLON", "ITM_0",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 "ITM_SEMICOLON", "ITM_0",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 "ITM_SEMICOLON", "ITM_0",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 "ITM_SEMICOLON", "ITM_0",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 "ITM_SEMICOLON", "ITM_0",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 "ITM_SEMICOLON", "ITM_0",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6" t="s">
        <v>229</v>
      </c>
      <c r="AS490" s="187" t="s">
        <v>240</v>
      </c>
      <c r="AT490" s="198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 "ITM_SEMICOLON", "ITM_0",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 "ITM_SEMICOLON", "ITM_0",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 "ITM_SEMICOLON", "ITM_0",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 "ITM_SEMICOLON", "ITM_0",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 "ITM_SEMICOLON", "ITM_0",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 "ITM_SEMICOLON", "ITM_0",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 "ITM_SEMICOLON", "ITM_0",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 "ITM_SEMICOLON", "ITM_0",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9" t="s">
        <v>245</v>
      </c>
      <c r="AS491" s="187" t="s">
        <v>246</v>
      </c>
      <c r="AT491" s="198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 "ITM_SEMICOLON", "ITM_0",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 "ITM_SEMICOLON", "ITM_0",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 "ITM_SEMICOLON", "ITM_0",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 "ITM_SEMICOLON", "ITM_0",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 "ITM_SEMICOLON", "ITM_0",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 "ITM_SEMICOLON", "ITM_0",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 "ITM_SEMICOLON", "ITM_0",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 "ITM_SEMICOLON", "ITM_0",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6" t="s">
        <v>234</v>
      </c>
      <c r="AS492" s="187" t="s">
        <v>252</v>
      </c>
      <c r="AT492" s="198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 "ITM_SEMICOLON", "ITM_0",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 "ITM_SEMICOLON", "ITM_0",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 "ITM_SEMICOLON", "ITM_0",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 "ITM_SEMICOLON", "ITM_0",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 "ITM_SEMICOLON", "ITM_0",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 "ITM_SEMICOLON", "ITM_0",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 "ITM_SEMICOLON", "ITM_0",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 "ITM_SEMICOLON", "ITM_0",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12" t="s">
        <v>251</v>
      </c>
      <c r="AS493" s="208" t="s">
        <v>257</v>
      </c>
      <c r="AT493" s="198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 "ITM_SEMICOLON", "ITM_0",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 "ITM_SEMICOLON", "ITM_0",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 "ITM_SEMICOLON", "ITM_0",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 "ITM_SEMICOLON", "ITM_0",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 "ITM_SEMICOLON", "ITM_0", AQ493), ".lo", ),"MNU_", "-MNU_")</f>
        <v>ITM_COMMA</v>
      </c>
      <c r="BC493" s="157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 "ITM_SEMICOLON", "ITM_0", AR493), ".lo", ),"MNU_", "-MNU_")</f>
        <v>ITM_0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 "ITM_SEMICOLON", "ITM_0",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 "ITM_SEMICOLON", "ITM_0",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ITM_0,        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2" t="s">
        <v>484</v>
      </c>
      <c r="AS494" s="208" t="s">
        <v>262</v>
      </c>
      <c r="AT494" s="198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 "ITM_SEMICOLON", "ITM_0",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 "ITM_SEMICOLON", "ITM_0",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 "ITM_SEMICOLON", "ITM_0",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 "ITM_SEMICOLON", "ITM_0",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 "ITM_SEMICOLON", "ITM_0",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 "ITM_SEMICOLON", "ITM_0",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 "ITM_SEMICOLON", "ITM_0",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 "ITM_SEMICOLON", "ITM_0",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3" t="s">
        <v>650</v>
      </c>
      <c r="AS495" s="209" t="s">
        <v>267</v>
      </c>
      <c r="AT495" s="202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 "ITM_SEMICOLON", "ITM_0",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 "ITM_SEMICOLON", "ITM_0",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 "ITM_SEMICOLON", "ITM_0",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 "ITM_SEMICOLON", "ITM_0",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 "ITM_SEMICOLON", "ITM_0",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 "ITM_SEMICOLON", "ITM_0",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 "ITM_SEMICOLON", "ITM_0",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 "ITM_SEMICOLON", "ITM_0",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3"/>
      <c r="AS496" s="203"/>
      <c r="AT496" s="203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3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6" t="str">
        <f>X504</f>
        <v>R47fgbk</v>
      </c>
      <c r="AM504" s="214" t="s">
        <v>39</v>
      </c>
      <c r="AN504" s="214"/>
      <c r="AO504" s="214"/>
      <c r="AP504" s="71" t="s">
        <v>40</v>
      </c>
      <c r="AQ504" s="31" t="s">
        <v>41</v>
      </c>
      <c r="AR504" s="190" t="s">
        <v>42</v>
      </c>
      <c r="AS504" s="191" t="s">
        <v>42</v>
      </c>
      <c r="AT504" s="192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3" t="s">
        <v>51</v>
      </c>
      <c r="AS506" s="194" t="s">
        <v>638</v>
      </c>
      <c r="AT506" s="195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 "ITM_SEMICOLON", "ITM_0",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 "ITM_SEMICOLON", "ITM_0",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 "ITM_SEMICOLON", "ITM_0",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 "ITM_SEMICOLON", "ITM_0",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 "ITM_SEMICOLON", "ITM_0",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 "ITM_SEMICOLON", "ITM_0",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 "ITM_SEMICOLON", "ITM_0",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 "ITM_SEMICOLON", "ITM_0",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6" t="s">
        <v>58</v>
      </c>
      <c r="AS507" s="187" t="s">
        <v>66</v>
      </c>
      <c r="AT507" s="197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 "ITM_SEMICOLON", "ITM_0",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 "ITM_SEMICOLON", "ITM_0",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 "ITM_SEMICOLON", "ITM_0",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 "ITM_SEMICOLON", "ITM_0",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 "ITM_SEMICOLON", "ITM_0",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 "ITM_SEMICOLON", "ITM_0",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 "ITM_SEMICOLON", "ITM_0",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 "ITM_SEMICOLON", "ITM_0",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6" t="s">
        <v>65</v>
      </c>
      <c r="AS508" s="187" t="s">
        <v>635</v>
      </c>
      <c r="AT508" s="197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 "ITM_SEMICOLON", "ITM_0",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 "ITM_SEMICOLON", "ITM_0",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 "ITM_SEMICOLON", "ITM_0",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 "ITM_SEMICOLON", "ITM_0",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 "ITM_SEMICOLON", "ITM_0",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 "ITM_SEMICOLON", "ITM_0",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 "ITM_SEMICOLON", "ITM_0",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 "ITM_SEMICOLON", "ITM_0",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6" t="s">
        <v>72</v>
      </c>
      <c r="AS509" s="187" t="s">
        <v>59</v>
      </c>
      <c r="AT509" s="197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 "ITM_SEMICOLON", "ITM_0",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 "ITM_SEMICOLON", "ITM_0",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 "ITM_SEMICOLON", "ITM_0",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 "ITM_SEMICOLON", "ITM_0",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 "ITM_SEMICOLON", "ITM_0",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 "ITM_SEMICOLON", "ITM_0",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 "ITM_SEMICOLON", "ITM_0",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 "ITM_SEMICOLON", "ITM_0",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6" t="s">
        <v>79</v>
      </c>
      <c r="AS510" s="187" t="s">
        <v>637</v>
      </c>
      <c r="AT510" s="198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 "ITM_SEMICOLON", "ITM_0",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 "ITM_SEMICOLON", "ITM_0",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 "ITM_SEMICOLON", "ITM_0",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 "ITM_SEMICOLON", "ITM_0",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 "ITM_SEMICOLON", "ITM_0",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 "ITM_SEMICOLON", "ITM_0",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 "ITM_SEMICOLON", "ITM_0",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 "ITM_SEMICOLON", "ITM_0",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 xml:space="preserve"> 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6" t="s">
        <v>86</v>
      </c>
      <c r="AS511" s="187" t="s">
        <v>283</v>
      </c>
      <c r="AT511" s="198" t="s">
        <v>81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 "ITM_SEMICOLON", "ITM_0",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 "ITM_SEMICOLON", "ITM_0",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 "ITM_SEMICOLON", "ITM_0",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 "ITM_SEMICOLON", "ITM_0",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 "ITM_SEMICOLON", "ITM_0",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 "ITM_SEMICOLON", "ITM_0",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 "ITM_SEMICOLON", "ITM_0",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 "ITM_SEMICOLON", "ITM_0", AT511), ".lo", ),"MNU_", "-MNU_")</f>
        <v>ITM_NULL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6" t="s">
        <v>92</v>
      </c>
      <c r="AS512" s="187" t="s">
        <v>93</v>
      </c>
      <c r="AT512" s="198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 "ITM_SEMICOLON", "ITM_0",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 "ITM_SEMICOLON", "ITM_0",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 "ITM_SEMICOLON", "ITM_0",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 "ITM_SEMICOLON", "ITM_0",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 "ITM_SEMICOLON", "ITM_0",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 "ITM_SEMICOLON", "ITM_0",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 "ITM_SEMICOLON", "ITM_0",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 "ITM_SEMICOLON", "ITM_0",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>#16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6" t="s">
        <v>98</v>
      </c>
      <c r="AS513" s="187" t="s">
        <v>99</v>
      </c>
      <c r="AT513" s="198" t="s">
        <v>100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 "ITM_SEMICOLON", "ITM_0",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 "ITM_SEMICOLON", "ITM_0",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 "ITM_SEMICOLON", "ITM_0",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 "ITM_SEMICOLON", "ITM_0",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 "ITM_SEMICOLON", "ITM_0",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 "ITM_SEMICOLON", "ITM_0",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 "ITM_SEMICOLON", "ITM_0",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 "ITM_SEMICOLON", "ITM_0", AT513), ".lo", ),"MNU_", "-MNU_")</f>
        <v>ITM_HEX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6" t="s">
        <v>105</v>
      </c>
      <c r="AS514" s="187" t="s">
        <v>106</v>
      </c>
      <c r="AT514" s="197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 "ITM_SEMICOLON", "ITM_0",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 "ITM_SEMICOLON", "ITM_0",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 "ITM_SEMICOLON", "ITM_0",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 "ITM_SEMICOLON", "ITM_0",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 "ITM_SEMICOLON", "ITM_0",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 "ITM_SEMICOLON", "ITM_0",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 "ITM_SEMICOLON", "ITM_0",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 "ITM_SEMICOLON", "ITM_0",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6" t="s">
        <v>112</v>
      </c>
      <c r="AS515" s="187" t="s">
        <v>642</v>
      </c>
      <c r="AT515" s="197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 "ITM_SEMICOLON", "ITM_0",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 "ITM_SEMICOLON", "ITM_0",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 "ITM_SEMICOLON", "ITM_0",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 "ITM_SEMICOLON", "ITM_0",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 "ITM_SEMICOLON", "ITM_0",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 "ITM_SEMICOLON", "ITM_0",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 "ITM_SEMICOLON", "ITM_0",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 "ITM_SEMICOLON", "ITM_0",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2" t="s">
        <v>218</v>
      </c>
      <c r="AD516" s="182" t="s">
        <v>218</v>
      </c>
      <c r="AE516" s="3"/>
      <c r="AF516" s="180" t="s">
        <v>218</v>
      </c>
      <c r="AG516" s="77" t="b">
        <f t="shared" si="226"/>
        <v>1</v>
      </c>
      <c r="AH516" s="83" t="str">
        <f t="shared" si="215"/>
        <v xml:space="preserve"> </v>
      </c>
      <c r="AI516" s="84" t="str">
        <f t="shared" si="216"/>
        <v xml:space="preserve"> </v>
      </c>
      <c r="AJ516" s="85" t="str">
        <f t="shared" si="217"/>
        <v xml:space="preserve"> f 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ITM_NULL</v>
      </c>
      <c r="AR516" s="199" t="s">
        <v>81</v>
      </c>
      <c r="AS516" s="187" t="s">
        <v>81</v>
      </c>
      <c r="AT516" s="198" t="s">
        <v>340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 "ITM_SEMICOLON", "ITM_0",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 "ITM_SEMICOLON", "ITM_0",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 "ITM_SEMICOLON", "ITM_0",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 "ITM_SEMICOLON", "ITM_0",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 "ITM_SEMICOLON", "ITM_0", AQ516), ".lo", ),"MNU_", "-MNU_")</f>
        <v>ITM_NULL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 "ITM_SEMICOLON", "ITM_0",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 "ITM_SEMICOLON", "ITM_0",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 "ITM_SEMICOLON", "ITM_0", AT516), ".lo", ),"MNU_", "-MNU_")</f>
        <v>ITM_SHIFTf</v>
      </c>
      <c r="BG516" s="75"/>
      <c r="BI516" s="13" t="str">
        <f t="shared" si="223"/>
        <v xml:space="preserve">  {35,                  KEY_fg,               ITM_NULL,             ITM_NULL,             KEY_fg,               ITM_NULL,             ITM_NULL,             ITM_NULL,             ITM_SHIFTf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3" t="s">
        <v>218</v>
      </c>
      <c r="AD517" s="183" t="s">
        <v>218</v>
      </c>
      <c r="AE517" s="3"/>
      <c r="AF517" s="18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g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199" t="s">
        <v>81</v>
      </c>
      <c r="AS517" s="187" t="s">
        <v>81</v>
      </c>
      <c r="AT517" s="198" t="s">
        <v>343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 "ITM_SEMICOLON", "ITM_0",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 "ITM_SEMICOLON", "ITM_0",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 "ITM_SEMICOLON", "ITM_0",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 "ITM_SEMICOLON", "ITM_0",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 "ITM_SEMICOLON", "ITM_0",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 "ITM_SEMICOLON", "ITM_0",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 "ITM_SEMICOLON", "ITM_0",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 "ITM_SEMICOLON", "ITM_0", AT517), ".lo", ),"MNU_", "-MNU_")</f>
        <v>ITM_SHIFTg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ITM_SHIFTg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9" t="s">
        <v>132</v>
      </c>
      <c r="AS518" s="187" t="s">
        <v>133</v>
      </c>
      <c r="AT518" s="198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 "ITM_SEMICOLON", "ITM_0",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 "ITM_SEMICOLON", "ITM_0",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 "ITM_SEMICOLON", "ITM_0",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 "ITM_SEMICOLON", "ITM_0",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 "ITM_SEMICOLON", "ITM_0",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 "ITM_SEMICOLON", "ITM_0",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 "ITM_SEMICOLON", "ITM_0",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 "ITM_SEMICOLON", "ITM_0",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6" t="s">
        <v>119</v>
      </c>
      <c r="AS519" s="187" t="s">
        <v>140</v>
      </c>
      <c r="AT519" s="197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 "ITM_SEMICOLON", "ITM_0",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 "ITM_SEMICOLON", "ITM_0",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 "ITM_SEMICOLON", "ITM_0",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 "ITM_SEMICOLON", "ITM_0",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 "ITM_SEMICOLON", "ITM_0",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 "ITM_SEMICOLON", "ITM_0",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 "ITM_SEMICOLON", "ITM_0",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 "ITM_SEMICOLON", "ITM_0",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6" t="s">
        <v>126</v>
      </c>
      <c r="AS520" s="187" t="s">
        <v>146</v>
      </c>
      <c r="AT520" s="197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 "ITM_SEMICOLON", "ITM_0",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 "ITM_SEMICOLON", "ITM_0",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 "ITM_SEMICOLON", "ITM_0",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 "ITM_SEMICOLON", "ITM_0",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 "ITM_SEMICOLON", "ITM_0",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 "ITM_SEMICOLON", "ITM_0",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 "ITM_SEMICOLON", "ITM_0",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 "ITM_SEMICOLON", "ITM_0",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 xml:space="preserve"> 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6" t="s">
        <v>139</v>
      </c>
      <c r="AS521" s="187" t="s">
        <v>152</v>
      </c>
      <c r="AT521" s="198" t="s">
        <v>81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 "ITM_SEMICOLON", "ITM_0",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 "ITM_SEMICOLON", "ITM_0",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 "ITM_SEMICOLON", "ITM_0",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 "ITM_SEMICOLON", "ITM_0",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 "ITM_SEMICOLON", "ITM_0",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 "ITM_SEMICOLON", "ITM_0",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 "ITM_SEMICOLON", "ITM_0",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 "ITM_SEMICOLON", "ITM_0", AT521), ".lo", ),"MNU_", "-MNU_")</f>
        <v>ITM_NULL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ITM_NULL 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9" t="s">
        <v>157</v>
      </c>
      <c r="AS522" s="187" t="s">
        <v>157</v>
      </c>
      <c r="AT522" s="198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 "ITM_SEMICOLON", "ITM_0",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 "ITM_SEMICOLON", "ITM_0",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 "ITM_SEMICOLON", "ITM_0",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 "ITM_SEMICOLON", "ITM_0",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 "ITM_SEMICOLON", "ITM_0",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 "ITM_SEMICOLON", "ITM_0",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 "ITM_SEMICOLON", "ITM_0",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 "ITM_SEMICOLON", "ITM_0",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 xml:space="preserve"> </v>
      </c>
      <c r="AG523" s="77" t="b">
        <f t="shared" si="226"/>
        <v>1</v>
      </c>
      <c r="AH523" s="83" t="str">
        <f t="shared" si="215"/>
        <v xml:space="preserve"> </v>
      </c>
      <c r="AI523" s="84" t="str">
        <f t="shared" si="216"/>
        <v>alpha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ITM_NULL</v>
      </c>
      <c r="AR523" s="199" t="s">
        <v>81</v>
      </c>
      <c r="AS523" s="187" t="s">
        <v>87</v>
      </c>
      <c r="AT523" s="198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 "ITM_SEMICOLON", "ITM_0",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 "ITM_SEMICOLON", "ITM_0",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 "ITM_SEMICOLON", "ITM_0",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 "ITM_SEMICOLON", "ITM_0",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 "ITM_SEMICOLON", "ITM_0", AQ523), ".lo", ),"MNU_", "-MNU_")</f>
        <v>ITM_NULL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 "ITM_SEMICOLON", "ITM_0", AR523), ".lo", ),"MNU_", "-MNU_")</f>
        <v>ITM_NULL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 "ITM_SEMICOLON", "ITM_0", AS523), ".lo", ),"MNU_", "-MNU_")</f>
        <v>ITM_alpha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 "ITM_SEMICOLON", "ITM_0",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ITM_NULL,             ITM_NULL,             ITM_alpha,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6" t="s">
        <v>145</v>
      </c>
      <c r="AS524" s="187" t="s">
        <v>170</v>
      </c>
      <c r="AT524" s="198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 "ITM_SEMICOLON", "ITM_0",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 "ITM_SEMICOLON", "ITM_0",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 "ITM_SEMICOLON", "ITM_0",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 "ITM_SEMICOLON", "ITM_0",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 "ITM_SEMICOLON", "ITM_0",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 "ITM_SEMICOLON", "ITM_0",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 "ITM_SEMICOLON", "ITM_0",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 "ITM_SEMICOLON", "ITM_0",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6" t="s">
        <v>151</v>
      </c>
      <c r="AS525" s="187" t="s">
        <v>175</v>
      </c>
      <c r="AT525" s="198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 "ITM_SEMICOLON", "ITM_0",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 "ITM_SEMICOLON", "ITM_0",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 "ITM_SEMICOLON", "ITM_0",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 "ITM_SEMICOLON", "ITM_0",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 "ITM_SEMICOLON", "ITM_0",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 "ITM_SEMICOLON", "ITM_0",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 "ITM_SEMICOLON", "ITM_0",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 "ITM_SEMICOLON", "ITM_0",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6" t="s">
        <v>169</v>
      </c>
      <c r="AS526" s="187" t="s">
        <v>180</v>
      </c>
      <c r="AT526" s="198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 "ITM_SEMICOLON", "ITM_0",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 "ITM_SEMICOLON", "ITM_0",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 "ITM_SEMICOLON", "ITM_0",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 "ITM_SEMICOLON", "ITM_0",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 "ITM_SEMICOLON", "ITM_0",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 "ITM_SEMICOLON", "ITM_0",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 "ITM_SEMICOLON", "ITM_0",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 "ITM_SEMICOLON", "ITM_0",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6" t="s">
        <v>174</v>
      </c>
      <c r="AS527" s="187" t="s">
        <v>186</v>
      </c>
      <c r="AT527" s="198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 "ITM_SEMICOLON", "ITM_0",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 "ITM_SEMICOLON", "ITM_0",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 "ITM_SEMICOLON", "ITM_0",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 "ITM_SEMICOLON", "ITM_0",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 "ITM_SEMICOLON", "ITM_0",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 "ITM_SEMICOLON", "ITM_0",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 "ITM_SEMICOLON", "ITM_0",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 "ITM_SEMICOLON", "ITM_0",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9" t="s">
        <v>163</v>
      </c>
      <c r="AS528" s="187" t="s">
        <v>164</v>
      </c>
      <c r="AT528" s="198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 "ITM_SEMICOLON", "ITM_0",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 "ITM_SEMICOLON", "ITM_0",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 "ITM_SEMICOLON", "ITM_0",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 "ITM_SEMICOLON", "ITM_0",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 "ITM_SEMICOLON", "ITM_0",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 "ITM_SEMICOLON", "ITM_0",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 "ITM_SEMICOLON", "ITM_0",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 "ITM_SEMICOLON", "ITM_0",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6" t="s">
        <v>179</v>
      </c>
      <c r="AS529" s="187" t="s">
        <v>199</v>
      </c>
      <c r="AT529" s="198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 "ITM_SEMICOLON", "ITM_0",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 "ITM_SEMICOLON", "ITM_0",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 "ITM_SEMICOLON", "ITM_0",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 "ITM_SEMICOLON", "ITM_0",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 "ITM_SEMICOLON", "ITM_0",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 "ITM_SEMICOLON", "ITM_0",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 "ITM_SEMICOLON", "ITM_0",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 "ITM_SEMICOLON", "ITM_0",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6" t="s">
        <v>185</v>
      </c>
      <c r="AS530" s="187" t="s">
        <v>204</v>
      </c>
      <c r="AT530" s="198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 "ITM_SEMICOLON", "ITM_0",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 "ITM_SEMICOLON", "ITM_0",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 "ITM_SEMICOLON", "ITM_0",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 "ITM_SEMICOLON", "ITM_0",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 "ITM_SEMICOLON", "ITM_0",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 "ITM_SEMICOLON", "ITM_0",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 "ITM_SEMICOLON", "ITM_0",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 "ITM_SEMICOLON", "ITM_0",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6" t="s">
        <v>198</v>
      </c>
      <c r="AS531" s="187" t="s">
        <v>209</v>
      </c>
      <c r="AT531" s="198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 "ITM_SEMICOLON", "ITM_0",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 "ITM_SEMICOLON", "ITM_0",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 "ITM_SEMICOLON", "ITM_0",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 "ITM_SEMICOLON", "ITM_0",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 "ITM_SEMICOLON", "ITM_0",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 "ITM_SEMICOLON", "ITM_0",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 "ITM_SEMICOLON", "ITM_0",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 "ITM_SEMICOLON", "ITM_0",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6" t="s">
        <v>203</v>
      </c>
      <c r="AS532" s="187" t="s">
        <v>215</v>
      </c>
      <c r="AT532" s="198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 "ITM_SEMICOLON", "ITM_0",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 "ITM_SEMICOLON", "ITM_0",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 "ITM_SEMICOLON", "ITM_0",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 "ITM_SEMICOLON", "ITM_0",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 "ITM_SEMICOLON", "ITM_0",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 "ITM_SEMICOLON", "ITM_0",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 "ITM_SEMICOLON", "ITM_0",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 "ITM_SEMICOLON", "ITM_0",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9" t="s">
        <v>192</v>
      </c>
      <c r="AS533" s="187" t="s">
        <v>193</v>
      </c>
      <c r="AT533" s="198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 "ITM_SEMICOLON", "ITM_0",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 "ITM_SEMICOLON", "ITM_0",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 "ITM_SEMICOLON", "ITM_0",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 "ITM_SEMICOLON", "ITM_0",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 "ITM_SEMICOLON", "ITM_0",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 "ITM_SEMICOLON", "ITM_0",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 "ITM_SEMICOLON", "ITM_0",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 "ITM_SEMICOLON", "ITM_0",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6" t="s">
        <v>208</v>
      </c>
      <c r="AS534" s="187" t="s">
        <v>226</v>
      </c>
      <c r="AT534" s="198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 "ITM_SEMICOLON", "ITM_0",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 "ITM_SEMICOLON", "ITM_0",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 "ITM_SEMICOLON", "ITM_0",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 "ITM_SEMICOLON", "ITM_0",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 "ITM_SEMICOLON", "ITM_0",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 "ITM_SEMICOLON", "ITM_0",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 "ITM_SEMICOLON", "ITM_0",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 "ITM_SEMICOLON", "ITM_0",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6" t="s">
        <v>214</v>
      </c>
      <c r="AS535" s="187" t="s">
        <v>230</v>
      </c>
      <c r="AT535" s="198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 "ITM_SEMICOLON", "ITM_0",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 "ITM_SEMICOLON", "ITM_0",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 "ITM_SEMICOLON", "ITM_0",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 "ITM_SEMICOLON", "ITM_0",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 "ITM_SEMICOLON", "ITM_0",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 "ITM_SEMICOLON", "ITM_0",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 "ITM_SEMICOLON", "ITM_0",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 "ITM_SEMICOLON", "ITM_0",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6" t="s">
        <v>225</v>
      </c>
      <c r="AS536" s="187" t="s">
        <v>235</v>
      </c>
      <c r="AT536" s="198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 "ITM_SEMICOLON", "ITM_0",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 "ITM_SEMICOLON", "ITM_0",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 "ITM_SEMICOLON", "ITM_0",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 "ITM_SEMICOLON", "ITM_0",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 "ITM_SEMICOLON", "ITM_0",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 "ITM_SEMICOLON", "ITM_0",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 "ITM_SEMICOLON", "ITM_0",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 "ITM_SEMICOLON", "ITM_0",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6" t="s">
        <v>229</v>
      </c>
      <c r="AS537" s="187" t="s">
        <v>240</v>
      </c>
      <c r="AT537" s="198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 "ITM_SEMICOLON", "ITM_0",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 "ITM_SEMICOLON", "ITM_0",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 "ITM_SEMICOLON", "ITM_0",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 "ITM_SEMICOLON", "ITM_0",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 "ITM_SEMICOLON", "ITM_0",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 "ITM_SEMICOLON", "ITM_0",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 "ITM_SEMICOLON", "ITM_0",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 "ITM_SEMICOLON", "ITM_0",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9" t="s">
        <v>245</v>
      </c>
      <c r="AS538" s="187" t="s">
        <v>246</v>
      </c>
      <c r="AT538" s="198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 "ITM_SEMICOLON", "ITM_0",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 "ITM_SEMICOLON", "ITM_0",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 "ITM_SEMICOLON", "ITM_0",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 "ITM_SEMICOLON", "ITM_0",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 "ITM_SEMICOLON", "ITM_0",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 "ITM_SEMICOLON", "ITM_0",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 "ITM_SEMICOLON", "ITM_0",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 "ITM_SEMICOLON", "ITM_0",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6" t="s">
        <v>234</v>
      </c>
      <c r="AS539" s="187" t="s">
        <v>252</v>
      </c>
      <c r="AT539" s="198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 "ITM_SEMICOLON", "ITM_0",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 "ITM_SEMICOLON", "ITM_0",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 "ITM_SEMICOLON", "ITM_0",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 "ITM_SEMICOLON", "ITM_0",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 "ITM_SEMICOLON", "ITM_0",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 "ITM_SEMICOLON", "ITM_0",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 "ITM_SEMICOLON", "ITM_0",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 "ITM_SEMICOLON", "ITM_0",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12" t="s">
        <v>251</v>
      </c>
      <c r="AS540" s="208" t="s">
        <v>257</v>
      </c>
      <c r="AT540" s="198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 "ITM_SEMICOLON", "ITM_0",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 "ITM_SEMICOLON", "ITM_0",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 "ITM_SEMICOLON", "ITM_0",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 "ITM_SEMICOLON", "ITM_0",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 "ITM_SEMICOLON", "ITM_0", AQ540), ".lo", ),"MNU_", "-MNU_")</f>
        <v>ITM_COMMA</v>
      </c>
      <c r="BC540" s="157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 "ITM_SEMICOLON", "ITM_0", AR540), ".lo", ),"MNU_", "-MNU_")</f>
        <v>ITM_0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 "ITM_SEMICOLON", "ITM_0",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 "ITM_SEMICOLON", "ITM_0",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ITM_0,        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2" t="s">
        <v>484</v>
      </c>
      <c r="AS541" s="208" t="s">
        <v>262</v>
      </c>
      <c r="AT541" s="198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 "ITM_SEMICOLON", "ITM_0",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 "ITM_SEMICOLON", "ITM_0",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 "ITM_SEMICOLON", "ITM_0",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 "ITM_SEMICOLON", "ITM_0",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 "ITM_SEMICOLON", "ITM_0",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 "ITM_SEMICOLON", "ITM_0",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 "ITM_SEMICOLON", "ITM_0",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 "ITM_SEMICOLON", "ITM_0",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3" t="s">
        <v>650</v>
      </c>
      <c r="AS542" s="209" t="s">
        <v>267</v>
      </c>
      <c r="AT542" s="202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 "ITM_SEMICOLON", "ITM_0",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 "ITM_SEMICOLON", "ITM_0",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 "ITM_SEMICOLON", "ITM_0",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 "ITM_SEMICOLON", "ITM_0",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 "ITM_SEMICOLON", "ITM_0",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 "ITM_SEMICOLON", "ITM_0",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 "ITM_SEMICOLON", "ITM_0",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 "ITM_SEMICOLON", "ITM_0",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3"/>
      <c r="AS543" s="203"/>
      <c r="AT543" s="203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3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6" t="str">
        <f>X551</f>
        <v>R47fg_g</v>
      </c>
      <c r="AM551" s="214" t="s">
        <v>39</v>
      </c>
      <c r="AN551" s="214"/>
      <c r="AO551" s="214"/>
      <c r="AP551" s="71" t="s">
        <v>40</v>
      </c>
      <c r="AQ551" s="31" t="s">
        <v>41</v>
      </c>
      <c r="AR551" s="190" t="s">
        <v>42</v>
      </c>
      <c r="AS551" s="191" t="s">
        <v>42</v>
      </c>
      <c r="AT551" s="192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3" t="s">
        <v>51</v>
      </c>
      <c r="AS553" s="194" t="s">
        <v>638</v>
      </c>
      <c r="AT553" s="195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 "ITM_SEMICOLON", "ITM_0",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 "ITM_SEMICOLON", "ITM_0",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 "ITM_SEMICOLON", "ITM_0",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 "ITM_SEMICOLON", "ITM_0",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 "ITM_SEMICOLON", "ITM_0",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 "ITM_SEMICOLON", "ITM_0",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 "ITM_SEMICOLON", "ITM_0",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 "ITM_SEMICOLON", "ITM_0",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6" t="s">
        <v>58</v>
      </c>
      <c r="AS554" s="187" t="s">
        <v>66</v>
      </c>
      <c r="AT554" s="197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 "ITM_SEMICOLON", "ITM_0",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 "ITM_SEMICOLON", "ITM_0",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 "ITM_SEMICOLON", "ITM_0",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 "ITM_SEMICOLON", "ITM_0",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 "ITM_SEMICOLON", "ITM_0",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 "ITM_SEMICOLON", "ITM_0",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 "ITM_SEMICOLON", "ITM_0",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 "ITM_SEMICOLON", "ITM_0",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6" t="s">
        <v>65</v>
      </c>
      <c r="AS555" s="187" t="s">
        <v>635</v>
      </c>
      <c r="AT555" s="197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 "ITM_SEMICOLON", "ITM_0",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 "ITM_SEMICOLON", "ITM_0",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 "ITM_SEMICOLON", "ITM_0",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 "ITM_SEMICOLON", "ITM_0",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 "ITM_SEMICOLON", "ITM_0",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 "ITM_SEMICOLON", "ITM_0",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 "ITM_SEMICOLON", "ITM_0",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 "ITM_SEMICOLON", "ITM_0",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6" t="s">
        <v>72</v>
      </c>
      <c r="AS556" s="187" t="s">
        <v>59</v>
      </c>
      <c r="AT556" s="197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 "ITM_SEMICOLON", "ITM_0",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 "ITM_SEMICOLON", "ITM_0",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 "ITM_SEMICOLON", "ITM_0",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 "ITM_SEMICOLON", "ITM_0",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 "ITM_SEMICOLON", "ITM_0",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 "ITM_SEMICOLON", "ITM_0",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 "ITM_SEMICOLON", "ITM_0",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 "ITM_SEMICOLON", "ITM_0",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6" t="s">
        <v>79</v>
      </c>
      <c r="AS557" s="187" t="s">
        <v>637</v>
      </c>
      <c r="AT557" s="198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 "ITM_SEMICOLON", "ITM_0",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 "ITM_SEMICOLON", "ITM_0",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 "ITM_SEMICOLON", "ITM_0",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 "ITM_SEMICOLON", "ITM_0",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 "ITM_SEMICOLON", "ITM_0",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 "ITM_SEMICOLON", "ITM_0",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 "ITM_SEMICOLON", "ITM_0",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 "ITM_SEMICOLON", "ITM_0",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 xml:space="preserve"> 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6" t="s">
        <v>86</v>
      </c>
      <c r="AS558" s="187" t="s">
        <v>283</v>
      </c>
      <c r="AT558" s="198" t="s">
        <v>81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 "ITM_SEMICOLON", "ITM_0",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 "ITM_SEMICOLON", "ITM_0",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 "ITM_SEMICOLON", "ITM_0",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 "ITM_SEMICOLON", "ITM_0",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 "ITM_SEMICOLON", "ITM_0",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 "ITM_SEMICOLON", "ITM_0",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 "ITM_SEMICOLON", "ITM_0",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 "ITM_SEMICOLON", "ITM_0", AT558), ".lo", ),"MNU_", "-MNU_")</f>
        <v>ITM_NULL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6" t="s">
        <v>92</v>
      </c>
      <c r="AS559" s="187" t="s">
        <v>93</v>
      </c>
      <c r="AT559" s="198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 "ITM_SEMICOLON", "ITM_0",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 "ITM_SEMICOLON", "ITM_0",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 "ITM_SEMICOLON", "ITM_0",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 "ITM_SEMICOLON", "ITM_0",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 "ITM_SEMICOLON", "ITM_0",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 "ITM_SEMICOLON", "ITM_0",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 "ITM_SEMICOLON", "ITM_0",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 "ITM_SEMICOLON", "ITM_0",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>#16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6" t="s">
        <v>98</v>
      </c>
      <c r="AS560" s="187" t="s">
        <v>99</v>
      </c>
      <c r="AT560" s="198" t="s">
        <v>100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 "ITM_SEMICOLON", "ITM_0",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 "ITM_SEMICOLON", "ITM_0",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 "ITM_SEMICOLON", "ITM_0",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 "ITM_SEMICOLON", "ITM_0",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 "ITM_SEMICOLON", "ITM_0",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 "ITM_SEMICOLON", "ITM_0",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 "ITM_SEMICOLON", "ITM_0",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 "ITM_SEMICOLON", "ITM_0", AT560), ".lo", ),"MNU_", "-MNU_")</f>
        <v>ITM_HEX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ITM_HEX 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6" t="s">
        <v>105</v>
      </c>
      <c r="AS561" s="187" t="s">
        <v>106</v>
      </c>
      <c r="AT561" s="197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 "ITM_SEMICOLON", "ITM_0",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 "ITM_SEMICOLON", "ITM_0",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 "ITM_SEMICOLON", "ITM_0",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 "ITM_SEMICOLON", "ITM_0",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 "ITM_SEMICOLON", "ITM_0",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 "ITM_SEMICOLON", "ITM_0",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 "ITM_SEMICOLON", "ITM_0",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 "ITM_SEMICOLON", "ITM_0",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6" t="s">
        <v>112</v>
      </c>
      <c r="AS562" s="187" t="s">
        <v>642</v>
      </c>
      <c r="AT562" s="197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 "ITM_SEMICOLON", "ITM_0",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 "ITM_SEMICOLON", "ITM_0",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 "ITM_SEMICOLON", "ITM_0",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 "ITM_SEMICOLON", "ITM_0",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 "ITM_SEMICOLON", "ITM_0",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 "ITM_SEMICOLON", "ITM_0",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 "ITM_SEMICOLON", "ITM_0",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 "ITM_SEMICOLON", "ITM_0",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2" t="s">
        <v>218</v>
      </c>
      <c r="AD563" s="182" t="s">
        <v>218</v>
      </c>
      <c r="AE563" s="3"/>
      <c r="AF563" s="180" t="s">
        <v>218</v>
      </c>
      <c r="AG563" s="77" t="b">
        <f t="shared" si="310"/>
        <v>1</v>
      </c>
      <c r="AH563" s="83" t="str">
        <f t="shared" si="299"/>
        <v xml:space="preserve"> </v>
      </c>
      <c r="AI563" s="84" t="str">
        <f t="shared" si="300"/>
        <v xml:space="preserve"> </v>
      </c>
      <c r="AJ563" s="85" t="str">
        <f t="shared" si="301"/>
        <v xml:space="preserve"> f 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ITM_NULL</v>
      </c>
      <c r="AR563" s="199" t="s">
        <v>81</v>
      </c>
      <c r="AS563" s="187" t="s">
        <v>81</v>
      </c>
      <c r="AT563" s="198" t="s">
        <v>340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 "ITM_SEMICOLON", "ITM_0",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 "ITM_SEMICOLON", "ITM_0",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 "ITM_SEMICOLON", "ITM_0",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 "ITM_SEMICOLON", "ITM_0",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 "ITM_SEMICOLON", "ITM_0", AQ563), ".lo", ),"MNU_", "-MNU_")</f>
        <v>ITM_NULL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 "ITM_SEMICOLON", "ITM_0",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 "ITM_SEMICOLON", "ITM_0",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 "ITM_SEMICOLON", "ITM_0", AT563), ".lo", ),"MNU_", "-MNU_")</f>
        <v>ITM_SHIFTf</v>
      </c>
      <c r="BG563" s="75"/>
      <c r="BI563" s="13" t="str">
        <f t="shared" si="307"/>
        <v xml:space="preserve">  {35,                  KEY_fg,               ITM_NULL,             ITM_NULL,             KEY_fg,               ITM_NULL,             ITM_NULL,             ITM_NULL,             ITM_SHIFTf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3" t="s">
        <v>218</v>
      </c>
      <c r="AD564" s="183" t="s">
        <v>218</v>
      </c>
      <c r="AE564" s="3"/>
      <c r="AF564" s="181" t="s">
        <v>218</v>
      </c>
      <c r="AG564" s="77" t="b">
        <f t="shared" si="310"/>
        <v>1</v>
      </c>
      <c r="AH564" s="83" t="str">
        <f t="shared" si="299"/>
        <v xml:space="preserve"> </v>
      </c>
      <c r="AI564" s="84" t="str">
        <f t="shared" si="300"/>
        <v xml:space="preserve"> 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ITM_NULL</v>
      </c>
      <c r="AR564" s="199" t="s">
        <v>81</v>
      </c>
      <c r="AS564" s="187" t="s">
        <v>81</v>
      </c>
      <c r="AT564" s="198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 "ITM_SEMICOLON", "ITM_0",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 "ITM_SEMICOLON", "ITM_0",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 "ITM_SEMICOLON", "ITM_0",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 "ITM_SEMICOLON", "ITM_0",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 "ITM_SEMICOLON", "ITM_0", AQ564), ".lo", ),"MNU_", "-MNU_")</f>
        <v>ITM_NULL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 "ITM_SEMICOLON", "ITM_0",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 "ITM_SEMICOLON", "ITM_0",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 "ITM_SEMICOLON", "ITM_0",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ITM_NULL,  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9" t="s">
        <v>132</v>
      </c>
      <c r="AS565" s="187" t="s">
        <v>133</v>
      </c>
      <c r="AT565" s="198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 "ITM_SEMICOLON", "ITM_0",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 "ITM_SEMICOLON", "ITM_0",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 "ITM_SEMICOLON", "ITM_0",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 "ITM_SEMICOLON", "ITM_0",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 "ITM_SEMICOLON", "ITM_0",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 "ITM_SEMICOLON", "ITM_0",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 "ITM_SEMICOLON", "ITM_0",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 "ITM_SEMICOLON", "ITM_0",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6" t="s">
        <v>119</v>
      </c>
      <c r="AS566" s="187" t="s">
        <v>140</v>
      </c>
      <c r="AT566" s="197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 "ITM_SEMICOLON", "ITM_0",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 "ITM_SEMICOLON", "ITM_0",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 "ITM_SEMICOLON", "ITM_0",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 "ITM_SEMICOLON", "ITM_0",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 "ITM_SEMICOLON", "ITM_0",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 "ITM_SEMICOLON", "ITM_0",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 "ITM_SEMICOLON", "ITM_0",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 "ITM_SEMICOLON", "ITM_0",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6" t="s">
        <v>126</v>
      </c>
      <c r="AS567" s="187" t="s">
        <v>146</v>
      </c>
      <c r="AT567" s="197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 "ITM_SEMICOLON", "ITM_0",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 "ITM_SEMICOLON", "ITM_0",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 "ITM_SEMICOLON", "ITM_0",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 "ITM_SEMICOLON", "ITM_0",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 "ITM_SEMICOLON", "ITM_0",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 "ITM_SEMICOLON", "ITM_0",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 "ITM_SEMICOLON", "ITM_0",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 "ITM_SEMICOLON", "ITM_0",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 xml:space="preserve"> 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6" t="s">
        <v>139</v>
      </c>
      <c r="AS568" s="187" t="s">
        <v>152</v>
      </c>
      <c r="AT568" s="198" t="s">
        <v>81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 "ITM_SEMICOLON", "ITM_0",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 "ITM_SEMICOLON", "ITM_0",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 "ITM_SEMICOLON", "ITM_0",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 "ITM_SEMICOLON", "ITM_0",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 "ITM_SEMICOLON", "ITM_0",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 "ITM_SEMICOLON", "ITM_0",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 "ITM_SEMICOLON", "ITM_0",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 "ITM_SEMICOLON", "ITM_0", AT568), ".lo", ),"MNU_", "-MNU_")</f>
        <v>ITM_NULL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ITM_NULL 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9" t="s">
        <v>157</v>
      </c>
      <c r="AS569" s="187" t="s">
        <v>157</v>
      </c>
      <c r="AT569" s="198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 "ITM_SEMICOLON", "ITM_0",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 "ITM_SEMICOLON", "ITM_0",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 "ITM_SEMICOLON", "ITM_0",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 "ITM_SEMICOLON", "ITM_0",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 "ITM_SEMICOLON", "ITM_0",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 "ITM_SEMICOLON", "ITM_0",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 "ITM_SEMICOLON", "ITM_0",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 "ITM_SEMICOLON", "ITM_0",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 xml:space="preserve"> </v>
      </c>
      <c r="AG570" s="77" t="b">
        <f t="shared" si="310"/>
        <v>1</v>
      </c>
      <c r="AH570" s="83" t="str">
        <f t="shared" si="299"/>
        <v xml:space="preserve"> </v>
      </c>
      <c r="AI570" s="84" t="str">
        <f t="shared" si="300"/>
        <v>alpha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ITM_NULL</v>
      </c>
      <c r="AR570" s="199" t="s">
        <v>81</v>
      </c>
      <c r="AS570" s="187" t="s">
        <v>87</v>
      </c>
      <c r="AT570" s="198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 "ITM_SEMICOLON", "ITM_0",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 "ITM_SEMICOLON", "ITM_0",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 "ITM_SEMICOLON", "ITM_0",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 "ITM_SEMICOLON", "ITM_0",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 "ITM_SEMICOLON", "ITM_0", AQ570), ".lo", ),"MNU_", "-MNU_")</f>
        <v>ITM_NULL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 "ITM_SEMICOLON", "ITM_0", AR570), ".lo", ),"MNU_", "-MNU_")</f>
        <v>ITM_NULL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 "ITM_SEMICOLON", "ITM_0", AS570), ".lo", ),"MNU_", "-MNU_")</f>
        <v>ITM_alpha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 "ITM_SEMICOLON", "ITM_0",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ITM_NULL,             ITM_NULL,             ITM_alpha,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6" t="s">
        <v>145</v>
      </c>
      <c r="AS571" s="187" t="s">
        <v>170</v>
      </c>
      <c r="AT571" s="198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 "ITM_SEMICOLON", "ITM_0",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 "ITM_SEMICOLON", "ITM_0",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 "ITM_SEMICOLON", "ITM_0",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 "ITM_SEMICOLON", "ITM_0",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 "ITM_SEMICOLON", "ITM_0",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 "ITM_SEMICOLON", "ITM_0",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 "ITM_SEMICOLON", "ITM_0",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 "ITM_SEMICOLON", "ITM_0",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6" t="s">
        <v>151</v>
      </c>
      <c r="AS572" s="187" t="s">
        <v>175</v>
      </c>
      <c r="AT572" s="198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 "ITM_SEMICOLON", "ITM_0",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 "ITM_SEMICOLON", "ITM_0",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 "ITM_SEMICOLON", "ITM_0",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 "ITM_SEMICOLON", "ITM_0",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 "ITM_SEMICOLON", "ITM_0",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 "ITM_SEMICOLON", "ITM_0",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 "ITM_SEMICOLON", "ITM_0",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 "ITM_SEMICOLON", "ITM_0",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6" t="s">
        <v>169</v>
      </c>
      <c r="AS573" s="187" t="s">
        <v>180</v>
      </c>
      <c r="AT573" s="198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 "ITM_SEMICOLON", "ITM_0",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 "ITM_SEMICOLON", "ITM_0",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 "ITM_SEMICOLON", "ITM_0",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 "ITM_SEMICOLON", "ITM_0",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 "ITM_SEMICOLON", "ITM_0",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 "ITM_SEMICOLON", "ITM_0",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 "ITM_SEMICOLON", "ITM_0",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 "ITM_SEMICOLON", "ITM_0",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6" t="s">
        <v>174</v>
      </c>
      <c r="AS574" s="187" t="s">
        <v>186</v>
      </c>
      <c r="AT574" s="198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 "ITM_SEMICOLON", "ITM_0",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 "ITM_SEMICOLON", "ITM_0",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 "ITM_SEMICOLON", "ITM_0",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 "ITM_SEMICOLON", "ITM_0",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 "ITM_SEMICOLON", "ITM_0",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 "ITM_SEMICOLON", "ITM_0",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 "ITM_SEMICOLON", "ITM_0",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 "ITM_SEMICOLON", "ITM_0",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9" t="s">
        <v>163</v>
      </c>
      <c r="AS575" s="187" t="s">
        <v>164</v>
      </c>
      <c r="AT575" s="198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 "ITM_SEMICOLON", "ITM_0",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 "ITM_SEMICOLON", "ITM_0",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 "ITM_SEMICOLON", "ITM_0",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 "ITM_SEMICOLON", "ITM_0",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 "ITM_SEMICOLON", "ITM_0",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 "ITM_SEMICOLON", "ITM_0",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 "ITM_SEMICOLON", "ITM_0",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 "ITM_SEMICOLON", "ITM_0",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6" t="s">
        <v>179</v>
      </c>
      <c r="AS576" s="187" t="s">
        <v>199</v>
      </c>
      <c r="AT576" s="198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 "ITM_SEMICOLON", "ITM_0",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 "ITM_SEMICOLON", "ITM_0",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 "ITM_SEMICOLON", "ITM_0",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 "ITM_SEMICOLON", "ITM_0",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 "ITM_SEMICOLON", "ITM_0",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 "ITM_SEMICOLON", "ITM_0",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 "ITM_SEMICOLON", "ITM_0",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 "ITM_SEMICOLON", "ITM_0",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6" t="s">
        <v>185</v>
      </c>
      <c r="AS577" s="187" t="s">
        <v>204</v>
      </c>
      <c r="AT577" s="198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 "ITM_SEMICOLON", "ITM_0",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 "ITM_SEMICOLON", "ITM_0",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 "ITM_SEMICOLON", "ITM_0",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 "ITM_SEMICOLON", "ITM_0",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 "ITM_SEMICOLON", "ITM_0",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 "ITM_SEMICOLON", "ITM_0",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 "ITM_SEMICOLON", "ITM_0",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 "ITM_SEMICOLON", "ITM_0",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6" t="s">
        <v>198</v>
      </c>
      <c r="AS578" s="187" t="s">
        <v>209</v>
      </c>
      <c r="AT578" s="198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 "ITM_SEMICOLON", "ITM_0",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 "ITM_SEMICOLON", "ITM_0",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 "ITM_SEMICOLON", "ITM_0",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 "ITM_SEMICOLON", "ITM_0",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 "ITM_SEMICOLON", "ITM_0",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 "ITM_SEMICOLON", "ITM_0",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 "ITM_SEMICOLON", "ITM_0",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 "ITM_SEMICOLON", "ITM_0",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6" t="s">
        <v>203</v>
      </c>
      <c r="AS579" s="187" t="s">
        <v>215</v>
      </c>
      <c r="AT579" s="198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 "ITM_SEMICOLON", "ITM_0",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 "ITM_SEMICOLON", "ITM_0",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 "ITM_SEMICOLON", "ITM_0",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 "ITM_SEMICOLON", "ITM_0",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 "ITM_SEMICOLON", "ITM_0",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 "ITM_SEMICOLON", "ITM_0",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 "ITM_SEMICOLON", "ITM_0",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 "ITM_SEMICOLON", "ITM_0",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9" t="s">
        <v>192</v>
      </c>
      <c r="AS580" s="187" t="s">
        <v>193</v>
      </c>
      <c r="AT580" s="198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 "ITM_SEMICOLON", "ITM_0",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 "ITM_SEMICOLON", "ITM_0",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 "ITM_SEMICOLON", "ITM_0",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 "ITM_SEMICOLON", "ITM_0",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 "ITM_SEMICOLON", "ITM_0",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 "ITM_SEMICOLON", "ITM_0",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 "ITM_SEMICOLON", "ITM_0",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 "ITM_SEMICOLON", "ITM_0",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6" t="s">
        <v>208</v>
      </c>
      <c r="AS581" s="187" t="s">
        <v>226</v>
      </c>
      <c r="AT581" s="198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 "ITM_SEMICOLON", "ITM_0",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 "ITM_SEMICOLON", "ITM_0",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 "ITM_SEMICOLON", "ITM_0",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 "ITM_SEMICOLON", "ITM_0",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 "ITM_SEMICOLON", "ITM_0",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 "ITM_SEMICOLON", "ITM_0",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 "ITM_SEMICOLON", "ITM_0",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 "ITM_SEMICOLON", "ITM_0",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6" t="s">
        <v>214</v>
      </c>
      <c r="AS582" s="187" t="s">
        <v>230</v>
      </c>
      <c r="AT582" s="198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 "ITM_SEMICOLON", "ITM_0",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 "ITM_SEMICOLON", "ITM_0",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 "ITM_SEMICOLON", "ITM_0",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 "ITM_SEMICOLON", "ITM_0",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 "ITM_SEMICOLON", "ITM_0",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 "ITM_SEMICOLON", "ITM_0",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 "ITM_SEMICOLON", "ITM_0",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 "ITM_SEMICOLON", "ITM_0",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6" t="s">
        <v>225</v>
      </c>
      <c r="AS583" s="187" t="s">
        <v>235</v>
      </c>
      <c r="AT583" s="198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 "ITM_SEMICOLON", "ITM_0",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 "ITM_SEMICOLON", "ITM_0",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 "ITM_SEMICOLON", "ITM_0",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 "ITM_SEMICOLON", "ITM_0",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 "ITM_SEMICOLON", "ITM_0",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 "ITM_SEMICOLON", "ITM_0",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 "ITM_SEMICOLON", "ITM_0",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 "ITM_SEMICOLON", "ITM_0",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6" t="s">
        <v>229</v>
      </c>
      <c r="AS584" s="187" t="s">
        <v>240</v>
      </c>
      <c r="AT584" s="198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 "ITM_SEMICOLON", "ITM_0",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 "ITM_SEMICOLON", "ITM_0",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 "ITM_SEMICOLON", "ITM_0",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 "ITM_SEMICOLON", "ITM_0",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 "ITM_SEMICOLON", "ITM_0",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 "ITM_SEMICOLON", "ITM_0",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 "ITM_SEMICOLON", "ITM_0",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 "ITM_SEMICOLON", "ITM_0",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9" t="s">
        <v>245</v>
      </c>
      <c r="AS585" s="187" t="s">
        <v>246</v>
      </c>
      <c r="AT585" s="198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 "ITM_SEMICOLON", "ITM_0",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 "ITM_SEMICOLON", "ITM_0",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 "ITM_SEMICOLON", "ITM_0",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 "ITM_SEMICOLON", "ITM_0",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 "ITM_SEMICOLON", "ITM_0",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 "ITM_SEMICOLON", "ITM_0",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 "ITM_SEMICOLON", "ITM_0",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 "ITM_SEMICOLON", "ITM_0",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6" t="s">
        <v>234</v>
      </c>
      <c r="AS586" s="187" t="s">
        <v>252</v>
      </c>
      <c r="AT586" s="198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 "ITM_SEMICOLON", "ITM_0",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 "ITM_SEMICOLON", "ITM_0",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 "ITM_SEMICOLON", "ITM_0",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 "ITM_SEMICOLON", "ITM_0",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 "ITM_SEMICOLON", "ITM_0",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 "ITM_SEMICOLON", "ITM_0",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 "ITM_SEMICOLON", "ITM_0",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 "ITM_SEMICOLON", "ITM_0",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12" t="s">
        <v>251</v>
      </c>
      <c r="AS587" s="208" t="s">
        <v>257</v>
      </c>
      <c r="AT587" s="198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 "ITM_SEMICOLON", "ITM_0",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 "ITM_SEMICOLON", "ITM_0",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 "ITM_SEMICOLON", "ITM_0",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 "ITM_SEMICOLON", "ITM_0",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 "ITM_SEMICOLON", "ITM_0", AQ587), ".lo", ),"MNU_", "-MNU_")</f>
        <v>ITM_COMMA</v>
      </c>
      <c r="BC587" s="157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 "ITM_SEMICOLON", "ITM_0", AR587), ".lo", ),"MNU_", "-MNU_")</f>
        <v>ITM_0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 "ITM_SEMICOLON", "ITM_0",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 "ITM_SEMICOLON", "ITM_0",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ITM_0,        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2" t="s">
        <v>484</v>
      </c>
      <c r="AS588" s="208" t="s">
        <v>262</v>
      </c>
      <c r="AT588" s="198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 "ITM_SEMICOLON", "ITM_0",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 "ITM_SEMICOLON", "ITM_0",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 "ITM_SEMICOLON", "ITM_0",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 "ITM_SEMICOLON", "ITM_0",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 "ITM_SEMICOLON", "ITM_0",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 "ITM_SEMICOLON", "ITM_0",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 "ITM_SEMICOLON", "ITM_0",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 "ITM_SEMICOLON", "ITM_0",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3" t="s">
        <v>650</v>
      </c>
      <c r="AS589" s="209" t="s">
        <v>267</v>
      </c>
      <c r="AT589" s="202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 "ITM_SEMICOLON", "ITM_0",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 "ITM_SEMICOLON", "ITM_0",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 "ITM_SEMICOLON", "ITM_0",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 "ITM_SEMICOLON", "ITM_0",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 "ITM_SEMICOLON", "ITM_0",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 "ITM_SEMICOLON", "ITM_0",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 "ITM_SEMICOLON", "ITM_0",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 "ITM_SEMICOLON", "ITM_0",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3"/>
      <c r="AS590" s="203"/>
      <c r="AT590" s="203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</mergeCells>
  <conditionalFormatting sqref="C8">
    <cfRule type="expression" dxfId="379" priority="641">
      <formula>C8&lt;&gt;" "</formula>
    </cfRule>
  </conditionalFormatting>
  <conditionalFormatting sqref="C14">
    <cfRule type="expression" dxfId="378" priority="617">
      <formula>C14&lt;&gt;" "</formula>
    </cfRule>
  </conditionalFormatting>
  <conditionalFormatting sqref="C26">
    <cfRule type="expression" dxfId="377" priority="577">
      <formula>C26&lt;&gt;" "</formula>
    </cfRule>
  </conditionalFormatting>
  <conditionalFormatting sqref="C32">
    <cfRule type="expression" dxfId="376" priority="573">
      <formula>C32&lt;&gt;" "</formula>
    </cfRule>
  </conditionalFormatting>
  <conditionalFormatting sqref="C38">
    <cfRule type="expression" dxfId="375" priority="569">
      <formula>C38&lt;&gt;" "</formula>
    </cfRule>
  </conditionalFormatting>
  <conditionalFormatting sqref="C44">
    <cfRule type="expression" dxfId="374" priority="565">
      <formula>C44&lt;&gt;" "</formula>
    </cfRule>
  </conditionalFormatting>
  <conditionalFormatting sqref="C3:D5">
    <cfRule type="expression" dxfId="373" priority="456" stopIfTrue="1">
      <formula>C3=" g "</formula>
    </cfRule>
    <cfRule type="expression" dxfId="372" priority="457">
      <formula>OR(C3=" f ",C3="f/g")</formula>
    </cfRule>
  </conditionalFormatting>
  <conditionalFormatting sqref="C8:D8">
    <cfRule type="expression" dxfId="371" priority="788">
      <formula>LEFT(C8,1)="["</formula>
    </cfRule>
  </conditionalFormatting>
  <conditionalFormatting sqref="C9:D11">
    <cfRule type="expression" dxfId="370" priority="444" stopIfTrue="1">
      <formula>C9=" g "</formula>
    </cfRule>
    <cfRule type="expression" dxfId="369" priority="445">
      <formula>OR(C9=" f ",C9="f/g")</formula>
    </cfRule>
  </conditionalFormatting>
  <conditionalFormatting sqref="C14:D14">
    <cfRule type="expression" dxfId="368" priority="618">
      <formula>LEFT(C14,1)="["</formula>
    </cfRule>
  </conditionalFormatting>
  <conditionalFormatting sqref="C15:D17">
    <cfRule type="expression" dxfId="367" priority="433">
      <formula>OR(C15=" f ",C15="f/g")</formula>
    </cfRule>
    <cfRule type="expression" dxfId="366" priority="432" stopIfTrue="1">
      <formula>C15=" g "</formula>
    </cfRule>
  </conditionalFormatting>
  <conditionalFormatting sqref="C26:D26">
    <cfRule type="expression" dxfId="365" priority="578">
      <formula>LEFT(C26,1)="["</formula>
    </cfRule>
  </conditionalFormatting>
  <conditionalFormatting sqref="C27:D29">
    <cfRule type="expression" dxfId="364" priority="412" stopIfTrue="1">
      <formula>C27=" g "</formula>
    </cfRule>
    <cfRule type="expression" dxfId="363" priority="413">
      <formula>OR(C27=" f ",C27="f/g")</formula>
    </cfRule>
  </conditionalFormatting>
  <conditionalFormatting sqref="C32:D32">
    <cfRule type="expression" dxfId="362" priority="574">
      <formula>LEFT(C32,1)="["</formula>
    </cfRule>
  </conditionalFormatting>
  <conditionalFormatting sqref="C33:D35">
    <cfRule type="expression" dxfId="361" priority="411">
      <formula>OR(C33=" f ",C33="f/g")</formula>
    </cfRule>
    <cfRule type="expression" dxfId="360" priority="410" stopIfTrue="1">
      <formula>C33=" g "</formula>
    </cfRule>
  </conditionalFormatting>
  <conditionalFormatting sqref="C38:D38">
    <cfRule type="expression" dxfId="359" priority="570">
      <formula>LEFT(C38,1)="["</formula>
    </cfRule>
  </conditionalFormatting>
  <conditionalFormatting sqref="C39:D41">
    <cfRule type="expression" dxfId="358" priority="715">
      <formula>OR(C39=" f ",C39="f/g")</formula>
    </cfRule>
    <cfRule type="expression" dxfId="357" priority="714" stopIfTrue="1">
      <formula>C39=" g "</formula>
    </cfRule>
  </conditionalFormatting>
  <conditionalFormatting sqref="C44:D44">
    <cfRule type="expression" dxfId="356" priority="566">
      <formula>LEFT(C44,1)="["</formula>
    </cfRule>
  </conditionalFormatting>
  <conditionalFormatting sqref="C45:D47">
    <cfRule type="expression" dxfId="355" priority="408" stopIfTrue="1">
      <formula>C45=" g "</formula>
    </cfRule>
    <cfRule type="expression" dxfId="354" priority="409">
      <formula>OR(C45=" f ",C45="f/g")</formula>
    </cfRule>
  </conditionalFormatting>
  <conditionalFormatting sqref="C20:E20">
    <cfRule type="expression" dxfId="353" priority="789">
      <formula>LEFT(C20,1)="["</formula>
    </cfRule>
    <cfRule type="expression" dxfId="352" priority="499">
      <formula>C20&lt;&gt;" "</formula>
    </cfRule>
  </conditionalFormatting>
  <conditionalFormatting sqref="D8">
    <cfRule type="expression" dxfId="351" priority="640">
      <formula>D8&lt;&gt;" "</formula>
    </cfRule>
  </conditionalFormatting>
  <conditionalFormatting sqref="D14">
    <cfRule type="expression" dxfId="350" priority="616">
      <formula>D14&lt;&gt;" "</formula>
    </cfRule>
  </conditionalFormatting>
  <conditionalFormatting sqref="D26">
    <cfRule type="expression" dxfId="349" priority="576">
      <formula>D26&lt;&gt;" "</formula>
    </cfRule>
  </conditionalFormatting>
  <conditionalFormatting sqref="D32">
    <cfRule type="expression" dxfId="348" priority="572">
      <formula>D32&lt;&gt;" "</formula>
    </cfRule>
  </conditionalFormatting>
  <conditionalFormatting sqref="D38">
    <cfRule type="expression" dxfId="347" priority="568">
      <formula>D38&lt;&gt;" "</formula>
    </cfRule>
  </conditionalFormatting>
  <conditionalFormatting sqref="D44">
    <cfRule type="expression" dxfId="346" priority="564">
      <formula>D44&lt;&gt;" "</formula>
    </cfRule>
  </conditionalFormatting>
  <conditionalFormatting sqref="E9:E11">
    <cfRule type="expression" dxfId="345" priority="363">
      <formula>AND(E9&lt;&gt;" ",E9&lt;&gt;"")</formula>
    </cfRule>
  </conditionalFormatting>
  <conditionalFormatting sqref="E15:E17">
    <cfRule type="expression" dxfId="344" priority="364">
      <formula>AND(E15&lt;&gt;" ",E15&lt;&gt;"")</formula>
    </cfRule>
  </conditionalFormatting>
  <conditionalFormatting sqref="E27:E29">
    <cfRule type="expression" dxfId="343" priority="353">
      <formula>AND(E27&lt;&gt;" ",E27&lt;&gt;"")</formula>
    </cfRule>
  </conditionalFormatting>
  <conditionalFormatting sqref="E33:E35">
    <cfRule type="expression" dxfId="342" priority="352">
      <formula>AND(E33&lt;&gt;" ",E33&lt;&gt;"")</formula>
    </cfRule>
  </conditionalFormatting>
  <conditionalFormatting sqref="E39:E41">
    <cfRule type="expression" dxfId="341" priority="343">
      <formula>AND(E39&lt;&gt;" ",E39&lt;&gt;"")</formula>
    </cfRule>
  </conditionalFormatting>
  <conditionalFormatting sqref="E45:E47">
    <cfRule type="expression" dxfId="340" priority="342">
      <formula>AND(E45&lt;&gt;" ",E45&lt;&gt;"")</formula>
    </cfRule>
  </conditionalFormatting>
  <conditionalFormatting sqref="F26">
    <cfRule type="expression" dxfId="339" priority="562">
      <formula>F26&lt;&gt;" "</formula>
    </cfRule>
    <cfRule type="expression" dxfId="338" priority="563">
      <formula>LEFT(F26,1)="["</formula>
    </cfRule>
  </conditionalFormatting>
  <conditionalFormatting sqref="F32">
    <cfRule type="expression" dxfId="337" priority="547">
      <formula>LEFT(F32,1)="["</formula>
    </cfRule>
    <cfRule type="expression" dxfId="336" priority="546">
      <formula>F32&lt;&gt;" "</formula>
    </cfRule>
  </conditionalFormatting>
  <conditionalFormatting sqref="F38">
    <cfRule type="expression" dxfId="335" priority="531">
      <formula>LEFT(F38,1)="["</formula>
    </cfRule>
    <cfRule type="expression" dxfId="334" priority="530">
      <formula>F38&lt;&gt;" "</formula>
    </cfRule>
  </conditionalFormatting>
  <conditionalFormatting sqref="F44">
    <cfRule type="expression" dxfId="333" priority="514">
      <formula>F44&lt;&gt;" "</formula>
    </cfRule>
    <cfRule type="expression" dxfId="332" priority="515">
      <formula>LEFT(F44,1)="["</formula>
    </cfRule>
  </conditionalFormatting>
  <conditionalFormatting sqref="F20:H20">
    <cfRule type="expression" dxfId="331" priority="827" stopIfTrue="1">
      <formula>LEFT(F20,1)="["</formula>
    </cfRule>
    <cfRule type="expression" dxfId="330" priority="498">
      <formula>F20&lt;&gt;" "</formula>
    </cfRule>
  </conditionalFormatting>
  <conditionalFormatting sqref="F27:H29">
    <cfRule type="expression" dxfId="329" priority="673" stopIfTrue="1">
      <formula>OR(F27=" f ",F27="f/g")</formula>
    </cfRule>
    <cfRule type="expression" dxfId="328" priority="672" stopIfTrue="1">
      <formula>F27=" g "</formula>
    </cfRule>
  </conditionalFormatting>
  <conditionalFormatting sqref="F33:H35">
    <cfRule type="expression" dxfId="327" priority="395" stopIfTrue="1">
      <formula>OR(F33=" f ",F33="f/g")</formula>
    </cfRule>
    <cfRule type="expression" dxfId="326" priority="394" stopIfTrue="1">
      <formula>F33=" g "</formula>
    </cfRule>
  </conditionalFormatting>
  <conditionalFormatting sqref="F39:H41">
    <cfRule type="expression" dxfId="325" priority="393" stopIfTrue="1">
      <formula>OR(F39=" f ",F39="f/g")</formula>
    </cfRule>
    <cfRule type="expression" dxfId="324" priority="392" stopIfTrue="1">
      <formula>F39=" g "</formula>
    </cfRule>
  </conditionalFormatting>
  <conditionalFormatting sqref="F45:H47">
    <cfRule type="expression" dxfId="323" priority="378" stopIfTrue="1">
      <formula>F45=" g "</formula>
    </cfRule>
    <cfRule type="expression" dxfId="322" priority="379" stopIfTrue="1">
      <formula>OR(F45=" f ",F45="f/g")</formula>
    </cfRule>
  </conditionalFormatting>
  <conditionalFormatting sqref="G8">
    <cfRule type="expression" dxfId="321" priority="168">
      <formula>G8&lt;&gt;" "</formula>
    </cfRule>
  </conditionalFormatting>
  <conditionalFormatting sqref="G14">
    <cfRule type="expression" dxfId="320" priority="613">
      <formula>G14&lt;&gt;" "</formula>
    </cfRule>
  </conditionalFormatting>
  <conditionalFormatting sqref="G3:H5">
    <cfRule type="expression" dxfId="319" priority="455">
      <formula>OR(G3=" f ",G3="f/g")</formula>
    </cfRule>
    <cfRule type="expression" dxfId="318" priority="454" stopIfTrue="1">
      <formula>G3=" g "</formula>
    </cfRule>
  </conditionalFormatting>
  <conditionalFormatting sqref="G8:H8">
    <cfRule type="expression" dxfId="317" priority="169">
      <formula>LEFT(G8,1)="["</formula>
    </cfRule>
  </conditionalFormatting>
  <conditionalFormatting sqref="G9:H11">
    <cfRule type="expression" dxfId="316" priority="443">
      <formula>OR(G9=" f ",G9="f/g")</formula>
    </cfRule>
    <cfRule type="expression" dxfId="315" priority="442" stopIfTrue="1">
      <formula>G9=" g "</formula>
    </cfRule>
  </conditionalFormatting>
  <conditionalFormatting sqref="G14:H14">
    <cfRule type="expression" dxfId="314" priority="614">
      <formula>LEFT(G14,1)="["</formula>
    </cfRule>
  </conditionalFormatting>
  <conditionalFormatting sqref="G15:H17">
    <cfRule type="expression" dxfId="313" priority="430" stopIfTrue="1">
      <formula>G15=" g "</formula>
    </cfRule>
    <cfRule type="expression" dxfId="312" priority="431">
      <formula>OR(G15=" f ",G15="f/g")</formula>
    </cfRule>
  </conditionalFormatting>
  <conditionalFormatting sqref="H8">
    <cfRule type="expression" dxfId="311" priority="636">
      <formula>H8&lt;&gt;" "</formula>
    </cfRule>
  </conditionalFormatting>
  <conditionalFormatting sqref="H14">
    <cfRule type="expression" dxfId="310" priority="612">
      <formula>H14&lt;&gt;" "</formula>
    </cfRule>
  </conditionalFormatting>
  <conditionalFormatting sqref="H26">
    <cfRule type="expression" dxfId="309" priority="561">
      <formula>LEFT(H26,1)="["</formula>
    </cfRule>
    <cfRule type="expression" dxfId="308" priority="560">
      <formula>H26&lt;&gt;" "</formula>
    </cfRule>
  </conditionalFormatting>
  <conditionalFormatting sqref="H32">
    <cfRule type="expression" dxfId="307" priority="544">
      <formula>H32&lt;&gt;" "</formula>
    </cfRule>
    <cfRule type="expression" dxfId="306" priority="545">
      <formula>LEFT(H32,1)="["</formula>
    </cfRule>
  </conditionalFormatting>
  <conditionalFormatting sqref="H38">
    <cfRule type="expression" dxfId="305" priority="529">
      <formula>LEFT(H38,1)="["</formula>
    </cfRule>
    <cfRule type="expression" dxfId="304" priority="528">
      <formula>H38&lt;&gt;" "</formula>
    </cfRule>
  </conditionalFormatting>
  <conditionalFormatting sqref="H44">
    <cfRule type="expression" dxfId="303" priority="512">
      <formula>H44&lt;&gt;" "</formula>
    </cfRule>
    <cfRule type="expression" dxfId="302" priority="513">
      <formula>LEFT(H44,1)="["</formula>
    </cfRule>
  </conditionalFormatting>
  <conditionalFormatting sqref="I9:I11">
    <cfRule type="expression" dxfId="301" priority="362">
      <formula>AND(I9&lt;&gt;" ",I9&lt;&gt;"")</formula>
    </cfRule>
  </conditionalFormatting>
  <conditionalFormatting sqref="I15:I17">
    <cfRule type="expression" dxfId="300" priority="365">
      <formula>AND(I15&lt;&gt;" ",I15&lt;&gt;"")</formula>
    </cfRule>
  </conditionalFormatting>
  <conditionalFormatting sqref="I21:I23">
    <cfRule type="expression" dxfId="299" priority="484">
      <formula>AND(I21&lt;&gt;" ",I21&lt;&gt;"")</formula>
    </cfRule>
  </conditionalFormatting>
  <conditionalFormatting sqref="I27:I29">
    <cfRule type="expression" dxfId="298" priority="354">
      <formula>AND(I27&lt;&gt;" ",I27&lt;&gt;"")</formula>
    </cfRule>
  </conditionalFormatting>
  <conditionalFormatting sqref="I33:I35">
    <cfRule type="expression" dxfId="297" priority="351">
      <formula>AND(I33&lt;&gt;" ",I33&lt;&gt;"")</formula>
    </cfRule>
  </conditionalFormatting>
  <conditionalFormatting sqref="I39:I41">
    <cfRule type="expression" dxfId="296" priority="344">
      <formula>AND(I39&lt;&gt;" ",I39&lt;&gt;"")</formula>
    </cfRule>
  </conditionalFormatting>
  <conditionalFormatting sqref="I45:I47">
    <cfRule type="expression" dxfId="295" priority="341">
      <formula>AND(I45&lt;&gt;" ",I45&lt;&gt;"")</formula>
    </cfRule>
  </conditionalFormatting>
  <conditionalFormatting sqref="J8">
    <cfRule type="expression" dxfId="294" priority="633">
      <formula>J8&lt;&gt;" "</formula>
    </cfRule>
  </conditionalFormatting>
  <conditionalFormatting sqref="J14">
    <cfRule type="expression" dxfId="293" priority="609">
      <formula>J14&lt;&gt;" "</formula>
    </cfRule>
  </conditionalFormatting>
  <conditionalFormatting sqref="J20">
    <cfRule type="expression" dxfId="292" priority="593">
      <formula>J20&lt;&gt;" "</formula>
    </cfRule>
  </conditionalFormatting>
  <conditionalFormatting sqref="J26">
    <cfRule type="expression" dxfId="291" priority="558">
      <formula>J26&lt;&gt;" "</formula>
    </cfRule>
    <cfRule type="expression" dxfId="290" priority="559">
      <formula>LEFT(J26,1)="["</formula>
    </cfRule>
  </conditionalFormatting>
  <conditionalFormatting sqref="J32">
    <cfRule type="expression" dxfId="289" priority="542">
      <formula>J32&lt;&gt;" "</formula>
    </cfRule>
    <cfRule type="expression" dxfId="288" priority="543">
      <formula>LEFT(J32,1)="["</formula>
    </cfRule>
  </conditionalFormatting>
  <conditionalFormatting sqref="J38">
    <cfRule type="expression" dxfId="287" priority="527">
      <formula>LEFT(J38,1)="["</formula>
    </cfRule>
    <cfRule type="expression" dxfId="286" priority="526">
      <formula>J38&lt;&gt;" "</formula>
    </cfRule>
  </conditionalFormatting>
  <conditionalFormatting sqref="J44">
    <cfRule type="expression" dxfId="285" priority="510">
      <formula>J44&lt;&gt;" "</formula>
    </cfRule>
    <cfRule type="expression" dxfId="284" priority="511">
      <formula>LEFT(J44,1)="["</formula>
    </cfRule>
  </conditionalFormatting>
  <conditionalFormatting sqref="J3:K5">
    <cfRule type="expression" dxfId="283" priority="452" stopIfTrue="1">
      <formula>J3=" g "</formula>
    </cfRule>
    <cfRule type="expression" dxfId="282" priority="453">
      <formula>OR(J3=" f ",J3="f/g")</formula>
    </cfRule>
  </conditionalFormatting>
  <conditionalFormatting sqref="J8:K8">
    <cfRule type="expression" dxfId="281" priority="634">
      <formula>LEFT(J8,1)="["</formula>
    </cfRule>
  </conditionalFormatting>
  <conditionalFormatting sqref="J9:K11">
    <cfRule type="expression" dxfId="280" priority="440" stopIfTrue="1">
      <formula>J9=" g "</formula>
    </cfRule>
    <cfRule type="expression" dxfId="279" priority="441">
      <formula>OR(J9=" f ",J9="f/g")</formula>
    </cfRule>
  </conditionalFormatting>
  <conditionalFormatting sqref="J14:K14">
    <cfRule type="expression" dxfId="278" priority="610">
      <formula>LEFT(J14,1)="["</formula>
    </cfRule>
  </conditionalFormatting>
  <conditionalFormatting sqref="J15:K17">
    <cfRule type="expression" dxfId="277" priority="428" stopIfTrue="1">
      <formula>J15=" g "</formula>
    </cfRule>
    <cfRule type="expression" dxfId="276" priority="429">
      <formula>OR(J15=" f ",J15="f/g")</formula>
    </cfRule>
  </conditionalFormatting>
  <conditionalFormatting sqref="J20:K20">
    <cfRule type="expression" dxfId="275" priority="594">
      <formula>LEFT(J20,1)="["</formula>
    </cfRule>
  </conditionalFormatting>
  <conditionalFormatting sqref="J21:K23">
    <cfRule type="expression" dxfId="274" priority="414" stopIfTrue="1">
      <formula>J21=" g "</formula>
    </cfRule>
    <cfRule type="expression" dxfId="273" priority="415">
      <formula>OR(J21=" f ",J21="f/g")</formula>
    </cfRule>
  </conditionalFormatting>
  <conditionalFormatting sqref="J27:L29">
    <cfRule type="expression" dxfId="272" priority="407" stopIfTrue="1">
      <formula>OR(J27=" f ",J27="f/g")</formula>
    </cfRule>
    <cfRule type="expression" dxfId="271" priority="406" stopIfTrue="1">
      <formula>J27=" g "</formula>
    </cfRule>
  </conditionalFormatting>
  <conditionalFormatting sqref="J33:L35">
    <cfRule type="expression" dxfId="270" priority="397" stopIfTrue="1">
      <formula>OR(J33=" f ",J33="f/g")</formula>
    </cfRule>
    <cfRule type="expression" dxfId="269" priority="396" stopIfTrue="1">
      <formula>J33=" g "</formula>
    </cfRule>
  </conditionalFormatting>
  <conditionalFormatting sqref="J39:L41">
    <cfRule type="expression" dxfId="268" priority="391" stopIfTrue="1">
      <formula>OR(J39=" f ",J39="f/g")</formula>
    </cfRule>
    <cfRule type="expression" dxfId="267" priority="390" stopIfTrue="1">
      <formula>J39=" g "</formula>
    </cfRule>
  </conditionalFormatting>
  <conditionalFormatting sqref="J45:L47">
    <cfRule type="expression" dxfId="266" priority="381" stopIfTrue="1">
      <formula>OR(J45=" f ",J45="f/g")</formula>
    </cfRule>
    <cfRule type="expression" dxfId="265" priority="380" stopIfTrue="1">
      <formula>J45=" g "</formula>
    </cfRule>
  </conditionalFormatting>
  <conditionalFormatting sqref="K8">
    <cfRule type="expression" dxfId="264" priority="632">
      <formula>K8&lt;&gt;" "</formula>
    </cfRule>
  </conditionalFormatting>
  <conditionalFormatting sqref="K14">
    <cfRule type="expression" dxfId="263" priority="608">
      <formula>K14&lt;&gt;" "</formula>
    </cfRule>
  </conditionalFormatting>
  <conditionalFormatting sqref="K20">
    <cfRule type="expression" dxfId="262" priority="592">
      <formula>K20&lt;&gt;" "</formula>
    </cfRule>
  </conditionalFormatting>
  <conditionalFormatting sqref="L9:L11">
    <cfRule type="expression" dxfId="261" priority="361">
      <formula>AND(L9&lt;&gt;" ",L9&lt;&gt;"")</formula>
    </cfRule>
  </conditionalFormatting>
  <conditionalFormatting sqref="L15:L17">
    <cfRule type="expression" dxfId="260" priority="366">
      <formula>AND(L15&lt;&gt;" ",L15&lt;&gt;"")</formula>
    </cfRule>
  </conditionalFormatting>
  <conditionalFormatting sqref="L21:L23">
    <cfRule type="expression" dxfId="259" priority="373">
      <formula>AND(L21&lt;&gt;" ",L21&lt;&gt;"")</formula>
    </cfRule>
  </conditionalFormatting>
  <conditionalFormatting sqref="L26">
    <cfRule type="expression" dxfId="258" priority="556">
      <formula>L26&lt;&gt;" "</formula>
    </cfRule>
    <cfRule type="expression" dxfId="257" priority="557">
      <formula>LEFT(L26,1)="["</formula>
    </cfRule>
  </conditionalFormatting>
  <conditionalFormatting sqref="L32">
    <cfRule type="expression" dxfId="256" priority="540">
      <formula>L32&lt;&gt;" "</formula>
    </cfRule>
    <cfRule type="expression" dxfId="255" priority="541">
      <formula>LEFT(L32,1)="["</formula>
    </cfRule>
  </conditionalFormatting>
  <conditionalFormatting sqref="L38">
    <cfRule type="expression" dxfId="254" priority="524">
      <formula>L38&lt;&gt;" "</formula>
    </cfRule>
    <cfRule type="expression" dxfId="253" priority="525">
      <formula>LEFT(L38,1)="["</formula>
    </cfRule>
  </conditionalFormatting>
  <conditionalFormatting sqref="L44">
    <cfRule type="expression" dxfId="252" priority="509">
      <formula>LEFT(L44,1)="["</formula>
    </cfRule>
    <cfRule type="expression" dxfId="251" priority="508">
      <formula>L44&lt;&gt;" "</formula>
    </cfRule>
  </conditionalFormatting>
  <conditionalFormatting sqref="M8">
    <cfRule type="expression" dxfId="250" priority="629">
      <formula>M8&lt;&gt;" "</formula>
    </cfRule>
  </conditionalFormatting>
  <conditionalFormatting sqref="M14">
    <cfRule type="expression" dxfId="249" priority="605">
      <formula>M14&lt;&gt;" "</formula>
    </cfRule>
  </conditionalFormatting>
  <conditionalFormatting sqref="M20">
    <cfRule type="expression" dxfId="248" priority="589">
      <formula>M20&lt;&gt;" "</formula>
    </cfRule>
  </conditionalFormatting>
  <conditionalFormatting sqref="M27:M29">
    <cfRule type="expression" dxfId="247" priority="355">
      <formula>AND(M27&lt;&gt;" ",M27&lt;&gt;"")</formula>
    </cfRule>
  </conditionalFormatting>
  <conditionalFormatting sqref="M33:M35">
    <cfRule type="expression" dxfId="246" priority="350">
      <formula>AND(M33&lt;&gt;" ",M33&lt;&gt;"")</formula>
    </cfRule>
  </conditionalFormatting>
  <conditionalFormatting sqref="M39:M41">
    <cfRule type="expression" dxfId="245" priority="345">
      <formula>AND(M39&lt;&gt;" ",M39&lt;&gt;"")</formula>
    </cfRule>
  </conditionalFormatting>
  <conditionalFormatting sqref="M45:M47">
    <cfRule type="expression" dxfId="244" priority="340">
      <formula>AND(M45&lt;&gt;" ",M45&lt;&gt;"")</formula>
    </cfRule>
  </conditionalFormatting>
  <conditionalFormatting sqref="M3:N5">
    <cfRule type="expression" dxfId="243" priority="450" stopIfTrue="1">
      <formula>M3=" g "</formula>
    </cfRule>
    <cfRule type="expression" dxfId="242" priority="451">
      <formula>OR(M3=" f ",M3="f/g")</formula>
    </cfRule>
  </conditionalFormatting>
  <conditionalFormatting sqref="M8:N8">
    <cfRule type="expression" dxfId="241" priority="630">
      <formula>LEFT(M8,1)="["</formula>
    </cfRule>
  </conditionalFormatting>
  <conditionalFormatting sqref="M9:N11">
    <cfRule type="expression" dxfId="240" priority="438" stopIfTrue="1">
      <formula>M9=" g "</formula>
    </cfRule>
    <cfRule type="expression" dxfId="239" priority="439">
      <formula>OR(M9=" f ",M9="f/g")</formula>
    </cfRule>
  </conditionalFormatting>
  <conditionalFormatting sqref="M14:N14">
    <cfRule type="expression" dxfId="238" priority="606">
      <formula>LEFT(M14,1)="["</formula>
    </cfRule>
  </conditionalFormatting>
  <conditionalFormatting sqref="M15:N17">
    <cfRule type="expression" dxfId="237" priority="427">
      <formula>OR(M15=" f ",M15="f/g")</formula>
    </cfRule>
    <cfRule type="expression" dxfId="236" priority="426" stopIfTrue="1">
      <formula>M15=" g "</formula>
    </cfRule>
  </conditionalFormatting>
  <conditionalFormatting sqref="M20:N20">
    <cfRule type="expression" dxfId="235" priority="590">
      <formula>LEFT(M20,1)="["</formula>
    </cfRule>
  </conditionalFormatting>
  <conditionalFormatting sqref="M21:N23">
    <cfRule type="expression" dxfId="234" priority="417">
      <formula>OR(M21=" f ",M21="f/g")</formula>
    </cfRule>
    <cfRule type="expression" dxfId="233" priority="416" stopIfTrue="1">
      <formula>M21=" g "</formula>
    </cfRule>
  </conditionalFormatting>
  <conditionalFormatting sqref="N8">
    <cfRule type="expression" dxfId="232" priority="628">
      <formula>N8&lt;&gt;" "</formula>
    </cfRule>
  </conditionalFormatting>
  <conditionalFormatting sqref="N14">
    <cfRule type="expression" dxfId="231" priority="604">
      <formula>N14&lt;&gt;" "</formula>
    </cfRule>
  </conditionalFormatting>
  <conditionalFormatting sqref="N20">
    <cfRule type="expression" dxfId="230" priority="588">
      <formula>N20&lt;&gt;" "</formula>
    </cfRule>
  </conditionalFormatting>
  <conditionalFormatting sqref="N26">
    <cfRule type="expression" dxfId="229" priority="554">
      <formula>N26&lt;&gt;" "</formula>
    </cfRule>
    <cfRule type="expression" dxfId="228" priority="555">
      <formula>LEFT(N26,1)="["</formula>
    </cfRule>
  </conditionalFormatting>
  <conditionalFormatting sqref="N32">
    <cfRule type="expression" dxfId="227" priority="539">
      <formula>LEFT(N32,1)="["</formula>
    </cfRule>
    <cfRule type="expression" dxfId="226" priority="538">
      <formula>N32&lt;&gt;" "</formula>
    </cfRule>
  </conditionalFormatting>
  <conditionalFormatting sqref="N38">
    <cfRule type="expression" dxfId="225" priority="522">
      <formula>N38&lt;&gt;" "</formula>
    </cfRule>
    <cfRule type="expression" dxfId="224" priority="523">
      <formula>LEFT(N38,1)="["</formula>
    </cfRule>
  </conditionalFormatting>
  <conditionalFormatting sqref="N44">
    <cfRule type="expression" dxfId="223" priority="507">
      <formula>LEFT(N44,1)="["</formula>
    </cfRule>
    <cfRule type="expression" dxfId="222" priority="506">
      <formula>N44&lt;&gt;" "</formula>
    </cfRule>
  </conditionalFormatting>
  <conditionalFormatting sqref="N27:P29">
    <cfRule type="expression" dxfId="221" priority="404" stopIfTrue="1">
      <formula>N27=" g "</formula>
    </cfRule>
    <cfRule type="expression" dxfId="220" priority="405" stopIfTrue="1">
      <formula>OR(N27=" f ",N27="f/g")</formula>
    </cfRule>
  </conditionalFormatting>
  <conditionalFormatting sqref="N33:P35">
    <cfRule type="expression" dxfId="219" priority="399" stopIfTrue="1">
      <formula>OR(N33=" f ",N33="f/g")</formula>
    </cfRule>
    <cfRule type="expression" dxfId="218" priority="398" stopIfTrue="1">
      <formula>N33=" g "</formula>
    </cfRule>
  </conditionalFormatting>
  <conditionalFormatting sqref="N39:P41">
    <cfRule type="expression" dxfId="217" priority="389" stopIfTrue="1">
      <formula>OR(N39=" f ",N39="f/g")</formula>
    </cfRule>
    <cfRule type="expression" dxfId="216" priority="388" stopIfTrue="1">
      <formula>N39=" g "</formula>
    </cfRule>
  </conditionalFormatting>
  <conditionalFormatting sqref="N45:P47">
    <cfRule type="expression" dxfId="215" priority="382" stopIfTrue="1">
      <formula>N45=" g "</formula>
    </cfRule>
    <cfRule type="expression" dxfId="214" priority="383" stopIfTrue="1">
      <formula>OR(N45=" f ",N45="f/g")</formula>
    </cfRule>
  </conditionalFormatting>
  <conditionalFormatting sqref="O9:O11">
    <cfRule type="expression" dxfId="213" priority="360">
      <formula>AND(O9&lt;&gt;" ",O9&lt;&gt;"")</formula>
    </cfRule>
  </conditionalFormatting>
  <conditionalFormatting sqref="O15:O17">
    <cfRule type="expression" dxfId="212" priority="367">
      <formula>AND(O15&lt;&gt;" ",O15&lt;&gt;"")</formula>
    </cfRule>
  </conditionalFormatting>
  <conditionalFormatting sqref="O21:O23">
    <cfRule type="expression" dxfId="211" priority="372">
      <formula>AND(O21&lt;&gt;" ",O21&lt;&gt;"")</formula>
    </cfRule>
  </conditionalFormatting>
  <conditionalFormatting sqref="O428">
    <cfRule type="expression" dxfId="210" priority="121">
      <formula>O428 = " "</formula>
    </cfRule>
  </conditionalFormatting>
  <conditionalFormatting sqref="P8">
    <cfRule type="expression" dxfId="209" priority="625">
      <formula>P8&lt;&gt;" "</formula>
    </cfRule>
  </conditionalFormatting>
  <conditionalFormatting sqref="P14">
    <cfRule type="expression" dxfId="208" priority="601">
      <formula>P14&lt;&gt;" "</formula>
    </cfRule>
  </conditionalFormatting>
  <conditionalFormatting sqref="P20">
    <cfRule type="expression" dxfId="207" priority="585">
      <formula>P20&lt;&gt;" "</formula>
    </cfRule>
  </conditionalFormatting>
  <conditionalFormatting sqref="P26">
    <cfRule type="expression" dxfId="206" priority="552">
      <formula>P26&lt;&gt;" "</formula>
    </cfRule>
    <cfRule type="expression" dxfId="205" priority="553">
      <formula>LEFT(P26,1)="["</formula>
    </cfRule>
  </conditionalFormatting>
  <conditionalFormatting sqref="P32">
    <cfRule type="expression" dxfId="204" priority="537">
      <formula>LEFT(P32,1)="["</formula>
    </cfRule>
    <cfRule type="expression" dxfId="203" priority="536">
      <formula>P32&lt;&gt;" "</formula>
    </cfRule>
  </conditionalFormatting>
  <conditionalFormatting sqref="P38">
    <cfRule type="expression" dxfId="202" priority="521">
      <formula>LEFT(P38,1)="["</formula>
    </cfRule>
    <cfRule type="expression" dxfId="201" priority="520">
      <formula>P38&lt;&gt;" "</formula>
    </cfRule>
  </conditionalFormatting>
  <conditionalFormatting sqref="P44">
    <cfRule type="expression" dxfId="200" priority="504">
      <formula>P44&lt;&gt;" "</formula>
    </cfRule>
    <cfRule type="expression" dxfId="199" priority="505">
      <formula>LEFT(P44,1)="["</formula>
    </cfRule>
  </conditionalFormatting>
  <conditionalFormatting sqref="P3:Q5">
    <cfRule type="expression" dxfId="198" priority="449">
      <formula>OR(P3=" f ",P3="f/g")</formula>
    </cfRule>
    <cfRule type="expression" dxfId="197" priority="448" stopIfTrue="1">
      <formula>P3=" g "</formula>
    </cfRule>
  </conditionalFormatting>
  <conditionalFormatting sqref="P8:Q8">
    <cfRule type="expression" dxfId="196" priority="626">
      <formula>LEFT(P8,1)="["</formula>
    </cfRule>
  </conditionalFormatting>
  <conditionalFormatting sqref="P9:Q11">
    <cfRule type="expression" dxfId="195" priority="436" stopIfTrue="1">
      <formula>P9=" g "</formula>
    </cfRule>
    <cfRule type="expression" dxfId="194" priority="437">
      <formula>OR(P9=" f ",P9="f/g")</formula>
    </cfRule>
  </conditionalFormatting>
  <conditionalFormatting sqref="P14:Q14">
    <cfRule type="expression" dxfId="193" priority="602">
      <formula>LEFT(P14,1)="["</formula>
    </cfRule>
  </conditionalFormatting>
  <conditionalFormatting sqref="P15:Q17">
    <cfRule type="expression" dxfId="192" priority="424" stopIfTrue="1">
      <formula>P15=" g "</formula>
    </cfRule>
    <cfRule type="expression" dxfId="191" priority="425">
      <formula>OR(P15=" f ",P15="f/g")</formula>
    </cfRule>
  </conditionalFormatting>
  <conditionalFormatting sqref="P20:Q20">
    <cfRule type="expression" dxfId="190" priority="586">
      <formula>LEFT(P20,1)="["</formula>
    </cfRule>
  </conditionalFormatting>
  <conditionalFormatting sqref="P21:Q23">
    <cfRule type="expression" dxfId="189" priority="418" stopIfTrue="1">
      <formula>P21=" g "</formula>
    </cfRule>
    <cfRule type="expression" dxfId="188" priority="419">
      <formula>OR(P21=" f ",P21="f/g")</formula>
    </cfRule>
  </conditionalFormatting>
  <conditionalFormatting sqref="Q8">
    <cfRule type="expression" dxfId="187" priority="624">
      <formula>Q8&lt;&gt;" "</formula>
    </cfRule>
  </conditionalFormatting>
  <conditionalFormatting sqref="Q14">
    <cfRule type="expression" dxfId="186" priority="600">
      <formula>Q14&lt;&gt;" "</formula>
    </cfRule>
  </conditionalFormatting>
  <conditionalFormatting sqref="Q20">
    <cfRule type="expression" dxfId="185" priority="584">
      <formula>Q20&lt;&gt;" "</formula>
    </cfRule>
  </conditionalFormatting>
  <conditionalFormatting sqref="Q27:Q29">
    <cfRule type="expression" dxfId="184" priority="356">
      <formula>AND(Q27&lt;&gt;" ",Q27&lt;&gt;"")</formula>
    </cfRule>
  </conditionalFormatting>
  <conditionalFormatting sqref="Q33:Q35">
    <cfRule type="expression" dxfId="183" priority="349">
      <formula>AND(Q33&lt;&gt;" ",Q33&lt;&gt;"")</formula>
    </cfRule>
  </conditionalFormatting>
  <conditionalFormatting sqref="Q39:Q41">
    <cfRule type="expression" dxfId="182" priority="346">
      <formula>AND(Q39&lt;&gt;" ",Q39&lt;&gt;"")</formula>
    </cfRule>
  </conditionalFormatting>
  <conditionalFormatting sqref="Q45:Q47">
    <cfRule type="expression" dxfId="181" priority="339">
      <formula>AND(Q45&lt;&gt;" ",Q45&lt;&gt;"")</formula>
    </cfRule>
  </conditionalFormatting>
  <conditionalFormatting sqref="R9:R11">
    <cfRule type="expression" dxfId="180" priority="359">
      <formula>AND(R9&lt;&gt;" ",R9&lt;&gt;"")</formula>
    </cfRule>
  </conditionalFormatting>
  <conditionalFormatting sqref="R15:R17">
    <cfRule type="expression" dxfId="179" priority="368">
      <formula>AND(R15&lt;&gt;" ",R15&lt;&gt;"")</formula>
    </cfRule>
  </conditionalFormatting>
  <conditionalFormatting sqref="R21:R23">
    <cfRule type="expression" dxfId="178" priority="371">
      <formula>AND(R21&lt;&gt;" ",R21&lt;&gt;"")</formula>
    </cfRule>
  </conditionalFormatting>
  <conditionalFormatting sqref="R26">
    <cfRule type="expression" dxfId="177" priority="551">
      <formula>LEFT(R26,1)="["</formula>
    </cfRule>
    <cfRule type="expression" dxfId="176" priority="550">
      <formula>R26&lt;&gt;" "</formula>
    </cfRule>
  </conditionalFormatting>
  <conditionalFormatting sqref="R32">
    <cfRule type="expression" dxfId="175" priority="535">
      <formula>LEFT(R32,1)="["</formula>
    </cfRule>
    <cfRule type="expression" dxfId="174" priority="534">
      <formula>R32&lt;&gt;" "</formula>
    </cfRule>
  </conditionalFormatting>
  <conditionalFormatting sqref="R38">
    <cfRule type="expression" dxfId="173" priority="519">
      <formula>LEFT(R38,1)="["</formula>
    </cfRule>
    <cfRule type="expression" dxfId="172" priority="518">
      <formula>R38&lt;&gt;" "</formula>
    </cfRule>
  </conditionalFormatting>
  <conditionalFormatting sqref="R44">
    <cfRule type="expression" dxfId="171" priority="503">
      <formula>LEFT(R44,1)="["</formula>
    </cfRule>
    <cfRule type="expression" dxfId="170" priority="502">
      <formula>R44&lt;&gt;" "</formula>
    </cfRule>
  </conditionalFormatting>
  <conditionalFormatting sqref="R27:T29">
    <cfRule type="expression" dxfId="169" priority="402" stopIfTrue="1">
      <formula>R27=" g "</formula>
    </cfRule>
    <cfRule type="expression" dxfId="168" priority="403" stopIfTrue="1">
      <formula>OR(R27=" f ",R27="f/g")</formula>
    </cfRule>
  </conditionalFormatting>
  <conditionalFormatting sqref="R33:T35">
    <cfRule type="expression" dxfId="167" priority="400" stopIfTrue="1">
      <formula>R33=" g "</formula>
    </cfRule>
    <cfRule type="expression" dxfId="166" priority="401" stopIfTrue="1">
      <formula>OR(R33=" f ",R33="f/g")</formula>
    </cfRule>
  </conditionalFormatting>
  <conditionalFormatting sqref="R39:T41">
    <cfRule type="expression" dxfId="165" priority="387" stopIfTrue="1">
      <formula>OR(R39=" f ",R39="f/g")</formula>
    </cfRule>
    <cfRule type="expression" dxfId="164" priority="386" stopIfTrue="1">
      <formula>R39=" g "</formula>
    </cfRule>
  </conditionalFormatting>
  <conditionalFormatting sqref="R45:T47">
    <cfRule type="expression" dxfId="163" priority="384" stopIfTrue="1">
      <formula>R45=" g "</formula>
    </cfRule>
    <cfRule type="expression" dxfId="162" priority="385" stopIfTrue="1">
      <formula>OR(R45=" f ",R45="f/g")</formula>
    </cfRule>
  </conditionalFormatting>
  <conditionalFormatting sqref="S8">
    <cfRule type="expression" dxfId="161" priority="621">
      <formula>S8&lt;&gt;" "</formula>
    </cfRule>
  </conditionalFormatting>
  <conditionalFormatting sqref="S14">
    <cfRule type="expression" dxfId="160" priority="597">
      <formula>S14&lt;&gt;" "</formula>
    </cfRule>
  </conditionalFormatting>
  <conditionalFormatting sqref="S20">
    <cfRule type="expression" dxfId="159" priority="581">
      <formula>S20&lt;&gt;" "</formula>
    </cfRule>
  </conditionalFormatting>
  <conditionalFormatting sqref="S3:T5">
    <cfRule type="expression" dxfId="158" priority="446" stopIfTrue="1">
      <formula>S3=" g "</formula>
    </cfRule>
    <cfRule type="expression" dxfId="157" priority="447">
      <formula>OR(S3=" f ",S3="f/g")</formula>
    </cfRule>
  </conditionalFormatting>
  <conditionalFormatting sqref="S8:T8">
    <cfRule type="expression" dxfId="156" priority="622">
      <formula>LEFT(S8,1)="["</formula>
    </cfRule>
  </conditionalFormatting>
  <conditionalFormatting sqref="S9:T11">
    <cfRule type="expression" dxfId="155" priority="435">
      <formula>OR(S9=" f ",S9="f/g")</formula>
    </cfRule>
    <cfRule type="expression" dxfId="154" priority="434" stopIfTrue="1">
      <formula>S9=" g "</formula>
    </cfRule>
  </conditionalFormatting>
  <conditionalFormatting sqref="S14:T14">
    <cfRule type="expression" dxfId="153" priority="598">
      <formula>LEFT(S14,1)="["</formula>
    </cfRule>
  </conditionalFormatting>
  <conditionalFormatting sqref="S15:T17">
    <cfRule type="expression" dxfId="152" priority="423">
      <formula>OR(S15=" f ",S15="f/g")</formula>
    </cfRule>
    <cfRule type="expression" dxfId="151" priority="422" stopIfTrue="1">
      <formula>S15=" g "</formula>
    </cfRule>
  </conditionalFormatting>
  <conditionalFormatting sqref="S20:T20">
    <cfRule type="expression" dxfId="150" priority="582">
      <formula>LEFT(S20,1)="["</formula>
    </cfRule>
  </conditionalFormatting>
  <conditionalFormatting sqref="S21:T23">
    <cfRule type="expression" dxfId="149" priority="421">
      <formula>OR(S21=" f ",S21="f/g")</formula>
    </cfRule>
    <cfRule type="expression" dxfId="148" priority="420" stopIfTrue="1">
      <formula>S21=" g "</formula>
    </cfRule>
  </conditionalFormatting>
  <conditionalFormatting sqref="T8">
    <cfRule type="expression" dxfId="147" priority="620">
      <formula>T8&lt;&gt;" "</formula>
    </cfRule>
  </conditionalFormatting>
  <conditionalFormatting sqref="T14">
    <cfRule type="expression" dxfId="146" priority="596">
      <formula>T14&lt;&gt;" "</formula>
    </cfRule>
  </conditionalFormatting>
  <conditionalFormatting sqref="T20">
    <cfRule type="expression" dxfId="145" priority="580">
      <formula>T20&lt;&gt;" "</formula>
    </cfRule>
  </conditionalFormatting>
  <conditionalFormatting sqref="T26">
    <cfRule type="expression" dxfId="144" priority="548">
      <formula>T26&lt;&gt;" "</formula>
    </cfRule>
    <cfRule type="expression" dxfId="143" priority="549">
      <formula>LEFT(T26,1)="["</formula>
    </cfRule>
  </conditionalFormatting>
  <conditionalFormatting sqref="T32">
    <cfRule type="expression" dxfId="142" priority="532">
      <formula>T32&lt;&gt;" "</formula>
    </cfRule>
    <cfRule type="expression" dxfId="141" priority="533">
      <formula>LEFT(T32,1)="["</formula>
    </cfRule>
  </conditionalFormatting>
  <conditionalFormatting sqref="T38">
    <cfRule type="expression" dxfId="140" priority="516">
      <formula>T38&lt;&gt;" "</formula>
    </cfRule>
    <cfRule type="expression" dxfId="139" priority="517">
      <formula>LEFT(T38,1)="["</formula>
    </cfRule>
  </conditionalFormatting>
  <conditionalFormatting sqref="T44">
    <cfRule type="expression" dxfId="138" priority="501">
      <formula>LEFT(T44,1)="["</formula>
    </cfRule>
    <cfRule type="expression" dxfId="137" priority="500">
      <formula>T44&lt;&gt;" "</formula>
    </cfRule>
  </conditionalFormatting>
  <conditionalFormatting sqref="T413">
    <cfRule type="expression" dxfId="136" priority="71">
      <formula>T413 = " "</formula>
    </cfRule>
  </conditionalFormatting>
  <conditionalFormatting sqref="T418">
    <cfRule type="expression" dxfId="135" priority="73">
      <formula>T418 = " "</formula>
    </cfRule>
  </conditionalFormatting>
  <conditionalFormatting sqref="T419:T420">
    <cfRule type="expression" dxfId="134" priority="72">
      <formula xml:space="preserve"> T419 = " "</formula>
    </cfRule>
  </conditionalFormatting>
  <conditionalFormatting sqref="T443">
    <cfRule type="expression" dxfId="133" priority="74">
      <formula xml:space="preserve"> T443 = " "</formula>
    </cfRule>
  </conditionalFormatting>
  <conditionalFormatting sqref="T409:V417">
    <cfRule type="expression" dxfId="132" priority="68">
      <formula>T409 = " "</formula>
    </cfRule>
  </conditionalFormatting>
  <conditionalFormatting sqref="T421:V425 T426 V426 T427:V437 T438:U438 T439:V442 T444:V445">
    <cfRule type="expression" dxfId="131" priority="77">
      <formula>T421 = " "</formula>
    </cfRule>
  </conditionalFormatting>
  <conditionalFormatting sqref="U9:U11">
    <cfRule type="expression" dxfId="130" priority="358">
      <formula>AND(U9&lt;&gt;" ",U9&lt;&gt;"")</formula>
    </cfRule>
  </conditionalFormatting>
  <conditionalFormatting sqref="U15:U17">
    <cfRule type="expression" dxfId="129" priority="369">
      <formula>AND(U15&lt;&gt;" ",U15&lt;&gt;"")</formula>
    </cfRule>
  </conditionalFormatting>
  <conditionalFormatting sqref="U21:U23">
    <cfRule type="expression" dxfId="128" priority="370">
      <formula>AND(U21&lt;&gt;" ",U21&lt;&gt;"")</formula>
    </cfRule>
  </conditionalFormatting>
  <conditionalFormatting sqref="U27:U29">
    <cfRule type="expression" dxfId="127" priority="357">
      <formula>AND(U27&lt;&gt;" ",U27&lt;&gt;"")</formula>
    </cfRule>
  </conditionalFormatting>
  <conditionalFormatting sqref="U33:U35">
    <cfRule type="expression" dxfId="126" priority="348">
      <formula>AND(U33&lt;&gt;" ",U33&lt;&gt;"")</formula>
    </cfRule>
  </conditionalFormatting>
  <conditionalFormatting sqref="U39:U41">
    <cfRule type="expression" dxfId="125" priority="347">
      <formula>AND(U39&lt;&gt;" ",U39&lt;&gt;"")</formula>
    </cfRule>
  </conditionalFormatting>
  <conditionalFormatting sqref="U45:U47">
    <cfRule type="expression" dxfId="124" priority="338">
      <formula>AND(U45&lt;&gt;" ",U45&lt;&gt;"")</formula>
    </cfRule>
  </conditionalFormatting>
  <conditionalFormatting sqref="U426">
    <cfRule type="expression" dxfId="123" priority="76" stopIfTrue="1">
      <formula xml:space="preserve"> U426 = " "</formula>
    </cfRule>
  </conditionalFormatting>
  <conditionalFormatting sqref="U418:V420">
    <cfRule type="expression" dxfId="122" priority="70">
      <formula>U418 = " "</formula>
    </cfRule>
  </conditionalFormatting>
  <conditionalFormatting sqref="U443:V443">
    <cfRule type="expression" dxfId="121" priority="69">
      <formula>U443 = " "</formula>
    </cfRule>
  </conditionalFormatting>
  <conditionalFormatting sqref="V438">
    <cfRule type="expression" dxfId="120" priority="75">
      <formula xml:space="preserve"> V438 = " "</formula>
    </cfRule>
  </conditionalFormatting>
  <conditionalFormatting sqref="AB1:AB2 AD1:AD2 AB48:AB90 AD48:AD90 AB93:AB272 AD93:AD272">
    <cfRule type="expression" dxfId="119" priority="318">
      <formula xml:space="preserve"> AB1 = " "</formula>
    </cfRule>
  </conditionalFormatting>
  <conditionalFormatting sqref="AB289:AB290">
    <cfRule type="expression" dxfId="118" priority="283">
      <formula xml:space="preserve"> AB289 = " "</formula>
    </cfRule>
  </conditionalFormatting>
  <conditionalFormatting sqref="AB313">
    <cfRule type="expression" dxfId="117" priority="213">
      <formula xml:space="preserve"> AB313 = " "</formula>
    </cfRule>
  </conditionalFormatting>
  <conditionalFormatting sqref="AB316:AB360">
    <cfRule type="expression" dxfId="116" priority="212">
      <formula xml:space="preserve"> AB316 = " "</formula>
    </cfRule>
  </conditionalFormatting>
  <conditionalFormatting sqref="AB362:AB407 AD362:AD407">
    <cfRule type="expression" dxfId="115" priority="183">
      <formula xml:space="preserve"> AB362 = " "</formula>
    </cfRule>
  </conditionalFormatting>
  <conditionalFormatting sqref="AB414:AB418">
    <cfRule type="expression" dxfId="114" priority="20">
      <formula>AB414 = " "</formula>
    </cfRule>
  </conditionalFormatting>
  <conditionalFormatting sqref="AB423">
    <cfRule type="expression" dxfId="113" priority="128">
      <formula>AB423 = " "</formula>
    </cfRule>
  </conditionalFormatting>
  <conditionalFormatting sqref="AB424:AB425">
    <cfRule type="expression" dxfId="112" priority="127">
      <formula xml:space="preserve"> AB424 = " "</formula>
    </cfRule>
  </conditionalFormatting>
  <conditionalFormatting sqref="AB431 AD431 AB432:AD442 AB443:AC443 AB444:AD447 AB449:AD450">
    <cfRule type="expression" dxfId="111" priority="186">
      <formula>AB431 = " "</formula>
    </cfRule>
  </conditionalFormatting>
  <conditionalFormatting sqref="AB448">
    <cfRule type="expression" dxfId="110" priority="174">
      <formula xml:space="preserve"> AB448 = " "</formula>
    </cfRule>
  </conditionalFormatting>
  <conditionalFormatting sqref="AB451:AB452 AB496:AB499 AB543:AB546 AB590:AB1048576">
    <cfRule type="expression" dxfId="109" priority="173">
      <formula xml:space="preserve"> AB451 = " "</formula>
    </cfRule>
  </conditionalFormatting>
  <conditionalFormatting sqref="AB463">
    <cfRule type="expression" dxfId="108" priority="81">
      <formula>AB463 = " "</formula>
    </cfRule>
  </conditionalFormatting>
  <conditionalFormatting sqref="AB468">
    <cfRule type="expression" dxfId="107" priority="83">
      <formula>AB468 = " "</formula>
    </cfRule>
  </conditionalFormatting>
  <conditionalFormatting sqref="AB470">
    <cfRule type="expression" dxfId="106" priority="82">
      <formula xml:space="preserve"> AB470 = " "</formula>
    </cfRule>
  </conditionalFormatting>
  <conditionalFormatting sqref="AB493">
    <cfRule type="expression" dxfId="105" priority="86">
      <formula xml:space="preserve"> AB493 = " "</formula>
    </cfRule>
  </conditionalFormatting>
  <conditionalFormatting sqref="AB510">
    <cfRule type="expression" dxfId="104" priority="55">
      <formula>AB510 = " "</formula>
    </cfRule>
  </conditionalFormatting>
  <conditionalFormatting sqref="AB515">
    <cfRule type="expression" dxfId="103" priority="57">
      <formula>AB515 = " "</formula>
    </cfRule>
  </conditionalFormatting>
  <conditionalFormatting sqref="AB517">
    <cfRule type="expression" dxfId="102" priority="56">
      <formula xml:space="preserve"> AB517 = " "</formula>
    </cfRule>
  </conditionalFormatting>
  <conditionalFormatting sqref="AB540">
    <cfRule type="expression" dxfId="101" priority="60">
      <formula xml:space="preserve"> AB540 = " "</formula>
    </cfRule>
  </conditionalFormatting>
  <conditionalFormatting sqref="AB557">
    <cfRule type="expression" dxfId="100" priority="32">
      <formula>AB557 = " "</formula>
    </cfRule>
  </conditionalFormatting>
  <conditionalFormatting sqref="AB562">
    <cfRule type="expression" dxfId="99" priority="34">
      <formula>AB562 = " "</formula>
    </cfRule>
  </conditionalFormatting>
  <conditionalFormatting sqref="AB564">
    <cfRule type="expression" dxfId="98" priority="28">
      <formula xml:space="preserve"> AB564 = " "</formula>
    </cfRule>
  </conditionalFormatting>
  <conditionalFormatting sqref="AB587">
    <cfRule type="expression" dxfId="97" priority="37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96" priority="330">
      <formula>AB273 = " "</formula>
    </cfRule>
  </conditionalFormatting>
  <conditionalFormatting sqref="AB408:AD413 AC414:AD417 AB418:AD422">
    <cfRule type="expression" dxfId="95" priority="107">
      <formula>AB408 = " "</formula>
    </cfRule>
  </conditionalFormatting>
  <conditionalFormatting sqref="AB426:AD430">
    <cfRule type="expression" dxfId="94" priority="18">
      <formula>AB426 = " "</formula>
    </cfRule>
  </conditionalFormatting>
  <conditionalFormatting sqref="AB453:AD467">
    <cfRule type="expression" dxfId="93" priority="78">
      <formula>AB453 = " "</formula>
    </cfRule>
  </conditionalFormatting>
  <conditionalFormatting sqref="AB471:AD475 AB476 AD476 AB477:AD487 AB488:AC488 AB489:AD492 AB494:AD495">
    <cfRule type="expression" dxfId="92" priority="91">
      <formula>AB471 = " "</formula>
    </cfRule>
  </conditionalFormatting>
  <conditionalFormatting sqref="AB500:AD514">
    <cfRule type="expression" dxfId="91" priority="52">
      <formula>AB500 = " "</formula>
    </cfRule>
  </conditionalFormatting>
  <conditionalFormatting sqref="AB518:AD522 AB523 AD523 AB524:AD534 AB535:AC535 AB536:AD539 AB541:AD542">
    <cfRule type="expression" dxfId="90" priority="65">
      <formula>AB518 = " "</formula>
    </cfRule>
  </conditionalFormatting>
  <conditionalFormatting sqref="AB547:AD561">
    <cfRule type="expression" dxfId="89" priority="29">
      <formula>AB547 = " "</formula>
    </cfRule>
  </conditionalFormatting>
  <conditionalFormatting sqref="AB565:AD569 AB570 AD570 AB571:AD581 AB582:AC582 AB583:AD586 AB588:AD589">
    <cfRule type="expression" dxfId="88" priority="42">
      <formula>AB565 = " "</formula>
    </cfRule>
  </conditionalFormatting>
  <conditionalFormatting sqref="AC1:AC2 AC48:AC90 AC93:AC99 AC101:AC272">
    <cfRule type="expression" dxfId="87" priority="317" stopIfTrue="1">
      <formula xml:space="preserve"> AC1 = " "</formula>
    </cfRule>
  </conditionalFormatting>
  <conditionalFormatting sqref="AC100">
    <cfRule type="expression" dxfId="86" priority="220">
      <formula xml:space="preserve"> AC100 = " "</formula>
    </cfRule>
  </conditionalFormatting>
  <conditionalFormatting sqref="AC296">
    <cfRule type="expression" dxfId="85" priority="289" stopIfTrue="1">
      <formula xml:space="preserve"> AC296 = " "</formula>
    </cfRule>
  </conditionalFormatting>
  <conditionalFormatting sqref="AC316:AC360">
    <cfRule type="expression" dxfId="84" priority="313" stopIfTrue="1">
      <formula xml:space="preserve"> AC316 = " "</formula>
    </cfRule>
  </conditionalFormatting>
  <conditionalFormatting sqref="AC362:AC407">
    <cfRule type="expression" dxfId="83" priority="182" stopIfTrue="1">
      <formula xml:space="preserve"> AC362 = " "</formula>
    </cfRule>
  </conditionalFormatting>
  <conditionalFormatting sqref="AC431">
    <cfRule type="expression" dxfId="82" priority="180" stopIfTrue="1">
      <formula xml:space="preserve"> AC431 = " "</formula>
    </cfRule>
  </conditionalFormatting>
  <conditionalFormatting sqref="AC451:AC452 AC496:AC499 AC543:AC546 AC590:AC1048576">
    <cfRule type="expression" dxfId="81" priority="181" stopIfTrue="1">
      <formula xml:space="preserve"> AC451 = " "</formula>
    </cfRule>
  </conditionalFormatting>
  <conditionalFormatting sqref="AC476">
    <cfRule type="expression" dxfId="80" priority="89" stopIfTrue="1">
      <formula xml:space="preserve"> AC476 = " "</formula>
    </cfRule>
  </conditionalFormatting>
  <conditionalFormatting sqref="AC523">
    <cfRule type="expression" dxfId="79" priority="63" stopIfTrue="1">
      <formula xml:space="preserve"> AC523 = " "</formula>
    </cfRule>
  </conditionalFormatting>
  <conditionalFormatting sqref="AC570">
    <cfRule type="expression" dxfId="78" priority="40" stopIfTrue="1">
      <formula xml:space="preserve"> AC570 = " "</formula>
    </cfRule>
  </conditionalFormatting>
  <conditionalFormatting sqref="AC423:AD425">
    <cfRule type="expression" dxfId="77" priority="125">
      <formula>AC423 = " "</formula>
    </cfRule>
  </conditionalFormatting>
  <conditionalFormatting sqref="AC448:AD448">
    <cfRule type="expression" dxfId="76" priority="122">
      <formula>AC448 = " "</formula>
    </cfRule>
  </conditionalFormatting>
  <conditionalFormatting sqref="AC468:AD470">
    <cfRule type="expression" dxfId="75" priority="80">
      <formula>AC468 = " "</formula>
    </cfRule>
  </conditionalFormatting>
  <conditionalFormatting sqref="AC493:AD493">
    <cfRule type="expression" dxfId="74" priority="79">
      <formula>AC493 = " "</formula>
    </cfRule>
  </conditionalFormatting>
  <conditionalFormatting sqref="AC515:AD517">
    <cfRule type="expression" dxfId="73" priority="54">
      <formula>AC515 = " "</formula>
    </cfRule>
  </conditionalFormatting>
  <conditionalFormatting sqref="AC540:AD540">
    <cfRule type="expression" dxfId="72" priority="53">
      <formula>AC540 = " "</formula>
    </cfRule>
  </conditionalFormatting>
  <conditionalFormatting sqref="AC562:AD564">
    <cfRule type="expression" dxfId="71" priority="31">
      <formula>AC562 = " "</formula>
    </cfRule>
  </conditionalFormatting>
  <conditionalFormatting sqref="AC587:AD587">
    <cfRule type="expression" dxfId="70" priority="30">
      <formula>AC587 = " "</formula>
    </cfRule>
  </conditionalFormatting>
  <conditionalFormatting sqref="AD308">
    <cfRule type="expression" dxfId="69" priority="215">
      <formula xml:space="preserve"> AD308 = " "</formula>
    </cfRule>
  </conditionalFormatting>
  <conditionalFormatting sqref="AD316:AD360">
    <cfRule type="expression" dxfId="68" priority="204">
      <formula xml:space="preserve"> AD316 = " "</formula>
    </cfRule>
  </conditionalFormatting>
  <conditionalFormatting sqref="AD443">
    <cfRule type="expression" dxfId="67" priority="175">
      <formula xml:space="preserve"> AD443 = " "</formula>
    </cfRule>
  </conditionalFormatting>
  <conditionalFormatting sqref="AD451:AD452 AD496:AD499 AD543:AD546 AD590:AD1048576">
    <cfRule type="expression" dxfId="66" priority="172">
      <formula xml:space="preserve"> AD451 = " "</formula>
    </cfRule>
  </conditionalFormatting>
  <conditionalFormatting sqref="AD488">
    <cfRule type="expression" dxfId="65" priority="87">
      <formula xml:space="preserve"> AD488 = " "</formula>
    </cfRule>
  </conditionalFormatting>
  <conditionalFormatting sqref="AD535">
    <cfRule type="expression" dxfId="64" priority="61">
      <formula xml:space="preserve"> AD535 = " "</formula>
    </cfRule>
  </conditionalFormatting>
  <conditionalFormatting sqref="AD582">
    <cfRule type="expression" dxfId="63" priority="38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62" priority="319" stopIfTrue="1">
      <formula>AF1=" "</formula>
    </cfRule>
  </conditionalFormatting>
  <conditionalFormatting sqref="AF109:AF110">
    <cfRule type="expression" dxfId="61" priority="235">
      <formula xml:space="preserve"> AF109 = " "</formula>
    </cfRule>
  </conditionalFormatting>
  <conditionalFormatting sqref="AF151">
    <cfRule type="expression" dxfId="60" priority="239">
      <formula xml:space="preserve"> AF151 = " "</formula>
    </cfRule>
  </conditionalFormatting>
  <conditionalFormatting sqref="AF194">
    <cfRule type="expression" dxfId="59" priority="238">
      <formula xml:space="preserve"> AF194 = " "</formula>
    </cfRule>
  </conditionalFormatting>
  <conditionalFormatting sqref="AF256">
    <cfRule type="expression" dxfId="58" priority="241">
      <formula xml:space="preserve"> AF256 = " "</formula>
    </cfRule>
  </conditionalFormatting>
  <conditionalFormatting sqref="AF261">
    <cfRule type="expression" dxfId="57" priority="237">
      <formula xml:space="preserve"> AF261 = " "</formula>
    </cfRule>
  </conditionalFormatting>
  <conditionalFormatting sqref="AF273:AF278 AH273:AJ278">
    <cfRule type="expression" dxfId="56" priority="329">
      <formula>AF273=" "</formula>
    </cfRule>
  </conditionalFormatting>
  <conditionalFormatting sqref="AF279:AF288 AF291:AF360">
    <cfRule type="expression" dxfId="55" priority="262" stopIfTrue="1">
      <formula>AF279=" "</formula>
    </cfRule>
  </conditionalFormatting>
  <conditionalFormatting sqref="AF290">
    <cfRule type="expression" dxfId="54" priority="236">
      <formula xml:space="preserve"> AF290 = " "</formula>
    </cfRule>
  </conditionalFormatting>
  <conditionalFormatting sqref="AF362:AF374">
    <cfRule type="expression" dxfId="53" priority="194" stopIfTrue="1">
      <formula>AF362=" "</formula>
    </cfRule>
  </conditionalFormatting>
  <conditionalFormatting sqref="AF376:AF407">
    <cfRule type="expression" dxfId="52" priority="170" stopIfTrue="1">
      <formula>AF376=" "</formula>
    </cfRule>
  </conditionalFormatting>
  <conditionalFormatting sqref="AF408:AF413 AH408:AJ413">
    <cfRule type="expression" dxfId="51" priority="185">
      <formula>AF408=" "</formula>
    </cfRule>
  </conditionalFormatting>
  <conditionalFormatting sqref="AF414:AF423 AF426:AF452 AF459:AF468 AF471:AF499 AF506:AF515 AF518:AF546 AF553:AF562 AF565:AF1048576">
    <cfRule type="expression" dxfId="50" priority="177" stopIfTrue="1">
      <formula>AF414=" "</formula>
    </cfRule>
  </conditionalFormatting>
  <conditionalFormatting sqref="AF425">
    <cfRule type="expression" dxfId="49" priority="176">
      <formula xml:space="preserve"> AF425 = " "</formula>
    </cfRule>
  </conditionalFormatting>
  <conditionalFormatting sqref="AF453:AF458 AH453:AJ458">
    <cfRule type="expression" dxfId="48" priority="90">
      <formula>AF453=" "</formula>
    </cfRule>
  </conditionalFormatting>
  <conditionalFormatting sqref="AF470">
    <cfRule type="expression" dxfId="47" priority="88">
      <formula xml:space="preserve"> AF470 = " "</formula>
    </cfRule>
  </conditionalFormatting>
  <conditionalFormatting sqref="AF500:AF505 AH500:AJ505">
    <cfRule type="expression" dxfId="46" priority="64">
      <formula>AF500=" "</formula>
    </cfRule>
  </conditionalFormatting>
  <conditionalFormatting sqref="AF517">
    <cfRule type="expression" dxfId="45" priority="62">
      <formula xml:space="preserve"> AF517 = " "</formula>
    </cfRule>
  </conditionalFormatting>
  <conditionalFormatting sqref="AF547:AF552 AH547:AJ552">
    <cfRule type="expression" dxfId="44" priority="41">
      <formula>AF547=" "</formula>
    </cfRule>
  </conditionalFormatting>
  <conditionalFormatting sqref="AF564">
    <cfRule type="expression" dxfId="43" priority="39">
      <formula xml:space="preserve"> AF564 = " "</formula>
    </cfRule>
  </conditionalFormatting>
  <conditionalFormatting sqref="AH279:AJ360">
    <cfRule type="expression" dxfId="42" priority="279" stopIfTrue="1">
      <formula>AH279=" "</formula>
    </cfRule>
  </conditionalFormatting>
  <conditionalFormatting sqref="AH362:AJ407">
    <cfRule type="expression" dxfId="41" priority="184" stopIfTrue="1">
      <formula>AH362=" "</formula>
    </cfRule>
  </conditionalFormatting>
  <conditionalFormatting sqref="AH414:AJ452 AH459:AJ499 AH506:AJ546 AH553:AJ1048576">
    <cfRule type="expression" dxfId="40" priority="178" stopIfTrue="1">
      <formula>AH414=" "</formula>
    </cfRule>
  </conditionalFormatting>
  <conditionalFormatting sqref="AL189:AP225">
    <cfRule type="expression" dxfId="39" priority="264">
      <formula>AL189=#REF!</formula>
    </cfRule>
  </conditionalFormatting>
  <conditionalFormatting sqref="AL407:AP408 AL413:AT430 AL431:AS431 AL432:AT450 AL451:AP451">
    <cfRule type="expression" dxfId="38" priority="188">
      <formula>AL407=#REF!</formula>
    </cfRule>
  </conditionalFormatting>
  <conditionalFormatting sqref="AL453:AP453 AL496:AP496">
    <cfRule type="expression" dxfId="37" priority="92">
      <formula>AL453=#REF!</formula>
    </cfRule>
  </conditionalFormatting>
  <conditionalFormatting sqref="AL500:AP500 AL543:AP543">
    <cfRule type="expression" dxfId="36" priority="66">
      <formula>AL500=#REF!</formula>
    </cfRule>
  </conditionalFormatting>
  <conditionalFormatting sqref="AL547:AP547 AL590:AP590">
    <cfRule type="expression" dxfId="35" priority="43">
      <formula>AL547=#REF!</formula>
    </cfRule>
  </conditionalFormatting>
  <conditionalFormatting sqref="AL54:AT90">
    <cfRule type="expression" dxfId="34" priority="9">
      <formula>AL54=#REF!</formula>
    </cfRule>
  </conditionalFormatting>
  <conditionalFormatting sqref="AL99:AT135">
    <cfRule type="expression" dxfId="33" priority="166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32" priority="839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31" priority="497">
      <formula>AL143=#REF!</formula>
    </cfRule>
  </conditionalFormatting>
  <conditionalFormatting sqref="AL324:AT357 AL358:AQ360 AS358:AT360">
    <cfRule type="expression" dxfId="30" priority="8">
      <formula>AL324=#REF!</formula>
    </cfRule>
  </conditionalFormatting>
  <conditionalFormatting sqref="AL363:AT364 AL365 AL366:AT366">
    <cfRule type="expression" dxfId="29" priority="197">
      <formula>AL363=#REF!</formula>
    </cfRule>
  </conditionalFormatting>
  <conditionalFormatting sqref="AL368:AT406">
    <cfRule type="expression" dxfId="28" priority="164">
      <formula>AL368=#REF!</formula>
    </cfRule>
  </conditionalFormatting>
  <conditionalFormatting sqref="AL452:AT452 AL497:AT499 AL544:AT546 AL591:AT723">
    <cfRule type="expression" dxfId="27" priority="876">
      <formula>AL452=#REF!</formula>
    </cfRule>
  </conditionalFormatting>
  <conditionalFormatting sqref="AL458:AT492 AL493:AQ495 AS493:AT495">
    <cfRule type="expression" dxfId="26" priority="7">
      <formula>AL458=#REF!</formula>
    </cfRule>
  </conditionalFormatting>
  <conditionalFormatting sqref="AL505:AT539 AL540:AQ542 AS540:AT542">
    <cfRule type="expression" dxfId="25" priority="6">
      <formula>AL505=#REF!</formula>
    </cfRule>
  </conditionalFormatting>
  <conditionalFormatting sqref="AL552:AT589">
    <cfRule type="expression" dxfId="24" priority="1">
      <formula>AL552=#REF!</formula>
    </cfRule>
  </conditionalFormatting>
  <conditionalFormatting sqref="AR358:AR360">
    <cfRule type="expression" dxfId="23" priority="4">
      <formula>AR358=#REF!</formula>
    </cfRule>
  </conditionalFormatting>
  <conditionalFormatting sqref="AR493:AR495">
    <cfRule type="expression" dxfId="22" priority="3">
      <formula>AR493=#REF!</formula>
    </cfRule>
  </conditionalFormatting>
  <conditionalFormatting sqref="AR540:AR542">
    <cfRule type="expression" dxfId="21" priority="2">
      <formula>AR540=#REF!</formula>
    </cfRule>
  </conditionalFormatting>
  <conditionalFormatting sqref="AS408:AT408 AL409:AT409 AL410 AL411:AT411">
    <cfRule type="expression" dxfId="20" priority="189">
      <formula>AL408=#REF!</formula>
    </cfRule>
  </conditionalFormatting>
  <conditionalFormatting sqref="AS453:AT453 AL454:AT454 AL455 AL456:AT456">
    <cfRule type="expression" dxfId="19" priority="93">
      <formula>AL453=#REF!</formula>
    </cfRule>
  </conditionalFormatting>
  <conditionalFormatting sqref="AS500:AT500 AL501:AT501 AL502 AL503:AT503">
    <cfRule type="expression" dxfId="18" priority="67">
      <formula>AL500=#REF!</formula>
    </cfRule>
  </conditionalFormatting>
  <conditionalFormatting sqref="AS547:AT547 AL548:AT548 AL549 AL550:AT550">
    <cfRule type="expression" dxfId="17" priority="44">
      <formula>AL547=#REF!</formula>
    </cfRule>
  </conditionalFormatting>
  <conditionalFormatting sqref="AT431">
    <cfRule type="expression" dxfId="16" priority="163">
      <formula>AT431=#REF!</formula>
    </cfRule>
  </conditionalFormatting>
  <conditionalFormatting sqref="AX54:BE90">
    <cfRule type="expression" dxfId="15" priority="228">
      <formula>AX54&lt;&gt;AM54</formula>
    </cfRule>
  </conditionalFormatting>
  <conditionalFormatting sqref="AX99:BE135">
    <cfRule type="expression" dxfId="14" priority="203">
      <formula>AX99&lt;&gt;AM99</formula>
    </cfRule>
  </conditionalFormatting>
  <conditionalFormatting sqref="AX144:BE180">
    <cfRule type="expression" dxfId="13" priority="202">
      <formula>AX144&lt;&gt;AM144</formula>
    </cfRule>
  </conditionalFormatting>
  <conditionalFormatting sqref="AX189:BE225">
    <cfRule type="expression" dxfId="12" priority="201">
      <formula>AX189&lt;&gt;AM189</formula>
    </cfRule>
  </conditionalFormatting>
  <conditionalFormatting sqref="AX234:BE270">
    <cfRule type="expression" dxfId="11" priority="200">
      <formula>AX234&lt;&gt;AM234</formula>
    </cfRule>
  </conditionalFormatting>
  <conditionalFormatting sqref="AX279:BE315">
    <cfRule type="expression" dxfId="10" priority="199">
      <formula>AX279&lt;&gt;AM279</formula>
    </cfRule>
  </conditionalFormatting>
  <conditionalFormatting sqref="AX324:BE360">
    <cfRule type="expression" dxfId="9" priority="198">
      <formula>AX324&lt;&gt;AM324</formula>
    </cfRule>
  </conditionalFormatting>
  <conditionalFormatting sqref="AX369:BE405">
    <cfRule type="expression" dxfId="8" priority="190">
      <formula>AX369&lt;&gt;AM369</formula>
    </cfRule>
  </conditionalFormatting>
  <conditionalFormatting sqref="AX414:BE450">
    <cfRule type="expression" dxfId="7" priority="171">
      <formula>AX414&lt;&gt;AM414</formula>
    </cfRule>
  </conditionalFormatting>
  <conditionalFormatting sqref="AX459:BE495">
    <cfRule type="expression" dxfId="6" priority="85">
      <formula>AX459&lt;&gt;AM459</formula>
    </cfRule>
  </conditionalFormatting>
  <conditionalFormatting sqref="AX506:BE542">
    <cfRule type="expression" dxfId="5" priority="59">
      <formula>AX506&lt;&gt;AM506</formula>
    </cfRule>
  </conditionalFormatting>
  <conditionalFormatting sqref="AX553:BE589">
    <cfRule type="expression" dxfId="4" priority="36">
      <formula>AX553&lt;&gt;AM553</formula>
    </cfRule>
  </conditionalFormatting>
  <conditionalFormatting sqref="BI230:BI272 BI47:BI228">
    <cfRule type="expression" dxfId="3" priority="375">
      <formula>ISNA(BI47)</formula>
    </cfRule>
  </conditionalFormatting>
  <conditionalFormatting sqref="BI275:BI407 BI410:BI452 BI455:BI499 BI502:BI546 BI549:BI723">
    <cfRule type="expression" dxfId="2" priority="187">
      <formula>ISNA(BI275)</formula>
    </cfRule>
  </conditionalFormatting>
  <dataValidations disablePrompts="1"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>
      <pane ySplit="1" topLeftCell="A207" activePane="bottomLeft" state="frozen"/>
      <selection activeCell="I33" sqref="I33:I35"/>
      <selection pane="bottomLeft" activeCell="E233" sqref="E233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65" t="s">
        <v>251</v>
      </c>
      <c r="I17" s="65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161</v>
      </c>
      <c r="C208" s="34" t="s">
        <v>321</v>
      </c>
    </row>
    <row r="209" spans="2:9" x14ac:dyDescent="0.2">
      <c r="B209" s="34" t="s">
        <v>379</v>
      </c>
      <c r="C209" s="34" t="s">
        <v>381</v>
      </c>
    </row>
    <row r="210" spans="2:9" x14ac:dyDescent="0.2">
      <c r="B210" s="34" t="s">
        <v>184</v>
      </c>
      <c r="C210" s="34" t="s">
        <v>395</v>
      </c>
    </row>
    <row r="211" spans="2:9" x14ac:dyDescent="0.2">
      <c r="B211" s="34" t="s">
        <v>552</v>
      </c>
      <c r="C211" s="34" t="s">
        <v>185</v>
      </c>
    </row>
    <row r="212" spans="2:9" x14ac:dyDescent="0.2">
      <c r="B212" s="42" t="s">
        <v>189</v>
      </c>
      <c r="C212" s="34" t="s">
        <v>425</v>
      </c>
    </row>
    <row r="213" spans="2:9" x14ac:dyDescent="0.2">
      <c r="B213" s="42" t="s">
        <v>160</v>
      </c>
      <c r="C213" s="34" t="s">
        <v>405</v>
      </c>
    </row>
    <row r="214" spans="2:9" x14ac:dyDescent="0.2">
      <c r="B214" s="34" t="s">
        <v>254</v>
      </c>
      <c r="C214" s="34" t="s">
        <v>436</v>
      </c>
    </row>
    <row r="215" spans="2:9" x14ac:dyDescent="0.2">
      <c r="B215" s="34" t="s">
        <v>553</v>
      </c>
      <c r="C215" s="34" t="s">
        <v>52</v>
      </c>
    </row>
    <row r="216" spans="2:9" x14ac:dyDescent="0.2">
      <c r="B216" s="34" t="s">
        <v>451</v>
      </c>
      <c r="C216" s="34" t="s">
        <v>554</v>
      </c>
    </row>
    <row r="217" spans="2:9" ht="17" thickBot="1" x14ac:dyDescent="0.25">
      <c r="B217" s="34" t="s">
        <v>47</v>
      </c>
      <c r="C217" s="34" t="s">
        <v>555</v>
      </c>
    </row>
    <row r="218" spans="2:9" x14ac:dyDescent="0.2">
      <c r="B218" s="58" t="s">
        <v>108</v>
      </c>
      <c r="C218" s="59" t="s">
        <v>556</v>
      </c>
    </row>
    <row r="219" spans="2:9" ht="17" thickBot="1" x14ac:dyDescent="0.25">
      <c r="B219" s="60" t="s">
        <v>108</v>
      </c>
      <c r="C219" s="61" t="s">
        <v>113</v>
      </c>
    </row>
    <row r="220" spans="2:9" x14ac:dyDescent="0.2">
      <c r="B220" s="34" t="s">
        <v>244</v>
      </c>
      <c r="C220" s="34" t="s">
        <v>246</v>
      </c>
    </row>
    <row r="221" spans="2:9" x14ac:dyDescent="0.2">
      <c r="B221" s="34" t="s">
        <v>266</v>
      </c>
      <c r="C221" s="34" t="s">
        <v>442</v>
      </c>
      <c r="I221" t="s">
        <v>649</v>
      </c>
    </row>
    <row r="222" spans="2:9" x14ac:dyDescent="0.2">
      <c r="B222" s="34" t="s">
        <v>88</v>
      </c>
      <c r="C222" s="34" t="s">
        <v>318</v>
      </c>
      <c r="I222" t="s">
        <v>650</v>
      </c>
    </row>
    <row r="223" spans="2:9" x14ac:dyDescent="0.2">
      <c r="B223" s="34" t="s">
        <v>249</v>
      </c>
      <c r="C223" s="34" t="s">
        <v>401</v>
      </c>
    </row>
    <row r="224" spans="2:9" x14ac:dyDescent="0.2">
      <c r="B224" s="34" t="s">
        <v>557</v>
      </c>
      <c r="C224" s="35" t="s">
        <v>193</v>
      </c>
    </row>
    <row r="225" spans="2:3" x14ac:dyDescent="0.2">
      <c r="B225" s="34" t="s">
        <v>558</v>
      </c>
      <c r="C225" s="35" t="s">
        <v>164</v>
      </c>
    </row>
    <row r="226" spans="2:3" x14ac:dyDescent="0.2">
      <c r="B226" s="34" t="s">
        <v>197</v>
      </c>
      <c r="C226" s="34" t="s">
        <v>399</v>
      </c>
    </row>
    <row r="227" spans="2:3" ht="17" thickBot="1" x14ac:dyDescent="0.25">
      <c r="B227" s="34" t="s">
        <v>559</v>
      </c>
      <c r="C227" s="34" t="s">
        <v>198</v>
      </c>
    </row>
    <row r="228" spans="2:3" x14ac:dyDescent="0.2">
      <c r="B228" s="58" t="s">
        <v>122</v>
      </c>
      <c r="C228" s="59" t="s">
        <v>560</v>
      </c>
    </row>
    <row r="229" spans="2:3" ht="17" thickBot="1" x14ac:dyDescent="0.25">
      <c r="B229" s="60" t="s">
        <v>122</v>
      </c>
      <c r="C229" s="61" t="s">
        <v>127</v>
      </c>
    </row>
    <row r="230" spans="2:3" x14ac:dyDescent="0.2">
      <c r="B230" s="34" t="s">
        <v>202</v>
      </c>
      <c r="C230" s="34" t="s">
        <v>403</v>
      </c>
    </row>
    <row r="231" spans="2:3" x14ac:dyDescent="0.2">
      <c r="B231" s="34" t="s">
        <v>561</v>
      </c>
      <c r="C231" s="34" t="s">
        <v>203</v>
      </c>
    </row>
    <row r="232" spans="2:3" x14ac:dyDescent="0.2">
      <c r="B232" s="34" t="s">
        <v>155</v>
      </c>
      <c r="C232" s="34" t="s">
        <v>366</v>
      </c>
    </row>
    <row r="233" spans="2:3" x14ac:dyDescent="0.2">
      <c r="B233" s="34" t="s">
        <v>159</v>
      </c>
      <c r="C233" s="34" t="s">
        <v>165</v>
      </c>
    </row>
    <row r="234" spans="2:3" x14ac:dyDescent="0.2">
      <c r="B234" s="34" t="s">
        <v>227</v>
      </c>
      <c r="C234" s="34" t="s">
        <v>342</v>
      </c>
    </row>
    <row r="235" spans="2:3" ht="17" thickBot="1" x14ac:dyDescent="0.25">
      <c r="B235" s="34" t="s">
        <v>207</v>
      </c>
      <c r="C235" s="34" t="s">
        <v>411</v>
      </c>
    </row>
    <row r="236" spans="2:3" x14ac:dyDescent="0.2">
      <c r="B236" s="58" t="s">
        <v>562</v>
      </c>
      <c r="C236" s="59" t="s">
        <v>208</v>
      </c>
    </row>
    <row r="237" spans="2:3" ht="17" thickBot="1" x14ac:dyDescent="0.25">
      <c r="B237" s="60" t="s">
        <v>562</v>
      </c>
      <c r="C237" s="61" t="s">
        <v>327</v>
      </c>
    </row>
    <row r="238" spans="2:3" x14ac:dyDescent="0.2">
      <c r="B238" s="34" t="s">
        <v>248</v>
      </c>
      <c r="C238" s="34" t="s">
        <v>324</v>
      </c>
    </row>
    <row r="239" spans="2:3" x14ac:dyDescent="0.2">
      <c r="B239" s="34" t="s">
        <v>213</v>
      </c>
      <c r="C239" s="34" t="s">
        <v>415</v>
      </c>
    </row>
    <row r="240" spans="2:3" x14ac:dyDescent="0.2">
      <c r="B240" s="34" t="s">
        <v>563</v>
      </c>
      <c r="C240" s="34" t="s">
        <v>214</v>
      </c>
    </row>
    <row r="241" spans="1:3" x14ac:dyDescent="0.2">
      <c r="B241" s="34" t="s">
        <v>224</v>
      </c>
      <c r="C241" s="34" t="s">
        <v>419</v>
      </c>
    </row>
    <row r="242" spans="1:3" x14ac:dyDescent="0.2">
      <c r="B242" s="34" t="s">
        <v>564</v>
      </c>
      <c r="C242" s="34" t="s">
        <v>225</v>
      </c>
    </row>
    <row r="243" spans="1:3" x14ac:dyDescent="0.2">
      <c r="B243" s="34" t="s">
        <v>135</v>
      </c>
      <c r="C243" s="34" t="s">
        <v>350</v>
      </c>
    </row>
    <row r="244" spans="1:3" x14ac:dyDescent="0.2">
      <c r="B244" s="34" t="s">
        <v>565</v>
      </c>
      <c r="C244" s="34" t="s">
        <v>132</v>
      </c>
    </row>
    <row r="245" spans="1:3" x14ac:dyDescent="0.2">
      <c r="B245" s="34" t="s">
        <v>62</v>
      </c>
      <c r="C245" s="34" t="s">
        <v>566</v>
      </c>
    </row>
    <row r="246" spans="1:3" x14ac:dyDescent="0.2">
      <c r="B246" s="34" t="s">
        <v>103</v>
      </c>
      <c r="C246" s="34" t="s">
        <v>567</v>
      </c>
    </row>
    <row r="247" spans="1:3" x14ac:dyDescent="0.2">
      <c r="B247" s="34" t="s">
        <v>82</v>
      </c>
      <c r="C247" s="34" t="s">
        <v>384</v>
      </c>
    </row>
    <row r="248" spans="1:3" x14ac:dyDescent="0.2">
      <c r="B248" s="34" t="s">
        <v>228</v>
      </c>
      <c r="C248" s="34" t="s">
        <v>423</v>
      </c>
    </row>
    <row r="249" spans="1:3" x14ac:dyDescent="0.2">
      <c r="B249" s="34" t="s">
        <v>568</v>
      </c>
      <c r="C249" s="34" t="s">
        <v>229</v>
      </c>
    </row>
    <row r="250" spans="1:3" x14ac:dyDescent="0.2">
      <c r="B250" s="34" t="s">
        <v>55</v>
      </c>
      <c r="C250" s="34" t="s">
        <v>569</v>
      </c>
    </row>
    <row r="251" spans="1:3" x14ac:dyDescent="0.2">
      <c r="B251" s="34" t="s">
        <v>233</v>
      </c>
      <c r="C251" s="34" t="s">
        <v>430</v>
      </c>
    </row>
    <row r="252" spans="1:3" x14ac:dyDescent="0.2">
      <c r="B252" s="34" t="s">
        <v>570</v>
      </c>
      <c r="C252" s="34" t="s">
        <v>234</v>
      </c>
    </row>
    <row r="253" spans="1:3" x14ac:dyDescent="0.2">
      <c r="B253" s="165" t="s">
        <v>95</v>
      </c>
      <c r="C253" s="165" t="s">
        <v>649</v>
      </c>
    </row>
    <row r="254" spans="1:3" x14ac:dyDescent="0.2">
      <c r="B254" s="165" t="s">
        <v>651</v>
      </c>
      <c r="C254" s="165" t="s">
        <v>650</v>
      </c>
    </row>
    <row r="256" spans="1:3" x14ac:dyDescent="0.2">
      <c r="A256" s="163" t="s">
        <v>571</v>
      </c>
      <c r="B256" s="184"/>
      <c r="C256" s="184"/>
    </row>
    <row r="257" spans="2:4" x14ac:dyDescent="0.2">
      <c r="B257" s="158" t="s">
        <v>282</v>
      </c>
      <c r="C257" s="34" t="s">
        <v>286</v>
      </c>
      <c r="D257"/>
    </row>
    <row r="258" spans="2:4" x14ac:dyDescent="0.2">
      <c r="B258" s="34" t="s">
        <v>303</v>
      </c>
      <c r="C258" s="34" t="s">
        <v>308</v>
      </c>
      <c r="D258"/>
    </row>
    <row r="259" spans="2:4" x14ac:dyDescent="0.2">
      <c r="B259" s="159" t="s">
        <v>572</v>
      </c>
      <c r="C259" s="160" t="s">
        <v>291</v>
      </c>
      <c r="D259"/>
    </row>
    <row r="260" spans="2:4" x14ac:dyDescent="0.2">
      <c r="B260" s="159" t="s">
        <v>573</v>
      </c>
      <c r="C260" s="160" t="s">
        <v>298</v>
      </c>
      <c r="D260"/>
    </row>
    <row r="261" spans="2:4" x14ac:dyDescent="0.2">
      <c r="B261" s="165" t="s">
        <v>290</v>
      </c>
      <c r="C261" s="165" t="s">
        <v>574</v>
      </c>
      <c r="D261"/>
    </row>
    <row r="262" spans="2:4" x14ac:dyDescent="0.2">
      <c r="B262" s="161" t="s">
        <v>575</v>
      </c>
      <c r="C262" s="160" t="s">
        <v>435</v>
      </c>
      <c r="D262"/>
    </row>
    <row r="263" spans="2:4" x14ac:dyDescent="0.2">
      <c r="B263" s="161" t="s">
        <v>576</v>
      </c>
      <c r="C263" s="160" t="s">
        <v>276</v>
      </c>
      <c r="D263"/>
    </row>
    <row r="264" spans="2:4" x14ac:dyDescent="0.2">
      <c r="B264" s="161" t="s">
        <v>577</v>
      </c>
      <c r="C264" s="160" t="s">
        <v>408</v>
      </c>
      <c r="D264"/>
    </row>
    <row r="265" spans="2:4" x14ac:dyDescent="0.2">
      <c r="B265" s="34" t="s">
        <v>634</v>
      </c>
      <c r="C265" s="34" t="s">
        <v>293</v>
      </c>
    </row>
    <row r="266" spans="2:4" x14ac:dyDescent="0.2">
      <c r="B266" s="159" t="s">
        <v>56</v>
      </c>
      <c r="C266" s="160" t="s">
        <v>283</v>
      </c>
      <c r="D266"/>
    </row>
    <row r="267" spans="2:4" x14ac:dyDescent="0.2">
      <c r="B267" s="34" t="s">
        <v>578</v>
      </c>
      <c r="C267" s="34" t="s">
        <v>579</v>
      </c>
      <c r="D267"/>
    </row>
    <row r="268" spans="2:4" x14ac:dyDescent="0.2">
      <c r="B268" s="34" t="s">
        <v>368</v>
      </c>
      <c r="C268" s="34" t="s">
        <v>371</v>
      </c>
      <c r="D268"/>
    </row>
    <row r="269" spans="2:4" x14ac:dyDescent="0.2">
      <c r="B269" s="158" t="s">
        <v>210</v>
      </c>
      <c r="C269" s="160" t="s">
        <v>387</v>
      </c>
      <c r="D269"/>
    </row>
    <row r="270" spans="2:4" x14ac:dyDescent="0.2">
      <c r="B270" s="159" t="s">
        <v>580</v>
      </c>
      <c r="C270" s="160" t="s">
        <v>284</v>
      </c>
      <c r="D270"/>
    </row>
    <row r="271" spans="2:4" x14ac:dyDescent="0.2">
      <c r="B271" s="34" t="s">
        <v>333</v>
      </c>
      <c r="C271" s="34" t="s">
        <v>335</v>
      </c>
      <c r="D271"/>
    </row>
    <row r="272" spans="2:4" x14ac:dyDescent="0.2">
      <c r="B272" s="34" t="s">
        <v>424</v>
      </c>
      <c r="C272" s="34" t="s">
        <v>426</v>
      </c>
      <c r="D272"/>
    </row>
    <row r="273" spans="2:3" x14ac:dyDescent="0.2">
      <c r="B273" s="159" t="s">
        <v>581</v>
      </c>
      <c r="C273" s="160" t="s">
        <v>322</v>
      </c>
    </row>
    <row r="274" spans="2:3" x14ac:dyDescent="0.2">
      <c r="B274" s="34" t="s">
        <v>582</v>
      </c>
      <c r="C274" s="34" t="s">
        <v>294</v>
      </c>
    </row>
    <row r="275" spans="2:3" x14ac:dyDescent="0.2">
      <c r="B275" s="34" t="s">
        <v>345</v>
      </c>
      <c r="C275" s="34" t="s">
        <v>347</v>
      </c>
    </row>
    <row r="276" spans="2:3" x14ac:dyDescent="0.2">
      <c r="B276" s="34" t="s">
        <v>359</v>
      </c>
      <c r="C276" s="34" t="s">
        <v>363</v>
      </c>
    </row>
    <row r="277" spans="2:3" x14ac:dyDescent="0.2">
      <c r="B277" s="159" t="s">
        <v>76</v>
      </c>
      <c r="C277" s="160" t="s">
        <v>643</v>
      </c>
    </row>
    <row r="278" spans="2:3" x14ac:dyDescent="0.2">
      <c r="B278" s="159" t="s">
        <v>583</v>
      </c>
      <c r="C278" s="160" t="s">
        <v>305</v>
      </c>
    </row>
    <row r="279" spans="2:3" x14ac:dyDescent="0.2">
      <c r="B279" s="159" t="s">
        <v>584</v>
      </c>
      <c r="C279" s="160" t="s">
        <v>334</v>
      </c>
    </row>
    <row r="280" spans="2:3" x14ac:dyDescent="0.2">
      <c r="B280" s="34" t="s">
        <v>344</v>
      </c>
      <c r="C280" s="34" t="s">
        <v>346</v>
      </c>
    </row>
    <row r="281" spans="2:3" x14ac:dyDescent="0.2">
      <c r="B281" s="159" t="s">
        <v>585</v>
      </c>
      <c r="C281" s="160" t="s">
        <v>292</v>
      </c>
    </row>
    <row r="282" spans="2:3" x14ac:dyDescent="0.2">
      <c r="B282" s="159" t="s">
        <v>586</v>
      </c>
      <c r="C282" s="160" t="s">
        <v>328</v>
      </c>
    </row>
    <row r="283" spans="2:3" x14ac:dyDescent="0.2">
      <c r="B283" s="159" t="s">
        <v>587</v>
      </c>
      <c r="C283" s="160" t="s">
        <v>349</v>
      </c>
    </row>
    <row r="284" spans="2:3" x14ac:dyDescent="0.2">
      <c r="B284" s="159" t="s">
        <v>588</v>
      </c>
      <c r="C284" s="160" t="s">
        <v>354</v>
      </c>
    </row>
    <row r="285" spans="2:3" x14ac:dyDescent="0.2">
      <c r="B285" s="34" t="s">
        <v>369</v>
      </c>
      <c r="C285" s="34" t="s">
        <v>372</v>
      </c>
    </row>
    <row r="286" spans="2:3" x14ac:dyDescent="0.2">
      <c r="B286" s="159" t="s">
        <v>589</v>
      </c>
      <c r="C286" s="160" t="s">
        <v>361</v>
      </c>
    </row>
    <row r="287" spans="2:3" x14ac:dyDescent="0.2">
      <c r="B287" s="159" t="s">
        <v>590</v>
      </c>
      <c r="C287" s="160" t="s">
        <v>370</v>
      </c>
    </row>
    <row r="288" spans="2:3" x14ac:dyDescent="0.2">
      <c r="B288" s="159" t="s">
        <v>591</v>
      </c>
      <c r="C288" s="160" t="s">
        <v>374</v>
      </c>
    </row>
    <row r="289" spans="2:3" x14ac:dyDescent="0.2">
      <c r="B289" s="159" t="s">
        <v>592</v>
      </c>
      <c r="C289" s="160" t="s">
        <v>310</v>
      </c>
    </row>
    <row r="290" spans="2:3" x14ac:dyDescent="0.2">
      <c r="B290" s="159" t="s">
        <v>593</v>
      </c>
      <c r="C290" s="162" t="s">
        <v>431</v>
      </c>
    </row>
    <row r="291" spans="2:3" x14ac:dyDescent="0.2">
      <c r="B291" s="159" t="s">
        <v>594</v>
      </c>
      <c r="C291" s="160" t="s">
        <v>412</v>
      </c>
    </row>
    <row r="292" spans="2:3" x14ac:dyDescent="0.2">
      <c r="B292" s="159" t="s">
        <v>595</v>
      </c>
      <c r="C292" s="160" t="s">
        <v>388</v>
      </c>
    </row>
    <row r="293" spans="2:3" x14ac:dyDescent="0.2">
      <c r="B293" s="34" t="s">
        <v>316</v>
      </c>
      <c r="C293" s="34" t="s">
        <v>319</v>
      </c>
    </row>
    <row r="294" spans="2:3" x14ac:dyDescent="0.2">
      <c r="B294" s="34" t="s">
        <v>404</v>
      </c>
      <c r="C294" s="34" t="s">
        <v>406</v>
      </c>
    </row>
    <row r="295" spans="2:3" x14ac:dyDescent="0.2">
      <c r="B295" s="159" t="s">
        <v>596</v>
      </c>
      <c r="C295" s="160" t="s">
        <v>396</v>
      </c>
    </row>
    <row r="296" spans="2:3" x14ac:dyDescent="0.2">
      <c r="B296" s="159" t="s">
        <v>597</v>
      </c>
      <c r="C296" s="160" t="s">
        <v>400</v>
      </c>
    </row>
    <row r="297" spans="2:3" x14ac:dyDescent="0.2">
      <c r="B297" s="159" t="s">
        <v>598</v>
      </c>
      <c r="C297" s="160" t="s">
        <v>420</v>
      </c>
    </row>
    <row r="298" spans="2:3" x14ac:dyDescent="0.2">
      <c r="B298" s="34" t="s">
        <v>348</v>
      </c>
      <c r="C298" s="34" t="s">
        <v>351</v>
      </c>
    </row>
    <row r="299" spans="2:3" x14ac:dyDescent="0.2">
      <c r="B299" s="34" t="s">
        <v>386</v>
      </c>
      <c r="C299" s="34" t="s">
        <v>389</v>
      </c>
    </row>
    <row r="300" spans="2:3" x14ac:dyDescent="0.2">
      <c r="B300" s="159" t="s">
        <v>599</v>
      </c>
      <c r="C300" s="160" t="s">
        <v>416</v>
      </c>
    </row>
    <row r="301" spans="2:3" x14ac:dyDescent="0.2">
      <c r="B301" s="159" t="s">
        <v>600</v>
      </c>
      <c r="C301" s="160" t="s">
        <v>427</v>
      </c>
    </row>
  </sheetData>
  <autoFilter ref="B1:G301" xr:uid="{00000000-0009-0000-0000-000001000000}"/>
  <sortState xmlns:xlrd2="http://schemas.microsoft.com/office/spreadsheetml/2017/richdata2" ref="B252:C300">
    <sortCondition ref="B252:B300"/>
    <sortCondition ref="C252:C300"/>
  </sortState>
  <conditionalFormatting sqref="B273">
    <cfRule type="expression" dxfId="1" priority="3">
      <formula xml:space="preserve"> B273 = " "</formula>
    </cfRule>
  </conditionalFormatting>
  <conditionalFormatting sqref="B293">
    <cfRule type="expression" dxfId="0" priority="1">
      <formula xml:space="preserve"> B293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 Mostert</cp:lastModifiedBy>
  <cp:revision/>
  <dcterms:created xsi:type="dcterms:W3CDTF">2022-12-03T10:52:27Z</dcterms:created>
  <dcterms:modified xsi:type="dcterms:W3CDTF">2023-12-19T15:23:02Z</dcterms:modified>
  <cp:category/>
  <cp:contentStatus/>
</cp:coreProperties>
</file>