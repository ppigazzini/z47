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acomostert/wp43s/src/index spreadsheet/"/>
    </mc:Choice>
  </mc:AlternateContent>
  <xr:revisionPtr revIDLastSave="0" documentId="13_ncr:1_{B77E6CFF-4401-2442-8EC4-7D60126E29CB}" xr6:coauthVersionLast="47" xr6:coauthVersionMax="47" xr10:uidLastSave="{00000000-0000-0000-0000-000000000000}"/>
  <bookViews>
    <workbookView xWindow="0" yWindow="500" windowWidth="32700" windowHeight="20500" tabRatio="500" xr2:uid="{00000000-000D-0000-FFFF-FFFF00000000}"/>
  </bookViews>
  <sheets>
    <sheet name="Sheet2" sheetId="22" r:id="rId1"/>
    <sheet name="EXPORT.C" sheetId="4" r:id="rId2"/>
  </sheets>
  <definedNames>
    <definedName name="_xlnm._FilterDatabase" localSheetId="0" hidden="1">Sheet2!$B$4:$K$30</definedName>
    <definedName name="CRLF">Sheet2!$B$1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90" i="4" l="1"/>
  <c r="H90" i="4"/>
  <c r="G90" i="4"/>
  <c r="F90" i="4"/>
  <c r="E90" i="4"/>
  <c r="C90" i="4"/>
  <c r="D90" i="4" s="1"/>
  <c r="B90" i="4"/>
  <c r="A90" i="4"/>
  <c r="I89" i="4"/>
  <c r="H89" i="4"/>
  <c r="G89" i="4"/>
  <c r="F89" i="4"/>
  <c r="E89" i="4"/>
  <c r="C89" i="4"/>
  <c r="D89" i="4" s="1"/>
  <c r="B89" i="4"/>
  <c r="A89" i="4"/>
  <c r="H88" i="4"/>
  <c r="G88" i="4"/>
  <c r="F88" i="4"/>
  <c r="E88" i="4"/>
  <c r="C88" i="4"/>
  <c r="D88" i="4" s="1"/>
  <c r="B88" i="4"/>
  <c r="A88" i="4"/>
  <c r="H87" i="4"/>
  <c r="G87" i="4"/>
  <c r="F87" i="4"/>
  <c r="E87" i="4"/>
  <c r="C87" i="4"/>
  <c r="D87" i="4" s="1"/>
  <c r="B87" i="4"/>
  <c r="A87" i="4"/>
  <c r="I87" i="4" s="1"/>
  <c r="H86" i="4"/>
  <c r="G86" i="4"/>
  <c r="F86" i="4"/>
  <c r="E86" i="4"/>
  <c r="C86" i="4"/>
  <c r="D86" i="4" s="1"/>
  <c r="B86" i="4"/>
  <c r="A86" i="4"/>
  <c r="H85" i="4"/>
  <c r="G85" i="4"/>
  <c r="F85" i="4"/>
  <c r="E85" i="4"/>
  <c r="D85" i="4"/>
  <c r="C85" i="4"/>
  <c r="B85" i="4"/>
  <c r="A85" i="4"/>
  <c r="H84" i="4"/>
  <c r="G84" i="4"/>
  <c r="F84" i="4"/>
  <c r="E84" i="4"/>
  <c r="D84" i="4"/>
  <c r="C84" i="4"/>
  <c r="B84" i="4"/>
  <c r="A84" i="4"/>
  <c r="H83" i="4"/>
  <c r="G83" i="4"/>
  <c r="F83" i="4"/>
  <c r="E83" i="4"/>
  <c r="C83" i="4"/>
  <c r="D83" i="4" s="1"/>
  <c r="B83" i="4"/>
  <c r="A83" i="4"/>
  <c r="H82" i="4"/>
  <c r="G82" i="4"/>
  <c r="F82" i="4"/>
  <c r="E82" i="4"/>
  <c r="C82" i="4"/>
  <c r="D82" i="4" s="1"/>
  <c r="B82" i="4"/>
  <c r="A82" i="4"/>
  <c r="H81" i="4"/>
  <c r="G81" i="4"/>
  <c r="F81" i="4"/>
  <c r="E81" i="4"/>
  <c r="C81" i="4"/>
  <c r="D81" i="4" s="1"/>
  <c r="B81" i="4"/>
  <c r="A81" i="4"/>
  <c r="H80" i="4"/>
  <c r="G80" i="4"/>
  <c r="F80" i="4"/>
  <c r="E80" i="4"/>
  <c r="D80" i="4"/>
  <c r="C80" i="4"/>
  <c r="B80" i="4"/>
  <c r="A80" i="4"/>
  <c r="H79" i="4"/>
  <c r="G79" i="4"/>
  <c r="F79" i="4"/>
  <c r="E79" i="4"/>
  <c r="C79" i="4"/>
  <c r="D79" i="4" s="1"/>
  <c r="B79" i="4"/>
  <c r="A79" i="4"/>
  <c r="I79" i="4" s="1"/>
  <c r="H78" i="4"/>
  <c r="G78" i="4"/>
  <c r="F78" i="4"/>
  <c r="E78" i="4"/>
  <c r="C78" i="4"/>
  <c r="D78" i="4" s="1"/>
  <c r="B78" i="4"/>
  <c r="A78" i="4"/>
  <c r="H77" i="4"/>
  <c r="G77" i="4"/>
  <c r="F77" i="4"/>
  <c r="E77" i="4"/>
  <c r="D77" i="4"/>
  <c r="C77" i="4"/>
  <c r="B77" i="4"/>
  <c r="A77" i="4"/>
  <c r="H76" i="4"/>
  <c r="G76" i="4"/>
  <c r="F76" i="4"/>
  <c r="E76" i="4"/>
  <c r="D76" i="4"/>
  <c r="C76" i="4"/>
  <c r="B76" i="4"/>
  <c r="A76" i="4"/>
  <c r="H75" i="4"/>
  <c r="G75" i="4"/>
  <c r="F75" i="4"/>
  <c r="E75" i="4"/>
  <c r="C75" i="4"/>
  <c r="D75" i="4" s="1"/>
  <c r="B75" i="4"/>
  <c r="A75" i="4"/>
  <c r="H74" i="4"/>
  <c r="G74" i="4"/>
  <c r="F74" i="4"/>
  <c r="E74" i="4"/>
  <c r="C74" i="4"/>
  <c r="D74" i="4" s="1"/>
  <c r="B74" i="4"/>
  <c r="A74" i="4"/>
  <c r="H73" i="4"/>
  <c r="G73" i="4"/>
  <c r="F73" i="4"/>
  <c r="E73" i="4"/>
  <c r="D73" i="4"/>
  <c r="C73" i="4"/>
  <c r="B73" i="4"/>
  <c r="A73" i="4"/>
  <c r="H72" i="4"/>
  <c r="G72" i="4"/>
  <c r="F72" i="4"/>
  <c r="E72" i="4"/>
  <c r="C72" i="4"/>
  <c r="D72" i="4" s="1"/>
  <c r="B72" i="4"/>
  <c r="A72" i="4"/>
  <c r="H71" i="4"/>
  <c r="G71" i="4"/>
  <c r="F71" i="4"/>
  <c r="E71" i="4"/>
  <c r="C71" i="4"/>
  <c r="D71" i="4" s="1"/>
  <c r="B71" i="4"/>
  <c r="A71" i="4"/>
  <c r="H70" i="4"/>
  <c r="G70" i="4"/>
  <c r="F70" i="4"/>
  <c r="E70" i="4"/>
  <c r="C70" i="4"/>
  <c r="D70" i="4" s="1"/>
  <c r="B70" i="4"/>
  <c r="A70" i="4"/>
  <c r="H69" i="4"/>
  <c r="G69" i="4"/>
  <c r="F69" i="4"/>
  <c r="E69" i="4"/>
  <c r="D69" i="4"/>
  <c r="C69" i="4"/>
  <c r="B69" i="4"/>
  <c r="A69" i="4"/>
  <c r="H68" i="4"/>
  <c r="G68" i="4"/>
  <c r="F68" i="4"/>
  <c r="E68" i="4"/>
  <c r="C68" i="4"/>
  <c r="D68" i="4" s="1"/>
  <c r="B68" i="4"/>
  <c r="A68" i="4"/>
  <c r="H67" i="4"/>
  <c r="G67" i="4"/>
  <c r="F67" i="4"/>
  <c r="E67" i="4"/>
  <c r="C67" i="4"/>
  <c r="D67" i="4" s="1"/>
  <c r="B67" i="4"/>
  <c r="A67" i="4"/>
  <c r="H66" i="4"/>
  <c r="G66" i="4"/>
  <c r="F66" i="4"/>
  <c r="E66" i="4"/>
  <c r="C66" i="4"/>
  <c r="D66" i="4" s="1"/>
  <c r="B66" i="4"/>
  <c r="A66" i="4"/>
  <c r="H65" i="4"/>
  <c r="G65" i="4"/>
  <c r="F65" i="4"/>
  <c r="E65" i="4"/>
  <c r="C65" i="4"/>
  <c r="D65" i="4" s="1"/>
  <c r="B65" i="4"/>
  <c r="A65" i="4"/>
  <c r="H64" i="4"/>
  <c r="G64" i="4"/>
  <c r="F64" i="4"/>
  <c r="E64" i="4"/>
  <c r="D64" i="4"/>
  <c r="C64" i="4"/>
  <c r="B64" i="4"/>
  <c r="A64" i="4"/>
  <c r="H63" i="4"/>
  <c r="G63" i="4"/>
  <c r="F63" i="4"/>
  <c r="E63" i="4"/>
  <c r="C63" i="4"/>
  <c r="D63" i="4" s="1"/>
  <c r="B63" i="4"/>
  <c r="A63" i="4"/>
  <c r="H62" i="4"/>
  <c r="G62" i="4"/>
  <c r="F62" i="4"/>
  <c r="E62" i="4"/>
  <c r="D62" i="4"/>
  <c r="C62" i="4"/>
  <c r="B62" i="4"/>
  <c r="A62" i="4"/>
  <c r="H61" i="4"/>
  <c r="G61" i="4"/>
  <c r="F61" i="4"/>
  <c r="E61" i="4"/>
  <c r="C61" i="4"/>
  <c r="D61" i="4" s="1"/>
  <c r="B61" i="4"/>
  <c r="A61" i="4"/>
  <c r="H60" i="4"/>
  <c r="G60" i="4"/>
  <c r="F60" i="4"/>
  <c r="E60" i="4"/>
  <c r="D60" i="4"/>
  <c r="C60" i="4"/>
  <c r="B60" i="4"/>
  <c r="A60" i="4"/>
  <c r="H59" i="4"/>
  <c r="G59" i="4"/>
  <c r="F59" i="4"/>
  <c r="E59" i="4"/>
  <c r="C59" i="4"/>
  <c r="D59" i="4" s="1"/>
  <c r="B59" i="4"/>
  <c r="A59" i="4"/>
  <c r="H58" i="4"/>
  <c r="G58" i="4"/>
  <c r="F58" i="4"/>
  <c r="E58" i="4"/>
  <c r="C58" i="4"/>
  <c r="D58" i="4" s="1"/>
  <c r="B58" i="4"/>
  <c r="A58" i="4"/>
  <c r="H57" i="4"/>
  <c r="G57" i="4"/>
  <c r="F57" i="4"/>
  <c r="E57" i="4"/>
  <c r="C57" i="4"/>
  <c r="D57" i="4" s="1"/>
  <c r="B57" i="4"/>
  <c r="A57" i="4"/>
  <c r="H56" i="4"/>
  <c r="G56" i="4"/>
  <c r="F56" i="4"/>
  <c r="E56" i="4"/>
  <c r="D56" i="4"/>
  <c r="C56" i="4"/>
  <c r="B56" i="4"/>
  <c r="A56" i="4"/>
  <c r="H55" i="4"/>
  <c r="G55" i="4"/>
  <c r="F55" i="4"/>
  <c r="E55" i="4"/>
  <c r="C55" i="4"/>
  <c r="D55" i="4" s="1"/>
  <c r="B55" i="4"/>
  <c r="A55" i="4"/>
  <c r="H54" i="4"/>
  <c r="G54" i="4"/>
  <c r="F54" i="4"/>
  <c r="E54" i="4"/>
  <c r="C54" i="4"/>
  <c r="D54" i="4" s="1"/>
  <c r="B54" i="4"/>
  <c r="A54" i="4"/>
  <c r="H53" i="4"/>
  <c r="G53" i="4"/>
  <c r="F53" i="4"/>
  <c r="E53" i="4"/>
  <c r="C53" i="4"/>
  <c r="D53" i="4" s="1"/>
  <c r="B53" i="4"/>
  <c r="A53" i="4"/>
  <c r="H52" i="4"/>
  <c r="G52" i="4"/>
  <c r="F52" i="4"/>
  <c r="E52" i="4"/>
  <c r="D52" i="4"/>
  <c r="C52" i="4"/>
  <c r="B52" i="4"/>
  <c r="A52" i="4"/>
  <c r="I52" i="4" s="1"/>
  <c r="H51" i="4"/>
  <c r="G51" i="4"/>
  <c r="F51" i="4"/>
  <c r="E51" i="4"/>
  <c r="C51" i="4"/>
  <c r="D51" i="4" s="1"/>
  <c r="B51" i="4"/>
  <c r="A51" i="4"/>
  <c r="H50" i="4"/>
  <c r="G50" i="4"/>
  <c r="F50" i="4"/>
  <c r="E50" i="4"/>
  <c r="D50" i="4"/>
  <c r="C50" i="4"/>
  <c r="B50" i="4"/>
  <c r="A50" i="4"/>
  <c r="I49" i="4"/>
  <c r="H49" i="4"/>
  <c r="G49" i="4"/>
  <c r="F49" i="4"/>
  <c r="E49" i="4"/>
  <c r="D49" i="4"/>
  <c r="C49" i="4"/>
  <c r="B49" i="4"/>
  <c r="A49" i="4"/>
  <c r="I48" i="4"/>
  <c r="H48" i="4"/>
  <c r="G48" i="4"/>
  <c r="F48" i="4"/>
  <c r="E48" i="4"/>
  <c r="C48" i="4"/>
  <c r="D48" i="4" s="1"/>
  <c r="B48" i="4"/>
  <c r="A48" i="4"/>
  <c r="I47" i="4"/>
  <c r="H47" i="4"/>
  <c r="G47" i="4"/>
  <c r="F47" i="4"/>
  <c r="E47" i="4"/>
  <c r="C47" i="4"/>
  <c r="D47" i="4" s="1"/>
  <c r="B47" i="4"/>
  <c r="A47" i="4"/>
  <c r="I46" i="4"/>
  <c r="H46" i="4"/>
  <c r="G46" i="4"/>
  <c r="F46" i="4"/>
  <c r="E46" i="4"/>
  <c r="C46" i="4"/>
  <c r="D46" i="4" s="1"/>
  <c r="B46" i="4"/>
  <c r="A46" i="4"/>
  <c r="I45" i="4"/>
  <c r="H45" i="4"/>
  <c r="G45" i="4"/>
  <c r="F45" i="4"/>
  <c r="E45" i="4"/>
  <c r="D45" i="4"/>
  <c r="C45" i="4"/>
  <c r="B45" i="4"/>
  <c r="A45" i="4"/>
  <c r="I44" i="4"/>
  <c r="H44" i="4"/>
  <c r="G44" i="4"/>
  <c r="F44" i="4"/>
  <c r="E44" i="4"/>
  <c r="C44" i="4"/>
  <c r="D44" i="4" s="1"/>
  <c r="B44" i="4"/>
  <c r="A44" i="4"/>
  <c r="I43" i="4"/>
  <c r="H43" i="4"/>
  <c r="G43" i="4"/>
  <c r="F43" i="4"/>
  <c r="E43" i="4"/>
  <c r="C43" i="4"/>
  <c r="D43" i="4" s="1"/>
  <c r="B43" i="4"/>
  <c r="A43" i="4"/>
  <c r="I42" i="4"/>
  <c r="H42" i="4"/>
  <c r="G42" i="4"/>
  <c r="F42" i="4"/>
  <c r="E42" i="4"/>
  <c r="C42" i="4"/>
  <c r="D42" i="4" s="1"/>
  <c r="B42" i="4"/>
  <c r="A42" i="4"/>
  <c r="H41" i="4"/>
  <c r="G41" i="4"/>
  <c r="F41" i="4"/>
  <c r="E41" i="4"/>
  <c r="C41" i="4"/>
  <c r="D41" i="4" s="1"/>
  <c r="B41" i="4"/>
  <c r="A41" i="4"/>
  <c r="H40" i="4"/>
  <c r="G40" i="4"/>
  <c r="F40" i="4"/>
  <c r="E40" i="4"/>
  <c r="C40" i="4"/>
  <c r="D40" i="4" s="1"/>
  <c r="B40" i="4"/>
  <c r="A40" i="4"/>
  <c r="H39" i="4"/>
  <c r="G39" i="4"/>
  <c r="F39" i="4"/>
  <c r="E39" i="4"/>
  <c r="C39" i="4"/>
  <c r="D39" i="4" s="1"/>
  <c r="B39" i="4"/>
  <c r="A39" i="4"/>
  <c r="H38" i="4"/>
  <c r="G38" i="4"/>
  <c r="F38" i="4"/>
  <c r="E38" i="4"/>
  <c r="C38" i="4"/>
  <c r="D38" i="4" s="1"/>
  <c r="B38" i="4"/>
  <c r="A38" i="4"/>
  <c r="H37" i="4"/>
  <c r="G37" i="4"/>
  <c r="F37" i="4"/>
  <c r="E37" i="4"/>
  <c r="C37" i="4"/>
  <c r="D37" i="4" s="1"/>
  <c r="B37" i="4"/>
  <c r="A37" i="4"/>
  <c r="H36" i="4"/>
  <c r="G36" i="4"/>
  <c r="F36" i="4"/>
  <c r="E36" i="4"/>
  <c r="D36" i="4"/>
  <c r="C36" i="4"/>
  <c r="B36" i="4"/>
  <c r="A36" i="4"/>
  <c r="I36" i="4" s="1"/>
  <c r="H35" i="4"/>
  <c r="G35" i="4"/>
  <c r="F35" i="4"/>
  <c r="E35" i="4"/>
  <c r="C35" i="4"/>
  <c r="D35" i="4" s="1"/>
  <c r="B35" i="4"/>
  <c r="A35" i="4"/>
  <c r="H34" i="4"/>
  <c r="G34" i="4"/>
  <c r="F34" i="4"/>
  <c r="E34" i="4"/>
  <c r="D34" i="4"/>
  <c r="C34" i="4"/>
  <c r="B34" i="4"/>
  <c r="A34" i="4"/>
  <c r="H33" i="4"/>
  <c r="G33" i="4"/>
  <c r="F33" i="4"/>
  <c r="E33" i="4"/>
  <c r="D33" i="4"/>
  <c r="C33" i="4"/>
  <c r="B33" i="4"/>
  <c r="A33" i="4"/>
  <c r="H32" i="4"/>
  <c r="G32" i="4"/>
  <c r="F32" i="4"/>
  <c r="E32" i="4"/>
  <c r="C32" i="4"/>
  <c r="D32" i="4" s="1"/>
  <c r="B32" i="4"/>
  <c r="A32" i="4"/>
  <c r="H31" i="4"/>
  <c r="G31" i="4"/>
  <c r="F31" i="4"/>
  <c r="E31" i="4"/>
  <c r="C31" i="4"/>
  <c r="D31" i="4" s="1"/>
  <c r="B31" i="4"/>
  <c r="A31" i="4"/>
  <c r="H30" i="4"/>
  <c r="G30" i="4"/>
  <c r="F30" i="4"/>
  <c r="E30" i="4"/>
  <c r="D30" i="4"/>
  <c r="C30" i="4"/>
  <c r="B30" i="4"/>
  <c r="A30" i="4"/>
  <c r="H29" i="4"/>
  <c r="G29" i="4"/>
  <c r="F29" i="4"/>
  <c r="E29" i="4"/>
  <c r="D29" i="4"/>
  <c r="C29" i="4"/>
  <c r="B29" i="4"/>
  <c r="A29" i="4"/>
  <c r="H28" i="4"/>
  <c r="G28" i="4"/>
  <c r="F28" i="4"/>
  <c r="E28" i="4"/>
  <c r="C28" i="4"/>
  <c r="D28" i="4" s="1"/>
  <c r="B28" i="4"/>
  <c r="A28" i="4"/>
  <c r="H27" i="4"/>
  <c r="G27" i="4"/>
  <c r="F27" i="4"/>
  <c r="E27" i="4"/>
  <c r="C27" i="4"/>
  <c r="D27" i="4" s="1"/>
  <c r="B27" i="4"/>
  <c r="A27" i="4"/>
  <c r="I27" i="4" s="1"/>
  <c r="H26" i="4"/>
  <c r="G26" i="4"/>
  <c r="F26" i="4"/>
  <c r="E26" i="4"/>
  <c r="C26" i="4"/>
  <c r="D26" i="4" s="1"/>
  <c r="B26" i="4"/>
  <c r="A26" i="4"/>
  <c r="H25" i="4"/>
  <c r="G25" i="4"/>
  <c r="F25" i="4"/>
  <c r="E25" i="4"/>
  <c r="C25" i="4"/>
  <c r="D25" i="4" s="1"/>
  <c r="B25" i="4"/>
  <c r="A25" i="4"/>
  <c r="H24" i="4"/>
  <c r="G24" i="4"/>
  <c r="F24" i="4"/>
  <c r="E24" i="4"/>
  <c r="C24" i="4"/>
  <c r="D24" i="4" s="1"/>
  <c r="B24" i="4"/>
  <c r="A24" i="4"/>
  <c r="H23" i="4"/>
  <c r="G23" i="4"/>
  <c r="F23" i="4"/>
  <c r="E23" i="4"/>
  <c r="C23" i="4"/>
  <c r="D23" i="4" s="1"/>
  <c r="B23" i="4"/>
  <c r="A23" i="4"/>
  <c r="H22" i="4"/>
  <c r="G22" i="4"/>
  <c r="F22" i="4"/>
  <c r="E22" i="4"/>
  <c r="D22" i="4"/>
  <c r="C22" i="4"/>
  <c r="B22" i="4"/>
  <c r="A22" i="4"/>
  <c r="I22" i="4" s="1"/>
  <c r="H21" i="4"/>
  <c r="G21" i="4"/>
  <c r="F21" i="4"/>
  <c r="E21" i="4"/>
  <c r="C21" i="4"/>
  <c r="D21" i="4" s="1"/>
  <c r="B21" i="4"/>
  <c r="A21" i="4"/>
  <c r="H20" i="4"/>
  <c r="G20" i="4"/>
  <c r="F20" i="4"/>
  <c r="E20" i="4"/>
  <c r="C20" i="4"/>
  <c r="D20" i="4" s="1"/>
  <c r="B20" i="4"/>
  <c r="A20" i="4"/>
  <c r="H19" i="4"/>
  <c r="G19" i="4"/>
  <c r="F19" i="4"/>
  <c r="E19" i="4"/>
  <c r="C19" i="4"/>
  <c r="D19" i="4" s="1"/>
  <c r="B19" i="4"/>
  <c r="A19" i="4"/>
  <c r="I19" i="4" s="1"/>
  <c r="H18" i="4"/>
  <c r="G18" i="4"/>
  <c r="F18" i="4"/>
  <c r="E18" i="4"/>
  <c r="C18" i="4"/>
  <c r="D18" i="4" s="1"/>
  <c r="B18" i="4"/>
  <c r="A18" i="4"/>
  <c r="H17" i="4"/>
  <c r="G17" i="4"/>
  <c r="F17" i="4"/>
  <c r="E17" i="4"/>
  <c r="D17" i="4"/>
  <c r="C17" i="4"/>
  <c r="B17" i="4"/>
  <c r="A17" i="4"/>
  <c r="H16" i="4"/>
  <c r="G16" i="4"/>
  <c r="F16" i="4"/>
  <c r="E16" i="4"/>
  <c r="C16" i="4"/>
  <c r="D16" i="4" s="1"/>
  <c r="B16" i="4"/>
  <c r="A16" i="4"/>
  <c r="H15" i="4"/>
  <c r="G15" i="4"/>
  <c r="F15" i="4"/>
  <c r="E15" i="4"/>
  <c r="C15" i="4"/>
  <c r="D15" i="4" s="1"/>
  <c r="B15" i="4"/>
  <c r="A15" i="4"/>
  <c r="H14" i="4"/>
  <c r="G14" i="4"/>
  <c r="F14" i="4"/>
  <c r="E14" i="4"/>
  <c r="C14" i="4"/>
  <c r="D14" i="4" s="1"/>
  <c r="B14" i="4"/>
  <c r="A14" i="4"/>
  <c r="H13" i="4"/>
  <c r="G13" i="4"/>
  <c r="F13" i="4"/>
  <c r="E13" i="4"/>
  <c r="C13" i="4"/>
  <c r="D13" i="4" s="1"/>
  <c r="B13" i="4"/>
  <c r="A13" i="4"/>
  <c r="H12" i="4"/>
  <c r="G12" i="4"/>
  <c r="F12" i="4"/>
  <c r="E12" i="4"/>
  <c r="D12" i="4"/>
  <c r="C12" i="4"/>
  <c r="B12" i="4"/>
  <c r="A12" i="4"/>
  <c r="H11" i="4"/>
  <c r="G11" i="4"/>
  <c r="F11" i="4"/>
  <c r="E11" i="4"/>
  <c r="C11" i="4"/>
  <c r="D11" i="4" s="1"/>
  <c r="B11" i="4"/>
  <c r="A11" i="4"/>
  <c r="H10" i="4"/>
  <c r="G10" i="4"/>
  <c r="F10" i="4"/>
  <c r="E10" i="4"/>
  <c r="C10" i="4"/>
  <c r="D10" i="4" s="1"/>
  <c r="B10" i="4"/>
  <c r="A10" i="4"/>
  <c r="H9" i="4"/>
  <c r="G9" i="4"/>
  <c r="F9" i="4"/>
  <c r="E9" i="4"/>
  <c r="C9" i="4"/>
  <c r="D9" i="4" s="1"/>
  <c r="B9" i="4"/>
  <c r="A9" i="4"/>
  <c r="H8" i="4"/>
  <c r="G8" i="4"/>
  <c r="F8" i="4"/>
  <c r="E8" i="4"/>
  <c r="C8" i="4"/>
  <c r="D8" i="4" s="1"/>
  <c r="B8" i="4"/>
  <c r="A8" i="4"/>
  <c r="H7" i="4"/>
  <c r="G7" i="4"/>
  <c r="F7" i="4"/>
  <c r="E7" i="4"/>
  <c r="C7" i="4"/>
  <c r="D7" i="4" s="1"/>
  <c r="B7" i="4"/>
  <c r="A7" i="4"/>
  <c r="I7" i="4" s="1"/>
  <c r="H6" i="4"/>
  <c r="G6" i="4"/>
  <c r="F6" i="4"/>
  <c r="E6" i="4"/>
  <c r="C6" i="4"/>
  <c r="D6" i="4" s="1"/>
  <c r="B6" i="4"/>
  <c r="A6" i="4"/>
  <c r="L50" i="22" a="1"/>
  <c r="L50" i="22" s="1"/>
  <c r="L51" i="22"/>
  <c r="L52" i="22"/>
  <c r="L53" i="22"/>
  <c r="L54" i="22"/>
  <c r="L55" i="22"/>
  <c r="L56" i="22"/>
  <c r="L57" i="22"/>
  <c r="L58" i="22"/>
  <c r="L59" i="22"/>
  <c r="L60" i="22"/>
  <c r="L61" i="22"/>
  <c r="L63" i="22"/>
  <c r="L64" i="22"/>
  <c r="L65" i="22"/>
  <c r="L66" i="22"/>
  <c r="L67" i="22"/>
  <c r="L68" i="22"/>
  <c r="L69" i="22"/>
  <c r="L70" i="22"/>
  <c r="L71" i="22"/>
  <c r="L72" i="22"/>
  <c r="L73" i="22"/>
  <c r="L75" i="22"/>
  <c r="L76" i="22"/>
  <c r="L77" i="22"/>
  <c r="L78" i="22"/>
  <c r="L79" i="22"/>
  <c r="L80" i="22"/>
  <c r="L81" i="22"/>
  <c r="L82" i="22"/>
  <c r="L83" i="22"/>
  <c r="L84" i="22"/>
  <c r="L85" i="22"/>
  <c r="K85" i="22" s="1"/>
  <c r="L87" i="22"/>
  <c r="L88" i="22"/>
  <c r="K87" i="22"/>
  <c r="K88" i="22"/>
  <c r="H88" i="22"/>
  <c r="H86" i="22"/>
  <c r="H87" i="22"/>
  <c r="H85" i="22"/>
  <c r="B88" i="22"/>
  <c r="B87" i="22"/>
  <c r="B60" i="22"/>
  <c r="B61" i="22"/>
  <c r="B86" i="22"/>
  <c r="L40" i="22" a="1"/>
  <c r="L40" i="22"/>
  <c r="L41" i="22" a="1"/>
  <c r="L41" i="22"/>
  <c r="K41" i="22" s="1"/>
  <c r="B41" i="22"/>
  <c r="B85" i="22"/>
  <c r="H84" i="22"/>
  <c r="A84" i="22"/>
  <c r="B84" i="22" s="1"/>
  <c r="H83" i="22"/>
  <c r="A83" i="22"/>
  <c r="B83" i="22" s="1"/>
  <c r="H82" i="22"/>
  <c r="A82" i="22"/>
  <c r="B82" i="22" s="1"/>
  <c r="H80" i="22"/>
  <c r="A80" i="22"/>
  <c r="B80" i="22" s="1"/>
  <c r="L36" i="22" a="1"/>
  <c r="L36" i="22" s="1"/>
  <c r="K36" i="22" s="1"/>
  <c r="B36" i="22"/>
  <c r="G5" i="4"/>
  <c r="A67" i="22"/>
  <c r="B67" i="22" s="1"/>
  <c r="A66" i="22"/>
  <c r="B66" i="22" s="1"/>
  <c r="A65" i="22"/>
  <c r="B65" i="22" s="1"/>
  <c r="A64" i="22"/>
  <c r="B64" i="22" s="1"/>
  <c r="A63" i="22"/>
  <c r="B63" i="22" s="1"/>
  <c r="A62" i="22"/>
  <c r="A59" i="22"/>
  <c r="A58" i="22"/>
  <c r="B58" i="22" s="1"/>
  <c r="A57" i="22"/>
  <c r="A56" i="22"/>
  <c r="B56" i="22" s="1"/>
  <c r="A55" i="22"/>
  <c r="B55" i="22" s="1"/>
  <c r="A54" i="22"/>
  <c r="B54" i="22" s="1"/>
  <c r="A53" i="22"/>
  <c r="B53" i="22" s="1"/>
  <c r="A52" i="22"/>
  <c r="A51" i="22"/>
  <c r="A50" i="22"/>
  <c r="H67" i="22"/>
  <c r="H66" i="22"/>
  <c r="H65" i="22"/>
  <c r="H64" i="22"/>
  <c r="H63" i="22"/>
  <c r="H62" i="22"/>
  <c r="H59" i="22"/>
  <c r="H58" i="22"/>
  <c r="H57" i="22"/>
  <c r="H56" i="22"/>
  <c r="H55" i="22"/>
  <c r="H54" i="22"/>
  <c r="H53" i="22"/>
  <c r="H52" i="22"/>
  <c r="H51" i="22"/>
  <c r="H50" i="22"/>
  <c r="L27" i="22" a="1"/>
  <c r="L27" i="22" s="1"/>
  <c r="K27" i="22" s="1"/>
  <c r="B27" i="22"/>
  <c r="L26" i="22" a="1"/>
  <c r="L26" i="22" s="1"/>
  <c r="K26" i="22" s="1"/>
  <c r="B26" i="22"/>
  <c r="L25" i="22" a="1"/>
  <c r="L25" i="22" s="1"/>
  <c r="K25" i="22" s="1"/>
  <c r="B25" i="22"/>
  <c r="L24" i="22" a="1"/>
  <c r="L24" i="22" s="1"/>
  <c r="K24" i="22" s="1"/>
  <c r="B24" i="22"/>
  <c r="L23" i="22" a="1"/>
  <c r="L23" i="22" s="1"/>
  <c r="K23" i="22" s="1"/>
  <c r="B23" i="22"/>
  <c r="L28" i="22" a="1"/>
  <c r="L28" i="22" s="1"/>
  <c r="K28" i="22" s="1"/>
  <c r="B28" i="22"/>
  <c r="L6" i="22" a="1"/>
  <c r="L6" i="22" s="1"/>
  <c r="K6" i="22" s="1"/>
  <c r="L7" i="22" a="1"/>
  <c r="L7" i="22" s="1"/>
  <c r="K7" i="22" s="1"/>
  <c r="L8" i="22" a="1"/>
  <c r="L8" i="22" s="1"/>
  <c r="K8" i="22" s="1"/>
  <c r="L9" i="22" a="1"/>
  <c r="L9" i="22" s="1"/>
  <c r="K9" i="22" s="1"/>
  <c r="L10" i="22" a="1"/>
  <c r="L10" i="22" s="1"/>
  <c r="K10" i="22" s="1"/>
  <c r="L11" i="22" a="1"/>
  <c r="L11" i="22" s="1"/>
  <c r="K11" i="22" s="1"/>
  <c r="L12" i="22" a="1"/>
  <c r="L12" i="22" s="1"/>
  <c r="K12" i="22" s="1"/>
  <c r="L13" i="22" a="1"/>
  <c r="L13" i="22" s="1"/>
  <c r="K13" i="22" s="1"/>
  <c r="L14" i="22" a="1"/>
  <c r="L14" i="22" s="1"/>
  <c r="K14" i="22" s="1"/>
  <c r="L15" i="22" a="1"/>
  <c r="L15" i="22" s="1"/>
  <c r="K15" i="22" s="1"/>
  <c r="L16" i="22" a="1"/>
  <c r="L16" i="22" s="1"/>
  <c r="K16" i="22" s="1"/>
  <c r="L17" i="22" a="1"/>
  <c r="L17" i="22" s="1"/>
  <c r="K17" i="22" s="1"/>
  <c r="L18" i="22" a="1"/>
  <c r="L18" i="22" s="1"/>
  <c r="K18" i="22" s="1"/>
  <c r="L19" i="22" a="1"/>
  <c r="L19" i="22" s="1"/>
  <c r="K19" i="22" s="1"/>
  <c r="L20" i="22" a="1"/>
  <c r="L20" i="22" s="1"/>
  <c r="K20" i="22" s="1"/>
  <c r="L21" i="22" a="1"/>
  <c r="L21" i="22" s="1"/>
  <c r="K21" i="22" s="1"/>
  <c r="L22" i="22" a="1"/>
  <c r="L22" i="22" s="1"/>
  <c r="K22" i="22" s="1"/>
  <c r="L29" i="22" a="1"/>
  <c r="L29" i="22" s="1"/>
  <c r="K29" i="22" s="1"/>
  <c r="L30" i="22" a="1"/>
  <c r="L30" i="22" s="1"/>
  <c r="K30" i="22" s="1"/>
  <c r="L31" i="22" a="1"/>
  <c r="L31" i="22" s="1"/>
  <c r="K31" i="22" s="1"/>
  <c r="L32" i="22" a="1"/>
  <c r="L32" i="22" s="1"/>
  <c r="K32" i="22" s="1"/>
  <c r="L33" i="22" a="1"/>
  <c r="L33" i="22" s="1"/>
  <c r="K33" i="22" s="1"/>
  <c r="L34" i="22" a="1"/>
  <c r="L34" i="22" s="1"/>
  <c r="K34" i="22" s="1"/>
  <c r="L35" i="22" a="1"/>
  <c r="L35" i="22" s="1"/>
  <c r="K35" i="22" s="1"/>
  <c r="L37" i="22" a="1"/>
  <c r="L37" i="22" s="1"/>
  <c r="K37" i="22" s="1"/>
  <c r="L38" i="22" a="1"/>
  <c r="L38" i="22" s="1"/>
  <c r="K38" i="22" s="1"/>
  <c r="L39" i="22" a="1"/>
  <c r="L39" i="22" s="1"/>
  <c r="K39" i="22" s="1"/>
  <c r="K40" i="22"/>
  <c r="L5" i="22" a="1"/>
  <c r="L5" i="22" s="1"/>
  <c r="K5" i="22" s="1"/>
  <c r="C5" i="4"/>
  <c r="B20" i="22"/>
  <c r="B13" i="22"/>
  <c r="B12" i="22"/>
  <c r="B11" i="22"/>
  <c r="I9" i="4" l="1"/>
  <c r="I30" i="4"/>
  <c r="I60" i="4"/>
  <c r="I63" i="4"/>
  <c r="I73" i="4"/>
  <c r="I37" i="4"/>
  <c r="I53" i="4"/>
  <c r="I72" i="4"/>
  <c r="I74" i="4"/>
  <c r="I81" i="4"/>
  <c r="I17" i="4"/>
  <c r="I38" i="4"/>
  <c r="I54" i="4"/>
  <c r="I68" i="4"/>
  <c r="I71" i="4"/>
  <c r="I80" i="4"/>
  <c r="I82" i="4"/>
  <c r="I10" i="4"/>
  <c r="I18" i="4"/>
  <c r="I61" i="4"/>
  <c r="I29" i="4"/>
  <c r="I25" i="4"/>
  <c r="I62" i="4"/>
  <c r="I26" i="4"/>
  <c r="I40" i="4"/>
  <c r="I56" i="4"/>
  <c r="I69" i="4"/>
  <c r="I6" i="4"/>
  <c r="I20" i="4"/>
  <c r="I33" i="4"/>
  <c r="I70" i="4"/>
  <c r="I66" i="4"/>
  <c r="I32" i="4"/>
  <c r="I34" i="4"/>
  <c r="I50" i="4"/>
  <c r="I64" i="4"/>
  <c r="I77" i="4"/>
  <c r="I85" i="4"/>
  <c r="I24" i="4"/>
  <c r="I13" i="4"/>
  <c r="I14" i="4"/>
  <c r="I31" i="4"/>
  <c r="I57" i="4"/>
  <c r="I76" i="4"/>
  <c r="I78" i="4"/>
  <c r="I84" i="4"/>
  <c r="I86" i="4"/>
  <c r="I65" i="4"/>
  <c r="I16" i="4"/>
  <c r="I12" i="4"/>
  <c r="I28" i="4"/>
  <c r="I41" i="4"/>
  <c r="I8" i="4"/>
  <c r="I21" i="4"/>
  <c r="I58" i="4"/>
  <c r="I67" i="4"/>
  <c r="I88" i="4"/>
  <c r="I35" i="4"/>
  <c r="I51" i="4"/>
  <c r="I15" i="4"/>
  <c r="I59" i="4"/>
  <c r="I23" i="4"/>
  <c r="I11" i="4"/>
  <c r="I75" i="4"/>
  <c r="I83" i="4"/>
  <c r="I39" i="4"/>
  <c r="I55" i="4"/>
  <c r="L86" i="22"/>
  <c r="L74" i="22"/>
  <c r="L62" i="22"/>
  <c r="K86" i="22"/>
  <c r="B81" i="22"/>
  <c r="H68" i="22"/>
  <c r="A68" i="22"/>
  <c r="B68" i="22" s="1"/>
  <c r="A69" i="22"/>
  <c r="B69" i="22" s="1"/>
  <c r="A70" i="22"/>
  <c r="B70" i="22" s="1"/>
  <c r="H77" i="22"/>
  <c r="A79" i="22"/>
  <c r="B79" i="22" s="1"/>
  <c r="H79" i="22"/>
  <c r="H69" i="22"/>
  <c r="A71" i="22"/>
  <c r="B71" i="22" s="1"/>
  <c r="H70" i="22"/>
  <c r="H71" i="22"/>
  <c r="A72" i="22"/>
  <c r="B72" i="22" s="1"/>
  <c r="A73" i="22"/>
  <c r="B73" i="22" s="1"/>
  <c r="H72" i="22"/>
  <c r="A74" i="22"/>
  <c r="H73" i="22"/>
  <c r="A75" i="22"/>
  <c r="B75" i="22" s="1"/>
  <c r="H78" i="22"/>
  <c r="H74" i="22"/>
  <c r="A76" i="22"/>
  <c r="B76" i="22" s="1"/>
  <c r="H75" i="22"/>
  <c r="A77" i="22"/>
  <c r="B77" i="22" s="1"/>
  <c r="H76" i="22"/>
  <c r="A78" i="22"/>
  <c r="B78" i="22" s="1"/>
  <c r="B59" i="22"/>
  <c r="B57" i="22"/>
  <c r="B50" i="22"/>
  <c r="B62" i="22"/>
  <c r="B51" i="22"/>
  <c r="B52" i="22"/>
  <c r="B74" i="22" l="1"/>
  <c r="K56" i="22" l="1"/>
  <c r="K68" i="22"/>
  <c r="K80" i="22"/>
  <c r="K72" i="22"/>
  <c r="K51" i="22"/>
  <c r="K52" i="22"/>
  <c r="K57" i="22"/>
  <c r="K69" i="22"/>
  <c r="K81" i="22"/>
  <c r="K60" i="22"/>
  <c r="K64" i="22"/>
  <c r="K79" i="22"/>
  <c r="K58" i="22"/>
  <c r="K70" i="22"/>
  <c r="K82" i="22"/>
  <c r="K53" i="22"/>
  <c r="K54" i="22"/>
  <c r="K59" i="22"/>
  <c r="K71" i="22"/>
  <c r="K83" i="22"/>
  <c r="K84" i="22"/>
  <c r="K63" i="22"/>
  <c r="K66" i="22"/>
  <c r="K61" i="22"/>
  <c r="K73" i="22"/>
  <c r="K75" i="22"/>
  <c r="K76" i="22"/>
  <c r="K65" i="22"/>
  <c r="K50" i="22"/>
  <c r="K62" i="22"/>
  <c r="K74" i="22"/>
  <c r="K55" i="22"/>
  <c r="K78" i="22"/>
  <c r="K77" i="22"/>
  <c r="K67" i="22"/>
  <c r="B40" i="22" l="1"/>
  <c r="B39" i="22"/>
  <c r="B38" i="22"/>
  <c r="B37" i="22"/>
  <c r="B7" i="22"/>
  <c r="D5" i="4"/>
  <c r="B19" i="22"/>
  <c r="B29" i="22"/>
  <c r="B34" i="22"/>
  <c r="B33" i="22"/>
  <c r="B32" i="22"/>
  <c r="B31" i="22"/>
  <c r="B30" i="22"/>
  <c r="B22" i="22"/>
  <c r="B10" i="22"/>
  <c r="B18" i="22"/>
  <c r="B6" i="22"/>
  <c r="B16" i="22"/>
  <c r="B14" i="22"/>
  <c r="B35" i="22"/>
  <c r="B8" i="22"/>
  <c r="B9" i="22"/>
  <c r="B15" i="22"/>
  <c r="B5" i="22"/>
  <c r="B21" i="22"/>
  <c r="I2" i="4"/>
  <c r="H5" i="4"/>
  <c r="F5" i="4"/>
  <c r="E5" i="4"/>
  <c r="B5" i="4"/>
  <c r="A5" i="4" l="1"/>
  <c r="I5" i="4" s="1"/>
  <c r="I2247" i="4" l="1"/>
  <c r="I2246" i="4"/>
  <c r="I2245" i="4"/>
  <c r="I2244" i="4"/>
  <c r="I2243" i="4"/>
  <c r="I2242" i="4"/>
  <c r="I2241" i="4"/>
  <c r="I2641" i="4" l="1"/>
  <c r="I2640" i="4"/>
  <c r="I2639" i="4"/>
  <c r="I2638" i="4"/>
  <c r="I2637" i="4"/>
  <c r="I2636" i="4"/>
  <c r="I2635" i="4"/>
  <c r="I2634" i="4"/>
  <c r="I2633" i="4"/>
  <c r="I2632" i="4"/>
  <c r="I2631" i="4"/>
  <c r="I2630" i="4"/>
  <c r="I2629" i="4"/>
  <c r="I2628" i="4"/>
  <c r="I2627" i="4"/>
  <c r="I2626" i="4"/>
  <c r="I2625" i="4"/>
  <c r="I2624" i="4"/>
  <c r="I2623" i="4"/>
  <c r="I2622" i="4"/>
  <c r="I2621" i="4"/>
  <c r="I2620" i="4"/>
  <c r="I2619" i="4"/>
  <c r="I2618" i="4"/>
  <c r="I2617" i="4"/>
  <c r="I2616" i="4"/>
  <c r="I2615" i="4"/>
  <c r="I2614" i="4"/>
  <c r="I2613" i="4"/>
  <c r="I2612" i="4"/>
  <c r="I2611" i="4"/>
  <c r="I2610" i="4"/>
  <c r="I2609" i="4"/>
  <c r="I2608" i="4"/>
  <c r="I2607" i="4"/>
  <c r="I2606" i="4"/>
  <c r="I2605" i="4"/>
  <c r="I2604" i="4"/>
  <c r="I2603" i="4"/>
  <c r="I2602" i="4"/>
  <c r="I2601" i="4"/>
  <c r="I2600" i="4"/>
  <c r="I2599" i="4"/>
  <c r="I2598" i="4"/>
  <c r="I2597" i="4"/>
  <c r="I2596" i="4"/>
  <c r="I2595" i="4"/>
  <c r="I2594" i="4"/>
  <c r="I2593" i="4"/>
  <c r="I2592" i="4"/>
  <c r="I2591" i="4"/>
  <c r="I2590" i="4"/>
  <c r="I2589" i="4"/>
  <c r="I2588" i="4"/>
  <c r="I2587" i="4"/>
  <c r="I2586" i="4"/>
  <c r="I2585" i="4"/>
  <c r="I2584" i="4"/>
  <c r="I2583" i="4"/>
  <c r="I2582" i="4"/>
  <c r="I2581" i="4"/>
  <c r="I2580" i="4"/>
  <c r="I2579" i="4"/>
  <c r="I2578" i="4"/>
  <c r="I2577" i="4"/>
  <c r="I2576" i="4"/>
  <c r="I2575" i="4"/>
  <c r="I2574" i="4"/>
  <c r="I2573" i="4"/>
  <c r="I2572" i="4"/>
  <c r="I2571" i="4"/>
  <c r="I2570" i="4"/>
  <c r="I2569" i="4"/>
  <c r="I2568" i="4"/>
  <c r="I2567" i="4"/>
  <c r="I2566" i="4"/>
  <c r="I2565" i="4"/>
  <c r="I2564" i="4"/>
  <c r="I2563" i="4"/>
  <c r="I2562" i="4"/>
  <c r="I2561" i="4"/>
  <c r="I2560" i="4"/>
  <c r="I2559" i="4"/>
  <c r="I2558" i="4"/>
  <c r="I2557" i="4"/>
  <c r="I2556" i="4"/>
  <c r="I2555" i="4"/>
  <c r="I2554" i="4"/>
  <c r="I2553" i="4"/>
  <c r="I2552" i="4"/>
  <c r="I2551" i="4"/>
  <c r="I2550" i="4"/>
  <c r="I2549" i="4"/>
  <c r="I2548" i="4"/>
  <c r="I2547" i="4"/>
  <c r="I2546" i="4"/>
  <c r="I2545" i="4"/>
  <c r="I2544" i="4"/>
  <c r="I2543" i="4"/>
  <c r="I2542" i="4"/>
  <c r="I2541" i="4"/>
  <c r="I2540" i="4"/>
  <c r="I2539" i="4"/>
  <c r="I2538" i="4"/>
  <c r="I2537" i="4"/>
  <c r="I2536" i="4"/>
  <c r="I2535" i="4"/>
  <c r="I2534" i="4"/>
  <c r="I2533" i="4"/>
  <c r="I2532" i="4"/>
  <c r="I2531" i="4"/>
  <c r="I2530" i="4"/>
  <c r="I2529" i="4"/>
  <c r="I2528" i="4"/>
  <c r="I2527" i="4"/>
  <c r="I2526" i="4"/>
  <c r="I2525" i="4"/>
  <c r="I2524" i="4"/>
  <c r="I2523" i="4"/>
  <c r="I2522" i="4"/>
  <c r="I2521" i="4"/>
  <c r="I2520" i="4"/>
  <c r="I2519" i="4"/>
  <c r="I2518" i="4"/>
  <c r="I2517" i="4"/>
  <c r="I2516" i="4"/>
  <c r="I2515" i="4"/>
  <c r="I2514" i="4"/>
  <c r="I2513" i="4"/>
  <c r="I2512" i="4"/>
  <c r="I2511" i="4"/>
  <c r="I2510" i="4"/>
  <c r="I2509" i="4"/>
  <c r="I2508" i="4"/>
  <c r="I2507" i="4"/>
  <c r="I2506" i="4"/>
  <c r="I2505" i="4"/>
  <c r="I2504" i="4"/>
  <c r="I2503" i="4"/>
  <c r="I2502" i="4"/>
  <c r="I2501" i="4"/>
  <c r="I2500" i="4"/>
  <c r="I2499" i="4"/>
  <c r="I2498" i="4"/>
  <c r="I2497" i="4"/>
  <c r="I2496" i="4"/>
  <c r="I2495" i="4"/>
  <c r="I2494" i="4"/>
  <c r="I2493" i="4"/>
  <c r="I2492" i="4"/>
  <c r="I2491" i="4"/>
  <c r="I2490" i="4"/>
  <c r="I2489" i="4"/>
  <c r="I2488" i="4"/>
  <c r="I2487" i="4"/>
  <c r="I2486" i="4"/>
  <c r="I2485" i="4"/>
  <c r="I2484" i="4"/>
  <c r="I2483" i="4"/>
  <c r="I2482" i="4"/>
  <c r="I2481" i="4"/>
  <c r="I2480" i="4"/>
  <c r="I2479" i="4"/>
  <c r="I2478" i="4"/>
  <c r="I2477" i="4"/>
  <c r="I2476" i="4"/>
  <c r="I2475" i="4"/>
  <c r="I2474" i="4"/>
  <c r="I2473" i="4"/>
  <c r="I2472" i="4"/>
  <c r="I2471" i="4"/>
  <c r="I2470" i="4"/>
  <c r="I2469" i="4"/>
  <c r="I2468" i="4"/>
  <c r="I2467" i="4"/>
  <c r="I2466" i="4"/>
  <c r="I2465" i="4"/>
  <c r="I2464" i="4"/>
  <c r="I2463" i="4"/>
  <c r="I2462" i="4"/>
  <c r="I2461" i="4"/>
  <c r="I2460" i="4"/>
  <c r="I2459" i="4"/>
  <c r="I2458" i="4"/>
  <c r="I2457" i="4"/>
  <c r="I2456" i="4"/>
  <c r="I2455" i="4"/>
  <c r="I2454" i="4"/>
  <c r="I2453" i="4"/>
  <c r="I2452" i="4"/>
  <c r="I2451" i="4"/>
  <c r="I2450" i="4"/>
  <c r="I2449" i="4"/>
  <c r="I2448" i="4"/>
  <c r="I2447" i="4"/>
  <c r="I2446" i="4"/>
  <c r="I2445" i="4"/>
  <c r="I2444" i="4"/>
  <c r="I2443" i="4"/>
  <c r="I2442" i="4"/>
  <c r="I2441" i="4"/>
  <c r="I2440" i="4"/>
  <c r="I2439" i="4"/>
  <c r="I2438" i="4"/>
  <c r="I2437" i="4"/>
  <c r="I2436" i="4"/>
  <c r="I2435" i="4"/>
  <c r="I2434" i="4"/>
  <c r="I2433" i="4"/>
  <c r="I2432" i="4"/>
  <c r="I2431" i="4"/>
  <c r="I2430" i="4"/>
  <c r="I2429" i="4"/>
  <c r="I2428" i="4"/>
  <c r="I2427" i="4"/>
  <c r="I2426" i="4"/>
  <c r="I2425" i="4"/>
  <c r="I2424" i="4"/>
  <c r="I2423" i="4"/>
  <c r="I2422" i="4"/>
  <c r="I2421" i="4"/>
  <c r="I2420" i="4"/>
  <c r="I2419" i="4"/>
  <c r="I2418" i="4"/>
  <c r="I2417" i="4"/>
  <c r="I2416" i="4"/>
  <c r="I2415" i="4"/>
  <c r="I2414" i="4"/>
  <c r="I2413" i="4"/>
  <c r="I2412" i="4"/>
  <c r="I2411" i="4"/>
  <c r="I2410" i="4"/>
  <c r="I2409" i="4"/>
  <c r="I2408" i="4"/>
  <c r="I2407" i="4"/>
  <c r="I2406" i="4"/>
  <c r="I2405" i="4"/>
  <c r="I2404" i="4"/>
  <c r="I2403" i="4"/>
  <c r="I2402" i="4"/>
  <c r="I2401" i="4"/>
  <c r="I2400" i="4"/>
  <c r="I2399" i="4"/>
  <c r="I2398" i="4"/>
  <c r="I2397" i="4"/>
  <c r="I2396" i="4"/>
  <c r="I2395" i="4"/>
  <c r="I2394" i="4"/>
  <c r="I2393" i="4"/>
  <c r="I2392" i="4"/>
  <c r="I2391" i="4"/>
  <c r="I2390" i="4"/>
  <c r="I2389" i="4"/>
  <c r="I2388" i="4"/>
  <c r="I2387" i="4"/>
  <c r="I2386" i="4"/>
  <c r="I2385" i="4"/>
  <c r="I2384" i="4"/>
  <c r="I2383" i="4"/>
  <c r="I2382" i="4"/>
  <c r="I2381" i="4"/>
  <c r="I2380" i="4"/>
  <c r="I2379" i="4"/>
  <c r="I2378" i="4"/>
  <c r="I2377" i="4"/>
  <c r="I2376" i="4"/>
  <c r="I2375" i="4"/>
  <c r="I2374" i="4"/>
  <c r="I2373" i="4"/>
  <c r="I2372" i="4"/>
  <c r="I2371" i="4"/>
  <c r="I2370" i="4"/>
  <c r="I2369" i="4"/>
  <c r="I2368" i="4"/>
  <c r="I2367" i="4"/>
  <c r="I2366" i="4"/>
  <c r="I2365" i="4"/>
  <c r="I2364" i="4"/>
  <c r="I2363" i="4"/>
  <c r="I2362" i="4"/>
  <c r="I2361" i="4"/>
  <c r="I2360" i="4"/>
  <c r="I2359" i="4"/>
  <c r="I2358" i="4"/>
  <c r="I2357" i="4"/>
  <c r="I2356" i="4"/>
  <c r="I2355" i="4"/>
  <c r="I2354" i="4"/>
  <c r="I2353" i="4"/>
  <c r="I2352" i="4"/>
  <c r="I2351" i="4"/>
  <c r="I2350" i="4"/>
  <c r="I2349" i="4"/>
  <c r="I2348" i="4"/>
  <c r="I2347" i="4"/>
  <c r="I2346" i="4"/>
  <c r="I2345" i="4"/>
  <c r="I2344" i="4"/>
  <c r="I2343" i="4"/>
  <c r="I2342" i="4"/>
  <c r="I2341" i="4"/>
  <c r="I2340" i="4"/>
  <c r="I2339" i="4"/>
  <c r="I2338" i="4"/>
  <c r="I2337" i="4"/>
  <c r="I2336" i="4"/>
  <c r="I2335" i="4"/>
  <c r="I2334" i="4"/>
  <c r="I2333" i="4"/>
  <c r="I2332" i="4"/>
  <c r="I2331" i="4"/>
  <c r="I2330" i="4"/>
  <c r="I2329" i="4"/>
  <c r="I2328" i="4"/>
  <c r="I2327" i="4"/>
  <c r="I2326" i="4"/>
  <c r="I2325" i="4"/>
  <c r="I2324" i="4"/>
  <c r="I2323" i="4"/>
  <c r="I2322" i="4"/>
  <c r="I2321" i="4"/>
  <c r="I2320" i="4"/>
  <c r="I2319" i="4"/>
  <c r="I2318" i="4"/>
  <c r="I2317" i="4"/>
  <c r="I2316" i="4"/>
  <c r="I2315" i="4"/>
  <c r="I2314" i="4"/>
  <c r="I2313" i="4"/>
  <c r="I2312" i="4"/>
  <c r="I2311" i="4"/>
  <c r="I2310" i="4"/>
  <c r="I2309" i="4"/>
  <c r="I2308" i="4"/>
  <c r="I2307" i="4"/>
  <c r="I2306" i="4"/>
  <c r="I2305" i="4"/>
  <c r="I2304" i="4"/>
  <c r="I2303" i="4"/>
  <c r="I2302" i="4"/>
  <c r="I2301" i="4"/>
  <c r="I2300" i="4"/>
  <c r="I2299" i="4"/>
  <c r="I2298" i="4"/>
  <c r="I2297" i="4"/>
  <c r="I2296" i="4"/>
  <c r="I2295" i="4"/>
  <c r="I2294" i="4"/>
  <c r="I2293" i="4"/>
  <c r="I2292" i="4"/>
  <c r="I2291" i="4"/>
  <c r="I2290" i="4"/>
  <c r="I2289" i="4"/>
  <c r="I2288" i="4"/>
  <c r="I2287" i="4"/>
  <c r="I2286" i="4"/>
  <c r="I2285" i="4"/>
  <c r="I2284" i="4"/>
  <c r="I2283" i="4"/>
  <c r="I2282" i="4"/>
  <c r="I2281" i="4"/>
  <c r="I2280" i="4"/>
  <c r="I2279" i="4"/>
  <c r="I2278" i="4"/>
  <c r="I2277" i="4"/>
  <c r="I2276" i="4"/>
  <c r="I2275" i="4"/>
  <c r="I2274" i="4"/>
  <c r="I2273" i="4"/>
  <c r="I2272" i="4"/>
  <c r="I2271" i="4"/>
  <c r="I2270" i="4"/>
  <c r="I2269" i="4"/>
  <c r="I2268" i="4"/>
  <c r="I2267" i="4"/>
  <c r="I2266" i="4"/>
  <c r="I2265" i="4"/>
  <c r="I2264" i="4"/>
  <c r="I2263" i="4"/>
  <c r="I2262" i="4"/>
  <c r="I2261" i="4"/>
  <c r="I2260" i="4"/>
  <c r="I2259" i="4"/>
  <c r="I2258" i="4"/>
  <c r="I2257" i="4"/>
  <c r="I2256" i="4"/>
  <c r="I2255" i="4"/>
  <c r="I2254" i="4"/>
  <c r="I2253" i="4"/>
  <c r="I2252" i="4"/>
  <c r="I2251" i="4"/>
  <c r="I2250" i="4"/>
  <c r="I2249" i="4"/>
  <c r="I2248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items.h" type="6" refreshedVersion="0" background="1" saveData="1">
    <textPr fileType="mac" sourceFile="Macintosh HD:Users:jacomostert:Documents:WP43S:gitlab:wp43s:src:wp43s:items.h" delimited="0" decimal="," thousands=" " tab="0" space="1" consecutive="1">
      <textFields count="5">
        <textField/>
        <textField position="7"/>
        <textField position="8"/>
        <textField position="38"/>
        <textField position="42"/>
      </textFields>
    </textPr>
  </connection>
</connections>
</file>

<file path=xl/sharedStrings.xml><?xml version="1.0" encoding="utf-8"?>
<sst xmlns="http://schemas.openxmlformats.org/spreadsheetml/2006/main" count="401" uniqueCount="134">
  <si>
    <t>ITM_DRG</t>
  </si>
  <si>
    <t>Comment</t>
  </si>
  <si>
    <t>PC Key Code</t>
  </si>
  <si>
    <t>CM_NORMAL</t>
  </si>
  <si>
    <t>Calculator Mode</t>
  </si>
  <si>
    <t>Function to run</t>
  </si>
  <si>
    <t>Exit If NIM</t>
  </si>
  <si>
    <t>ExitIfNim</t>
  </si>
  <si>
    <t>ITM_1ONX</t>
  </si>
  <si>
    <t>ITM_SQUAREROOTX</t>
  </si>
  <si>
    <t>C47</t>
  </si>
  <si>
    <t>PC Keyboard codes:</t>
  </si>
  <si>
    <t>https://docs.oracle.com/cd/E67482_01/oscar/pdf/45/OnlineHelp_45/helpOnPS2keyCodes.html</t>
  </si>
  <si>
    <t>ITM_SIGMAPLUS</t>
  </si>
  <si>
    <t>ITM_cos</t>
  </si>
  <si>
    <t>ITM_LN</t>
  </si>
  <si>
    <t>ITM_LOG10</t>
  </si>
  <si>
    <t>ITM_SQUARE</t>
  </si>
  <si>
    <t>ITM_sin</t>
  </si>
  <si>
    <t>ITM_tan</t>
  </si>
  <si>
    <t>ITM_XexY</t>
  </si>
  <si>
    <t>ITM_XEQ</t>
  </si>
  <si>
    <t>ITM_YX</t>
  </si>
  <si>
    <t>[=]&gt;D,R,G</t>
  </si>
  <si>
    <t>[a]ccumulate</t>
  </si>
  <si>
    <t>[c]osine</t>
  </si>
  <si>
    <t>[l]n</t>
  </si>
  <si>
    <t>l[o]g</t>
  </si>
  <si>
    <t>s[q]rt</t>
  </si>
  <si>
    <t>[s]ine</t>
  </si>
  <si>
    <t>[t]angent</t>
  </si>
  <si>
    <t>in[v]erse</t>
  </si>
  <si>
    <t>s[w]ap</t>
  </si>
  <si>
    <t>[x]eq</t>
  </si>
  <si>
    <t>[y]^x</t>
  </si>
  <si>
    <t>=</t>
  </si>
  <si>
    <t>a</t>
  </si>
  <si>
    <t>c</t>
  </si>
  <si>
    <t>l</t>
  </si>
  <si>
    <t>o</t>
  </si>
  <si>
    <t>p</t>
  </si>
  <si>
    <t>q</t>
  </si>
  <si>
    <t>s</t>
  </si>
  <si>
    <t>t</t>
  </si>
  <si>
    <t>v</t>
  </si>
  <si>
    <t>w</t>
  </si>
  <si>
    <t>x</t>
  </si>
  <si>
    <t>y</t>
  </si>
  <si>
    <t>R47</t>
  </si>
  <si>
    <t>ITM_arccos</t>
  </si>
  <si>
    <t>ITM_arcsin</t>
  </si>
  <si>
    <t>ITM_arctan</t>
  </si>
  <si>
    <t>arc[C]osine</t>
  </si>
  <si>
    <t>arc[S]ine</t>
  </si>
  <si>
    <t>arc[T]angent</t>
  </si>
  <si>
    <t>C</t>
  </si>
  <si>
    <t>S</t>
  </si>
  <si>
    <t>T</t>
  </si>
  <si>
    <t>L</t>
  </si>
  <si>
    <t>ITM_EXP</t>
  </si>
  <si>
    <t>O</t>
  </si>
  <si>
    <t>ITM_10x</t>
  </si>
  <si>
    <t>anti[L]n e^x</t>
  </si>
  <si>
    <t>P</t>
  </si>
  <si>
    <t>Y</t>
  </si>
  <si>
    <t>ITM_XTHROOT</t>
  </si>
  <si>
    <t>xth root of [Y]</t>
  </si>
  <si>
    <t>X</t>
  </si>
  <si>
    <t>comple[X]</t>
  </si>
  <si>
    <t>ITM_toREC2</t>
  </si>
  <si>
    <t>ITM_toPOL2</t>
  </si>
  <si>
    <t>-MNU_MODE</t>
  </si>
  <si>
    <t>D</t>
  </si>
  <si>
    <t>-MNU_DISP</t>
  </si>
  <si>
    <t>-MNU_STK</t>
  </si>
  <si>
    <t>n</t>
  </si>
  <si>
    <t>ITM_CHS</t>
  </si>
  <si>
    <t>CHS [n]egative</t>
  </si>
  <si>
    <t>d</t>
  </si>
  <si>
    <t>EXP</t>
  </si>
  <si>
    <t>-MNU_EXP</t>
  </si>
  <si>
    <t>KEY_COMPLEX</t>
  </si>
  <si>
    <t>-&gt;P</t>
  </si>
  <si>
    <t>-&gt;R</t>
  </si>
  <si>
    <t>K</t>
  </si>
  <si>
    <t>Q</t>
  </si>
  <si>
    <t>s[Q]uare</t>
  </si>
  <si>
    <t>ITM_STO</t>
  </si>
  <si>
    <t>[m]emory</t>
  </si>
  <si>
    <t>m</t>
  </si>
  <si>
    <t>ITM_RCL</t>
  </si>
  <si>
    <t>[r]cl</t>
  </si>
  <si>
    <t>r</t>
  </si>
  <si>
    <t>key</t>
  </si>
  <si>
    <t>Std</t>
  </si>
  <si>
    <t>ITM_ENTER</t>
  </si>
  <si>
    <t>ENTER</t>
  </si>
  <si>
    <t>ITM_EXPONENT</t>
  </si>
  <si>
    <t>[e]xponent</t>
  </si>
  <si>
    <t>e</t>
  </si>
  <si>
    <t>[d]own</t>
  </si>
  <si>
    <t>antil[O]g 10^x</t>
  </si>
  <si>
    <t>!ExitIfNim</t>
  </si>
  <si>
    <t>I</t>
  </si>
  <si>
    <t>D[I]SP</t>
  </si>
  <si>
    <t>i</t>
  </si>
  <si>
    <t>Duplicate calc</t>
  </si>
  <si>
    <t>Duplicate</t>
  </si>
  <si>
    <t>Free42</t>
  </si>
  <si>
    <t>V</t>
  </si>
  <si>
    <t>in[V]erse</t>
  </si>
  <si>
    <t>M</t>
  </si>
  <si>
    <t>J</t>
  </si>
  <si>
    <t>ITM_op_j</t>
  </si>
  <si>
    <t>[M]ODE</t>
  </si>
  <si>
    <t>ST[K]</t>
  </si>
  <si>
    <t>R</t>
  </si>
  <si>
    <t>f</t>
  </si>
  <si>
    <t>g</t>
  </si>
  <si>
    <t>ITM_CONSTpi</t>
  </si>
  <si>
    <t>ITM_Rdown</t>
  </si>
  <si>
    <t>ITM_SHIFTf</t>
  </si>
  <si>
    <t>ITM_SHIFTg</t>
  </si>
  <si>
    <t>Calculator
C47/R47/Std</t>
  </si>
  <si>
    <t>if(shortCutCommand(w, event_keyval, 61, allowCondition, exitIfNim, 9999, KK, CM_NORMAL, ITM_DRG ))        {return true;} else        //nn = comm</t>
  </si>
  <si>
    <t>ITM_Rup</t>
  </si>
  <si>
    <t>Up [D]</t>
  </si>
  <si>
    <t>-MNU_PREF</t>
  </si>
  <si>
    <t>PREF [M]</t>
  </si>
  <si>
    <t>F</t>
  </si>
  <si>
    <t>-MNU_PREFIX</t>
  </si>
  <si>
    <t>PRE[F]IX</t>
  </si>
  <si>
    <t>pi</t>
  </si>
  <si>
    <r>
      <t xml:space="preserve">Key n to run (from 0-37)
Key overrides function
</t>
    </r>
    <r>
      <rPr>
        <sz val="12"/>
        <color rgb="FFFF0000"/>
        <rFont val="Calibri (Body)"/>
      </rPr>
      <t>Key overrides ExitIfNim ??</t>
    </r>
    <r>
      <rPr>
        <sz val="12"/>
        <color theme="1"/>
        <rFont val="Calibri"/>
        <family val="2"/>
        <scheme val="minor"/>
      </rPr>
      <t xml:space="preserve">
Negative is off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</si>
</sst>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color theme="1"/>
      <name val="Menlo Regular"/>
    </font>
    <font>
      <sz val="8"/>
      <color theme="5"/>
      <name val="Menlo Regula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7"/>
      <name val="Calibri"/>
      <family val="2"/>
      <scheme val="minor"/>
    </font>
    <font>
      <sz val="12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sz val="12"/>
      <color rgb="FFFF0000"/>
      <name val="Calibri (Body)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4372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42">
    <xf numFmtId="0" fontId="0" fillId="0" borderId="0" xfId="0"/>
    <xf numFmtId="0" fontId="3" fillId="0" borderId="0" xfId="0" applyFont="1"/>
    <xf numFmtId="0" fontId="4" fillId="2" borderId="0" xfId="0" applyFont="1" applyFill="1"/>
    <xf numFmtId="0" fontId="4" fillId="3" borderId="0" xfId="0" applyFont="1" applyFill="1"/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left"/>
    </xf>
    <xf numFmtId="0" fontId="1" fillId="0" borderId="0" xfId="4371" applyAlignment="1">
      <alignment horizontal="left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5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left"/>
    </xf>
    <xf numFmtId="0" fontId="8" fillId="6" borderId="0" xfId="0" applyFont="1" applyFill="1" applyAlignment="1">
      <alignment horizontal="center"/>
    </xf>
    <xf numFmtId="0" fontId="8" fillId="6" borderId="0" xfId="0" applyFont="1" applyFill="1" applyAlignment="1">
      <alignment horizontal="left"/>
    </xf>
    <xf numFmtId="0" fontId="8" fillId="6" borderId="0" xfId="0" quotePrefix="1" applyFont="1" applyFill="1" applyAlignment="1">
      <alignment horizontal="left"/>
    </xf>
    <xf numFmtId="0" fontId="0" fillId="7" borderId="0" xfId="0" applyFill="1" applyAlignment="1">
      <alignment horizontal="center"/>
    </xf>
    <xf numFmtId="0" fontId="0" fillId="7" borderId="0" xfId="0" applyFill="1" applyAlignment="1">
      <alignment horizontal="left"/>
    </xf>
    <xf numFmtId="0" fontId="8" fillId="0" borderId="0" xfId="0" applyFont="1" applyAlignment="1">
      <alignment horizontal="center"/>
    </xf>
    <xf numFmtId="0" fontId="8" fillId="5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7" fillId="7" borderId="0" xfId="0" applyFont="1" applyFill="1" applyAlignment="1">
      <alignment horizontal="left"/>
    </xf>
    <xf numFmtId="0" fontId="7" fillId="7" borderId="0" xfId="0" quotePrefix="1" applyFont="1" applyFill="1" applyAlignment="1">
      <alignment horizontal="left"/>
    </xf>
    <xf numFmtId="0" fontId="6" fillId="8" borderId="0" xfId="0" applyFont="1" applyFill="1" applyAlignment="1">
      <alignment horizontal="center"/>
    </xf>
    <xf numFmtId="0" fontId="6" fillId="8" borderId="0" xfId="0" quotePrefix="1" applyFont="1" applyFill="1" applyAlignment="1">
      <alignment horizontal="left"/>
    </xf>
    <xf numFmtId="0" fontId="8" fillId="10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6" fillId="11" borderId="0" xfId="0" applyFont="1" applyFill="1" applyAlignment="1">
      <alignment horizontal="left"/>
    </xf>
    <xf numFmtId="0" fontId="8" fillId="12" borderId="0" xfId="0" applyFont="1" applyFill="1" applyAlignment="1">
      <alignment horizontal="center"/>
    </xf>
    <xf numFmtId="0" fontId="8" fillId="12" borderId="0" xfId="0" applyFont="1" applyFill="1" applyAlignment="1">
      <alignment horizontal="left"/>
    </xf>
    <xf numFmtId="0" fontId="0" fillId="4" borderId="0" xfId="0" applyFill="1" applyAlignment="1">
      <alignment horizontal="left" wrapText="1"/>
    </xf>
    <xf numFmtId="0" fontId="8" fillId="5" borderId="0" xfId="0" applyFont="1" applyFill="1" applyAlignment="1">
      <alignment horizontal="left"/>
    </xf>
    <xf numFmtId="0" fontId="8" fillId="13" borderId="0" xfId="0" applyFont="1" applyFill="1" applyAlignment="1">
      <alignment horizontal="center"/>
    </xf>
    <xf numFmtId="0" fontId="10" fillId="13" borderId="0" xfId="0" applyFont="1" applyFill="1" applyAlignment="1">
      <alignment horizontal="center"/>
    </xf>
    <xf numFmtId="0" fontId="6" fillId="9" borderId="0" xfId="0" applyFont="1" applyFill="1" applyAlignment="1">
      <alignment horizontal="left"/>
    </xf>
    <xf numFmtId="0" fontId="0" fillId="4" borderId="0" xfId="0" applyFill="1" applyAlignment="1">
      <alignment horizontal="center" wrapText="1"/>
    </xf>
    <xf numFmtId="0" fontId="8" fillId="10" borderId="0" xfId="0" quotePrefix="1" applyFont="1" applyFill="1" applyAlignment="1">
      <alignment horizontal="left"/>
    </xf>
    <xf numFmtId="0" fontId="8" fillId="10" borderId="0" xfId="0" applyFont="1" applyFill="1" applyAlignment="1">
      <alignment horizontal="left"/>
    </xf>
  </cellXfs>
  <cellStyles count="4372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Followed Hyperlink" xfId="1282" builtinId="9" hidden="1"/>
    <cellStyle name="Followed Hyperlink" xfId="1284" builtinId="9" hidden="1"/>
    <cellStyle name="Followed Hyperlink" xfId="1286" builtinId="9" hidden="1"/>
    <cellStyle name="Followed Hyperlink" xfId="1288" builtinId="9" hidden="1"/>
    <cellStyle name="Followed Hyperlink" xfId="1290" builtinId="9" hidden="1"/>
    <cellStyle name="Followed Hyperlink" xfId="1292" builtinId="9" hidden="1"/>
    <cellStyle name="Followed Hyperlink" xfId="1294" builtinId="9" hidden="1"/>
    <cellStyle name="Followed Hyperlink" xfId="1296" builtinId="9" hidden="1"/>
    <cellStyle name="Followed Hyperlink" xfId="1298" builtinId="9" hidden="1"/>
    <cellStyle name="Followed Hyperlink" xfId="1300" builtinId="9" hidden="1"/>
    <cellStyle name="Followed Hyperlink" xfId="1302" builtinId="9" hidden="1"/>
    <cellStyle name="Followed Hyperlink" xfId="1304" builtinId="9" hidden="1"/>
    <cellStyle name="Followed Hyperlink" xfId="1306" builtinId="9" hidden="1"/>
    <cellStyle name="Followed Hyperlink" xfId="1308" builtinId="9" hidden="1"/>
    <cellStyle name="Followed Hyperlink" xfId="1310" builtinId="9" hidden="1"/>
    <cellStyle name="Followed Hyperlink" xfId="1312" builtinId="9" hidden="1"/>
    <cellStyle name="Followed Hyperlink" xfId="1314" builtinId="9" hidden="1"/>
    <cellStyle name="Followed Hyperlink" xfId="1316" builtinId="9" hidden="1"/>
    <cellStyle name="Followed Hyperlink" xfId="1318" builtinId="9" hidden="1"/>
    <cellStyle name="Followed Hyperlink" xfId="1320" builtinId="9" hidden="1"/>
    <cellStyle name="Followed Hyperlink" xfId="1322" builtinId="9" hidden="1"/>
    <cellStyle name="Followed Hyperlink" xfId="1324" builtinId="9" hidden="1"/>
    <cellStyle name="Followed Hyperlink" xfId="1326" builtinId="9" hidden="1"/>
    <cellStyle name="Followed Hyperlink" xfId="1328" builtinId="9" hidden="1"/>
    <cellStyle name="Followed Hyperlink" xfId="1330" builtinId="9" hidden="1"/>
    <cellStyle name="Followed Hyperlink" xfId="1332" builtinId="9" hidden="1"/>
    <cellStyle name="Followed Hyperlink" xfId="1334" builtinId="9" hidden="1"/>
    <cellStyle name="Followed Hyperlink" xfId="1336" builtinId="9" hidden="1"/>
    <cellStyle name="Followed Hyperlink" xfId="1338" builtinId="9" hidden="1"/>
    <cellStyle name="Followed Hyperlink" xfId="1340" builtinId="9" hidden="1"/>
    <cellStyle name="Followed Hyperlink" xfId="1342" builtinId="9" hidden="1"/>
    <cellStyle name="Followed Hyperlink" xfId="1344" builtinId="9" hidden="1"/>
    <cellStyle name="Followed Hyperlink" xfId="1346" builtinId="9" hidden="1"/>
    <cellStyle name="Followed Hyperlink" xfId="1348" builtinId="9" hidden="1"/>
    <cellStyle name="Followed Hyperlink" xfId="1350" builtinId="9" hidden="1"/>
    <cellStyle name="Followed Hyperlink" xfId="1352" builtinId="9" hidden="1"/>
    <cellStyle name="Followed Hyperlink" xfId="1354" builtinId="9" hidden="1"/>
    <cellStyle name="Followed Hyperlink" xfId="1356" builtinId="9" hidden="1"/>
    <cellStyle name="Followed Hyperlink" xfId="1358" builtinId="9" hidden="1"/>
    <cellStyle name="Followed Hyperlink" xfId="1360" builtinId="9" hidden="1"/>
    <cellStyle name="Followed Hyperlink" xfId="1362" builtinId="9" hidden="1"/>
    <cellStyle name="Followed Hyperlink" xfId="1364" builtinId="9" hidden="1"/>
    <cellStyle name="Followed Hyperlink" xfId="1366" builtinId="9" hidden="1"/>
    <cellStyle name="Followed Hyperlink" xfId="1368" builtinId="9" hidden="1"/>
    <cellStyle name="Followed Hyperlink" xfId="1370" builtinId="9" hidden="1"/>
    <cellStyle name="Followed Hyperlink" xfId="1372" builtinId="9" hidden="1"/>
    <cellStyle name="Followed Hyperlink" xfId="1374" builtinId="9" hidden="1"/>
    <cellStyle name="Followed Hyperlink" xfId="1376" builtinId="9" hidden="1"/>
    <cellStyle name="Followed Hyperlink" xfId="1378" builtinId="9" hidden="1"/>
    <cellStyle name="Followed Hyperlink" xfId="1380" builtinId="9" hidden="1"/>
    <cellStyle name="Followed Hyperlink" xfId="1382" builtinId="9" hidden="1"/>
    <cellStyle name="Followed Hyperlink" xfId="1384" builtinId="9" hidden="1"/>
    <cellStyle name="Followed Hyperlink" xfId="1386" builtinId="9" hidden="1"/>
    <cellStyle name="Followed Hyperlink" xfId="1388" builtinId="9" hidden="1"/>
    <cellStyle name="Followed Hyperlink" xfId="1390" builtinId="9" hidden="1"/>
    <cellStyle name="Followed Hyperlink" xfId="1392" builtinId="9" hidden="1"/>
    <cellStyle name="Followed Hyperlink" xfId="1394" builtinId="9" hidden="1"/>
    <cellStyle name="Followed Hyperlink" xfId="1396" builtinId="9" hidden="1"/>
    <cellStyle name="Followed Hyperlink" xfId="1398" builtinId="9" hidden="1"/>
    <cellStyle name="Followed Hyperlink" xfId="1400" builtinId="9" hidden="1"/>
    <cellStyle name="Followed Hyperlink" xfId="1402" builtinId="9" hidden="1"/>
    <cellStyle name="Followed Hyperlink" xfId="1404" builtinId="9" hidden="1"/>
    <cellStyle name="Followed Hyperlink" xfId="1406" builtinId="9" hidden="1"/>
    <cellStyle name="Followed Hyperlink" xfId="1408" builtinId="9" hidden="1"/>
    <cellStyle name="Followed Hyperlink" xfId="1410" builtinId="9" hidden="1"/>
    <cellStyle name="Followed Hyperlink" xfId="1412" builtinId="9" hidden="1"/>
    <cellStyle name="Followed Hyperlink" xfId="1414" builtinId="9" hidden="1"/>
    <cellStyle name="Followed Hyperlink" xfId="1416" builtinId="9" hidden="1"/>
    <cellStyle name="Followed Hyperlink" xfId="1418" builtinId="9" hidden="1"/>
    <cellStyle name="Followed Hyperlink" xfId="1420" builtinId="9" hidden="1"/>
    <cellStyle name="Followed Hyperlink" xfId="1422" builtinId="9" hidden="1"/>
    <cellStyle name="Followed Hyperlink" xfId="1424" builtinId="9" hidden="1"/>
    <cellStyle name="Followed Hyperlink" xfId="1426" builtinId="9" hidden="1"/>
    <cellStyle name="Followed Hyperlink" xfId="1428" builtinId="9" hidden="1"/>
    <cellStyle name="Followed Hyperlink" xfId="1430" builtinId="9" hidden="1"/>
    <cellStyle name="Followed Hyperlink" xfId="1432" builtinId="9" hidden="1"/>
    <cellStyle name="Followed Hyperlink" xfId="1434" builtinId="9" hidden="1"/>
    <cellStyle name="Followed Hyperlink" xfId="1436" builtinId="9" hidden="1"/>
    <cellStyle name="Followed Hyperlink" xfId="1438" builtinId="9" hidden="1"/>
    <cellStyle name="Followed Hyperlink" xfId="1440" builtinId="9" hidden="1"/>
    <cellStyle name="Followed Hyperlink" xfId="1442" builtinId="9" hidden="1"/>
    <cellStyle name="Followed Hyperlink" xfId="1444" builtinId="9" hidden="1"/>
    <cellStyle name="Followed Hyperlink" xfId="1446" builtinId="9" hidden="1"/>
    <cellStyle name="Followed Hyperlink" xfId="1448" builtinId="9" hidden="1"/>
    <cellStyle name="Followed Hyperlink" xfId="1450" builtinId="9" hidden="1"/>
    <cellStyle name="Followed Hyperlink" xfId="1452" builtinId="9" hidden="1"/>
    <cellStyle name="Followed Hyperlink" xfId="1454" builtinId="9" hidden="1"/>
    <cellStyle name="Followed Hyperlink" xfId="1456" builtinId="9" hidden="1"/>
    <cellStyle name="Followed Hyperlink" xfId="1458" builtinId="9" hidden="1"/>
    <cellStyle name="Followed Hyperlink" xfId="1460" builtinId="9" hidden="1"/>
    <cellStyle name="Followed Hyperlink" xfId="1462" builtinId="9" hidden="1"/>
    <cellStyle name="Followed Hyperlink" xfId="1464" builtinId="9" hidden="1"/>
    <cellStyle name="Followed Hyperlink" xfId="1466" builtinId="9" hidden="1"/>
    <cellStyle name="Followed Hyperlink" xfId="1468" builtinId="9" hidden="1"/>
    <cellStyle name="Followed Hyperlink" xfId="1470" builtinId="9" hidden="1"/>
    <cellStyle name="Followed Hyperlink" xfId="1472" builtinId="9" hidden="1"/>
    <cellStyle name="Followed Hyperlink" xfId="1474" builtinId="9" hidden="1"/>
    <cellStyle name="Followed Hyperlink" xfId="1476" builtinId="9" hidden="1"/>
    <cellStyle name="Followed Hyperlink" xfId="1478" builtinId="9" hidden="1"/>
    <cellStyle name="Followed Hyperlink" xfId="1480" builtinId="9" hidden="1"/>
    <cellStyle name="Followed Hyperlink" xfId="1482" builtinId="9" hidden="1"/>
    <cellStyle name="Followed Hyperlink" xfId="1484" builtinId="9" hidden="1"/>
    <cellStyle name="Followed Hyperlink" xfId="1486" builtinId="9" hidden="1"/>
    <cellStyle name="Followed Hyperlink" xfId="1488" builtinId="9" hidden="1"/>
    <cellStyle name="Followed Hyperlink" xfId="1490" builtinId="9" hidden="1"/>
    <cellStyle name="Followed Hyperlink" xfId="1492" builtinId="9" hidden="1"/>
    <cellStyle name="Followed Hyperlink" xfId="1494" builtinId="9" hidden="1"/>
    <cellStyle name="Followed Hyperlink" xfId="1496" builtinId="9" hidden="1"/>
    <cellStyle name="Followed Hyperlink" xfId="1498" builtinId="9" hidden="1"/>
    <cellStyle name="Followed Hyperlink" xfId="1500" builtinId="9" hidden="1"/>
    <cellStyle name="Followed Hyperlink" xfId="1502" builtinId="9" hidden="1"/>
    <cellStyle name="Followed Hyperlink" xfId="1504" builtinId="9" hidden="1"/>
    <cellStyle name="Followed Hyperlink" xfId="1506" builtinId="9" hidden="1"/>
    <cellStyle name="Followed Hyperlink" xfId="1508" builtinId="9" hidden="1"/>
    <cellStyle name="Followed Hyperlink" xfId="1510" builtinId="9" hidden="1"/>
    <cellStyle name="Followed Hyperlink" xfId="1512" builtinId="9" hidden="1"/>
    <cellStyle name="Followed Hyperlink" xfId="1514" builtinId="9" hidden="1"/>
    <cellStyle name="Followed Hyperlink" xfId="1516" builtinId="9" hidden="1"/>
    <cellStyle name="Followed Hyperlink" xfId="1518" builtinId="9" hidden="1"/>
    <cellStyle name="Followed Hyperlink" xfId="1520" builtinId="9" hidden="1"/>
    <cellStyle name="Followed Hyperlink" xfId="1522" builtinId="9" hidden="1"/>
    <cellStyle name="Followed Hyperlink" xfId="1524" builtinId="9" hidden="1"/>
    <cellStyle name="Followed Hyperlink" xfId="1526" builtinId="9" hidden="1"/>
    <cellStyle name="Followed Hyperlink" xfId="1528" builtinId="9" hidden="1"/>
    <cellStyle name="Followed Hyperlink" xfId="1530" builtinId="9" hidden="1"/>
    <cellStyle name="Followed Hyperlink" xfId="1532" builtinId="9" hidden="1"/>
    <cellStyle name="Followed Hyperlink" xfId="1534" builtinId="9" hidden="1"/>
    <cellStyle name="Followed Hyperlink" xfId="1536" builtinId="9" hidden="1"/>
    <cellStyle name="Followed Hyperlink" xfId="1538" builtinId="9" hidden="1"/>
    <cellStyle name="Followed Hyperlink" xfId="1540" builtinId="9" hidden="1"/>
    <cellStyle name="Followed Hyperlink" xfId="1542" builtinId="9" hidden="1"/>
    <cellStyle name="Followed Hyperlink" xfId="1544" builtinId="9" hidden="1"/>
    <cellStyle name="Followed Hyperlink" xfId="1546" builtinId="9" hidden="1"/>
    <cellStyle name="Followed Hyperlink" xfId="1548" builtinId="9" hidden="1"/>
    <cellStyle name="Followed Hyperlink" xfId="1550" builtinId="9" hidden="1"/>
    <cellStyle name="Followed Hyperlink" xfId="1552" builtinId="9" hidden="1"/>
    <cellStyle name="Followed Hyperlink" xfId="1554" builtinId="9" hidden="1"/>
    <cellStyle name="Followed Hyperlink" xfId="1556" builtinId="9" hidden="1"/>
    <cellStyle name="Followed Hyperlink" xfId="1558" builtinId="9" hidden="1"/>
    <cellStyle name="Followed Hyperlink" xfId="1560" builtinId="9" hidden="1"/>
    <cellStyle name="Followed Hyperlink" xfId="1562" builtinId="9" hidden="1"/>
    <cellStyle name="Followed Hyperlink" xfId="1564" builtinId="9" hidden="1"/>
    <cellStyle name="Followed Hyperlink" xfId="1566" builtinId="9" hidden="1"/>
    <cellStyle name="Followed Hyperlink" xfId="1568" builtinId="9" hidden="1"/>
    <cellStyle name="Followed Hyperlink" xfId="1570" builtinId="9" hidden="1"/>
    <cellStyle name="Followed Hyperlink" xfId="1572" builtinId="9" hidden="1"/>
    <cellStyle name="Followed Hyperlink" xfId="1574" builtinId="9" hidden="1"/>
    <cellStyle name="Followed Hyperlink" xfId="1576" builtinId="9" hidden="1"/>
    <cellStyle name="Followed Hyperlink" xfId="1578" builtinId="9" hidden="1"/>
    <cellStyle name="Followed Hyperlink" xfId="1580" builtinId="9" hidden="1"/>
    <cellStyle name="Followed Hyperlink" xfId="1582" builtinId="9" hidden="1"/>
    <cellStyle name="Followed Hyperlink" xfId="1584" builtinId="9" hidden="1"/>
    <cellStyle name="Followed Hyperlink" xfId="1586" builtinId="9" hidden="1"/>
    <cellStyle name="Followed Hyperlink" xfId="1588" builtinId="9" hidden="1"/>
    <cellStyle name="Followed Hyperlink" xfId="1590" builtinId="9" hidden="1"/>
    <cellStyle name="Followed Hyperlink" xfId="1592" builtinId="9" hidden="1"/>
    <cellStyle name="Followed Hyperlink" xfId="1594" builtinId="9" hidden="1"/>
    <cellStyle name="Followed Hyperlink" xfId="1596" builtinId="9" hidden="1"/>
    <cellStyle name="Followed Hyperlink" xfId="1598" builtinId="9" hidden="1"/>
    <cellStyle name="Followed Hyperlink" xfId="1600" builtinId="9" hidden="1"/>
    <cellStyle name="Followed Hyperlink" xfId="1602" builtinId="9" hidden="1"/>
    <cellStyle name="Followed Hyperlink" xfId="1604" builtinId="9" hidden="1"/>
    <cellStyle name="Followed Hyperlink" xfId="1606" builtinId="9" hidden="1"/>
    <cellStyle name="Followed Hyperlink" xfId="1608" builtinId="9" hidden="1"/>
    <cellStyle name="Followed Hyperlink" xfId="1610" builtinId="9" hidden="1"/>
    <cellStyle name="Followed Hyperlink" xfId="1612" builtinId="9" hidden="1"/>
    <cellStyle name="Followed Hyperlink" xfId="1614" builtinId="9" hidden="1"/>
    <cellStyle name="Followed Hyperlink" xfId="1616" builtinId="9" hidden="1"/>
    <cellStyle name="Followed Hyperlink" xfId="1618" builtinId="9" hidden="1"/>
    <cellStyle name="Followed Hyperlink" xfId="1620" builtinId="9" hidden="1"/>
    <cellStyle name="Followed Hyperlink" xfId="1622" builtinId="9" hidden="1"/>
    <cellStyle name="Followed Hyperlink" xfId="1624" builtinId="9" hidden="1"/>
    <cellStyle name="Followed Hyperlink" xfId="1626" builtinId="9" hidden="1"/>
    <cellStyle name="Followed Hyperlink" xfId="1628" builtinId="9" hidden="1"/>
    <cellStyle name="Followed Hyperlink" xfId="1630" builtinId="9" hidden="1"/>
    <cellStyle name="Followed Hyperlink" xfId="1632" builtinId="9" hidden="1"/>
    <cellStyle name="Followed Hyperlink" xfId="1634" builtinId="9" hidden="1"/>
    <cellStyle name="Followed Hyperlink" xfId="1636" builtinId="9" hidden="1"/>
    <cellStyle name="Followed Hyperlink" xfId="1638" builtinId="9" hidden="1"/>
    <cellStyle name="Followed Hyperlink" xfId="1640" builtinId="9" hidden="1"/>
    <cellStyle name="Followed Hyperlink" xfId="1642" builtinId="9" hidden="1"/>
    <cellStyle name="Followed Hyperlink" xfId="1644" builtinId="9" hidden="1"/>
    <cellStyle name="Followed Hyperlink" xfId="1646" builtinId="9" hidden="1"/>
    <cellStyle name="Followed Hyperlink" xfId="1648" builtinId="9" hidden="1"/>
    <cellStyle name="Followed Hyperlink" xfId="1650" builtinId="9" hidden="1"/>
    <cellStyle name="Followed Hyperlink" xfId="1652" builtinId="9" hidden="1"/>
    <cellStyle name="Followed Hyperlink" xfId="1654" builtinId="9" hidden="1"/>
    <cellStyle name="Followed Hyperlink" xfId="1656" builtinId="9" hidden="1"/>
    <cellStyle name="Followed Hyperlink" xfId="1658" builtinId="9" hidden="1"/>
    <cellStyle name="Followed Hyperlink" xfId="1660" builtinId="9" hidden="1"/>
    <cellStyle name="Followed Hyperlink" xfId="1662" builtinId="9" hidden="1"/>
    <cellStyle name="Followed Hyperlink" xfId="1664" builtinId="9" hidden="1"/>
    <cellStyle name="Followed Hyperlink" xfId="1666" builtinId="9" hidden="1"/>
    <cellStyle name="Followed Hyperlink" xfId="1668" builtinId="9" hidden="1"/>
    <cellStyle name="Followed Hyperlink" xfId="1670" builtinId="9" hidden="1"/>
    <cellStyle name="Followed Hyperlink" xfId="1672" builtinId="9" hidden="1"/>
    <cellStyle name="Followed Hyperlink" xfId="1674" builtinId="9" hidden="1"/>
    <cellStyle name="Followed Hyperlink" xfId="1676" builtinId="9" hidden="1"/>
    <cellStyle name="Followed Hyperlink" xfId="1678" builtinId="9" hidden="1"/>
    <cellStyle name="Followed Hyperlink" xfId="1680" builtinId="9" hidden="1"/>
    <cellStyle name="Followed Hyperlink" xfId="1682" builtinId="9" hidden="1"/>
    <cellStyle name="Followed Hyperlink" xfId="1684" builtinId="9" hidden="1"/>
    <cellStyle name="Followed Hyperlink" xfId="1686" builtinId="9" hidden="1"/>
    <cellStyle name="Followed Hyperlink" xfId="1688" builtinId="9" hidden="1"/>
    <cellStyle name="Followed Hyperlink" xfId="1690" builtinId="9" hidden="1"/>
    <cellStyle name="Followed Hyperlink" xfId="1692" builtinId="9" hidden="1"/>
    <cellStyle name="Followed Hyperlink" xfId="1694" builtinId="9" hidden="1"/>
    <cellStyle name="Followed Hyperlink" xfId="1696" builtinId="9" hidden="1"/>
    <cellStyle name="Followed Hyperlink" xfId="1698" builtinId="9" hidden="1"/>
    <cellStyle name="Followed Hyperlink" xfId="1700" builtinId="9" hidden="1"/>
    <cellStyle name="Followed Hyperlink" xfId="1702" builtinId="9" hidden="1"/>
    <cellStyle name="Followed Hyperlink" xfId="1704" builtinId="9" hidden="1"/>
    <cellStyle name="Followed Hyperlink" xfId="1706" builtinId="9" hidden="1"/>
    <cellStyle name="Followed Hyperlink" xfId="1708" builtinId="9" hidden="1"/>
    <cellStyle name="Followed Hyperlink" xfId="1710" builtinId="9" hidden="1"/>
    <cellStyle name="Followed Hyperlink" xfId="1712" builtinId="9" hidden="1"/>
    <cellStyle name="Followed Hyperlink" xfId="1714" builtinId="9" hidden="1"/>
    <cellStyle name="Followed Hyperlink" xfId="1716" builtinId="9" hidden="1"/>
    <cellStyle name="Followed Hyperlink" xfId="1718" builtinId="9" hidden="1"/>
    <cellStyle name="Followed Hyperlink" xfId="1720" builtinId="9" hidden="1"/>
    <cellStyle name="Followed Hyperlink" xfId="1722" builtinId="9" hidden="1"/>
    <cellStyle name="Followed Hyperlink" xfId="1724" builtinId="9" hidden="1"/>
    <cellStyle name="Followed Hyperlink" xfId="1726" builtinId="9" hidden="1"/>
    <cellStyle name="Followed Hyperlink" xfId="1728" builtinId="9" hidden="1"/>
    <cellStyle name="Followed Hyperlink" xfId="1730" builtinId="9" hidden="1"/>
    <cellStyle name="Followed Hyperlink" xfId="1732" builtinId="9" hidden="1"/>
    <cellStyle name="Followed Hyperlink" xfId="1734" builtinId="9" hidden="1"/>
    <cellStyle name="Followed Hyperlink" xfId="1736" builtinId="9" hidden="1"/>
    <cellStyle name="Followed Hyperlink" xfId="1738" builtinId="9" hidden="1"/>
    <cellStyle name="Followed Hyperlink" xfId="1740" builtinId="9" hidden="1"/>
    <cellStyle name="Followed Hyperlink" xfId="1742" builtinId="9" hidden="1"/>
    <cellStyle name="Followed Hyperlink" xfId="1744" builtinId="9" hidden="1"/>
    <cellStyle name="Followed Hyperlink" xfId="1746" builtinId="9" hidden="1"/>
    <cellStyle name="Followed Hyperlink" xfId="1748" builtinId="9" hidden="1"/>
    <cellStyle name="Followed Hyperlink" xfId="1750" builtinId="9" hidden="1"/>
    <cellStyle name="Followed Hyperlink" xfId="1752" builtinId="9" hidden="1"/>
    <cellStyle name="Followed Hyperlink" xfId="1754" builtinId="9" hidden="1"/>
    <cellStyle name="Followed Hyperlink" xfId="1756" builtinId="9" hidden="1"/>
    <cellStyle name="Followed Hyperlink" xfId="1758" builtinId="9" hidden="1"/>
    <cellStyle name="Followed Hyperlink" xfId="1760" builtinId="9" hidden="1"/>
    <cellStyle name="Followed Hyperlink" xfId="1762" builtinId="9" hidden="1"/>
    <cellStyle name="Followed Hyperlink" xfId="1764" builtinId="9" hidden="1"/>
    <cellStyle name="Followed Hyperlink" xfId="1766" builtinId="9" hidden="1"/>
    <cellStyle name="Followed Hyperlink" xfId="1768" builtinId="9" hidden="1"/>
    <cellStyle name="Followed Hyperlink" xfId="1770" builtinId="9" hidden="1"/>
    <cellStyle name="Followed Hyperlink" xfId="1772" builtinId="9" hidden="1"/>
    <cellStyle name="Followed Hyperlink" xfId="1774" builtinId="9" hidden="1"/>
    <cellStyle name="Followed Hyperlink" xfId="1776" builtinId="9" hidden="1"/>
    <cellStyle name="Followed Hyperlink" xfId="1778" builtinId="9" hidden="1"/>
    <cellStyle name="Followed Hyperlink" xfId="1780" builtinId="9" hidden="1"/>
    <cellStyle name="Followed Hyperlink" xfId="1782" builtinId="9" hidden="1"/>
    <cellStyle name="Followed Hyperlink" xfId="1784" builtinId="9" hidden="1"/>
    <cellStyle name="Followed Hyperlink" xfId="1786" builtinId="9" hidden="1"/>
    <cellStyle name="Followed Hyperlink" xfId="1788" builtinId="9" hidden="1"/>
    <cellStyle name="Followed Hyperlink" xfId="1790" builtinId="9" hidden="1"/>
    <cellStyle name="Followed Hyperlink" xfId="1792" builtinId="9" hidden="1"/>
    <cellStyle name="Followed Hyperlink" xfId="1794" builtinId="9" hidden="1"/>
    <cellStyle name="Followed Hyperlink" xfId="1796" builtinId="9" hidden="1"/>
    <cellStyle name="Followed Hyperlink" xfId="1798" builtinId="9" hidden="1"/>
    <cellStyle name="Followed Hyperlink" xfId="1800" builtinId="9" hidden="1"/>
    <cellStyle name="Followed Hyperlink" xfId="1802" builtinId="9" hidden="1"/>
    <cellStyle name="Followed Hyperlink" xfId="1804" builtinId="9" hidden="1"/>
    <cellStyle name="Followed Hyperlink" xfId="1806" builtinId="9" hidden="1"/>
    <cellStyle name="Followed Hyperlink" xfId="1808" builtinId="9" hidden="1"/>
    <cellStyle name="Followed Hyperlink" xfId="1810" builtinId="9" hidden="1"/>
    <cellStyle name="Followed Hyperlink" xfId="1812" builtinId="9" hidden="1"/>
    <cellStyle name="Followed Hyperlink" xfId="1814" builtinId="9" hidden="1"/>
    <cellStyle name="Followed Hyperlink" xfId="1816" builtinId="9" hidden="1"/>
    <cellStyle name="Followed Hyperlink" xfId="1818" builtinId="9" hidden="1"/>
    <cellStyle name="Followed Hyperlink" xfId="1820" builtinId="9" hidden="1"/>
    <cellStyle name="Followed Hyperlink" xfId="1822" builtinId="9" hidden="1"/>
    <cellStyle name="Followed Hyperlink" xfId="1824" builtinId="9" hidden="1"/>
    <cellStyle name="Followed Hyperlink" xfId="1826" builtinId="9" hidden="1"/>
    <cellStyle name="Followed Hyperlink" xfId="1828" builtinId="9" hidden="1"/>
    <cellStyle name="Followed Hyperlink" xfId="1830" builtinId="9" hidden="1"/>
    <cellStyle name="Followed Hyperlink" xfId="1832" builtinId="9" hidden="1"/>
    <cellStyle name="Followed Hyperlink" xfId="1834" builtinId="9" hidden="1"/>
    <cellStyle name="Followed Hyperlink" xfId="1836" builtinId="9" hidden="1"/>
    <cellStyle name="Followed Hyperlink" xfId="1838" builtinId="9" hidden="1"/>
    <cellStyle name="Followed Hyperlink" xfId="1840" builtinId="9" hidden="1"/>
    <cellStyle name="Followed Hyperlink" xfId="1842" builtinId="9" hidden="1"/>
    <cellStyle name="Followed Hyperlink" xfId="1844" builtinId="9" hidden="1"/>
    <cellStyle name="Followed Hyperlink" xfId="1846" builtinId="9" hidden="1"/>
    <cellStyle name="Followed Hyperlink" xfId="1848" builtinId="9" hidden="1"/>
    <cellStyle name="Followed Hyperlink" xfId="1850" builtinId="9" hidden="1"/>
    <cellStyle name="Followed Hyperlink" xfId="1852" builtinId="9" hidden="1"/>
    <cellStyle name="Followed Hyperlink" xfId="1854" builtinId="9" hidden="1"/>
    <cellStyle name="Followed Hyperlink" xfId="1856" builtinId="9" hidden="1"/>
    <cellStyle name="Followed Hyperlink" xfId="1858" builtinId="9" hidden="1"/>
    <cellStyle name="Followed Hyperlink" xfId="1860" builtinId="9" hidden="1"/>
    <cellStyle name="Followed Hyperlink" xfId="1862" builtinId="9" hidden="1"/>
    <cellStyle name="Followed Hyperlink" xfId="1864" builtinId="9" hidden="1"/>
    <cellStyle name="Followed Hyperlink" xfId="1866" builtinId="9" hidden="1"/>
    <cellStyle name="Followed Hyperlink" xfId="1868" builtinId="9" hidden="1"/>
    <cellStyle name="Followed Hyperlink" xfId="1870" builtinId="9" hidden="1"/>
    <cellStyle name="Followed Hyperlink" xfId="1872" builtinId="9" hidden="1"/>
    <cellStyle name="Followed Hyperlink" xfId="1874" builtinId="9" hidden="1"/>
    <cellStyle name="Followed Hyperlink" xfId="1876" builtinId="9" hidden="1"/>
    <cellStyle name="Followed Hyperlink" xfId="1878" builtinId="9" hidden="1"/>
    <cellStyle name="Followed Hyperlink" xfId="1880" builtinId="9" hidden="1"/>
    <cellStyle name="Followed Hyperlink" xfId="1882" builtinId="9" hidden="1"/>
    <cellStyle name="Followed Hyperlink" xfId="1884" builtinId="9" hidden="1"/>
    <cellStyle name="Followed Hyperlink" xfId="1886" builtinId="9" hidden="1"/>
    <cellStyle name="Followed Hyperlink" xfId="1888" builtinId="9" hidden="1"/>
    <cellStyle name="Followed Hyperlink" xfId="1890" builtinId="9" hidden="1"/>
    <cellStyle name="Followed Hyperlink" xfId="1892" builtinId="9" hidden="1"/>
    <cellStyle name="Followed Hyperlink" xfId="1894" builtinId="9" hidden="1"/>
    <cellStyle name="Followed Hyperlink" xfId="1896" builtinId="9" hidden="1"/>
    <cellStyle name="Followed Hyperlink" xfId="1898" builtinId="9" hidden="1"/>
    <cellStyle name="Followed Hyperlink" xfId="1900" builtinId="9" hidden="1"/>
    <cellStyle name="Followed Hyperlink" xfId="1902" builtinId="9" hidden="1"/>
    <cellStyle name="Followed Hyperlink" xfId="1904" builtinId="9" hidden="1"/>
    <cellStyle name="Followed Hyperlink" xfId="1906" builtinId="9" hidden="1"/>
    <cellStyle name="Followed Hyperlink" xfId="1908" builtinId="9" hidden="1"/>
    <cellStyle name="Followed Hyperlink" xfId="1910" builtinId="9" hidden="1"/>
    <cellStyle name="Followed Hyperlink" xfId="1912" builtinId="9" hidden="1"/>
    <cellStyle name="Followed Hyperlink" xfId="1914" builtinId="9" hidden="1"/>
    <cellStyle name="Followed Hyperlink" xfId="1916" builtinId="9" hidden="1"/>
    <cellStyle name="Followed Hyperlink" xfId="1918" builtinId="9" hidden="1"/>
    <cellStyle name="Followed Hyperlink" xfId="1920" builtinId="9" hidden="1"/>
    <cellStyle name="Followed Hyperlink" xfId="1922" builtinId="9" hidden="1"/>
    <cellStyle name="Followed Hyperlink" xfId="1924" builtinId="9" hidden="1"/>
    <cellStyle name="Followed Hyperlink" xfId="1926" builtinId="9" hidden="1"/>
    <cellStyle name="Followed Hyperlink" xfId="1928" builtinId="9" hidden="1"/>
    <cellStyle name="Followed Hyperlink" xfId="1930" builtinId="9" hidden="1"/>
    <cellStyle name="Followed Hyperlink" xfId="1932" builtinId="9" hidden="1"/>
    <cellStyle name="Followed Hyperlink" xfId="1934" builtinId="9" hidden="1"/>
    <cellStyle name="Followed Hyperlink" xfId="1936" builtinId="9" hidden="1"/>
    <cellStyle name="Followed Hyperlink" xfId="1938" builtinId="9" hidden="1"/>
    <cellStyle name="Followed Hyperlink" xfId="1940" builtinId="9" hidden="1"/>
    <cellStyle name="Followed Hyperlink" xfId="1942" builtinId="9" hidden="1"/>
    <cellStyle name="Followed Hyperlink" xfId="1944" builtinId="9" hidden="1"/>
    <cellStyle name="Followed Hyperlink" xfId="1946" builtinId="9" hidden="1"/>
    <cellStyle name="Followed Hyperlink" xfId="1948" builtinId="9" hidden="1"/>
    <cellStyle name="Followed Hyperlink" xfId="1950" builtinId="9" hidden="1"/>
    <cellStyle name="Followed Hyperlink" xfId="1952" builtinId="9" hidden="1"/>
    <cellStyle name="Followed Hyperlink" xfId="1954" builtinId="9" hidden="1"/>
    <cellStyle name="Followed Hyperlink" xfId="1956" builtinId="9" hidden="1"/>
    <cellStyle name="Followed Hyperlink" xfId="1958" builtinId="9" hidden="1"/>
    <cellStyle name="Followed Hyperlink" xfId="1960" builtinId="9" hidden="1"/>
    <cellStyle name="Followed Hyperlink" xfId="1962" builtinId="9" hidden="1"/>
    <cellStyle name="Followed Hyperlink" xfId="1964" builtinId="9" hidden="1"/>
    <cellStyle name="Followed Hyperlink" xfId="1966" builtinId="9" hidden="1"/>
    <cellStyle name="Followed Hyperlink" xfId="1968" builtinId="9" hidden="1"/>
    <cellStyle name="Followed Hyperlink" xfId="1970" builtinId="9" hidden="1"/>
    <cellStyle name="Followed Hyperlink" xfId="1972" builtinId="9" hidden="1"/>
    <cellStyle name="Followed Hyperlink" xfId="1974" builtinId="9" hidden="1"/>
    <cellStyle name="Followed Hyperlink" xfId="1976" builtinId="9" hidden="1"/>
    <cellStyle name="Followed Hyperlink" xfId="1978" builtinId="9" hidden="1"/>
    <cellStyle name="Followed Hyperlink" xfId="1980" builtinId="9" hidden="1"/>
    <cellStyle name="Followed Hyperlink" xfId="1982" builtinId="9" hidden="1"/>
    <cellStyle name="Followed Hyperlink" xfId="1984" builtinId="9" hidden="1"/>
    <cellStyle name="Followed Hyperlink" xfId="1986" builtinId="9" hidden="1"/>
    <cellStyle name="Followed Hyperlink" xfId="1988" builtinId="9" hidden="1"/>
    <cellStyle name="Followed Hyperlink" xfId="1990" builtinId="9" hidden="1"/>
    <cellStyle name="Followed Hyperlink" xfId="1992" builtinId="9" hidden="1"/>
    <cellStyle name="Followed Hyperlink" xfId="1994" builtinId="9" hidden="1"/>
    <cellStyle name="Followed Hyperlink" xfId="1996" builtinId="9" hidden="1"/>
    <cellStyle name="Followed Hyperlink" xfId="1998" builtinId="9" hidden="1"/>
    <cellStyle name="Followed Hyperlink" xfId="2000" builtinId="9" hidden="1"/>
    <cellStyle name="Followed Hyperlink" xfId="2002" builtinId="9" hidden="1"/>
    <cellStyle name="Followed Hyperlink" xfId="2004" builtinId="9" hidden="1"/>
    <cellStyle name="Followed Hyperlink" xfId="2006" builtinId="9" hidden="1"/>
    <cellStyle name="Followed Hyperlink" xfId="2008" builtinId="9" hidden="1"/>
    <cellStyle name="Followed Hyperlink" xfId="2010" builtinId="9" hidden="1"/>
    <cellStyle name="Followed Hyperlink" xfId="2012" builtinId="9" hidden="1"/>
    <cellStyle name="Followed Hyperlink" xfId="2014" builtinId="9" hidden="1"/>
    <cellStyle name="Followed Hyperlink" xfId="2016" builtinId="9" hidden="1"/>
    <cellStyle name="Followed Hyperlink" xfId="2018" builtinId="9" hidden="1"/>
    <cellStyle name="Followed Hyperlink" xfId="2020" builtinId="9" hidden="1"/>
    <cellStyle name="Followed Hyperlink" xfId="2022" builtinId="9" hidden="1"/>
    <cellStyle name="Followed Hyperlink" xfId="2024" builtinId="9" hidden="1"/>
    <cellStyle name="Followed Hyperlink" xfId="2026" builtinId="9" hidden="1"/>
    <cellStyle name="Followed Hyperlink" xfId="2028" builtinId="9" hidden="1"/>
    <cellStyle name="Followed Hyperlink" xfId="2030" builtinId="9" hidden="1"/>
    <cellStyle name="Followed Hyperlink" xfId="2032" builtinId="9" hidden="1"/>
    <cellStyle name="Followed Hyperlink" xfId="2034" builtinId="9" hidden="1"/>
    <cellStyle name="Followed Hyperlink" xfId="2036" builtinId="9" hidden="1"/>
    <cellStyle name="Followed Hyperlink" xfId="2038" builtinId="9" hidden="1"/>
    <cellStyle name="Followed Hyperlink" xfId="2040" builtinId="9" hidden="1"/>
    <cellStyle name="Followed Hyperlink" xfId="2042" builtinId="9" hidden="1"/>
    <cellStyle name="Followed Hyperlink" xfId="2044" builtinId="9" hidden="1"/>
    <cellStyle name="Followed Hyperlink" xfId="2046" builtinId="9" hidden="1"/>
    <cellStyle name="Followed Hyperlink" xfId="2048" builtinId="9" hidden="1"/>
    <cellStyle name="Followed Hyperlink" xfId="2050" builtinId="9" hidden="1"/>
    <cellStyle name="Followed Hyperlink" xfId="2052" builtinId="9" hidden="1"/>
    <cellStyle name="Followed Hyperlink" xfId="2054" builtinId="9" hidden="1"/>
    <cellStyle name="Followed Hyperlink" xfId="2056" builtinId="9" hidden="1"/>
    <cellStyle name="Followed Hyperlink" xfId="2058" builtinId="9" hidden="1"/>
    <cellStyle name="Followed Hyperlink" xfId="2060" builtinId="9" hidden="1"/>
    <cellStyle name="Followed Hyperlink" xfId="2062" builtinId="9" hidden="1"/>
    <cellStyle name="Followed Hyperlink" xfId="2064" builtinId="9" hidden="1"/>
    <cellStyle name="Followed Hyperlink" xfId="2066" builtinId="9" hidden="1"/>
    <cellStyle name="Followed Hyperlink" xfId="2068" builtinId="9" hidden="1"/>
    <cellStyle name="Followed Hyperlink" xfId="2070" builtinId="9" hidden="1"/>
    <cellStyle name="Followed Hyperlink" xfId="2072" builtinId="9" hidden="1"/>
    <cellStyle name="Followed Hyperlink" xfId="2074" builtinId="9" hidden="1"/>
    <cellStyle name="Followed Hyperlink" xfId="2076" builtinId="9" hidden="1"/>
    <cellStyle name="Followed Hyperlink" xfId="2078" builtinId="9" hidden="1"/>
    <cellStyle name="Followed Hyperlink" xfId="2080" builtinId="9" hidden="1"/>
    <cellStyle name="Followed Hyperlink" xfId="2082" builtinId="9" hidden="1"/>
    <cellStyle name="Followed Hyperlink" xfId="2084" builtinId="9" hidden="1"/>
    <cellStyle name="Followed Hyperlink" xfId="2086" builtinId="9" hidden="1"/>
    <cellStyle name="Followed Hyperlink" xfId="2088" builtinId="9" hidden="1"/>
    <cellStyle name="Followed Hyperlink" xfId="2090" builtinId="9" hidden="1"/>
    <cellStyle name="Followed Hyperlink" xfId="2092" builtinId="9" hidden="1"/>
    <cellStyle name="Followed Hyperlink" xfId="2094" builtinId="9" hidden="1"/>
    <cellStyle name="Followed Hyperlink" xfId="2096" builtinId="9" hidden="1"/>
    <cellStyle name="Followed Hyperlink" xfId="2098" builtinId="9" hidden="1"/>
    <cellStyle name="Followed Hyperlink" xfId="2100" builtinId="9" hidden="1"/>
    <cellStyle name="Followed Hyperlink" xfId="2102" builtinId="9" hidden="1"/>
    <cellStyle name="Followed Hyperlink" xfId="2104" builtinId="9" hidden="1"/>
    <cellStyle name="Followed Hyperlink" xfId="2106" builtinId="9" hidden="1"/>
    <cellStyle name="Followed Hyperlink" xfId="2108" builtinId="9" hidden="1"/>
    <cellStyle name="Followed Hyperlink" xfId="2110" builtinId="9" hidden="1"/>
    <cellStyle name="Followed Hyperlink" xfId="2112" builtinId="9" hidden="1"/>
    <cellStyle name="Followed Hyperlink" xfId="2114" builtinId="9" hidden="1"/>
    <cellStyle name="Followed Hyperlink" xfId="2116" builtinId="9" hidden="1"/>
    <cellStyle name="Followed Hyperlink" xfId="2118" builtinId="9" hidden="1"/>
    <cellStyle name="Followed Hyperlink" xfId="2120" builtinId="9" hidden="1"/>
    <cellStyle name="Followed Hyperlink" xfId="2122" builtinId="9" hidden="1"/>
    <cellStyle name="Followed Hyperlink" xfId="2124" builtinId="9" hidden="1"/>
    <cellStyle name="Followed Hyperlink" xfId="2126" builtinId="9" hidden="1"/>
    <cellStyle name="Followed Hyperlink" xfId="2128" builtinId="9" hidden="1"/>
    <cellStyle name="Followed Hyperlink" xfId="2130" builtinId="9" hidden="1"/>
    <cellStyle name="Followed Hyperlink" xfId="2132" builtinId="9" hidden="1"/>
    <cellStyle name="Followed Hyperlink" xfId="2134" builtinId="9" hidden="1"/>
    <cellStyle name="Followed Hyperlink" xfId="2136" builtinId="9" hidden="1"/>
    <cellStyle name="Followed Hyperlink" xfId="2138" builtinId="9" hidden="1"/>
    <cellStyle name="Followed Hyperlink" xfId="2140" builtinId="9" hidden="1"/>
    <cellStyle name="Followed Hyperlink" xfId="2142" builtinId="9" hidden="1"/>
    <cellStyle name="Followed Hyperlink" xfId="2144" builtinId="9" hidden="1"/>
    <cellStyle name="Followed Hyperlink" xfId="2146" builtinId="9" hidden="1"/>
    <cellStyle name="Followed Hyperlink" xfId="2148" builtinId="9" hidden="1"/>
    <cellStyle name="Followed Hyperlink" xfId="2150" builtinId="9" hidden="1"/>
    <cellStyle name="Followed Hyperlink" xfId="2152" builtinId="9" hidden="1"/>
    <cellStyle name="Followed Hyperlink" xfId="2154" builtinId="9" hidden="1"/>
    <cellStyle name="Followed Hyperlink" xfId="2156" builtinId="9" hidden="1"/>
    <cellStyle name="Followed Hyperlink" xfId="2158" builtinId="9" hidden="1"/>
    <cellStyle name="Followed Hyperlink" xfId="2160" builtinId="9" hidden="1"/>
    <cellStyle name="Followed Hyperlink" xfId="2162" builtinId="9" hidden="1"/>
    <cellStyle name="Followed Hyperlink" xfId="2164" builtinId="9" hidden="1"/>
    <cellStyle name="Followed Hyperlink" xfId="2166" builtinId="9" hidden="1"/>
    <cellStyle name="Followed Hyperlink" xfId="2168" builtinId="9" hidden="1"/>
    <cellStyle name="Followed Hyperlink" xfId="2170" builtinId="9" hidden="1"/>
    <cellStyle name="Followed Hyperlink" xfId="2172" builtinId="9" hidden="1"/>
    <cellStyle name="Followed Hyperlink" xfId="2174" builtinId="9" hidden="1"/>
    <cellStyle name="Followed Hyperlink" xfId="2176" builtinId="9" hidden="1"/>
    <cellStyle name="Followed Hyperlink" xfId="2178" builtinId="9" hidden="1"/>
    <cellStyle name="Followed Hyperlink" xfId="2180" builtinId="9" hidden="1"/>
    <cellStyle name="Followed Hyperlink" xfId="2182" builtinId="9" hidden="1"/>
    <cellStyle name="Followed Hyperlink" xfId="2184" builtinId="9" hidden="1"/>
    <cellStyle name="Followed Hyperlink" xfId="2186" builtinId="9" hidden="1"/>
    <cellStyle name="Followed Hyperlink" xfId="2188" builtinId="9" hidden="1"/>
    <cellStyle name="Followed Hyperlink" xfId="2190" builtinId="9" hidden="1"/>
    <cellStyle name="Followed Hyperlink" xfId="2192" builtinId="9" hidden="1"/>
    <cellStyle name="Followed Hyperlink" xfId="2194" builtinId="9" hidden="1"/>
    <cellStyle name="Followed Hyperlink" xfId="2196" builtinId="9" hidden="1"/>
    <cellStyle name="Followed Hyperlink" xfId="2198" builtinId="9" hidden="1"/>
    <cellStyle name="Followed Hyperlink" xfId="2200" builtinId="9" hidden="1"/>
    <cellStyle name="Followed Hyperlink" xfId="2202" builtinId="9" hidden="1"/>
    <cellStyle name="Followed Hyperlink" xfId="2204" builtinId="9" hidden="1"/>
    <cellStyle name="Followed Hyperlink" xfId="2206" builtinId="9" hidden="1"/>
    <cellStyle name="Followed Hyperlink" xfId="2208" builtinId="9" hidden="1"/>
    <cellStyle name="Followed Hyperlink" xfId="2210" builtinId="9" hidden="1"/>
    <cellStyle name="Followed Hyperlink" xfId="2212" builtinId="9" hidden="1"/>
    <cellStyle name="Followed Hyperlink" xfId="2214" builtinId="9" hidden="1"/>
    <cellStyle name="Followed Hyperlink" xfId="2216" builtinId="9" hidden="1"/>
    <cellStyle name="Followed Hyperlink" xfId="2218" builtinId="9" hidden="1"/>
    <cellStyle name="Followed Hyperlink" xfId="2220" builtinId="9" hidden="1"/>
    <cellStyle name="Followed Hyperlink" xfId="2222" builtinId="9" hidden="1"/>
    <cellStyle name="Followed Hyperlink" xfId="2224" builtinId="9" hidden="1"/>
    <cellStyle name="Followed Hyperlink" xfId="2226" builtinId="9" hidden="1"/>
    <cellStyle name="Followed Hyperlink" xfId="2228" builtinId="9" hidden="1"/>
    <cellStyle name="Followed Hyperlink" xfId="2230" builtinId="9" hidden="1"/>
    <cellStyle name="Followed Hyperlink" xfId="2232" builtinId="9" hidden="1"/>
    <cellStyle name="Followed Hyperlink" xfId="2234" builtinId="9" hidden="1"/>
    <cellStyle name="Followed Hyperlink" xfId="2236" builtinId="9" hidden="1"/>
    <cellStyle name="Followed Hyperlink" xfId="2238" builtinId="9" hidden="1"/>
    <cellStyle name="Followed Hyperlink" xfId="2240" builtinId="9" hidden="1"/>
    <cellStyle name="Followed Hyperlink" xfId="2242" builtinId="9" hidden="1"/>
    <cellStyle name="Followed Hyperlink" xfId="2244" builtinId="9" hidden="1"/>
    <cellStyle name="Followed Hyperlink" xfId="2246" builtinId="9" hidden="1"/>
    <cellStyle name="Followed Hyperlink" xfId="2248" builtinId="9" hidden="1"/>
    <cellStyle name="Followed Hyperlink" xfId="2250" builtinId="9" hidden="1"/>
    <cellStyle name="Followed Hyperlink" xfId="2252" builtinId="9" hidden="1"/>
    <cellStyle name="Followed Hyperlink" xfId="2254" builtinId="9" hidden="1"/>
    <cellStyle name="Followed Hyperlink" xfId="2256" builtinId="9" hidden="1"/>
    <cellStyle name="Followed Hyperlink" xfId="2258" builtinId="9" hidden="1"/>
    <cellStyle name="Followed Hyperlink" xfId="2260" builtinId="9" hidden="1"/>
    <cellStyle name="Followed Hyperlink" xfId="2262" builtinId="9" hidden="1"/>
    <cellStyle name="Followed Hyperlink" xfId="2264" builtinId="9" hidden="1"/>
    <cellStyle name="Followed Hyperlink" xfId="2266" builtinId="9" hidden="1"/>
    <cellStyle name="Followed Hyperlink" xfId="2268" builtinId="9" hidden="1"/>
    <cellStyle name="Followed Hyperlink" xfId="2270" builtinId="9" hidden="1"/>
    <cellStyle name="Followed Hyperlink" xfId="2272" builtinId="9" hidden="1"/>
    <cellStyle name="Followed Hyperlink" xfId="2274" builtinId="9" hidden="1"/>
    <cellStyle name="Followed Hyperlink" xfId="2276" builtinId="9" hidden="1"/>
    <cellStyle name="Followed Hyperlink" xfId="2278" builtinId="9" hidden="1"/>
    <cellStyle name="Followed Hyperlink" xfId="2280" builtinId="9" hidden="1"/>
    <cellStyle name="Followed Hyperlink" xfId="2282" builtinId="9" hidden="1"/>
    <cellStyle name="Followed Hyperlink" xfId="2284" builtinId="9" hidden="1"/>
    <cellStyle name="Followed Hyperlink" xfId="2286" builtinId="9" hidden="1"/>
    <cellStyle name="Followed Hyperlink" xfId="2288" builtinId="9" hidden="1"/>
    <cellStyle name="Followed Hyperlink" xfId="2290" builtinId="9" hidden="1"/>
    <cellStyle name="Followed Hyperlink" xfId="2292" builtinId="9" hidden="1"/>
    <cellStyle name="Followed Hyperlink" xfId="2294" builtinId="9" hidden="1"/>
    <cellStyle name="Followed Hyperlink" xfId="2296" builtinId="9" hidden="1"/>
    <cellStyle name="Followed Hyperlink" xfId="2298" builtinId="9" hidden="1"/>
    <cellStyle name="Followed Hyperlink" xfId="2300" builtinId="9" hidden="1"/>
    <cellStyle name="Followed Hyperlink" xfId="2302" builtinId="9" hidden="1"/>
    <cellStyle name="Followed Hyperlink" xfId="2304" builtinId="9" hidden="1"/>
    <cellStyle name="Followed Hyperlink" xfId="2306" builtinId="9" hidden="1"/>
    <cellStyle name="Followed Hyperlink" xfId="2308" builtinId="9" hidden="1"/>
    <cellStyle name="Followed Hyperlink" xfId="2310" builtinId="9" hidden="1"/>
    <cellStyle name="Followed Hyperlink" xfId="2312" builtinId="9" hidden="1"/>
    <cellStyle name="Followed Hyperlink" xfId="2314" builtinId="9" hidden="1"/>
    <cellStyle name="Followed Hyperlink" xfId="2316" builtinId="9" hidden="1"/>
    <cellStyle name="Followed Hyperlink" xfId="2318" builtinId="9" hidden="1"/>
    <cellStyle name="Followed Hyperlink" xfId="2320" builtinId="9" hidden="1"/>
    <cellStyle name="Followed Hyperlink" xfId="2322" builtinId="9" hidden="1"/>
    <cellStyle name="Followed Hyperlink" xfId="2324" builtinId="9" hidden="1"/>
    <cellStyle name="Followed Hyperlink" xfId="2326" builtinId="9" hidden="1"/>
    <cellStyle name="Followed Hyperlink" xfId="2328" builtinId="9" hidden="1"/>
    <cellStyle name="Followed Hyperlink" xfId="2330" builtinId="9" hidden="1"/>
    <cellStyle name="Followed Hyperlink" xfId="2332" builtinId="9" hidden="1"/>
    <cellStyle name="Followed Hyperlink" xfId="2334" builtinId="9" hidden="1"/>
    <cellStyle name="Followed Hyperlink" xfId="2336" builtinId="9" hidden="1"/>
    <cellStyle name="Followed Hyperlink" xfId="2338" builtinId="9" hidden="1"/>
    <cellStyle name="Followed Hyperlink" xfId="2340" builtinId="9" hidden="1"/>
    <cellStyle name="Followed Hyperlink" xfId="2342" builtinId="9" hidden="1"/>
    <cellStyle name="Followed Hyperlink" xfId="2344" builtinId="9" hidden="1"/>
    <cellStyle name="Followed Hyperlink" xfId="2346" builtinId="9" hidden="1"/>
    <cellStyle name="Followed Hyperlink" xfId="2348" builtinId="9" hidden="1"/>
    <cellStyle name="Followed Hyperlink" xfId="2350" builtinId="9" hidden="1"/>
    <cellStyle name="Followed Hyperlink" xfId="2352" builtinId="9" hidden="1"/>
    <cellStyle name="Followed Hyperlink" xfId="2354" builtinId="9" hidden="1"/>
    <cellStyle name="Followed Hyperlink" xfId="2356" builtinId="9" hidden="1"/>
    <cellStyle name="Followed Hyperlink" xfId="2358" builtinId="9" hidden="1"/>
    <cellStyle name="Followed Hyperlink" xfId="2360" builtinId="9" hidden="1"/>
    <cellStyle name="Followed Hyperlink" xfId="2362" builtinId="9" hidden="1"/>
    <cellStyle name="Followed Hyperlink" xfId="2364" builtinId="9" hidden="1"/>
    <cellStyle name="Followed Hyperlink" xfId="2366" builtinId="9" hidden="1"/>
    <cellStyle name="Followed Hyperlink" xfId="2368" builtinId="9" hidden="1"/>
    <cellStyle name="Followed Hyperlink" xfId="2370" builtinId="9" hidden="1"/>
    <cellStyle name="Followed Hyperlink" xfId="2372" builtinId="9" hidden="1"/>
    <cellStyle name="Followed Hyperlink" xfId="2374" builtinId="9" hidden="1"/>
    <cellStyle name="Followed Hyperlink" xfId="2376" builtinId="9" hidden="1"/>
    <cellStyle name="Followed Hyperlink" xfId="2378" builtinId="9" hidden="1"/>
    <cellStyle name="Followed Hyperlink" xfId="2380" builtinId="9" hidden="1"/>
    <cellStyle name="Followed Hyperlink" xfId="2382" builtinId="9" hidden="1"/>
    <cellStyle name="Followed Hyperlink" xfId="2384" builtinId="9" hidden="1"/>
    <cellStyle name="Followed Hyperlink" xfId="2386" builtinId="9" hidden="1"/>
    <cellStyle name="Followed Hyperlink" xfId="2388" builtinId="9" hidden="1"/>
    <cellStyle name="Followed Hyperlink" xfId="2390" builtinId="9" hidden="1"/>
    <cellStyle name="Followed Hyperlink" xfId="2392" builtinId="9" hidden="1"/>
    <cellStyle name="Followed Hyperlink" xfId="2394" builtinId="9" hidden="1"/>
    <cellStyle name="Followed Hyperlink" xfId="2396" builtinId="9" hidden="1"/>
    <cellStyle name="Followed Hyperlink" xfId="2398" builtinId="9" hidden="1"/>
    <cellStyle name="Followed Hyperlink" xfId="2400" builtinId="9" hidden="1"/>
    <cellStyle name="Followed Hyperlink" xfId="2402" builtinId="9" hidden="1"/>
    <cellStyle name="Followed Hyperlink" xfId="2404" builtinId="9" hidden="1"/>
    <cellStyle name="Followed Hyperlink" xfId="2406" builtinId="9" hidden="1"/>
    <cellStyle name="Followed Hyperlink" xfId="2408" builtinId="9" hidden="1"/>
    <cellStyle name="Followed Hyperlink" xfId="2410" builtinId="9" hidden="1"/>
    <cellStyle name="Followed Hyperlink" xfId="2412" builtinId="9" hidden="1"/>
    <cellStyle name="Followed Hyperlink" xfId="2414" builtinId="9" hidden="1"/>
    <cellStyle name="Followed Hyperlink" xfId="2416" builtinId="9" hidden="1"/>
    <cellStyle name="Followed Hyperlink" xfId="2418" builtinId="9" hidden="1"/>
    <cellStyle name="Followed Hyperlink" xfId="2420" builtinId="9" hidden="1"/>
    <cellStyle name="Followed Hyperlink" xfId="2422" builtinId="9" hidden="1"/>
    <cellStyle name="Followed Hyperlink" xfId="2424" builtinId="9" hidden="1"/>
    <cellStyle name="Followed Hyperlink" xfId="2426" builtinId="9" hidden="1"/>
    <cellStyle name="Followed Hyperlink" xfId="2428" builtinId="9" hidden="1"/>
    <cellStyle name="Followed Hyperlink" xfId="2430" builtinId="9" hidden="1"/>
    <cellStyle name="Followed Hyperlink" xfId="2432" builtinId="9" hidden="1"/>
    <cellStyle name="Followed Hyperlink" xfId="2434" builtinId="9" hidden="1"/>
    <cellStyle name="Followed Hyperlink" xfId="2436" builtinId="9" hidden="1"/>
    <cellStyle name="Followed Hyperlink" xfId="2438" builtinId="9" hidden="1"/>
    <cellStyle name="Followed Hyperlink" xfId="2440" builtinId="9" hidden="1"/>
    <cellStyle name="Followed Hyperlink" xfId="2442" builtinId="9" hidden="1"/>
    <cellStyle name="Followed Hyperlink" xfId="2444" builtinId="9" hidden="1"/>
    <cellStyle name="Followed Hyperlink" xfId="2446" builtinId="9" hidden="1"/>
    <cellStyle name="Followed Hyperlink" xfId="2448" builtinId="9" hidden="1"/>
    <cellStyle name="Followed Hyperlink" xfId="2450" builtinId="9" hidden="1"/>
    <cellStyle name="Followed Hyperlink" xfId="2452" builtinId="9" hidden="1"/>
    <cellStyle name="Followed Hyperlink" xfId="2454" builtinId="9" hidden="1"/>
    <cellStyle name="Followed Hyperlink" xfId="2456" builtinId="9" hidden="1"/>
    <cellStyle name="Followed Hyperlink" xfId="2458" builtinId="9" hidden="1"/>
    <cellStyle name="Followed Hyperlink" xfId="2460" builtinId="9" hidden="1"/>
    <cellStyle name="Followed Hyperlink" xfId="2462" builtinId="9" hidden="1"/>
    <cellStyle name="Followed Hyperlink" xfId="2464" builtinId="9" hidden="1"/>
    <cellStyle name="Followed Hyperlink" xfId="2466" builtinId="9" hidden="1"/>
    <cellStyle name="Followed Hyperlink" xfId="2468" builtinId="9" hidden="1"/>
    <cellStyle name="Followed Hyperlink" xfId="2470" builtinId="9" hidden="1"/>
    <cellStyle name="Followed Hyperlink" xfId="2472" builtinId="9" hidden="1"/>
    <cellStyle name="Followed Hyperlink" xfId="2474" builtinId="9" hidden="1"/>
    <cellStyle name="Followed Hyperlink" xfId="2476" builtinId="9" hidden="1"/>
    <cellStyle name="Followed Hyperlink" xfId="2478" builtinId="9" hidden="1"/>
    <cellStyle name="Followed Hyperlink" xfId="2480" builtinId="9" hidden="1"/>
    <cellStyle name="Followed Hyperlink" xfId="2482" builtinId="9" hidden="1"/>
    <cellStyle name="Followed Hyperlink" xfId="2484" builtinId="9" hidden="1"/>
    <cellStyle name="Followed Hyperlink" xfId="2486" builtinId="9" hidden="1"/>
    <cellStyle name="Followed Hyperlink" xfId="2488" builtinId="9" hidden="1"/>
    <cellStyle name="Followed Hyperlink" xfId="2490" builtinId="9" hidden="1"/>
    <cellStyle name="Followed Hyperlink" xfId="2492" builtinId="9" hidden="1"/>
    <cellStyle name="Followed Hyperlink" xfId="2494" builtinId="9" hidden="1"/>
    <cellStyle name="Followed Hyperlink" xfId="2496" builtinId="9" hidden="1"/>
    <cellStyle name="Followed Hyperlink" xfId="2498" builtinId="9" hidden="1"/>
    <cellStyle name="Followed Hyperlink" xfId="2500" builtinId="9" hidden="1"/>
    <cellStyle name="Followed Hyperlink" xfId="2502" builtinId="9" hidden="1"/>
    <cellStyle name="Followed Hyperlink" xfId="2504" builtinId="9" hidden="1"/>
    <cellStyle name="Followed Hyperlink" xfId="2506" builtinId="9" hidden="1"/>
    <cellStyle name="Followed Hyperlink" xfId="2508" builtinId="9" hidden="1"/>
    <cellStyle name="Followed Hyperlink" xfId="2510" builtinId="9" hidden="1"/>
    <cellStyle name="Followed Hyperlink" xfId="2512" builtinId="9" hidden="1"/>
    <cellStyle name="Followed Hyperlink" xfId="2514" builtinId="9" hidden="1"/>
    <cellStyle name="Followed Hyperlink" xfId="2516" builtinId="9" hidden="1"/>
    <cellStyle name="Followed Hyperlink" xfId="2518" builtinId="9" hidden="1"/>
    <cellStyle name="Followed Hyperlink" xfId="2520" builtinId="9" hidden="1"/>
    <cellStyle name="Followed Hyperlink" xfId="2522" builtinId="9" hidden="1"/>
    <cellStyle name="Followed Hyperlink" xfId="2524" builtinId="9" hidden="1"/>
    <cellStyle name="Followed Hyperlink" xfId="2526" builtinId="9" hidden="1"/>
    <cellStyle name="Followed Hyperlink" xfId="2528" builtinId="9" hidden="1"/>
    <cellStyle name="Followed Hyperlink" xfId="2530" builtinId="9" hidden="1"/>
    <cellStyle name="Followed Hyperlink" xfId="2532" builtinId="9" hidden="1"/>
    <cellStyle name="Followed Hyperlink" xfId="2534" builtinId="9" hidden="1"/>
    <cellStyle name="Followed Hyperlink" xfId="2536" builtinId="9" hidden="1"/>
    <cellStyle name="Followed Hyperlink" xfId="2538" builtinId="9" hidden="1"/>
    <cellStyle name="Followed Hyperlink" xfId="2540" builtinId="9" hidden="1"/>
    <cellStyle name="Followed Hyperlink" xfId="2542" builtinId="9" hidden="1"/>
    <cellStyle name="Followed Hyperlink" xfId="2544" builtinId="9" hidden="1"/>
    <cellStyle name="Followed Hyperlink" xfId="2546" builtinId="9" hidden="1"/>
    <cellStyle name="Followed Hyperlink" xfId="2548" builtinId="9" hidden="1"/>
    <cellStyle name="Followed Hyperlink" xfId="2550" builtinId="9" hidden="1"/>
    <cellStyle name="Followed Hyperlink" xfId="2552" builtinId="9" hidden="1"/>
    <cellStyle name="Followed Hyperlink" xfId="2554" builtinId="9" hidden="1"/>
    <cellStyle name="Followed Hyperlink" xfId="2556" builtinId="9" hidden="1"/>
    <cellStyle name="Followed Hyperlink" xfId="2558" builtinId="9" hidden="1"/>
    <cellStyle name="Followed Hyperlink" xfId="2560" builtinId="9" hidden="1"/>
    <cellStyle name="Followed Hyperlink" xfId="2562" builtinId="9" hidden="1"/>
    <cellStyle name="Followed Hyperlink" xfId="2564" builtinId="9" hidden="1"/>
    <cellStyle name="Followed Hyperlink" xfId="2566" builtinId="9" hidden="1"/>
    <cellStyle name="Followed Hyperlink" xfId="2568" builtinId="9" hidden="1"/>
    <cellStyle name="Followed Hyperlink" xfId="2570" builtinId="9" hidden="1"/>
    <cellStyle name="Followed Hyperlink" xfId="2572" builtinId="9" hidden="1"/>
    <cellStyle name="Followed Hyperlink" xfId="2574" builtinId="9" hidden="1"/>
    <cellStyle name="Followed Hyperlink" xfId="2576" builtinId="9" hidden="1"/>
    <cellStyle name="Followed Hyperlink" xfId="2578" builtinId="9" hidden="1"/>
    <cellStyle name="Followed Hyperlink" xfId="2580" builtinId="9" hidden="1"/>
    <cellStyle name="Followed Hyperlink" xfId="2582" builtinId="9" hidden="1"/>
    <cellStyle name="Followed Hyperlink" xfId="2584" builtinId="9" hidden="1"/>
    <cellStyle name="Followed Hyperlink" xfId="2586" builtinId="9" hidden="1"/>
    <cellStyle name="Followed Hyperlink" xfId="2588" builtinId="9" hidden="1"/>
    <cellStyle name="Followed Hyperlink" xfId="2590" builtinId="9" hidden="1"/>
    <cellStyle name="Followed Hyperlink" xfId="2592" builtinId="9" hidden="1"/>
    <cellStyle name="Followed Hyperlink" xfId="2594" builtinId="9" hidden="1"/>
    <cellStyle name="Followed Hyperlink" xfId="2596" builtinId="9" hidden="1"/>
    <cellStyle name="Followed Hyperlink" xfId="2598" builtinId="9" hidden="1"/>
    <cellStyle name="Followed Hyperlink" xfId="2600" builtinId="9" hidden="1"/>
    <cellStyle name="Followed Hyperlink" xfId="2602" builtinId="9" hidden="1"/>
    <cellStyle name="Followed Hyperlink" xfId="2604" builtinId="9" hidden="1"/>
    <cellStyle name="Followed Hyperlink" xfId="2606" builtinId="9" hidden="1"/>
    <cellStyle name="Followed Hyperlink" xfId="2608" builtinId="9" hidden="1"/>
    <cellStyle name="Followed Hyperlink" xfId="2610" builtinId="9" hidden="1"/>
    <cellStyle name="Followed Hyperlink" xfId="2612" builtinId="9" hidden="1"/>
    <cellStyle name="Followed Hyperlink" xfId="2614" builtinId="9" hidden="1"/>
    <cellStyle name="Followed Hyperlink" xfId="2616" builtinId="9" hidden="1"/>
    <cellStyle name="Followed Hyperlink" xfId="2618" builtinId="9" hidden="1"/>
    <cellStyle name="Followed Hyperlink" xfId="2620" builtinId="9" hidden="1"/>
    <cellStyle name="Followed Hyperlink" xfId="2622" builtinId="9" hidden="1"/>
    <cellStyle name="Followed Hyperlink" xfId="2624" builtinId="9" hidden="1"/>
    <cellStyle name="Followed Hyperlink" xfId="2626" builtinId="9" hidden="1"/>
    <cellStyle name="Followed Hyperlink" xfId="2628" builtinId="9" hidden="1"/>
    <cellStyle name="Followed Hyperlink" xfId="2630" builtinId="9" hidden="1"/>
    <cellStyle name="Followed Hyperlink" xfId="2632" builtinId="9" hidden="1"/>
    <cellStyle name="Followed Hyperlink" xfId="2634" builtinId="9" hidden="1"/>
    <cellStyle name="Followed Hyperlink" xfId="2636" builtinId="9" hidden="1"/>
    <cellStyle name="Followed Hyperlink" xfId="2638" builtinId="9" hidden="1"/>
    <cellStyle name="Followed Hyperlink" xfId="2640" builtinId="9" hidden="1"/>
    <cellStyle name="Followed Hyperlink" xfId="2642" builtinId="9" hidden="1"/>
    <cellStyle name="Followed Hyperlink" xfId="2644" builtinId="9" hidden="1"/>
    <cellStyle name="Followed Hyperlink" xfId="2646" builtinId="9" hidden="1"/>
    <cellStyle name="Followed Hyperlink" xfId="2648" builtinId="9" hidden="1"/>
    <cellStyle name="Followed Hyperlink" xfId="2650" builtinId="9" hidden="1"/>
    <cellStyle name="Followed Hyperlink" xfId="2652" builtinId="9" hidden="1"/>
    <cellStyle name="Followed Hyperlink" xfId="2654" builtinId="9" hidden="1"/>
    <cellStyle name="Followed Hyperlink" xfId="2656" builtinId="9" hidden="1"/>
    <cellStyle name="Followed Hyperlink" xfId="2658" builtinId="9" hidden="1"/>
    <cellStyle name="Followed Hyperlink" xfId="2660" builtinId="9" hidden="1"/>
    <cellStyle name="Followed Hyperlink" xfId="2662" builtinId="9" hidden="1"/>
    <cellStyle name="Followed Hyperlink" xfId="2664" builtinId="9" hidden="1"/>
    <cellStyle name="Followed Hyperlink" xfId="2666" builtinId="9" hidden="1"/>
    <cellStyle name="Followed Hyperlink" xfId="2668" builtinId="9" hidden="1"/>
    <cellStyle name="Followed Hyperlink" xfId="2670" builtinId="9" hidden="1"/>
    <cellStyle name="Followed Hyperlink" xfId="2672" builtinId="9" hidden="1"/>
    <cellStyle name="Followed Hyperlink" xfId="2674" builtinId="9" hidden="1"/>
    <cellStyle name="Followed Hyperlink" xfId="2676" builtinId="9" hidden="1"/>
    <cellStyle name="Followed Hyperlink" xfId="2678" builtinId="9" hidden="1"/>
    <cellStyle name="Followed Hyperlink" xfId="2680" builtinId="9" hidden="1"/>
    <cellStyle name="Followed Hyperlink" xfId="2682" builtinId="9" hidden="1"/>
    <cellStyle name="Followed Hyperlink" xfId="2684" builtinId="9" hidden="1"/>
    <cellStyle name="Followed Hyperlink" xfId="2686" builtinId="9" hidden="1"/>
    <cellStyle name="Followed Hyperlink" xfId="2688" builtinId="9" hidden="1"/>
    <cellStyle name="Followed Hyperlink" xfId="2690" builtinId="9" hidden="1"/>
    <cellStyle name="Followed Hyperlink" xfId="2692" builtinId="9" hidden="1"/>
    <cellStyle name="Followed Hyperlink" xfId="2694" builtinId="9" hidden="1"/>
    <cellStyle name="Followed Hyperlink" xfId="2696" builtinId="9" hidden="1"/>
    <cellStyle name="Followed Hyperlink" xfId="2698" builtinId="9" hidden="1"/>
    <cellStyle name="Followed Hyperlink" xfId="2700" builtinId="9" hidden="1"/>
    <cellStyle name="Followed Hyperlink" xfId="2702" builtinId="9" hidden="1"/>
    <cellStyle name="Followed Hyperlink" xfId="2704" builtinId="9" hidden="1"/>
    <cellStyle name="Followed Hyperlink" xfId="2706" builtinId="9" hidden="1"/>
    <cellStyle name="Followed Hyperlink" xfId="2708" builtinId="9" hidden="1"/>
    <cellStyle name="Followed Hyperlink" xfId="2710" builtinId="9" hidden="1"/>
    <cellStyle name="Followed Hyperlink" xfId="2712" builtinId="9" hidden="1"/>
    <cellStyle name="Followed Hyperlink" xfId="2714" builtinId="9" hidden="1"/>
    <cellStyle name="Followed Hyperlink" xfId="2716" builtinId="9" hidden="1"/>
    <cellStyle name="Followed Hyperlink" xfId="2718" builtinId="9" hidden="1"/>
    <cellStyle name="Followed Hyperlink" xfId="2720" builtinId="9" hidden="1"/>
    <cellStyle name="Followed Hyperlink" xfId="2722" builtinId="9" hidden="1"/>
    <cellStyle name="Followed Hyperlink" xfId="2724" builtinId="9" hidden="1"/>
    <cellStyle name="Followed Hyperlink" xfId="2726" builtinId="9" hidden="1"/>
    <cellStyle name="Followed Hyperlink" xfId="2728" builtinId="9" hidden="1"/>
    <cellStyle name="Followed Hyperlink" xfId="2730" builtinId="9" hidden="1"/>
    <cellStyle name="Followed Hyperlink" xfId="2732" builtinId="9" hidden="1"/>
    <cellStyle name="Followed Hyperlink" xfId="2734" builtinId="9" hidden="1"/>
    <cellStyle name="Followed Hyperlink" xfId="2736" builtinId="9" hidden="1"/>
    <cellStyle name="Followed Hyperlink" xfId="2738" builtinId="9" hidden="1"/>
    <cellStyle name="Followed Hyperlink" xfId="2740" builtinId="9" hidden="1"/>
    <cellStyle name="Followed Hyperlink" xfId="2742" builtinId="9" hidden="1"/>
    <cellStyle name="Followed Hyperlink" xfId="2744" builtinId="9" hidden="1"/>
    <cellStyle name="Followed Hyperlink" xfId="2746" builtinId="9" hidden="1"/>
    <cellStyle name="Followed Hyperlink" xfId="2748" builtinId="9" hidden="1"/>
    <cellStyle name="Followed Hyperlink" xfId="2750" builtinId="9" hidden="1"/>
    <cellStyle name="Followed Hyperlink" xfId="2752" builtinId="9" hidden="1"/>
    <cellStyle name="Followed Hyperlink" xfId="2754" builtinId="9" hidden="1"/>
    <cellStyle name="Followed Hyperlink" xfId="2756" builtinId="9" hidden="1"/>
    <cellStyle name="Followed Hyperlink" xfId="2758" builtinId="9" hidden="1"/>
    <cellStyle name="Followed Hyperlink" xfId="2760" builtinId="9" hidden="1"/>
    <cellStyle name="Followed Hyperlink" xfId="2762" builtinId="9" hidden="1"/>
    <cellStyle name="Followed Hyperlink" xfId="2764" builtinId="9" hidden="1"/>
    <cellStyle name="Followed Hyperlink" xfId="2766" builtinId="9" hidden="1"/>
    <cellStyle name="Followed Hyperlink" xfId="2768" builtinId="9" hidden="1"/>
    <cellStyle name="Followed Hyperlink" xfId="2770" builtinId="9" hidden="1"/>
    <cellStyle name="Followed Hyperlink" xfId="2772" builtinId="9" hidden="1"/>
    <cellStyle name="Followed Hyperlink" xfId="2774" builtinId="9" hidden="1"/>
    <cellStyle name="Followed Hyperlink" xfId="2776" builtinId="9" hidden="1"/>
    <cellStyle name="Followed Hyperlink" xfId="2778" builtinId="9" hidden="1"/>
    <cellStyle name="Followed Hyperlink" xfId="2780" builtinId="9" hidden="1"/>
    <cellStyle name="Followed Hyperlink" xfId="2782" builtinId="9" hidden="1"/>
    <cellStyle name="Followed Hyperlink" xfId="2784" builtinId="9" hidden="1"/>
    <cellStyle name="Followed Hyperlink" xfId="2786" builtinId="9" hidden="1"/>
    <cellStyle name="Followed Hyperlink" xfId="2788" builtinId="9" hidden="1"/>
    <cellStyle name="Followed Hyperlink" xfId="2790" builtinId="9" hidden="1"/>
    <cellStyle name="Followed Hyperlink" xfId="2792" builtinId="9" hidden="1"/>
    <cellStyle name="Followed Hyperlink" xfId="2794" builtinId="9" hidden="1"/>
    <cellStyle name="Followed Hyperlink" xfId="2796" builtinId="9" hidden="1"/>
    <cellStyle name="Followed Hyperlink" xfId="2798" builtinId="9" hidden="1"/>
    <cellStyle name="Followed Hyperlink" xfId="2800" builtinId="9" hidden="1"/>
    <cellStyle name="Followed Hyperlink" xfId="2802" builtinId="9" hidden="1"/>
    <cellStyle name="Followed Hyperlink" xfId="2804" builtinId="9" hidden="1"/>
    <cellStyle name="Followed Hyperlink" xfId="2806" builtinId="9" hidden="1"/>
    <cellStyle name="Followed Hyperlink" xfId="2808" builtinId="9" hidden="1"/>
    <cellStyle name="Followed Hyperlink" xfId="2810" builtinId="9" hidden="1"/>
    <cellStyle name="Followed Hyperlink" xfId="2812" builtinId="9" hidden="1"/>
    <cellStyle name="Followed Hyperlink" xfId="2814" builtinId="9" hidden="1"/>
    <cellStyle name="Followed Hyperlink" xfId="2816" builtinId="9" hidden="1"/>
    <cellStyle name="Followed Hyperlink" xfId="2818" builtinId="9" hidden="1"/>
    <cellStyle name="Followed Hyperlink" xfId="2820" builtinId="9" hidden="1"/>
    <cellStyle name="Followed Hyperlink" xfId="2822" builtinId="9" hidden="1"/>
    <cellStyle name="Followed Hyperlink" xfId="2824" builtinId="9" hidden="1"/>
    <cellStyle name="Followed Hyperlink" xfId="2826" builtinId="9" hidden="1"/>
    <cellStyle name="Followed Hyperlink" xfId="2828" builtinId="9" hidden="1"/>
    <cellStyle name="Followed Hyperlink" xfId="2830" builtinId="9" hidden="1"/>
    <cellStyle name="Followed Hyperlink" xfId="2832" builtinId="9" hidden="1"/>
    <cellStyle name="Followed Hyperlink" xfId="2834" builtinId="9" hidden="1"/>
    <cellStyle name="Followed Hyperlink" xfId="2836" builtinId="9" hidden="1"/>
    <cellStyle name="Followed Hyperlink" xfId="2838" builtinId="9" hidden="1"/>
    <cellStyle name="Followed Hyperlink" xfId="2840" builtinId="9" hidden="1"/>
    <cellStyle name="Followed Hyperlink" xfId="2842" builtinId="9" hidden="1"/>
    <cellStyle name="Followed Hyperlink" xfId="2844" builtinId="9" hidden="1"/>
    <cellStyle name="Followed Hyperlink" xfId="2846" builtinId="9" hidden="1"/>
    <cellStyle name="Followed Hyperlink" xfId="2848" builtinId="9" hidden="1"/>
    <cellStyle name="Followed Hyperlink" xfId="2850" builtinId="9" hidden="1"/>
    <cellStyle name="Followed Hyperlink" xfId="2852" builtinId="9" hidden="1"/>
    <cellStyle name="Followed Hyperlink" xfId="2854" builtinId="9" hidden="1"/>
    <cellStyle name="Followed Hyperlink" xfId="2856" builtinId="9" hidden="1"/>
    <cellStyle name="Followed Hyperlink" xfId="2858" builtinId="9" hidden="1"/>
    <cellStyle name="Followed Hyperlink" xfId="2860" builtinId="9" hidden="1"/>
    <cellStyle name="Followed Hyperlink" xfId="2862" builtinId="9" hidden="1"/>
    <cellStyle name="Followed Hyperlink" xfId="2864" builtinId="9" hidden="1"/>
    <cellStyle name="Followed Hyperlink" xfId="2866" builtinId="9" hidden="1"/>
    <cellStyle name="Followed Hyperlink" xfId="2868" builtinId="9" hidden="1"/>
    <cellStyle name="Followed Hyperlink" xfId="2870" builtinId="9" hidden="1"/>
    <cellStyle name="Followed Hyperlink" xfId="2872" builtinId="9" hidden="1"/>
    <cellStyle name="Followed Hyperlink" xfId="2874" builtinId="9" hidden="1"/>
    <cellStyle name="Followed Hyperlink" xfId="2876" builtinId="9" hidden="1"/>
    <cellStyle name="Followed Hyperlink" xfId="2878" builtinId="9" hidden="1"/>
    <cellStyle name="Followed Hyperlink" xfId="2880" builtinId="9" hidden="1"/>
    <cellStyle name="Followed Hyperlink" xfId="2882" builtinId="9" hidden="1"/>
    <cellStyle name="Followed Hyperlink" xfId="2884" builtinId="9" hidden="1"/>
    <cellStyle name="Followed Hyperlink" xfId="2886" builtinId="9" hidden="1"/>
    <cellStyle name="Followed Hyperlink" xfId="2888" builtinId="9" hidden="1"/>
    <cellStyle name="Followed Hyperlink" xfId="2890" builtinId="9" hidden="1"/>
    <cellStyle name="Followed Hyperlink" xfId="2892" builtinId="9" hidden="1"/>
    <cellStyle name="Followed Hyperlink" xfId="2894" builtinId="9" hidden="1"/>
    <cellStyle name="Followed Hyperlink" xfId="2896" builtinId="9" hidden="1"/>
    <cellStyle name="Followed Hyperlink" xfId="2898" builtinId="9" hidden="1"/>
    <cellStyle name="Followed Hyperlink" xfId="2900" builtinId="9" hidden="1"/>
    <cellStyle name="Followed Hyperlink" xfId="2902" builtinId="9" hidden="1"/>
    <cellStyle name="Followed Hyperlink" xfId="2904" builtinId="9" hidden="1"/>
    <cellStyle name="Followed Hyperlink" xfId="2906" builtinId="9" hidden="1"/>
    <cellStyle name="Followed Hyperlink" xfId="2908" builtinId="9" hidden="1"/>
    <cellStyle name="Followed Hyperlink" xfId="2910" builtinId="9" hidden="1"/>
    <cellStyle name="Followed Hyperlink" xfId="2912" builtinId="9" hidden="1"/>
    <cellStyle name="Followed Hyperlink" xfId="2914" builtinId="9" hidden="1"/>
    <cellStyle name="Followed Hyperlink" xfId="2916" builtinId="9" hidden="1"/>
    <cellStyle name="Followed Hyperlink" xfId="2918" builtinId="9" hidden="1"/>
    <cellStyle name="Followed Hyperlink" xfId="2920" builtinId="9" hidden="1"/>
    <cellStyle name="Followed Hyperlink" xfId="2922" builtinId="9" hidden="1"/>
    <cellStyle name="Followed Hyperlink" xfId="2924" builtinId="9" hidden="1"/>
    <cellStyle name="Followed Hyperlink" xfId="2926" builtinId="9" hidden="1"/>
    <cellStyle name="Followed Hyperlink" xfId="2928" builtinId="9" hidden="1"/>
    <cellStyle name="Followed Hyperlink" xfId="2930" builtinId="9" hidden="1"/>
    <cellStyle name="Followed Hyperlink" xfId="2932" builtinId="9" hidden="1"/>
    <cellStyle name="Followed Hyperlink" xfId="2934" builtinId="9" hidden="1"/>
    <cellStyle name="Followed Hyperlink" xfId="2936" builtinId="9" hidden="1"/>
    <cellStyle name="Followed Hyperlink" xfId="2938" builtinId="9" hidden="1"/>
    <cellStyle name="Followed Hyperlink" xfId="2940" builtinId="9" hidden="1"/>
    <cellStyle name="Followed Hyperlink" xfId="2942" builtinId="9" hidden="1"/>
    <cellStyle name="Followed Hyperlink" xfId="2944" builtinId="9" hidden="1"/>
    <cellStyle name="Followed Hyperlink" xfId="2946" builtinId="9" hidden="1"/>
    <cellStyle name="Followed Hyperlink" xfId="2948" builtinId="9" hidden="1"/>
    <cellStyle name="Followed Hyperlink" xfId="2950" builtinId="9" hidden="1"/>
    <cellStyle name="Followed Hyperlink" xfId="2952" builtinId="9" hidden="1"/>
    <cellStyle name="Followed Hyperlink" xfId="2954" builtinId="9" hidden="1"/>
    <cellStyle name="Followed Hyperlink" xfId="2956" builtinId="9" hidden="1"/>
    <cellStyle name="Followed Hyperlink" xfId="2958" builtinId="9" hidden="1"/>
    <cellStyle name="Followed Hyperlink" xfId="2960" builtinId="9" hidden="1"/>
    <cellStyle name="Followed Hyperlink" xfId="2962" builtinId="9" hidden="1"/>
    <cellStyle name="Followed Hyperlink" xfId="2964" builtinId="9" hidden="1"/>
    <cellStyle name="Followed Hyperlink" xfId="2966" builtinId="9" hidden="1"/>
    <cellStyle name="Followed Hyperlink" xfId="2968" builtinId="9" hidden="1"/>
    <cellStyle name="Followed Hyperlink" xfId="2970" builtinId="9" hidden="1"/>
    <cellStyle name="Followed Hyperlink" xfId="2972" builtinId="9" hidden="1"/>
    <cellStyle name="Followed Hyperlink" xfId="2974" builtinId="9" hidden="1"/>
    <cellStyle name="Followed Hyperlink" xfId="2976" builtinId="9" hidden="1"/>
    <cellStyle name="Followed Hyperlink" xfId="2978" builtinId="9" hidden="1"/>
    <cellStyle name="Followed Hyperlink" xfId="2980" builtinId="9" hidden="1"/>
    <cellStyle name="Followed Hyperlink" xfId="2982" builtinId="9" hidden="1"/>
    <cellStyle name="Followed Hyperlink" xfId="2984" builtinId="9" hidden="1"/>
    <cellStyle name="Followed Hyperlink" xfId="2986" builtinId="9" hidden="1"/>
    <cellStyle name="Followed Hyperlink" xfId="2988" builtinId="9" hidden="1"/>
    <cellStyle name="Followed Hyperlink" xfId="2990" builtinId="9" hidden="1"/>
    <cellStyle name="Followed Hyperlink" xfId="2992" builtinId="9" hidden="1"/>
    <cellStyle name="Followed Hyperlink" xfId="2994" builtinId="9" hidden="1"/>
    <cellStyle name="Followed Hyperlink" xfId="2996" builtinId="9" hidden="1"/>
    <cellStyle name="Followed Hyperlink" xfId="2998" builtinId="9" hidden="1"/>
    <cellStyle name="Followed Hyperlink" xfId="3000" builtinId="9" hidden="1"/>
    <cellStyle name="Followed Hyperlink" xfId="3002" builtinId="9" hidden="1"/>
    <cellStyle name="Followed Hyperlink" xfId="3004" builtinId="9" hidden="1"/>
    <cellStyle name="Followed Hyperlink" xfId="3006" builtinId="9" hidden="1"/>
    <cellStyle name="Followed Hyperlink" xfId="3008" builtinId="9" hidden="1"/>
    <cellStyle name="Followed Hyperlink" xfId="3010" builtinId="9" hidden="1"/>
    <cellStyle name="Followed Hyperlink" xfId="3012" builtinId="9" hidden="1"/>
    <cellStyle name="Followed Hyperlink" xfId="3014" builtinId="9" hidden="1"/>
    <cellStyle name="Followed Hyperlink" xfId="3016" builtinId="9" hidden="1"/>
    <cellStyle name="Followed Hyperlink" xfId="3018" builtinId="9" hidden="1"/>
    <cellStyle name="Followed Hyperlink" xfId="3020" builtinId="9" hidden="1"/>
    <cellStyle name="Followed Hyperlink" xfId="3022" builtinId="9" hidden="1"/>
    <cellStyle name="Followed Hyperlink" xfId="3024" builtinId="9" hidden="1"/>
    <cellStyle name="Followed Hyperlink" xfId="3026" builtinId="9" hidden="1"/>
    <cellStyle name="Followed Hyperlink" xfId="3028" builtinId="9" hidden="1"/>
    <cellStyle name="Followed Hyperlink" xfId="3030" builtinId="9" hidden="1"/>
    <cellStyle name="Followed Hyperlink" xfId="3032" builtinId="9" hidden="1"/>
    <cellStyle name="Followed Hyperlink" xfId="3034" builtinId="9" hidden="1"/>
    <cellStyle name="Followed Hyperlink" xfId="3036" builtinId="9" hidden="1"/>
    <cellStyle name="Followed Hyperlink" xfId="3038" builtinId="9" hidden="1"/>
    <cellStyle name="Followed Hyperlink" xfId="3040" builtinId="9" hidden="1"/>
    <cellStyle name="Followed Hyperlink" xfId="3042" builtinId="9" hidden="1"/>
    <cellStyle name="Followed Hyperlink" xfId="3044" builtinId="9" hidden="1"/>
    <cellStyle name="Followed Hyperlink" xfId="3046" builtinId="9" hidden="1"/>
    <cellStyle name="Followed Hyperlink" xfId="3048" builtinId="9" hidden="1"/>
    <cellStyle name="Followed Hyperlink" xfId="3050" builtinId="9" hidden="1"/>
    <cellStyle name="Followed Hyperlink" xfId="3052" builtinId="9" hidden="1"/>
    <cellStyle name="Followed Hyperlink" xfId="3054" builtinId="9" hidden="1"/>
    <cellStyle name="Followed Hyperlink" xfId="3056" builtinId="9" hidden="1"/>
    <cellStyle name="Followed Hyperlink" xfId="3058" builtinId="9" hidden="1"/>
    <cellStyle name="Followed Hyperlink" xfId="3060" builtinId="9" hidden="1"/>
    <cellStyle name="Followed Hyperlink" xfId="3062" builtinId="9" hidden="1"/>
    <cellStyle name="Followed Hyperlink" xfId="3064" builtinId="9" hidden="1"/>
    <cellStyle name="Followed Hyperlink" xfId="3066" builtinId="9" hidden="1"/>
    <cellStyle name="Followed Hyperlink" xfId="3068" builtinId="9" hidden="1"/>
    <cellStyle name="Followed Hyperlink" xfId="3070" builtinId="9" hidden="1"/>
    <cellStyle name="Followed Hyperlink" xfId="3072" builtinId="9" hidden="1"/>
    <cellStyle name="Followed Hyperlink" xfId="3074" builtinId="9" hidden="1"/>
    <cellStyle name="Followed Hyperlink" xfId="3076" builtinId="9" hidden="1"/>
    <cellStyle name="Followed Hyperlink" xfId="3078" builtinId="9" hidden="1"/>
    <cellStyle name="Followed Hyperlink" xfId="3080" builtinId="9" hidden="1"/>
    <cellStyle name="Followed Hyperlink" xfId="3082" builtinId="9" hidden="1"/>
    <cellStyle name="Followed Hyperlink" xfId="3084" builtinId="9" hidden="1"/>
    <cellStyle name="Followed Hyperlink" xfId="3086" builtinId="9" hidden="1"/>
    <cellStyle name="Followed Hyperlink" xfId="3088" builtinId="9" hidden="1"/>
    <cellStyle name="Followed Hyperlink" xfId="3090" builtinId="9" hidden="1"/>
    <cellStyle name="Followed Hyperlink" xfId="3092" builtinId="9" hidden="1"/>
    <cellStyle name="Followed Hyperlink" xfId="3094" builtinId="9" hidden="1"/>
    <cellStyle name="Followed Hyperlink" xfId="3096" builtinId="9" hidden="1"/>
    <cellStyle name="Followed Hyperlink" xfId="3098" builtinId="9" hidden="1"/>
    <cellStyle name="Followed Hyperlink" xfId="3100" builtinId="9" hidden="1"/>
    <cellStyle name="Followed Hyperlink" xfId="3102" builtinId="9" hidden="1"/>
    <cellStyle name="Followed Hyperlink" xfId="3104" builtinId="9" hidden="1"/>
    <cellStyle name="Followed Hyperlink" xfId="3106" builtinId="9" hidden="1"/>
    <cellStyle name="Followed Hyperlink" xfId="3108" builtinId="9" hidden="1"/>
    <cellStyle name="Followed Hyperlink" xfId="3110" builtinId="9" hidden="1"/>
    <cellStyle name="Followed Hyperlink" xfId="3112" builtinId="9" hidden="1"/>
    <cellStyle name="Followed Hyperlink" xfId="3114" builtinId="9" hidden="1"/>
    <cellStyle name="Followed Hyperlink" xfId="3116" builtinId="9" hidden="1"/>
    <cellStyle name="Followed Hyperlink" xfId="3118" builtinId="9" hidden="1"/>
    <cellStyle name="Followed Hyperlink" xfId="3120" builtinId="9" hidden="1"/>
    <cellStyle name="Followed Hyperlink" xfId="3122" builtinId="9" hidden="1"/>
    <cellStyle name="Followed Hyperlink" xfId="3124" builtinId="9" hidden="1"/>
    <cellStyle name="Followed Hyperlink" xfId="3126" builtinId="9" hidden="1"/>
    <cellStyle name="Followed Hyperlink" xfId="3128" builtinId="9" hidden="1"/>
    <cellStyle name="Followed Hyperlink" xfId="3130" builtinId="9" hidden="1"/>
    <cellStyle name="Followed Hyperlink" xfId="3132" builtinId="9" hidden="1"/>
    <cellStyle name="Followed Hyperlink" xfId="3134" builtinId="9" hidden="1"/>
    <cellStyle name="Followed Hyperlink" xfId="3136" builtinId="9" hidden="1"/>
    <cellStyle name="Followed Hyperlink" xfId="3138" builtinId="9" hidden="1"/>
    <cellStyle name="Followed Hyperlink" xfId="3140" builtinId="9" hidden="1"/>
    <cellStyle name="Followed Hyperlink" xfId="3142" builtinId="9" hidden="1"/>
    <cellStyle name="Followed Hyperlink" xfId="3144" builtinId="9" hidden="1"/>
    <cellStyle name="Followed Hyperlink" xfId="3146" builtinId="9" hidden="1"/>
    <cellStyle name="Followed Hyperlink" xfId="3148" builtinId="9" hidden="1"/>
    <cellStyle name="Followed Hyperlink" xfId="3150" builtinId="9" hidden="1"/>
    <cellStyle name="Followed Hyperlink" xfId="3152" builtinId="9" hidden="1"/>
    <cellStyle name="Followed Hyperlink" xfId="3154" builtinId="9" hidden="1"/>
    <cellStyle name="Followed Hyperlink" xfId="3156" builtinId="9" hidden="1"/>
    <cellStyle name="Followed Hyperlink" xfId="3158" builtinId="9" hidden="1"/>
    <cellStyle name="Followed Hyperlink" xfId="3160" builtinId="9" hidden="1"/>
    <cellStyle name="Followed Hyperlink" xfId="3162" builtinId="9" hidden="1"/>
    <cellStyle name="Followed Hyperlink" xfId="3164" builtinId="9" hidden="1"/>
    <cellStyle name="Followed Hyperlink" xfId="3166" builtinId="9" hidden="1"/>
    <cellStyle name="Followed Hyperlink" xfId="3168" builtinId="9" hidden="1"/>
    <cellStyle name="Followed Hyperlink" xfId="3170" builtinId="9" hidden="1"/>
    <cellStyle name="Followed Hyperlink" xfId="3172" builtinId="9" hidden="1"/>
    <cellStyle name="Followed Hyperlink" xfId="3174" builtinId="9" hidden="1"/>
    <cellStyle name="Followed Hyperlink" xfId="3176" builtinId="9" hidden="1"/>
    <cellStyle name="Followed Hyperlink" xfId="3178" builtinId="9" hidden="1"/>
    <cellStyle name="Followed Hyperlink" xfId="3180" builtinId="9" hidden="1"/>
    <cellStyle name="Followed Hyperlink" xfId="3182" builtinId="9" hidden="1"/>
    <cellStyle name="Followed Hyperlink" xfId="3184" builtinId="9" hidden="1"/>
    <cellStyle name="Followed Hyperlink" xfId="3186" builtinId="9" hidden="1"/>
    <cellStyle name="Followed Hyperlink" xfId="3188" builtinId="9" hidden="1"/>
    <cellStyle name="Followed Hyperlink" xfId="3190" builtinId="9" hidden="1"/>
    <cellStyle name="Followed Hyperlink" xfId="3192" builtinId="9" hidden="1"/>
    <cellStyle name="Followed Hyperlink" xfId="3194" builtinId="9" hidden="1"/>
    <cellStyle name="Followed Hyperlink" xfId="3196" builtinId="9" hidden="1"/>
    <cellStyle name="Followed Hyperlink" xfId="3198" builtinId="9" hidden="1"/>
    <cellStyle name="Followed Hyperlink" xfId="3200" builtinId="9" hidden="1"/>
    <cellStyle name="Followed Hyperlink" xfId="3202" builtinId="9" hidden="1"/>
    <cellStyle name="Followed Hyperlink" xfId="3204" builtinId="9" hidden="1"/>
    <cellStyle name="Followed Hyperlink" xfId="3206" builtinId="9" hidden="1"/>
    <cellStyle name="Followed Hyperlink" xfId="3208" builtinId="9" hidden="1"/>
    <cellStyle name="Followed Hyperlink" xfId="3210" builtinId="9" hidden="1"/>
    <cellStyle name="Followed Hyperlink" xfId="3212" builtinId="9" hidden="1"/>
    <cellStyle name="Followed Hyperlink" xfId="3214" builtinId="9" hidden="1"/>
    <cellStyle name="Followed Hyperlink" xfId="3216" builtinId="9" hidden="1"/>
    <cellStyle name="Followed Hyperlink" xfId="3218" builtinId="9" hidden="1"/>
    <cellStyle name="Followed Hyperlink" xfId="3220" builtinId="9" hidden="1"/>
    <cellStyle name="Followed Hyperlink" xfId="3222" builtinId="9" hidden="1"/>
    <cellStyle name="Followed Hyperlink" xfId="3224" builtinId="9" hidden="1"/>
    <cellStyle name="Followed Hyperlink" xfId="3226" builtinId="9" hidden="1"/>
    <cellStyle name="Followed Hyperlink" xfId="3228" builtinId="9" hidden="1"/>
    <cellStyle name="Followed Hyperlink" xfId="3230" builtinId="9" hidden="1"/>
    <cellStyle name="Followed Hyperlink" xfId="3232" builtinId="9" hidden="1"/>
    <cellStyle name="Followed Hyperlink" xfId="3234" builtinId="9" hidden="1"/>
    <cellStyle name="Followed Hyperlink" xfId="3236" builtinId="9" hidden="1"/>
    <cellStyle name="Followed Hyperlink" xfId="3238" builtinId="9" hidden="1"/>
    <cellStyle name="Followed Hyperlink" xfId="3240" builtinId="9" hidden="1"/>
    <cellStyle name="Followed Hyperlink" xfId="3242" builtinId="9" hidden="1"/>
    <cellStyle name="Followed Hyperlink" xfId="3244" builtinId="9" hidden="1"/>
    <cellStyle name="Followed Hyperlink" xfId="3246" builtinId="9" hidden="1"/>
    <cellStyle name="Followed Hyperlink" xfId="3248" builtinId="9" hidden="1"/>
    <cellStyle name="Followed Hyperlink" xfId="3250" builtinId="9" hidden="1"/>
    <cellStyle name="Followed Hyperlink" xfId="3252" builtinId="9" hidden="1"/>
    <cellStyle name="Followed Hyperlink" xfId="3254" builtinId="9" hidden="1"/>
    <cellStyle name="Followed Hyperlink" xfId="3256" builtinId="9" hidden="1"/>
    <cellStyle name="Followed Hyperlink" xfId="3258" builtinId="9" hidden="1"/>
    <cellStyle name="Followed Hyperlink" xfId="3260" builtinId="9" hidden="1"/>
    <cellStyle name="Followed Hyperlink" xfId="3262" builtinId="9" hidden="1"/>
    <cellStyle name="Followed Hyperlink" xfId="3264" builtinId="9" hidden="1"/>
    <cellStyle name="Followed Hyperlink" xfId="3266" builtinId="9" hidden="1"/>
    <cellStyle name="Followed Hyperlink" xfId="3268" builtinId="9" hidden="1"/>
    <cellStyle name="Followed Hyperlink" xfId="3270" builtinId="9" hidden="1"/>
    <cellStyle name="Followed Hyperlink" xfId="3272" builtinId="9" hidden="1"/>
    <cellStyle name="Followed Hyperlink" xfId="3274" builtinId="9" hidden="1"/>
    <cellStyle name="Followed Hyperlink" xfId="3276" builtinId="9" hidden="1"/>
    <cellStyle name="Followed Hyperlink" xfId="3278" builtinId="9" hidden="1"/>
    <cellStyle name="Followed Hyperlink" xfId="3280" builtinId="9" hidden="1"/>
    <cellStyle name="Followed Hyperlink" xfId="3282" builtinId="9" hidden="1"/>
    <cellStyle name="Followed Hyperlink" xfId="3284" builtinId="9" hidden="1"/>
    <cellStyle name="Followed Hyperlink" xfId="3286" builtinId="9" hidden="1"/>
    <cellStyle name="Followed Hyperlink" xfId="3288" builtinId="9" hidden="1"/>
    <cellStyle name="Followed Hyperlink" xfId="3290" builtinId="9" hidden="1"/>
    <cellStyle name="Followed Hyperlink" xfId="3292" builtinId="9" hidden="1"/>
    <cellStyle name="Followed Hyperlink" xfId="3294" builtinId="9" hidden="1"/>
    <cellStyle name="Followed Hyperlink" xfId="3296" builtinId="9" hidden="1"/>
    <cellStyle name="Followed Hyperlink" xfId="3298" builtinId="9" hidden="1"/>
    <cellStyle name="Followed Hyperlink" xfId="3300" builtinId="9" hidden="1"/>
    <cellStyle name="Followed Hyperlink" xfId="3302" builtinId="9" hidden="1"/>
    <cellStyle name="Followed Hyperlink" xfId="3304" builtinId="9" hidden="1"/>
    <cellStyle name="Followed Hyperlink" xfId="3306" builtinId="9" hidden="1"/>
    <cellStyle name="Followed Hyperlink" xfId="3308" builtinId="9" hidden="1"/>
    <cellStyle name="Followed Hyperlink" xfId="3310" builtinId="9" hidden="1"/>
    <cellStyle name="Followed Hyperlink" xfId="3312" builtinId="9" hidden="1"/>
    <cellStyle name="Followed Hyperlink" xfId="3314" builtinId="9" hidden="1"/>
    <cellStyle name="Followed Hyperlink" xfId="3316" builtinId="9" hidden="1"/>
    <cellStyle name="Followed Hyperlink" xfId="3318" builtinId="9" hidden="1"/>
    <cellStyle name="Followed Hyperlink" xfId="3320" builtinId="9" hidden="1"/>
    <cellStyle name="Followed Hyperlink" xfId="3322" builtinId="9" hidden="1"/>
    <cellStyle name="Followed Hyperlink" xfId="3324" builtinId="9" hidden="1"/>
    <cellStyle name="Followed Hyperlink" xfId="3326" builtinId="9" hidden="1"/>
    <cellStyle name="Followed Hyperlink" xfId="3328" builtinId="9" hidden="1"/>
    <cellStyle name="Followed Hyperlink" xfId="3330" builtinId="9" hidden="1"/>
    <cellStyle name="Followed Hyperlink" xfId="3332" builtinId="9" hidden="1"/>
    <cellStyle name="Followed Hyperlink" xfId="3334" builtinId="9" hidden="1"/>
    <cellStyle name="Followed Hyperlink" xfId="3336" builtinId="9" hidden="1"/>
    <cellStyle name="Followed Hyperlink" xfId="3338" builtinId="9" hidden="1"/>
    <cellStyle name="Followed Hyperlink" xfId="3340" builtinId="9" hidden="1"/>
    <cellStyle name="Followed Hyperlink" xfId="3342" builtinId="9" hidden="1"/>
    <cellStyle name="Followed Hyperlink" xfId="3344" builtinId="9" hidden="1"/>
    <cellStyle name="Followed Hyperlink" xfId="3346" builtinId="9" hidden="1"/>
    <cellStyle name="Followed Hyperlink" xfId="3348" builtinId="9" hidden="1"/>
    <cellStyle name="Followed Hyperlink" xfId="3350" builtinId="9" hidden="1"/>
    <cellStyle name="Followed Hyperlink" xfId="3352" builtinId="9" hidden="1"/>
    <cellStyle name="Followed Hyperlink" xfId="3354" builtinId="9" hidden="1"/>
    <cellStyle name="Followed Hyperlink" xfId="3356" builtinId="9" hidden="1"/>
    <cellStyle name="Followed Hyperlink" xfId="3358" builtinId="9" hidden="1"/>
    <cellStyle name="Followed Hyperlink" xfId="3360" builtinId="9" hidden="1"/>
    <cellStyle name="Followed Hyperlink" xfId="3362" builtinId="9" hidden="1"/>
    <cellStyle name="Followed Hyperlink" xfId="3364" builtinId="9" hidden="1"/>
    <cellStyle name="Followed Hyperlink" xfId="3366" builtinId="9" hidden="1"/>
    <cellStyle name="Followed Hyperlink" xfId="3368" builtinId="9" hidden="1"/>
    <cellStyle name="Followed Hyperlink" xfId="3370" builtinId="9" hidden="1"/>
    <cellStyle name="Followed Hyperlink" xfId="3372" builtinId="9" hidden="1"/>
    <cellStyle name="Followed Hyperlink" xfId="3374" builtinId="9" hidden="1"/>
    <cellStyle name="Followed Hyperlink" xfId="3376" builtinId="9" hidden="1"/>
    <cellStyle name="Followed Hyperlink" xfId="3378" builtinId="9" hidden="1"/>
    <cellStyle name="Followed Hyperlink" xfId="3380" builtinId="9" hidden="1"/>
    <cellStyle name="Followed Hyperlink" xfId="3382" builtinId="9" hidden="1"/>
    <cellStyle name="Followed Hyperlink" xfId="3384" builtinId="9" hidden="1"/>
    <cellStyle name="Followed Hyperlink" xfId="3386" builtinId="9" hidden="1"/>
    <cellStyle name="Followed Hyperlink" xfId="3388" builtinId="9" hidden="1"/>
    <cellStyle name="Followed Hyperlink" xfId="3390" builtinId="9" hidden="1"/>
    <cellStyle name="Followed Hyperlink" xfId="3392" builtinId="9" hidden="1"/>
    <cellStyle name="Followed Hyperlink" xfId="3394" builtinId="9" hidden="1"/>
    <cellStyle name="Followed Hyperlink" xfId="3396" builtinId="9" hidden="1"/>
    <cellStyle name="Followed Hyperlink" xfId="3398" builtinId="9" hidden="1"/>
    <cellStyle name="Followed Hyperlink" xfId="3400" builtinId="9" hidden="1"/>
    <cellStyle name="Followed Hyperlink" xfId="3402" builtinId="9" hidden="1"/>
    <cellStyle name="Followed Hyperlink" xfId="3404" builtinId="9" hidden="1"/>
    <cellStyle name="Followed Hyperlink" xfId="3406" builtinId="9" hidden="1"/>
    <cellStyle name="Followed Hyperlink" xfId="3408" builtinId="9" hidden="1"/>
    <cellStyle name="Followed Hyperlink" xfId="3410" builtinId="9" hidden="1"/>
    <cellStyle name="Followed Hyperlink" xfId="3412" builtinId="9" hidden="1"/>
    <cellStyle name="Followed Hyperlink" xfId="3414" builtinId="9" hidden="1"/>
    <cellStyle name="Followed Hyperlink" xfId="3416" builtinId="9" hidden="1"/>
    <cellStyle name="Followed Hyperlink" xfId="3418" builtinId="9" hidden="1"/>
    <cellStyle name="Followed Hyperlink" xfId="3420" builtinId="9" hidden="1"/>
    <cellStyle name="Followed Hyperlink" xfId="3422" builtinId="9" hidden="1"/>
    <cellStyle name="Followed Hyperlink" xfId="3424" builtinId="9" hidden="1"/>
    <cellStyle name="Followed Hyperlink" xfId="3426" builtinId="9" hidden="1"/>
    <cellStyle name="Followed Hyperlink" xfId="3428" builtinId="9" hidden="1"/>
    <cellStyle name="Followed Hyperlink" xfId="3430" builtinId="9" hidden="1"/>
    <cellStyle name="Followed Hyperlink" xfId="3432" builtinId="9" hidden="1"/>
    <cellStyle name="Followed Hyperlink" xfId="3434" builtinId="9" hidden="1"/>
    <cellStyle name="Followed Hyperlink" xfId="3436" builtinId="9" hidden="1"/>
    <cellStyle name="Followed Hyperlink" xfId="3438" builtinId="9" hidden="1"/>
    <cellStyle name="Followed Hyperlink" xfId="3440" builtinId="9" hidden="1"/>
    <cellStyle name="Followed Hyperlink" xfId="3442" builtinId="9" hidden="1"/>
    <cellStyle name="Followed Hyperlink" xfId="3444" builtinId="9" hidden="1"/>
    <cellStyle name="Followed Hyperlink" xfId="3446" builtinId="9" hidden="1"/>
    <cellStyle name="Followed Hyperlink" xfId="3448" builtinId="9" hidden="1"/>
    <cellStyle name="Followed Hyperlink" xfId="3450" builtinId="9" hidden="1"/>
    <cellStyle name="Followed Hyperlink" xfId="3452" builtinId="9" hidden="1"/>
    <cellStyle name="Followed Hyperlink" xfId="3454" builtinId="9" hidden="1"/>
    <cellStyle name="Followed Hyperlink" xfId="3456" builtinId="9" hidden="1"/>
    <cellStyle name="Followed Hyperlink" xfId="3458" builtinId="9" hidden="1"/>
    <cellStyle name="Followed Hyperlink" xfId="3460" builtinId="9" hidden="1"/>
    <cellStyle name="Followed Hyperlink" xfId="3462" builtinId="9" hidden="1"/>
    <cellStyle name="Followed Hyperlink" xfId="3464" builtinId="9" hidden="1"/>
    <cellStyle name="Followed Hyperlink" xfId="3466" builtinId="9" hidden="1"/>
    <cellStyle name="Followed Hyperlink" xfId="3468" builtinId="9" hidden="1"/>
    <cellStyle name="Followed Hyperlink" xfId="3470" builtinId="9" hidden="1"/>
    <cellStyle name="Followed Hyperlink" xfId="3472" builtinId="9" hidden="1"/>
    <cellStyle name="Followed Hyperlink" xfId="3474" builtinId="9" hidden="1"/>
    <cellStyle name="Followed Hyperlink" xfId="3476" builtinId="9" hidden="1"/>
    <cellStyle name="Followed Hyperlink" xfId="3478" builtinId="9" hidden="1"/>
    <cellStyle name="Followed Hyperlink" xfId="3480" builtinId="9" hidden="1"/>
    <cellStyle name="Followed Hyperlink" xfId="3482" builtinId="9" hidden="1"/>
    <cellStyle name="Followed Hyperlink" xfId="3484" builtinId="9" hidden="1"/>
    <cellStyle name="Followed Hyperlink" xfId="3486" builtinId="9" hidden="1"/>
    <cellStyle name="Followed Hyperlink" xfId="3488" builtinId="9" hidden="1"/>
    <cellStyle name="Followed Hyperlink" xfId="3490" builtinId="9" hidden="1"/>
    <cellStyle name="Followed Hyperlink" xfId="3492" builtinId="9" hidden="1"/>
    <cellStyle name="Followed Hyperlink" xfId="3494" builtinId="9" hidden="1"/>
    <cellStyle name="Followed Hyperlink" xfId="3496" builtinId="9" hidden="1"/>
    <cellStyle name="Followed Hyperlink" xfId="3498" builtinId="9" hidden="1"/>
    <cellStyle name="Followed Hyperlink" xfId="3500" builtinId="9" hidden="1"/>
    <cellStyle name="Followed Hyperlink" xfId="3502" builtinId="9" hidden="1"/>
    <cellStyle name="Followed Hyperlink" xfId="3504" builtinId="9" hidden="1"/>
    <cellStyle name="Followed Hyperlink" xfId="3506" builtinId="9" hidden="1"/>
    <cellStyle name="Followed Hyperlink" xfId="3508" builtinId="9" hidden="1"/>
    <cellStyle name="Followed Hyperlink" xfId="3510" builtinId="9" hidden="1"/>
    <cellStyle name="Followed Hyperlink" xfId="3512" builtinId="9" hidden="1"/>
    <cellStyle name="Followed Hyperlink" xfId="3514" builtinId="9" hidden="1"/>
    <cellStyle name="Followed Hyperlink" xfId="3516" builtinId="9" hidden="1"/>
    <cellStyle name="Followed Hyperlink" xfId="3518" builtinId="9" hidden="1"/>
    <cellStyle name="Followed Hyperlink" xfId="3520" builtinId="9" hidden="1"/>
    <cellStyle name="Followed Hyperlink" xfId="3522" builtinId="9" hidden="1"/>
    <cellStyle name="Followed Hyperlink" xfId="3524" builtinId="9" hidden="1"/>
    <cellStyle name="Followed Hyperlink" xfId="3526" builtinId="9" hidden="1"/>
    <cellStyle name="Followed Hyperlink" xfId="3528" builtinId="9" hidden="1"/>
    <cellStyle name="Followed Hyperlink" xfId="3530" builtinId="9" hidden="1"/>
    <cellStyle name="Followed Hyperlink" xfId="3532" builtinId="9" hidden="1"/>
    <cellStyle name="Followed Hyperlink" xfId="3534" builtinId="9" hidden="1"/>
    <cellStyle name="Followed Hyperlink" xfId="3536" builtinId="9" hidden="1"/>
    <cellStyle name="Followed Hyperlink" xfId="3538" builtinId="9" hidden="1"/>
    <cellStyle name="Followed Hyperlink" xfId="3540" builtinId="9" hidden="1"/>
    <cellStyle name="Followed Hyperlink" xfId="3542" builtinId="9" hidden="1"/>
    <cellStyle name="Followed Hyperlink" xfId="3544" builtinId="9" hidden="1"/>
    <cellStyle name="Followed Hyperlink" xfId="3546" builtinId="9" hidden="1"/>
    <cellStyle name="Followed Hyperlink" xfId="3548" builtinId="9" hidden="1"/>
    <cellStyle name="Followed Hyperlink" xfId="3550" builtinId="9" hidden="1"/>
    <cellStyle name="Followed Hyperlink" xfId="3552" builtinId="9" hidden="1"/>
    <cellStyle name="Followed Hyperlink" xfId="3554" builtinId="9" hidden="1"/>
    <cellStyle name="Followed Hyperlink" xfId="3556" builtinId="9" hidden="1"/>
    <cellStyle name="Followed Hyperlink" xfId="3558" builtinId="9" hidden="1"/>
    <cellStyle name="Followed Hyperlink" xfId="3560" builtinId="9" hidden="1"/>
    <cellStyle name="Followed Hyperlink" xfId="3562" builtinId="9" hidden="1"/>
    <cellStyle name="Followed Hyperlink" xfId="3564" builtinId="9" hidden="1"/>
    <cellStyle name="Followed Hyperlink" xfId="3566" builtinId="9" hidden="1"/>
    <cellStyle name="Followed Hyperlink" xfId="3568" builtinId="9" hidden="1"/>
    <cellStyle name="Followed Hyperlink" xfId="3570" builtinId="9" hidden="1"/>
    <cellStyle name="Followed Hyperlink" xfId="3572" builtinId="9" hidden="1"/>
    <cellStyle name="Followed Hyperlink" xfId="3574" builtinId="9" hidden="1"/>
    <cellStyle name="Followed Hyperlink" xfId="3576" builtinId="9" hidden="1"/>
    <cellStyle name="Followed Hyperlink" xfId="3578" builtinId="9" hidden="1"/>
    <cellStyle name="Followed Hyperlink" xfId="3580" builtinId="9" hidden="1"/>
    <cellStyle name="Followed Hyperlink" xfId="3582" builtinId="9" hidden="1"/>
    <cellStyle name="Followed Hyperlink" xfId="3584" builtinId="9" hidden="1"/>
    <cellStyle name="Followed Hyperlink" xfId="3586" builtinId="9" hidden="1"/>
    <cellStyle name="Followed Hyperlink" xfId="3588" builtinId="9" hidden="1"/>
    <cellStyle name="Followed Hyperlink" xfId="3590" builtinId="9" hidden="1"/>
    <cellStyle name="Followed Hyperlink" xfId="3592" builtinId="9" hidden="1"/>
    <cellStyle name="Followed Hyperlink" xfId="3594" builtinId="9" hidden="1"/>
    <cellStyle name="Followed Hyperlink" xfId="3596" builtinId="9" hidden="1"/>
    <cellStyle name="Followed Hyperlink" xfId="3598" builtinId="9" hidden="1"/>
    <cellStyle name="Followed Hyperlink" xfId="3600" builtinId="9" hidden="1"/>
    <cellStyle name="Followed Hyperlink" xfId="3602" builtinId="9" hidden="1"/>
    <cellStyle name="Followed Hyperlink" xfId="3604" builtinId="9" hidden="1"/>
    <cellStyle name="Followed Hyperlink" xfId="3606" builtinId="9" hidden="1"/>
    <cellStyle name="Followed Hyperlink" xfId="3608" builtinId="9" hidden="1"/>
    <cellStyle name="Followed Hyperlink" xfId="3610" builtinId="9" hidden="1"/>
    <cellStyle name="Followed Hyperlink" xfId="3612" builtinId="9" hidden="1"/>
    <cellStyle name="Followed Hyperlink" xfId="3614" builtinId="9" hidden="1"/>
    <cellStyle name="Followed Hyperlink" xfId="3616" builtinId="9" hidden="1"/>
    <cellStyle name="Followed Hyperlink" xfId="3618" builtinId="9" hidden="1"/>
    <cellStyle name="Followed Hyperlink" xfId="3620" builtinId="9" hidden="1"/>
    <cellStyle name="Followed Hyperlink" xfId="3622" builtinId="9" hidden="1"/>
    <cellStyle name="Followed Hyperlink" xfId="3624" builtinId="9" hidden="1"/>
    <cellStyle name="Followed Hyperlink" xfId="3626" builtinId="9" hidden="1"/>
    <cellStyle name="Followed Hyperlink" xfId="3628" builtinId="9" hidden="1"/>
    <cellStyle name="Followed Hyperlink" xfId="3630" builtinId="9" hidden="1"/>
    <cellStyle name="Followed Hyperlink" xfId="3632" builtinId="9" hidden="1"/>
    <cellStyle name="Followed Hyperlink" xfId="3634" builtinId="9" hidden="1"/>
    <cellStyle name="Followed Hyperlink" xfId="3636" builtinId="9" hidden="1"/>
    <cellStyle name="Followed Hyperlink" xfId="3638" builtinId="9" hidden="1"/>
    <cellStyle name="Followed Hyperlink" xfId="3640" builtinId="9" hidden="1"/>
    <cellStyle name="Followed Hyperlink" xfId="3642" builtinId="9" hidden="1"/>
    <cellStyle name="Followed Hyperlink" xfId="3644" builtinId="9" hidden="1"/>
    <cellStyle name="Followed Hyperlink" xfId="3646" builtinId="9" hidden="1"/>
    <cellStyle name="Followed Hyperlink" xfId="3648" builtinId="9" hidden="1"/>
    <cellStyle name="Followed Hyperlink" xfId="3650" builtinId="9" hidden="1"/>
    <cellStyle name="Followed Hyperlink" xfId="3652" builtinId="9" hidden="1"/>
    <cellStyle name="Followed Hyperlink" xfId="3654" builtinId="9" hidden="1"/>
    <cellStyle name="Followed Hyperlink" xfId="3656" builtinId="9" hidden="1"/>
    <cellStyle name="Followed Hyperlink" xfId="3658" builtinId="9" hidden="1"/>
    <cellStyle name="Followed Hyperlink" xfId="3660" builtinId="9" hidden="1"/>
    <cellStyle name="Followed Hyperlink" xfId="3662" builtinId="9" hidden="1"/>
    <cellStyle name="Followed Hyperlink" xfId="3664" builtinId="9" hidden="1"/>
    <cellStyle name="Followed Hyperlink" xfId="3666" builtinId="9" hidden="1"/>
    <cellStyle name="Followed Hyperlink" xfId="3668" builtinId="9" hidden="1"/>
    <cellStyle name="Followed Hyperlink" xfId="3670" builtinId="9" hidden="1"/>
    <cellStyle name="Followed Hyperlink" xfId="3672" builtinId="9" hidden="1"/>
    <cellStyle name="Followed Hyperlink" xfId="3674" builtinId="9" hidden="1"/>
    <cellStyle name="Followed Hyperlink" xfId="3676" builtinId="9" hidden="1"/>
    <cellStyle name="Followed Hyperlink" xfId="3678" builtinId="9" hidden="1"/>
    <cellStyle name="Followed Hyperlink" xfId="3680" builtinId="9" hidden="1"/>
    <cellStyle name="Followed Hyperlink" xfId="3682" builtinId="9" hidden="1"/>
    <cellStyle name="Followed Hyperlink" xfId="3684" builtinId="9" hidden="1"/>
    <cellStyle name="Followed Hyperlink" xfId="3686" builtinId="9" hidden="1"/>
    <cellStyle name="Followed Hyperlink" xfId="3688" builtinId="9" hidden="1"/>
    <cellStyle name="Followed Hyperlink" xfId="3690" builtinId="9" hidden="1"/>
    <cellStyle name="Followed Hyperlink" xfId="3692" builtinId="9" hidden="1"/>
    <cellStyle name="Followed Hyperlink" xfId="3694" builtinId="9" hidden="1"/>
    <cellStyle name="Followed Hyperlink" xfId="3696" builtinId="9" hidden="1"/>
    <cellStyle name="Followed Hyperlink" xfId="3698" builtinId="9" hidden="1"/>
    <cellStyle name="Followed Hyperlink" xfId="3700" builtinId="9" hidden="1"/>
    <cellStyle name="Followed Hyperlink" xfId="3702" builtinId="9" hidden="1"/>
    <cellStyle name="Followed Hyperlink" xfId="3704" builtinId="9" hidden="1"/>
    <cellStyle name="Followed Hyperlink" xfId="3706" builtinId="9" hidden="1"/>
    <cellStyle name="Followed Hyperlink" xfId="3708" builtinId="9" hidden="1"/>
    <cellStyle name="Followed Hyperlink" xfId="3710" builtinId="9" hidden="1"/>
    <cellStyle name="Followed Hyperlink" xfId="3712" builtinId="9" hidden="1"/>
    <cellStyle name="Followed Hyperlink" xfId="3714" builtinId="9" hidden="1"/>
    <cellStyle name="Followed Hyperlink" xfId="3716" builtinId="9" hidden="1"/>
    <cellStyle name="Followed Hyperlink" xfId="3718" builtinId="9" hidden="1"/>
    <cellStyle name="Followed Hyperlink" xfId="3720" builtinId="9" hidden="1"/>
    <cellStyle name="Followed Hyperlink" xfId="3722" builtinId="9" hidden="1"/>
    <cellStyle name="Followed Hyperlink" xfId="3724" builtinId="9" hidden="1"/>
    <cellStyle name="Followed Hyperlink" xfId="3726" builtinId="9" hidden="1"/>
    <cellStyle name="Followed Hyperlink" xfId="3728" builtinId="9" hidden="1"/>
    <cellStyle name="Followed Hyperlink" xfId="3730" builtinId="9" hidden="1"/>
    <cellStyle name="Followed Hyperlink" xfId="3732" builtinId="9" hidden="1"/>
    <cellStyle name="Followed Hyperlink" xfId="3734" builtinId="9" hidden="1"/>
    <cellStyle name="Followed Hyperlink" xfId="3736" builtinId="9" hidden="1"/>
    <cellStyle name="Followed Hyperlink" xfId="3738" builtinId="9" hidden="1"/>
    <cellStyle name="Followed Hyperlink" xfId="3740" builtinId="9" hidden="1"/>
    <cellStyle name="Followed Hyperlink" xfId="3742" builtinId="9" hidden="1"/>
    <cellStyle name="Followed Hyperlink" xfId="3744" builtinId="9" hidden="1"/>
    <cellStyle name="Followed Hyperlink" xfId="3746" builtinId="9" hidden="1"/>
    <cellStyle name="Followed Hyperlink" xfId="3748" builtinId="9" hidden="1"/>
    <cellStyle name="Followed Hyperlink" xfId="3750" builtinId="9" hidden="1"/>
    <cellStyle name="Followed Hyperlink" xfId="3752" builtinId="9" hidden="1"/>
    <cellStyle name="Followed Hyperlink" xfId="3754" builtinId="9" hidden="1"/>
    <cellStyle name="Followed Hyperlink" xfId="3756" builtinId="9" hidden="1"/>
    <cellStyle name="Followed Hyperlink" xfId="3758" builtinId="9" hidden="1"/>
    <cellStyle name="Followed Hyperlink" xfId="3760" builtinId="9" hidden="1"/>
    <cellStyle name="Followed Hyperlink" xfId="3762" builtinId="9" hidden="1"/>
    <cellStyle name="Followed Hyperlink" xfId="3764" builtinId="9" hidden="1"/>
    <cellStyle name="Followed Hyperlink" xfId="3766" builtinId="9" hidden="1"/>
    <cellStyle name="Followed Hyperlink" xfId="3768" builtinId="9" hidden="1"/>
    <cellStyle name="Followed Hyperlink" xfId="3770" builtinId="9" hidden="1"/>
    <cellStyle name="Followed Hyperlink" xfId="3772" builtinId="9" hidden="1"/>
    <cellStyle name="Followed Hyperlink" xfId="3774" builtinId="9" hidden="1"/>
    <cellStyle name="Followed Hyperlink" xfId="3776" builtinId="9" hidden="1"/>
    <cellStyle name="Followed Hyperlink" xfId="3778" builtinId="9" hidden="1"/>
    <cellStyle name="Followed Hyperlink" xfId="3780" builtinId="9" hidden="1"/>
    <cellStyle name="Followed Hyperlink" xfId="3782" builtinId="9" hidden="1"/>
    <cellStyle name="Followed Hyperlink" xfId="3784" builtinId="9" hidden="1"/>
    <cellStyle name="Followed Hyperlink" xfId="3786" builtinId="9" hidden="1"/>
    <cellStyle name="Followed Hyperlink" xfId="3788" builtinId="9" hidden="1"/>
    <cellStyle name="Followed Hyperlink" xfId="3790" builtinId="9" hidden="1"/>
    <cellStyle name="Followed Hyperlink" xfId="3792" builtinId="9" hidden="1"/>
    <cellStyle name="Followed Hyperlink" xfId="3794" builtinId="9" hidden="1"/>
    <cellStyle name="Followed Hyperlink" xfId="3796" builtinId="9" hidden="1"/>
    <cellStyle name="Followed Hyperlink" xfId="3798" builtinId="9" hidden="1"/>
    <cellStyle name="Followed Hyperlink" xfId="3800" builtinId="9" hidden="1"/>
    <cellStyle name="Followed Hyperlink" xfId="3802" builtinId="9" hidden="1"/>
    <cellStyle name="Followed Hyperlink" xfId="3804" builtinId="9" hidden="1"/>
    <cellStyle name="Followed Hyperlink" xfId="3806" builtinId="9" hidden="1"/>
    <cellStyle name="Followed Hyperlink" xfId="3808" builtinId="9" hidden="1"/>
    <cellStyle name="Followed Hyperlink" xfId="3810" builtinId="9" hidden="1"/>
    <cellStyle name="Followed Hyperlink" xfId="3812" builtinId="9" hidden="1"/>
    <cellStyle name="Followed Hyperlink" xfId="3814" builtinId="9" hidden="1"/>
    <cellStyle name="Followed Hyperlink" xfId="3816" builtinId="9" hidden="1"/>
    <cellStyle name="Followed Hyperlink" xfId="3818" builtinId="9" hidden="1"/>
    <cellStyle name="Followed Hyperlink" xfId="3820" builtinId="9" hidden="1"/>
    <cellStyle name="Followed Hyperlink" xfId="3822" builtinId="9" hidden="1"/>
    <cellStyle name="Followed Hyperlink" xfId="3824" builtinId="9" hidden="1"/>
    <cellStyle name="Followed Hyperlink" xfId="3826" builtinId="9" hidden="1"/>
    <cellStyle name="Followed Hyperlink" xfId="3828" builtinId="9" hidden="1"/>
    <cellStyle name="Followed Hyperlink" xfId="3830" builtinId="9" hidden="1"/>
    <cellStyle name="Followed Hyperlink" xfId="3832" builtinId="9" hidden="1"/>
    <cellStyle name="Followed Hyperlink" xfId="3834" builtinId="9" hidden="1"/>
    <cellStyle name="Followed Hyperlink" xfId="3836" builtinId="9" hidden="1"/>
    <cellStyle name="Followed Hyperlink" xfId="3838" builtinId="9" hidden="1"/>
    <cellStyle name="Followed Hyperlink" xfId="3840" builtinId="9" hidden="1"/>
    <cellStyle name="Followed Hyperlink" xfId="3842" builtinId="9" hidden="1"/>
    <cellStyle name="Followed Hyperlink" xfId="3844" builtinId="9" hidden="1"/>
    <cellStyle name="Followed Hyperlink" xfId="3846" builtinId="9" hidden="1"/>
    <cellStyle name="Followed Hyperlink" xfId="3848" builtinId="9" hidden="1"/>
    <cellStyle name="Followed Hyperlink" xfId="3850" builtinId="9" hidden="1"/>
    <cellStyle name="Followed Hyperlink" xfId="3852" builtinId="9" hidden="1"/>
    <cellStyle name="Followed Hyperlink" xfId="3854" builtinId="9" hidden="1"/>
    <cellStyle name="Followed Hyperlink" xfId="3856" builtinId="9" hidden="1"/>
    <cellStyle name="Followed Hyperlink" xfId="3858" builtinId="9" hidden="1"/>
    <cellStyle name="Followed Hyperlink" xfId="3860" builtinId="9" hidden="1"/>
    <cellStyle name="Followed Hyperlink" xfId="3862" builtinId="9" hidden="1"/>
    <cellStyle name="Followed Hyperlink" xfId="3864" builtinId="9" hidden="1"/>
    <cellStyle name="Followed Hyperlink" xfId="3866" builtinId="9" hidden="1"/>
    <cellStyle name="Followed Hyperlink" xfId="3868" builtinId="9" hidden="1"/>
    <cellStyle name="Followed Hyperlink" xfId="3870" builtinId="9" hidden="1"/>
    <cellStyle name="Followed Hyperlink" xfId="3872" builtinId="9" hidden="1"/>
    <cellStyle name="Followed Hyperlink" xfId="3874" builtinId="9" hidden="1"/>
    <cellStyle name="Followed Hyperlink" xfId="3876" builtinId="9" hidden="1"/>
    <cellStyle name="Followed Hyperlink" xfId="3878" builtinId="9" hidden="1"/>
    <cellStyle name="Followed Hyperlink" xfId="3880" builtinId="9" hidden="1"/>
    <cellStyle name="Followed Hyperlink" xfId="3882" builtinId="9" hidden="1"/>
    <cellStyle name="Followed Hyperlink" xfId="3884" builtinId="9" hidden="1"/>
    <cellStyle name="Followed Hyperlink" xfId="3886" builtinId="9" hidden="1"/>
    <cellStyle name="Followed Hyperlink" xfId="3888" builtinId="9" hidden="1"/>
    <cellStyle name="Followed Hyperlink" xfId="3890" builtinId="9" hidden="1"/>
    <cellStyle name="Followed Hyperlink" xfId="3892" builtinId="9" hidden="1"/>
    <cellStyle name="Followed Hyperlink" xfId="3894" builtinId="9" hidden="1"/>
    <cellStyle name="Followed Hyperlink" xfId="3896" builtinId="9" hidden="1"/>
    <cellStyle name="Followed Hyperlink" xfId="3898" builtinId="9" hidden="1"/>
    <cellStyle name="Followed Hyperlink" xfId="3900" builtinId="9" hidden="1"/>
    <cellStyle name="Followed Hyperlink" xfId="3902" builtinId="9" hidden="1"/>
    <cellStyle name="Followed Hyperlink" xfId="3904" builtinId="9" hidden="1"/>
    <cellStyle name="Followed Hyperlink" xfId="3906" builtinId="9" hidden="1"/>
    <cellStyle name="Followed Hyperlink" xfId="3908" builtinId="9" hidden="1"/>
    <cellStyle name="Followed Hyperlink" xfId="3910" builtinId="9" hidden="1"/>
    <cellStyle name="Followed Hyperlink" xfId="3912" builtinId="9" hidden="1"/>
    <cellStyle name="Followed Hyperlink" xfId="3914" builtinId="9" hidden="1"/>
    <cellStyle name="Followed Hyperlink" xfId="3916" builtinId="9" hidden="1"/>
    <cellStyle name="Followed Hyperlink" xfId="3918" builtinId="9" hidden="1"/>
    <cellStyle name="Followed Hyperlink" xfId="3920" builtinId="9" hidden="1"/>
    <cellStyle name="Followed Hyperlink" xfId="3922" builtinId="9" hidden="1"/>
    <cellStyle name="Followed Hyperlink" xfId="3924" builtinId="9" hidden="1"/>
    <cellStyle name="Followed Hyperlink" xfId="3926" builtinId="9" hidden="1"/>
    <cellStyle name="Followed Hyperlink" xfId="3928" builtinId="9" hidden="1"/>
    <cellStyle name="Followed Hyperlink" xfId="3930" builtinId="9" hidden="1"/>
    <cellStyle name="Followed Hyperlink" xfId="3932" builtinId="9" hidden="1"/>
    <cellStyle name="Followed Hyperlink" xfId="3934" builtinId="9" hidden="1"/>
    <cellStyle name="Followed Hyperlink" xfId="3936" builtinId="9" hidden="1"/>
    <cellStyle name="Followed Hyperlink" xfId="3938" builtinId="9" hidden="1"/>
    <cellStyle name="Followed Hyperlink" xfId="3940" builtinId="9" hidden="1"/>
    <cellStyle name="Followed Hyperlink" xfId="3942" builtinId="9" hidden="1"/>
    <cellStyle name="Followed Hyperlink" xfId="3944" builtinId="9" hidden="1"/>
    <cellStyle name="Followed Hyperlink" xfId="3946" builtinId="9" hidden="1"/>
    <cellStyle name="Followed Hyperlink" xfId="3948" builtinId="9" hidden="1"/>
    <cellStyle name="Followed Hyperlink" xfId="3950" builtinId="9" hidden="1"/>
    <cellStyle name="Followed Hyperlink" xfId="3952" builtinId="9" hidden="1"/>
    <cellStyle name="Followed Hyperlink" xfId="3954" builtinId="9" hidden="1"/>
    <cellStyle name="Followed Hyperlink" xfId="3956" builtinId="9" hidden="1"/>
    <cellStyle name="Followed Hyperlink" xfId="3958" builtinId="9" hidden="1"/>
    <cellStyle name="Followed Hyperlink" xfId="3960" builtinId="9" hidden="1"/>
    <cellStyle name="Followed Hyperlink" xfId="3962" builtinId="9" hidden="1"/>
    <cellStyle name="Followed Hyperlink" xfId="3964" builtinId="9" hidden="1"/>
    <cellStyle name="Followed Hyperlink" xfId="3966" builtinId="9" hidden="1"/>
    <cellStyle name="Followed Hyperlink" xfId="3968" builtinId="9" hidden="1"/>
    <cellStyle name="Followed Hyperlink" xfId="3970" builtinId="9" hidden="1"/>
    <cellStyle name="Followed Hyperlink" xfId="3972" builtinId="9" hidden="1"/>
    <cellStyle name="Followed Hyperlink" xfId="3974" builtinId="9" hidden="1"/>
    <cellStyle name="Followed Hyperlink" xfId="3976" builtinId="9" hidden="1"/>
    <cellStyle name="Followed Hyperlink" xfId="3978" builtinId="9" hidden="1"/>
    <cellStyle name="Followed Hyperlink" xfId="3980" builtinId="9" hidden="1"/>
    <cellStyle name="Followed Hyperlink" xfId="3982" builtinId="9" hidden="1"/>
    <cellStyle name="Followed Hyperlink" xfId="3984" builtinId="9" hidden="1"/>
    <cellStyle name="Followed Hyperlink" xfId="3986" builtinId="9" hidden="1"/>
    <cellStyle name="Followed Hyperlink" xfId="3988" builtinId="9" hidden="1"/>
    <cellStyle name="Followed Hyperlink" xfId="3990" builtinId="9" hidden="1"/>
    <cellStyle name="Followed Hyperlink" xfId="3992" builtinId="9" hidden="1"/>
    <cellStyle name="Followed Hyperlink" xfId="3994" builtinId="9" hidden="1"/>
    <cellStyle name="Followed Hyperlink" xfId="3996" builtinId="9" hidden="1"/>
    <cellStyle name="Followed Hyperlink" xfId="3998" builtinId="9" hidden="1"/>
    <cellStyle name="Followed Hyperlink" xfId="4000" builtinId="9" hidden="1"/>
    <cellStyle name="Followed Hyperlink" xfId="4002" builtinId="9" hidden="1"/>
    <cellStyle name="Followed Hyperlink" xfId="4004" builtinId="9" hidden="1"/>
    <cellStyle name="Followed Hyperlink" xfId="4006" builtinId="9" hidden="1"/>
    <cellStyle name="Followed Hyperlink" xfId="4008" builtinId="9" hidden="1"/>
    <cellStyle name="Followed Hyperlink" xfId="4010" builtinId="9" hidden="1"/>
    <cellStyle name="Followed Hyperlink" xfId="4012" builtinId="9" hidden="1"/>
    <cellStyle name="Followed Hyperlink" xfId="4014" builtinId="9" hidden="1"/>
    <cellStyle name="Followed Hyperlink" xfId="4016" builtinId="9" hidden="1"/>
    <cellStyle name="Followed Hyperlink" xfId="4018" builtinId="9" hidden="1"/>
    <cellStyle name="Followed Hyperlink" xfId="4020" builtinId="9" hidden="1"/>
    <cellStyle name="Followed Hyperlink" xfId="4022" builtinId="9" hidden="1"/>
    <cellStyle name="Followed Hyperlink" xfId="4024" builtinId="9" hidden="1"/>
    <cellStyle name="Followed Hyperlink" xfId="4026" builtinId="9" hidden="1"/>
    <cellStyle name="Followed Hyperlink" xfId="4028" builtinId="9" hidden="1"/>
    <cellStyle name="Followed Hyperlink" xfId="4030" builtinId="9" hidden="1"/>
    <cellStyle name="Followed Hyperlink" xfId="4032" builtinId="9" hidden="1"/>
    <cellStyle name="Followed Hyperlink" xfId="4034" builtinId="9" hidden="1"/>
    <cellStyle name="Followed Hyperlink" xfId="4036" builtinId="9" hidden="1"/>
    <cellStyle name="Followed Hyperlink" xfId="4038" builtinId="9" hidden="1"/>
    <cellStyle name="Followed Hyperlink" xfId="4040" builtinId="9" hidden="1"/>
    <cellStyle name="Followed Hyperlink" xfId="4042" builtinId="9" hidden="1"/>
    <cellStyle name="Followed Hyperlink" xfId="4044" builtinId="9" hidden="1"/>
    <cellStyle name="Followed Hyperlink" xfId="4046" builtinId="9" hidden="1"/>
    <cellStyle name="Followed Hyperlink" xfId="4048" builtinId="9" hidden="1"/>
    <cellStyle name="Followed Hyperlink" xfId="4050" builtinId="9" hidden="1"/>
    <cellStyle name="Followed Hyperlink" xfId="4052" builtinId="9" hidden="1"/>
    <cellStyle name="Followed Hyperlink" xfId="4054" builtinId="9" hidden="1"/>
    <cellStyle name="Followed Hyperlink" xfId="4056" builtinId="9" hidden="1"/>
    <cellStyle name="Followed Hyperlink" xfId="4058" builtinId="9" hidden="1"/>
    <cellStyle name="Followed Hyperlink" xfId="4060" builtinId="9" hidden="1"/>
    <cellStyle name="Followed Hyperlink" xfId="4062" builtinId="9" hidden="1"/>
    <cellStyle name="Followed Hyperlink" xfId="4064" builtinId="9" hidden="1"/>
    <cellStyle name="Followed Hyperlink" xfId="4066" builtinId="9" hidden="1"/>
    <cellStyle name="Followed Hyperlink" xfId="4068" builtinId="9" hidden="1"/>
    <cellStyle name="Followed Hyperlink" xfId="4070" builtinId="9" hidden="1"/>
    <cellStyle name="Followed Hyperlink" xfId="4072" builtinId="9" hidden="1"/>
    <cellStyle name="Followed Hyperlink" xfId="4074" builtinId="9" hidden="1"/>
    <cellStyle name="Followed Hyperlink" xfId="4076" builtinId="9" hidden="1"/>
    <cellStyle name="Followed Hyperlink" xfId="4078" builtinId="9" hidden="1"/>
    <cellStyle name="Followed Hyperlink" xfId="4080" builtinId="9" hidden="1"/>
    <cellStyle name="Followed Hyperlink" xfId="4082" builtinId="9" hidden="1"/>
    <cellStyle name="Followed Hyperlink" xfId="4084" builtinId="9" hidden="1"/>
    <cellStyle name="Followed Hyperlink" xfId="4086" builtinId="9" hidden="1"/>
    <cellStyle name="Followed Hyperlink" xfId="4088" builtinId="9" hidden="1"/>
    <cellStyle name="Followed Hyperlink" xfId="4090" builtinId="9" hidden="1"/>
    <cellStyle name="Followed Hyperlink" xfId="4092" builtinId="9" hidden="1"/>
    <cellStyle name="Followed Hyperlink" xfId="4094" builtinId="9" hidden="1"/>
    <cellStyle name="Followed Hyperlink" xfId="4096" builtinId="9" hidden="1"/>
    <cellStyle name="Followed Hyperlink" xfId="4098" builtinId="9" hidden="1"/>
    <cellStyle name="Followed Hyperlink" xfId="4100" builtinId="9" hidden="1"/>
    <cellStyle name="Followed Hyperlink" xfId="4102" builtinId="9" hidden="1"/>
    <cellStyle name="Followed Hyperlink" xfId="4104" builtinId="9" hidden="1"/>
    <cellStyle name="Followed Hyperlink" xfId="4106" builtinId="9" hidden="1"/>
    <cellStyle name="Followed Hyperlink" xfId="4108" builtinId="9" hidden="1"/>
    <cellStyle name="Followed Hyperlink" xfId="4110" builtinId="9" hidden="1"/>
    <cellStyle name="Followed Hyperlink" xfId="4112" builtinId="9" hidden="1"/>
    <cellStyle name="Followed Hyperlink" xfId="4114" builtinId="9" hidden="1"/>
    <cellStyle name="Followed Hyperlink" xfId="4116" builtinId="9" hidden="1"/>
    <cellStyle name="Followed Hyperlink" xfId="4118" builtinId="9" hidden="1"/>
    <cellStyle name="Followed Hyperlink" xfId="4120" builtinId="9" hidden="1"/>
    <cellStyle name="Followed Hyperlink" xfId="4122" builtinId="9" hidden="1"/>
    <cellStyle name="Followed Hyperlink" xfId="4124" builtinId="9" hidden="1"/>
    <cellStyle name="Followed Hyperlink" xfId="4126" builtinId="9" hidden="1"/>
    <cellStyle name="Followed Hyperlink" xfId="4128" builtinId="9" hidden="1"/>
    <cellStyle name="Followed Hyperlink" xfId="4130" builtinId="9" hidden="1"/>
    <cellStyle name="Followed Hyperlink" xfId="4132" builtinId="9" hidden="1"/>
    <cellStyle name="Followed Hyperlink" xfId="4134" builtinId="9" hidden="1"/>
    <cellStyle name="Followed Hyperlink" xfId="4136" builtinId="9" hidden="1"/>
    <cellStyle name="Followed Hyperlink" xfId="4138" builtinId="9" hidden="1"/>
    <cellStyle name="Followed Hyperlink" xfId="4140" builtinId="9" hidden="1"/>
    <cellStyle name="Followed Hyperlink" xfId="4142" builtinId="9" hidden="1"/>
    <cellStyle name="Followed Hyperlink" xfId="4144" builtinId="9" hidden="1"/>
    <cellStyle name="Followed Hyperlink" xfId="4146" builtinId="9" hidden="1"/>
    <cellStyle name="Followed Hyperlink" xfId="4148" builtinId="9" hidden="1"/>
    <cellStyle name="Followed Hyperlink" xfId="4150" builtinId="9" hidden="1"/>
    <cellStyle name="Followed Hyperlink" xfId="4152" builtinId="9" hidden="1"/>
    <cellStyle name="Followed Hyperlink" xfId="4154" builtinId="9" hidden="1"/>
    <cellStyle name="Followed Hyperlink" xfId="4156" builtinId="9" hidden="1"/>
    <cellStyle name="Followed Hyperlink" xfId="4158" builtinId="9" hidden="1"/>
    <cellStyle name="Followed Hyperlink" xfId="4160" builtinId="9" hidden="1"/>
    <cellStyle name="Followed Hyperlink" xfId="4162" builtinId="9" hidden="1"/>
    <cellStyle name="Followed Hyperlink" xfId="4164" builtinId="9" hidden="1"/>
    <cellStyle name="Followed Hyperlink" xfId="4166" builtinId="9" hidden="1"/>
    <cellStyle name="Followed Hyperlink" xfId="4168" builtinId="9" hidden="1"/>
    <cellStyle name="Followed Hyperlink" xfId="4170" builtinId="9" hidden="1"/>
    <cellStyle name="Followed Hyperlink" xfId="4172" builtinId="9" hidden="1"/>
    <cellStyle name="Followed Hyperlink" xfId="4174" builtinId="9" hidden="1"/>
    <cellStyle name="Followed Hyperlink" xfId="4176" builtinId="9" hidden="1"/>
    <cellStyle name="Followed Hyperlink" xfId="4178" builtinId="9" hidden="1"/>
    <cellStyle name="Followed Hyperlink" xfId="4180" builtinId="9" hidden="1"/>
    <cellStyle name="Followed Hyperlink" xfId="4182" builtinId="9" hidden="1"/>
    <cellStyle name="Followed Hyperlink" xfId="4184" builtinId="9" hidden="1"/>
    <cellStyle name="Followed Hyperlink" xfId="4186" builtinId="9" hidden="1"/>
    <cellStyle name="Followed Hyperlink" xfId="4188" builtinId="9" hidden="1"/>
    <cellStyle name="Followed Hyperlink" xfId="4190" builtinId="9" hidden="1"/>
    <cellStyle name="Followed Hyperlink" xfId="4192" builtinId="9" hidden="1"/>
    <cellStyle name="Followed Hyperlink" xfId="4194" builtinId="9" hidden="1"/>
    <cellStyle name="Followed Hyperlink" xfId="4196" builtinId="9" hidden="1"/>
    <cellStyle name="Followed Hyperlink" xfId="4198" builtinId="9" hidden="1"/>
    <cellStyle name="Followed Hyperlink" xfId="4200" builtinId="9" hidden="1"/>
    <cellStyle name="Followed Hyperlink" xfId="4202" builtinId="9" hidden="1"/>
    <cellStyle name="Followed Hyperlink" xfId="4204" builtinId="9" hidden="1"/>
    <cellStyle name="Followed Hyperlink" xfId="4206" builtinId="9" hidden="1"/>
    <cellStyle name="Followed Hyperlink" xfId="4208" builtinId="9" hidden="1"/>
    <cellStyle name="Followed Hyperlink" xfId="4210" builtinId="9" hidden="1"/>
    <cellStyle name="Followed Hyperlink" xfId="4212" builtinId="9" hidden="1"/>
    <cellStyle name="Followed Hyperlink" xfId="4214" builtinId="9" hidden="1"/>
    <cellStyle name="Followed Hyperlink" xfId="4216" builtinId="9" hidden="1"/>
    <cellStyle name="Followed Hyperlink" xfId="4218" builtinId="9" hidden="1"/>
    <cellStyle name="Followed Hyperlink" xfId="4220" builtinId="9" hidden="1"/>
    <cellStyle name="Followed Hyperlink" xfId="4222" builtinId="9" hidden="1"/>
    <cellStyle name="Followed Hyperlink" xfId="4224" builtinId="9" hidden="1"/>
    <cellStyle name="Followed Hyperlink" xfId="4226" builtinId="9" hidden="1"/>
    <cellStyle name="Followed Hyperlink" xfId="4228" builtinId="9" hidden="1"/>
    <cellStyle name="Followed Hyperlink" xfId="4230" builtinId="9" hidden="1"/>
    <cellStyle name="Followed Hyperlink" xfId="4232" builtinId="9" hidden="1"/>
    <cellStyle name="Followed Hyperlink" xfId="4234" builtinId="9" hidden="1"/>
    <cellStyle name="Followed Hyperlink" xfId="4236" builtinId="9" hidden="1"/>
    <cellStyle name="Followed Hyperlink" xfId="4238" builtinId="9" hidden="1"/>
    <cellStyle name="Followed Hyperlink" xfId="4240" builtinId="9" hidden="1"/>
    <cellStyle name="Followed Hyperlink" xfId="4242" builtinId="9" hidden="1"/>
    <cellStyle name="Followed Hyperlink" xfId="4244" builtinId="9" hidden="1"/>
    <cellStyle name="Followed Hyperlink" xfId="4246" builtinId="9" hidden="1"/>
    <cellStyle name="Followed Hyperlink" xfId="4248" builtinId="9" hidden="1"/>
    <cellStyle name="Followed Hyperlink" xfId="4250" builtinId="9" hidden="1"/>
    <cellStyle name="Followed Hyperlink" xfId="4252" builtinId="9" hidden="1"/>
    <cellStyle name="Followed Hyperlink" xfId="4254" builtinId="9" hidden="1"/>
    <cellStyle name="Followed Hyperlink" xfId="4256" builtinId="9" hidden="1"/>
    <cellStyle name="Followed Hyperlink" xfId="4258" builtinId="9" hidden="1"/>
    <cellStyle name="Followed Hyperlink" xfId="4260" builtinId="9" hidden="1"/>
    <cellStyle name="Followed Hyperlink" xfId="4262" builtinId="9" hidden="1"/>
    <cellStyle name="Followed Hyperlink" xfId="4264" builtinId="9" hidden="1"/>
    <cellStyle name="Followed Hyperlink" xfId="4266" builtinId="9" hidden="1"/>
    <cellStyle name="Followed Hyperlink" xfId="4268" builtinId="9" hidden="1"/>
    <cellStyle name="Followed Hyperlink" xfId="4270" builtinId="9" hidden="1"/>
    <cellStyle name="Followed Hyperlink" xfId="4272" builtinId="9" hidden="1"/>
    <cellStyle name="Followed Hyperlink" xfId="4274" builtinId="9" hidden="1"/>
    <cellStyle name="Followed Hyperlink" xfId="4276" builtinId="9" hidden="1"/>
    <cellStyle name="Followed Hyperlink" xfId="4278" builtinId="9" hidden="1"/>
    <cellStyle name="Followed Hyperlink" xfId="4280" builtinId="9" hidden="1"/>
    <cellStyle name="Followed Hyperlink" xfId="4282" builtinId="9" hidden="1"/>
    <cellStyle name="Followed Hyperlink" xfId="4284" builtinId="9" hidden="1"/>
    <cellStyle name="Followed Hyperlink" xfId="4286" builtinId="9" hidden="1"/>
    <cellStyle name="Followed Hyperlink" xfId="4288" builtinId="9" hidden="1"/>
    <cellStyle name="Followed Hyperlink" xfId="4290" builtinId="9" hidden="1"/>
    <cellStyle name="Followed Hyperlink" xfId="4292" builtinId="9" hidden="1"/>
    <cellStyle name="Followed Hyperlink" xfId="4294" builtinId="9" hidden="1"/>
    <cellStyle name="Followed Hyperlink" xfId="4296" builtinId="9" hidden="1"/>
    <cellStyle name="Followed Hyperlink" xfId="4298" builtinId="9" hidden="1"/>
    <cellStyle name="Followed Hyperlink" xfId="4300" builtinId="9" hidden="1"/>
    <cellStyle name="Followed Hyperlink" xfId="4302" builtinId="9" hidden="1"/>
    <cellStyle name="Followed Hyperlink" xfId="4304" builtinId="9" hidden="1"/>
    <cellStyle name="Followed Hyperlink" xfId="4306" builtinId="9" hidden="1"/>
    <cellStyle name="Followed Hyperlink" xfId="4308" builtinId="9" hidden="1"/>
    <cellStyle name="Followed Hyperlink" xfId="4310" builtinId="9" hidden="1"/>
    <cellStyle name="Followed Hyperlink" xfId="4312" builtinId="9" hidden="1"/>
    <cellStyle name="Followed Hyperlink" xfId="4314" builtinId="9" hidden="1"/>
    <cellStyle name="Followed Hyperlink" xfId="4316" builtinId="9" hidden="1"/>
    <cellStyle name="Followed Hyperlink" xfId="4318" builtinId="9" hidden="1"/>
    <cellStyle name="Followed Hyperlink" xfId="4320" builtinId="9" hidden="1"/>
    <cellStyle name="Followed Hyperlink" xfId="4322" builtinId="9" hidden="1"/>
    <cellStyle name="Followed Hyperlink" xfId="4324" builtinId="9" hidden="1"/>
    <cellStyle name="Followed Hyperlink" xfId="4326" builtinId="9" hidden="1"/>
    <cellStyle name="Followed Hyperlink" xfId="4328" builtinId="9" hidden="1"/>
    <cellStyle name="Followed Hyperlink" xfId="4330" builtinId="9" hidden="1"/>
    <cellStyle name="Followed Hyperlink" xfId="4332" builtinId="9" hidden="1"/>
    <cellStyle name="Followed Hyperlink" xfId="4334" builtinId="9" hidden="1"/>
    <cellStyle name="Followed Hyperlink" xfId="4336" builtinId="9" hidden="1"/>
    <cellStyle name="Followed Hyperlink" xfId="4338" builtinId="9" hidden="1"/>
    <cellStyle name="Followed Hyperlink" xfId="4340" builtinId="9" hidden="1"/>
    <cellStyle name="Followed Hyperlink" xfId="4342" builtinId="9" hidden="1"/>
    <cellStyle name="Followed Hyperlink" xfId="4344" builtinId="9" hidden="1"/>
    <cellStyle name="Followed Hyperlink" xfId="4346" builtinId="9" hidden="1"/>
    <cellStyle name="Followed Hyperlink" xfId="4348" builtinId="9" hidden="1"/>
    <cellStyle name="Followed Hyperlink" xfId="4350" builtinId="9" hidden="1"/>
    <cellStyle name="Followed Hyperlink" xfId="4352" builtinId="9" hidden="1"/>
    <cellStyle name="Followed Hyperlink" xfId="4354" builtinId="9" hidden="1"/>
    <cellStyle name="Followed Hyperlink" xfId="4356" builtinId="9" hidden="1"/>
    <cellStyle name="Followed Hyperlink" xfId="4358" builtinId="9" hidden="1"/>
    <cellStyle name="Followed Hyperlink" xfId="4360" builtinId="9" hidden="1"/>
    <cellStyle name="Followed Hyperlink" xfId="4362" builtinId="9" hidden="1"/>
    <cellStyle name="Followed Hyperlink" xfId="4364" builtinId="9" hidden="1"/>
    <cellStyle name="Followed Hyperlink" xfId="4366" builtinId="9" hidden="1"/>
    <cellStyle name="Followed Hyperlink" xfId="4368" builtinId="9" hidden="1"/>
    <cellStyle name="Followed Hyperlink" xfId="437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281" builtinId="8" hidden="1"/>
    <cellStyle name="Hyperlink" xfId="1283" builtinId="8" hidden="1"/>
    <cellStyle name="Hyperlink" xfId="1285" builtinId="8" hidden="1"/>
    <cellStyle name="Hyperlink" xfId="1287" builtinId="8" hidden="1"/>
    <cellStyle name="Hyperlink" xfId="1289" builtinId="8" hidden="1"/>
    <cellStyle name="Hyperlink" xfId="1291" builtinId="8" hidden="1"/>
    <cellStyle name="Hyperlink" xfId="1293" builtinId="8" hidden="1"/>
    <cellStyle name="Hyperlink" xfId="1295" builtinId="8" hidden="1"/>
    <cellStyle name="Hyperlink" xfId="1297" builtinId="8" hidden="1"/>
    <cellStyle name="Hyperlink" xfId="1299" builtinId="8" hidden="1"/>
    <cellStyle name="Hyperlink" xfId="1301" builtinId="8" hidden="1"/>
    <cellStyle name="Hyperlink" xfId="1303" builtinId="8" hidden="1"/>
    <cellStyle name="Hyperlink" xfId="1305" builtinId="8" hidden="1"/>
    <cellStyle name="Hyperlink" xfId="1307" builtinId="8" hidden="1"/>
    <cellStyle name="Hyperlink" xfId="1309" builtinId="8" hidden="1"/>
    <cellStyle name="Hyperlink" xfId="1311" builtinId="8" hidden="1"/>
    <cellStyle name="Hyperlink" xfId="1313" builtinId="8" hidden="1"/>
    <cellStyle name="Hyperlink" xfId="1315" builtinId="8" hidden="1"/>
    <cellStyle name="Hyperlink" xfId="1317" builtinId="8" hidden="1"/>
    <cellStyle name="Hyperlink" xfId="1319" builtinId="8" hidden="1"/>
    <cellStyle name="Hyperlink" xfId="1321" builtinId="8" hidden="1"/>
    <cellStyle name="Hyperlink" xfId="1323" builtinId="8" hidden="1"/>
    <cellStyle name="Hyperlink" xfId="1325" builtinId="8" hidden="1"/>
    <cellStyle name="Hyperlink" xfId="1327" builtinId="8" hidden="1"/>
    <cellStyle name="Hyperlink" xfId="1329" builtinId="8" hidden="1"/>
    <cellStyle name="Hyperlink" xfId="1331" builtinId="8" hidden="1"/>
    <cellStyle name="Hyperlink" xfId="1333" builtinId="8" hidden="1"/>
    <cellStyle name="Hyperlink" xfId="1335" builtinId="8" hidden="1"/>
    <cellStyle name="Hyperlink" xfId="1337" builtinId="8" hidden="1"/>
    <cellStyle name="Hyperlink" xfId="1339" builtinId="8" hidden="1"/>
    <cellStyle name="Hyperlink" xfId="1341" builtinId="8" hidden="1"/>
    <cellStyle name="Hyperlink" xfId="1343" builtinId="8" hidden="1"/>
    <cellStyle name="Hyperlink" xfId="1345" builtinId="8" hidden="1"/>
    <cellStyle name="Hyperlink" xfId="1347" builtinId="8" hidden="1"/>
    <cellStyle name="Hyperlink" xfId="1349" builtinId="8" hidden="1"/>
    <cellStyle name="Hyperlink" xfId="1351" builtinId="8" hidden="1"/>
    <cellStyle name="Hyperlink" xfId="1353" builtinId="8" hidden="1"/>
    <cellStyle name="Hyperlink" xfId="1355" builtinId="8" hidden="1"/>
    <cellStyle name="Hyperlink" xfId="1357" builtinId="8" hidden="1"/>
    <cellStyle name="Hyperlink" xfId="1359" builtinId="8" hidden="1"/>
    <cellStyle name="Hyperlink" xfId="1361" builtinId="8" hidden="1"/>
    <cellStyle name="Hyperlink" xfId="1363" builtinId="8" hidden="1"/>
    <cellStyle name="Hyperlink" xfId="1365" builtinId="8" hidden="1"/>
    <cellStyle name="Hyperlink" xfId="1367" builtinId="8" hidden="1"/>
    <cellStyle name="Hyperlink" xfId="1369" builtinId="8" hidden="1"/>
    <cellStyle name="Hyperlink" xfId="1371" builtinId="8" hidden="1"/>
    <cellStyle name="Hyperlink" xfId="1373" builtinId="8" hidden="1"/>
    <cellStyle name="Hyperlink" xfId="1375" builtinId="8" hidden="1"/>
    <cellStyle name="Hyperlink" xfId="1377" builtinId="8" hidden="1"/>
    <cellStyle name="Hyperlink" xfId="1379" builtinId="8" hidden="1"/>
    <cellStyle name="Hyperlink" xfId="1381" builtinId="8" hidden="1"/>
    <cellStyle name="Hyperlink" xfId="1383" builtinId="8" hidden="1"/>
    <cellStyle name="Hyperlink" xfId="1385" builtinId="8" hidden="1"/>
    <cellStyle name="Hyperlink" xfId="1387" builtinId="8" hidden="1"/>
    <cellStyle name="Hyperlink" xfId="1389" builtinId="8" hidden="1"/>
    <cellStyle name="Hyperlink" xfId="1391" builtinId="8" hidden="1"/>
    <cellStyle name="Hyperlink" xfId="1393" builtinId="8" hidden="1"/>
    <cellStyle name="Hyperlink" xfId="1395" builtinId="8" hidden="1"/>
    <cellStyle name="Hyperlink" xfId="1397" builtinId="8" hidden="1"/>
    <cellStyle name="Hyperlink" xfId="1399" builtinId="8" hidden="1"/>
    <cellStyle name="Hyperlink" xfId="1401" builtinId="8" hidden="1"/>
    <cellStyle name="Hyperlink" xfId="1403" builtinId="8" hidden="1"/>
    <cellStyle name="Hyperlink" xfId="1405" builtinId="8" hidden="1"/>
    <cellStyle name="Hyperlink" xfId="1407" builtinId="8" hidden="1"/>
    <cellStyle name="Hyperlink" xfId="1409" builtinId="8" hidden="1"/>
    <cellStyle name="Hyperlink" xfId="1411" builtinId="8" hidden="1"/>
    <cellStyle name="Hyperlink" xfId="1413" builtinId="8" hidden="1"/>
    <cellStyle name="Hyperlink" xfId="1415" builtinId="8" hidden="1"/>
    <cellStyle name="Hyperlink" xfId="1417" builtinId="8" hidden="1"/>
    <cellStyle name="Hyperlink" xfId="1419" builtinId="8" hidden="1"/>
    <cellStyle name="Hyperlink" xfId="1421" builtinId="8" hidden="1"/>
    <cellStyle name="Hyperlink" xfId="1423" builtinId="8" hidden="1"/>
    <cellStyle name="Hyperlink" xfId="1425" builtinId="8" hidden="1"/>
    <cellStyle name="Hyperlink" xfId="1427" builtinId="8" hidden="1"/>
    <cellStyle name="Hyperlink" xfId="1429" builtinId="8" hidden="1"/>
    <cellStyle name="Hyperlink" xfId="1431" builtinId="8" hidden="1"/>
    <cellStyle name="Hyperlink" xfId="1433" builtinId="8" hidden="1"/>
    <cellStyle name="Hyperlink" xfId="1435" builtinId="8" hidden="1"/>
    <cellStyle name="Hyperlink" xfId="1437" builtinId="8" hidden="1"/>
    <cellStyle name="Hyperlink" xfId="1439" builtinId="8" hidden="1"/>
    <cellStyle name="Hyperlink" xfId="1441" builtinId="8" hidden="1"/>
    <cellStyle name="Hyperlink" xfId="1443" builtinId="8" hidden="1"/>
    <cellStyle name="Hyperlink" xfId="1445" builtinId="8" hidden="1"/>
    <cellStyle name="Hyperlink" xfId="1447" builtinId="8" hidden="1"/>
    <cellStyle name="Hyperlink" xfId="1449" builtinId="8" hidden="1"/>
    <cellStyle name="Hyperlink" xfId="1451" builtinId="8" hidden="1"/>
    <cellStyle name="Hyperlink" xfId="1453" builtinId="8" hidden="1"/>
    <cellStyle name="Hyperlink" xfId="1455" builtinId="8" hidden="1"/>
    <cellStyle name="Hyperlink" xfId="1457" builtinId="8" hidden="1"/>
    <cellStyle name="Hyperlink" xfId="1459" builtinId="8" hidden="1"/>
    <cellStyle name="Hyperlink" xfId="1461" builtinId="8" hidden="1"/>
    <cellStyle name="Hyperlink" xfId="1463" builtinId="8" hidden="1"/>
    <cellStyle name="Hyperlink" xfId="1465" builtinId="8" hidden="1"/>
    <cellStyle name="Hyperlink" xfId="1467" builtinId="8" hidden="1"/>
    <cellStyle name="Hyperlink" xfId="1469" builtinId="8" hidden="1"/>
    <cellStyle name="Hyperlink" xfId="1471" builtinId="8" hidden="1"/>
    <cellStyle name="Hyperlink" xfId="1473" builtinId="8" hidden="1"/>
    <cellStyle name="Hyperlink" xfId="1475" builtinId="8" hidden="1"/>
    <cellStyle name="Hyperlink" xfId="1477" builtinId="8" hidden="1"/>
    <cellStyle name="Hyperlink" xfId="1479" builtinId="8" hidden="1"/>
    <cellStyle name="Hyperlink" xfId="1481" builtinId="8" hidden="1"/>
    <cellStyle name="Hyperlink" xfId="1483" builtinId="8" hidden="1"/>
    <cellStyle name="Hyperlink" xfId="1485" builtinId="8" hidden="1"/>
    <cellStyle name="Hyperlink" xfId="1487" builtinId="8" hidden="1"/>
    <cellStyle name="Hyperlink" xfId="1489" builtinId="8" hidden="1"/>
    <cellStyle name="Hyperlink" xfId="1491" builtinId="8" hidden="1"/>
    <cellStyle name="Hyperlink" xfId="1493" builtinId="8" hidden="1"/>
    <cellStyle name="Hyperlink" xfId="1495" builtinId="8" hidden="1"/>
    <cellStyle name="Hyperlink" xfId="1497" builtinId="8" hidden="1"/>
    <cellStyle name="Hyperlink" xfId="1499" builtinId="8" hidden="1"/>
    <cellStyle name="Hyperlink" xfId="1501" builtinId="8" hidden="1"/>
    <cellStyle name="Hyperlink" xfId="1503" builtinId="8" hidden="1"/>
    <cellStyle name="Hyperlink" xfId="1505" builtinId="8" hidden="1"/>
    <cellStyle name="Hyperlink" xfId="1507" builtinId="8" hidden="1"/>
    <cellStyle name="Hyperlink" xfId="1509" builtinId="8" hidden="1"/>
    <cellStyle name="Hyperlink" xfId="1511" builtinId="8" hidden="1"/>
    <cellStyle name="Hyperlink" xfId="1513" builtinId="8" hidden="1"/>
    <cellStyle name="Hyperlink" xfId="1515" builtinId="8" hidden="1"/>
    <cellStyle name="Hyperlink" xfId="1517" builtinId="8" hidden="1"/>
    <cellStyle name="Hyperlink" xfId="1519" builtinId="8" hidden="1"/>
    <cellStyle name="Hyperlink" xfId="1521" builtinId="8" hidden="1"/>
    <cellStyle name="Hyperlink" xfId="1523" builtinId="8" hidden="1"/>
    <cellStyle name="Hyperlink" xfId="1525" builtinId="8" hidden="1"/>
    <cellStyle name="Hyperlink" xfId="1527" builtinId="8" hidden="1"/>
    <cellStyle name="Hyperlink" xfId="1529" builtinId="8" hidden="1"/>
    <cellStyle name="Hyperlink" xfId="1531" builtinId="8" hidden="1"/>
    <cellStyle name="Hyperlink" xfId="1533" builtinId="8" hidden="1"/>
    <cellStyle name="Hyperlink" xfId="1535" builtinId="8" hidden="1"/>
    <cellStyle name="Hyperlink" xfId="1537" builtinId="8" hidden="1"/>
    <cellStyle name="Hyperlink" xfId="1539" builtinId="8" hidden="1"/>
    <cellStyle name="Hyperlink" xfId="1541" builtinId="8" hidden="1"/>
    <cellStyle name="Hyperlink" xfId="1543" builtinId="8" hidden="1"/>
    <cellStyle name="Hyperlink" xfId="1545" builtinId="8" hidden="1"/>
    <cellStyle name="Hyperlink" xfId="1547" builtinId="8" hidden="1"/>
    <cellStyle name="Hyperlink" xfId="1549" builtinId="8" hidden="1"/>
    <cellStyle name="Hyperlink" xfId="1551" builtinId="8" hidden="1"/>
    <cellStyle name="Hyperlink" xfId="1553" builtinId="8" hidden="1"/>
    <cellStyle name="Hyperlink" xfId="1555" builtinId="8" hidden="1"/>
    <cellStyle name="Hyperlink" xfId="1557" builtinId="8" hidden="1"/>
    <cellStyle name="Hyperlink" xfId="1559" builtinId="8" hidden="1"/>
    <cellStyle name="Hyperlink" xfId="1561" builtinId="8" hidden="1"/>
    <cellStyle name="Hyperlink" xfId="1563" builtinId="8" hidden="1"/>
    <cellStyle name="Hyperlink" xfId="1565" builtinId="8" hidden="1"/>
    <cellStyle name="Hyperlink" xfId="1567" builtinId="8" hidden="1"/>
    <cellStyle name="Hyperlink" xfId="1569" builtinId="8" hidden="1"/>
    <cellStyle name="Hyperlink" xfId="1571" builtinId="8" hidden="1"/>
    <cellStyle name="Hyperlink" xfId="1573" builtinId="8" hidden="1"/>
    <cellStyle name="Hyperlink" xfId="1575" builtinId="8" hidden="1"/>
    <cellStyle name="Hyperlink" xfId="1577" builtinId="8" hidden="1"/>
    <cellStyle name="Hyperlink" xfId="1579" builtinId="8" hidden="1"/>
    <cellStyle name="Hyperlink" xfId="1581" builtinId="8" hidden="1"/>
    <cellStyle name="Hyperlink" xfId="1583" builtinId="8" hidden="1"/>
    <cellStyle name="Hyperlink" xfId="1585" builtinId="8" hidden="1"/>
    <cellStyle name="Hyperlink" xfId="1587" builtinId="8" hidden="1"/>
    <cellStyle name="Hyperlink" xfId="1589" builtinId="8" hidden="1"/>
    <cellStyle name="Hyperlink" xfId="1591" builtinId="8" hidden="1"/>
    <cellStyle name="Hyperlink" xfId="1593" builtinId="8" hidden="1"/>
    <cellStyle name="Hyperlink" xfId="1595" builtinId="8" hidden="1"/>
    <cellStyle name="Hyperlink" xfId="1597" builtinId="8" hidden="1"/>
    <cellStyle name="Hyperlink" xfId="1599" builtinId="8" hidden="1"/>
    <cellStyle name="Hyperlink" xfId="1601" builtinId="8" hidden="1"/>
    <cellStyle name="Hyperlink" xfId="1603" builtinId="8" hidden="1"/>
    <cellStyle name="Hyperlink" xfId="1605" builtinId="8" hidden="1"/>
    <cellStyle name="Hyperlink" xfId="1607" builtinId="8" hidden="1"/>
    <cellStyle name="Hyperlink" xfId="1609" builtinId="8" hidden="1"/>
    <cellStyle name="Hyperlink" xfId="1611" builtinId="8" hidden="1"/>
    <cellStyle name="Hyperlink" xfId="1613" builtinId="8" hidden="1"/>
    <cellStyle name="Hyperlink" xfId="1615" builtinId="8" hidden="1"/>
    <cellStyle name="Hyperlink" xfId="1617" builtinId="8" hidden="1"/>
    <cellStyle name="Hyperlink" xfId="1619" builtinId="8" hidden="1"/>
    <cellStyle name="Hyperlink" xfId="1621" builtinId="8" hidden="1"/>
    <cellStyle name="Hyperlink" xfId="1623" builtinId="8" hidden="1"/>
    <cellStyle name="Hyperlink" xfId="1625" builtinId="8" hidden="1"/>
    <cellStyle name="Hyperlink" xfId="1627" builtinId="8" hidden="1"/>
    <cellStyle name="Hyperlink" xfId="1629" builtinId="8" hidden="1"/>
    <cellStyle name="Hyperlink" xfId="1631" builtinId="8" hidden="1"/>
    <cellStyle name="Hyperlink" xfId="1633" builtinId="8" hidden="1"/>
    <cellStyle name="Hyperlink" xfId="1635" builtinId="8" hidden="1"/>
    <cellStyle name="Hyperlink" xfId="1637" builtinId="8" hidden="1"/>
    <cellStyle name="Hyperlink" xfId="1639" builtinId="8" hidden="1"/>
    <cellStyle name="Hyperlink" xfId="1641" builtinId="8" hidden="1"/>
    <cellStyle name="Hyperlink" xfId="1643" builtinId="8" hidden="1"/>
    <cellStyle name="Hyperlink" xfId="1645" builtinId="8" hidden="1"/>
    <cellStyle name="Hyperlink" xfId="1647" builtinId="8" hidden="1"/>
    <cellStyle name="Hyperlink" xfId="1649" builtinId="8" hidden="1"/>
    <cellStyle name="Hyperlink" xfId="1651" builtinId="8" hidden="1"/>
    <cellStyle name="Hyperlink" xfId="1653" builtinId="8" hidden="1"/>
    <cellStyle name="Hyperlink" xfId="1655" builtinId="8" hidden="1"/>
    <cellStyle name="Hyperlink" xfId="1657" builtinId="8" hidden="1"/>
    <cellStyle name="Hyperlink" xfId="1659" builtinId="8" hidden="1"/>
    <cellStyle name="Hyperlink" xfId="1661" builtinId="8" hidden="1"/>
    <cellStyle name="Hyperlink" xfId="1663" builtinId="8" hidden="1"/>
    <cellStyle name="Hyperlink" xfId="1665" builtinId="8" hidden="1"/>
    <cellStyle name="Hyperlink" xfId="1667" builtinId="8" hidden="1"/>
    <cellStyle name="Hyperlink" xfId="1669" builtinId="8" hidden="1"/>
    <cellStyle name="Hyperlink" xfId="1671" builtinId="8" hidden="1"/>
    <cellStyle name="Hyperlink" xfId="1673" builtinId="8" hidden="1"/>
    <cellStyle name="Hyperlink" xfId="1675" builtinId="8" hidden="1"/>
    <cellStyle name="Hyperlink" xfId="1677" builtinId="8" hidden="1"/>
    <cellStyle name="Hyperlink" xfId="1679" builtinId="8" hidden="1"/>
    <cellStyle name="Hyperlink" xfId="1681" builtinId="8" hidden="1"/>
    <cellStyle name="Hyperlink" xfId="1683" builtinId="8" hidden="1"/>
    <cellStyle name="Hyperlink" xfId="1685" builtinId="8" hidden="1"/>
    <cellStyle name="Hyperlink" xfId="1687" builtinId="8" hidden="1"/>
    <cellStyle name="Hyperlink" xfId="1689" builtinId="8" hidden="1"/>
    <cellStyle name="Hyperlink" xfId="1691" builtinId="8" hidden="1"/>
    <cellStyle name="Hyperlink" xfId="1693" builtinId="8" hidden="1"/>
    <cellStyle name="Hyperlink" xfId="1695" builtinId="8" hidden="1"/>
    <cellStyle name="Hyperlink" xfId="1697" builtinId="8" hidden="1"/>
    <cellStyle name="Hyperlink" xfId="1699" builtinId="8" hidden="1"/>
    <cellStyle name="Hyperlink" xfId="1701" builtinId="8" hidden="1"/>
    <cellStyle name="Hyperlink" xfId="1703" builtinId="8" hidden="1"/>
    <cellStyle name="Hyperlink" xfId="1705" builtinId="8" hidden="1"/>
    <cellStyle name="Hyperlink" xfId="1707" builtinId="8" hidden="1"/>
    <cellStyle name="Hyperlink" xfId="1709" builtinId="8" hidden="1"/>
    <cellStyle name="Hyperlink" xfId="1711" builtinId="8" hidden="1"/>
    <cellStyle name="Hyperlink" xfId="1713" builtinId="8" hidden="1"/>
    <cellStyle name="Hyperlink" xfId="1715" builtinId="8" hidden="1"/>
    <cellStyle name="Hyperlink" xfId="1717" builtinId="8" hidden="1"/>
    <cellStyle name="Hyperlink" xfId="1719" builtinId="8" hidden="1"/>
    <cellStyle name="Hyperlink" xfId="1721" builtinId="8" hidden="1"/>
    <cellStyle name="Hyperlink" xfId="1723" builtinId="8" hidden="1"/>
    <cellStyle name="Hyperlink" xfId="1725" builtinId="8" hidden="1"/>
    <cellStyle name="Hyperlink" xfId="1727" builtinId="8" hidden="1"/>
    <cellStyle name="Hyperlink" xfId="1729" builtinId="8" hidden="1"/>
    <cellStyle name="Hyperlink" xfId="1731" builtinId="8" hidden="1"/>
    <cellStyle name="Hyperlink" xfId="1733" builtinId="8" hidden="1"/>
    <cellStyle name="Hyperlink" xfId="1735" builtinId="8" hidden="1"/>
    <cellStyle name="Hyperlink" xfId="1737" builtinId="8" hidden="1"/>
    <cellStyle name="Hyperlink" xfId="1739" builtinId="8" hidden="1"/>
    <cellStyle name="Hyperlink" xfId="1741" builtinId="8" hidden="1"/>
    <cellStyle name="Hyperlink" xfId="1743" builtinId="8" hidden="1"/>
    <cellStyle name="Hyperlink" xfId="1745" builtinId="8" hidden="1"/>
    <cellStyle name="Hyperlink" xfId="1747" builtinId="8" hidden="1"/>
    <cellStyle name="Hyperlink" xfId="1749" builtinId="8" hidden="1"/>
    <cellStyle name="Hyperlink" xfId="1751" builtinId="8" hidden="1"/>
    <cellStyle name="Hyperlink" xfId="1753" builtinId="8" hidden="1"/>
    <cellStyle name="Hyperlink" xfId="1755" builtinId="8" hidden="1"/>
    <cellStyle name="Hyperlink" xfId="1757" builtinId="8" hidden="1"/>
    <cellStyle name="Hyperlink" xfId="1759" builtinId="8" hidden="1"/>
    <cellStyle name="Hyperlink" xfId="1761" builtinId="8" hidden="1"/>
    <cellStyle name="Hyperlink" xfId="1763" builtinId="8" hidden="1"/>
    <cellStyle name="Hyperlink" xfId="1765" builtinId="8" hidden="1"/>
    <cellStyle name="Hyperlink" xfId="1767" builtinId="8" hidden="1"/>
    <cellStyle name="Hyperlink" xfId="1769" builtinId="8" hidden="1"/>
    <cellStyle name="Hyperlink" xfId="1771" builtinId="8" hidden="1"/>
    <cellStyle name="Hyperlink" xfId="1773" builtinId="8" hidden="1"/>
    <cellStyle name="Hyperlink" xfId="1775" builtinId="8" hidden="1"/>
    <cellStyle name="Hyperlink" xfId="1777" builtinId="8" hidden="1"/>
    <cellStyle name="Hyperlink" xfId="1779" builtinId="8" hidden="1"/>
    <cellStyle name="Hyperlink" xfId="1781" builtinId="8" hidden="1"/>
    <cellStyle name="Hyperlink" xfId="1783" builtinId="8" hidden="1"/>
    <cellStyle name="Hyperlink" xfId="1785" builtinId="8" hidden="1"/>
    <cellStyle name="Hyperlink" xfId="1787" builtinId="8" hidden="1"/>
    <cellStyle name="Hyperlink" xfId="1789" builtinId="8" hidden="1"/>
    <cellStyle name="Hyperlink" xfId="1791" builtinId="8" hidden="1"/>
    <cellStyle name="Hyperlink" xfId="1793" builtinId="8" hidden="1"/>
    <cellStyle name="Hyperlink" xfId="1795" builtinId="8" hidden="1"/>
    <cellStyle name="Hyperlink" xfId="1797" builtinId="8" hidden="1"/>
    <cellStyle name="Hyperlink" xfId="1799" builtinId="8" hidden="1"/>
    <cellStyle name="Hyperlink" xfId="1801" builtinId="8" hidden="1"/>
    <cellStyle name="Hyperlink" xfId="1803" builtinId="8" hidden="1"/>
    <cellStyle name="Hyperlink" xfId="1805" builtinId="8" hidden="1"/>
    <cellStyle name="Hyperlink" xfId="1807" builtinId="8" hidden="1"/>
    <cellStyle name="Hyperlink" xfId="1809" builtinId="8" hidden="1"/>
    <cellStyle name="Hyperlink" xfId="1811" builtinId="8" hidden="1"/>
    <cellStyle name="Hyperlink" xfId="1813" builtinId="8" hidden="1"/>
    <cellStyle name="Hyperlink" xfId="1815" builtinId="8" hidden="1"/>
    <cellStyle name="Hyperlink" xfId="1817" builtinId="8" hidden="1"/>
    <cellStyle name="Hyperlink" xfId="1819" builtinId="8" hidden="1"/>
    <cellStyle name="Hyperlink" xfId="1821" builtinId="8" hidden="1"/>
    <cellStyle name="Hyperlink" xfId="1823" builtinId="8" hidden="1"/>
    <cellStyle name="Hyperlink" xfId="1825" builtinId="8" hidden="1"/>
    <cellStyle name="Hyperlink" xfId="1827" builtinId="8" hidden="1"/>
    <cellStyle name="Hyperlink" xfId="1829" builtinId="8" hidden="1"/>
    <cellStyle name="Hyperlink" xfId="1831" builtinId="8" hidden="1"/>
    <cellStyle name="Hyperlink" xfId="1833" builtinId="8" hidden="1"/>
    <cellStyle name="Hyperlink" xfId="1835" builtinId="8" hidden="1"/>
    <cellStyle name="Hyperlink" xfId="1837" builtinId="8" hidden="1"/>
    <cellStyle name="Hyperlink" xfId="1839" builtinId="8" hidden="1"/>
    <cellStyle name="Hyperlink" xfId="1841" builtinId="8" hidden="1"/>
    <cellStyle name="Hyperlink" xfId="1843" builtinId="8" hidden="1"/>
    <cellStyle name="Hyperlink" xfId="1845" builtinId="8" hidden="1"/>
    <cellStyle name="Hyperlink" xfId="1847" builtinId="8" hidden="1"/>
    <cellStyle name="Hyperlink" xfId="1849" builtinId="8" hidden="1"/>
    <cellStyle name="Hyperlink" xfId="1851" builtinId="8" hidden="1"/>
    <cellStyle name="Hyperlink" xfId="1853" builtinId="8" hidden="1"/>
    <cellStyle name="Hyperlink" xfId="1855" builtinId="8" hidden="1"/>
    <cellStyle name="Hyperlink" xfId="1857" builtinId="8" hidden="1"/>
    <cellStyle name="Hyperlink" xfId="1859" builtinId="8" hidden="1"/>
    <cellStyle name="Hyperlink" xfId="1861" builtinId="8" hidden="1"/>
    <cellStyle name="Hyperlink" xfId="1863" builtinId="8" hidden="1"/>
    <cellStyle name="Hyperlink" xfId="1865" builtinId="8" hidden="1"/>
    <cellStyle name="Hyperlink" xfId="1867" builtinId="8" hidden="1"/>
    <cellStyle name="Hyperlink" xfId="1869" builtinId="8" hidden="1"/>
    <cellStyle name="Hyperlink" xfId="1871" builtinId="8" hidden="1"/>
    <cellStyle name="Hyperlink" xfId="1873" builtinId="8" hidden="1"/>
    <cellStyle name="Hyperlink" xfId="1875" builtinId="8" hidden="1"/>
    <cellStyle name="Hyperlink" xfId="1877" builtinId="8" hidden="1"/>
    <cellStyle name="Hyperlink" xfId="1879" builtinId="8" hidden="1"/>
    <cellStyle name="Hyperlink" xfId="1881" builtinId="8" hidden="1"/>
    <cellStyle name="Hyperlink" xfId="1883" builtinId="8" hidden="1"/>
    <cellStyle name="Hyperlink" xfId="1885" builtinId="8" hidden="1"/>
    <cellStyle name="Hyperlink" xfId="1887" builtinId="8" hidden="1"/>
    <cellStyle name="Hyperlink" xfId="1889" builtinId="8" hidden="1"/>
    <cellStyle name="Hyperlink" xfId="1891" builtinId="8" hidden="1"/>
    <cellStyle name="Hyperlink" xfId="1893" builtinId="8" hidden="1"/>
    <cellStyle name="Hyperlink" xfId="1895" builtinId="8" hidden="1"/>
    <cellStyle name="Hyperlink" xfId="1897" builtinId="8" hidden="1"/>
    <cellStyle name="Hyperlink" xfId="1899" builtinId="8" hidden="1"/>
    <cellStyle name="Hyperlink" xfId="1901" builtinId="8" hidden="1"/>
    <cellStyle name="Hyperlink" xfId="1903" builtinId="8" hidden="1"/>
    <cellStyle name="Hyperlink" xfId="1905" builtinId="8" hidden="1"/>
    <cellStyle name="Hyperlink" xfId="1907" builtinId="8" hidden="1"/>
    <cellStyle name="Hyperlink" xfId="1909" builtinId="8" hidden="1"/>
    <cellStyle name="Hyperlink" xfId="1911" builtinId="8" hidden="1"/>
    <cellStyle name="Hyperlink" xfId="1913" builtinId="8" hidden="1"/>
    <cellStyle name="Hyperlink" xfId="1915" builtinId="8" hidden="1"/>
    <cellStyle name="Hyperlink" xfId="1917" builtinId="8" hidden="1"/>
    <cellStyle name="Hyperlink" xfId="1919" builtinId="8" hidden="1"/>
    <cellStyle name="Hyperlink" xfId="1921" builtinId="8" hidden="1"/>
    <cellStyle name="Hyperlink" xfId="1923" builtinId="8" hidden="1"/>
    <cellStyle name="Hyperlink" xfId="1925" builtinId="8" hidden="1"/>
    <cellStyle name="Hyperlink" xfId="1927" builtinId="8" hidden="1"/>
    <cellStyle name="Hyperlink" xfId="1929" builtinId="8" hidden="1"/>
    <cellStyle name="Hyperlink" xfId="1931" builtinId="8" hidden="1"/>
    <cellStyle name="Hyperlink" xfId="1933" builtinId="8" hidden="1"/>
    <cellStyle name="Hyperlink" xfId="1935" builtinId="8" hidden="1"/>
    <cellStyle name="Hyperlink" xfId="1937" builtinId="8" hidden="1"/>
    <cellStyle name="Hyperlink" xfId="1939" builtinId="8" hidden="1"/>
    <cellStyle name="Hyperlink" xfId="1941" builtinId="8" hidden="1"/>
    <cellStyle name="Hyperlink" xfId="1943" builtinId="8" hidden="1"/>
    <cellStyle name="Hyperlink" xfId="1945" builtinId="8" hidden="1"/>
    <cellStyle name="Hyperlink" xfId="1947" builtinId="8" hidden="1"/>
    <cellStyle name="Hyperlink" xfId="1949" builtinId="8" hidden="1"/>
    <cellStyle name="Hyperlink" xfId="1951" builtinId="8" hidden="1"/>
    <cellStyle name="Hyperlink" xfId="1953" builtinId="8" hidden="1"/>
    <cellStyle name="Hyperlink" xfId="1955" builtinId="8" hidden="1"/>
    <cellStyle name="Hyperlink" xfId="1957" builtinId="8" hidden="1"/>
    <cellStyle name="Hyperlink" xfId="1959" builtinId="8" hidden="1"/>
    <cellStyle name="Hyperlink" xfId="1961" builtinId="8" hidden="1"/>
    <cellStyle name="Hyperlink" xfId="1963" builtinId="8" hidden="1"/>
    <cellStyle name="Hyperlink" xfId="1965" builtinId="8" hidden="1"/>
    <cellStyle name="Hyperlink" xfId="1967" builtinId="8" hidden="1"/>
    <cellStyle name="Hyperlink" xfId="1969" builtinId="8" hidden="1"/>
    <cellStyle name="Hyperlink" xfId="1971" builtinId="8" hidden="1"/>
    <cellStyle name="Hyperlink" xfId="1973" builtinId="8" hidden="1"/>
    <cellStyle name="Hyperlink" xfId="1975" builtinId="8" hidden="1"/>
    <cellStyle name="Hyperlink" xfId="1977" builtinId="8" hidden="1"/>
    <cellStyle name="Hyperlink" xfId="1979" builtinId="8" hidden="1"/>
    <cellStyle name="Hyperlink" xfId="1981" builtinId="8" hidden="1"/>
    <cellStyle name="Hyperlink" xfId="1983" builtinId="8" hidden="1"/>
    <cellStyle name="Hyperlink" xfId="1985" builtinId="8" hidden="1"/>
    <cellStyle name="Hyperlink" xfId="1987" builtinId="8" hidden="1"/>
    <cellStyle name="Hyperlink" xfId="1989" builtinId="8" hidden="1"/>
    <cellStyle name="Hyperlink" xfId="1991" builtinId="8" hidden="1"/>
    <cellStyle name="Hyperlink" xfId="1993" builtinId="8" hidden="1"/>
    <cellStyle name="Hyperlink" xfId="1995" builtinId="8" hidden="1"/>
    <cellStyle name="Hyperlink" xfId="1997" builtinId="8" hidden="1"/>
    <cellStyle name="Hyperlink" xfId="1999" builtinId="8" hidden="1"/>
    <cellStyle name="Hyperlink" xfId="2001" builtinId="8" hidden="1"/>
    <cellStyle name="Hyperlink" xfId="2003" builtinId="8" hidden="1"/>
    <cellStyle name="Hyperlink" xfId="2005" builtinId="8" hidden="1"/>
    <cellStyle name="Hyperlink" xfId="2007" builtinId="8" hidden="1"/>
    <cellStyle name="Hyperlink" xfId="2009" builtinId="8" hidden="1"/>
    <cellStyle name="Hyperlink" xfId="2011" builtinId="8" hidden="1"/>
    <cellStyle name="Hyperlink" xfId="2013" builtinId="8" hidden="1"/>
    <cellStyle name="Hyperlink" xfId="2015" builtinId="8" hidden="1"/>
    <cellStyle name="Hyperlink" xfId="2017" builtinId="8" hidden="1"/>
    <cellStyle name="Hyperlink" xfId="2019" builtinId="8" hidden="1"/>
    <cellStyle name="Hyperlink" xfId="2021" builtinId="8" hidden="1"/>
    <cellStyle name="Hyperlink" xfId="2023" builtinId="8" hidden="1"/>
    <cellStyle name="Hyperlink" xfId="2025" builtinId="8" hidden="1"/>
    <cellStyle name="Hyperlink" xfId="2027" builtinId="8" hidden="1"/>
    <cellStyle name="Hyperlink" xfId="2029" builtinId="8" hidden="1"/>
    <cellStyle name="Hyperlink" xfId="2031" builtinId="8" hidden="1"/>
    <cellStyle name="Hyperlink" xfId="2033" builtinId="8" hidden="1"/>
    <cellStyle name="Hyperlink" xfId="2035" builtinId="8" hidden="1"/>
    <cellStyle name="Hyperlink" xfId="2037" builtinId="8" hidden="1"/>
    <cellStyle name="Hyperlink" xfId="2039" builtinId="8" hidden="1"/>
    <cellStyle name="Hyperlink" xfId="2041" builtinId="8" hidden="1"/>
    <cellStyle name="Hyperlink" xfId="2043" builtinId="8" hidden="1"/>
    <cellStyle name="Hyperlink" xfId="2045" builtinId="8" hidden="1"/>
    <cellStyle name="Hyperlink" xfId="2047" builtinId="8" hidden="1"/>
    <cellStyle name="Hyperlink" xfId="2049" builtinId="8" hidden="1"/>
    <cellStyle name="Hyperlink" xfId="2051" builtinId="8" hidden="1"/>
    <cellStyle name="Hyperlink" xfId="2053" builtinId="8" hidden="1"/>
    <cellStyle name="Hyperlink" xfId="2055" builtinId="8" hidden="1"/>
    <cellStyle name="Hyperlink" xfId="2057" builtinId="8" hidden="1"/>
    <cellStyle name="Hyperlink" xfId="2059" builtinId="8" hidden="1"/>
    <cellStyle name="Hyperlink" xfId="2061" builtinId="8" hidden="1"/>
    <cellStyle name="Hyperlink" xfId="2063" builtinId="8" hidden="1"/>
    <cellStyle name="Hyperlink" xfId="2065" builtinId="8" hidden="1"/>
    <cellStyle name="Hyperlink" xfId="2067" builtinId="8" hidden="1"/>
    <cellStyle name="Hyperlink" xfId="2069" builtinId="8" hidden="1"/>
    <cellStyle name="Hyperlink" xfId="2071" builtinId="8" hidden="1"/>
    <cellStyle name="Hyperlink" xfId="2073" builtinId="8" hidden="1"/>
    <cellStyle name="Hyperlink" xfId="2075" builtinId="8" hidden="1"/>
    <cellStyle name="Hyperlink" xfId="2077" builtinId="8" hidden="1"/>
    <cellStyle name="Hyperlink" xfId="2079" builtinId="8" hidden="1"/>
    <cellStyle name="Hyperlink" xfId="2081" builtinId="8" hidden="1"/>
    <cellStyle name="Hyperlink" xfId="2083" builtinId="8" hidden="1"/>
    <cellStyle name="Hyperlink" xfId="2085" builtinId="8" hidden="1"/>
    <cellStyle name="Hyperlink" xfId="2087" builtinId="8" hidden="1"/>
    <cellStyle name="Hyperlink" xfId="2089" builtinId="8" hidden="1"/>
    <cellStyle name="Hyperlink" xfId="2091" builtinId="8" hidden="1"/>
    <cellStyle name="Hyperlink" xfId="2093" builtinId="8" hidden="1"/>
    <cellStyle name="Hyperlink" xfId="2095" builtinId="8" hidden="1"/>
    <cellStyle name="Hyperlink" xfId="2097" builtinId="8" hidden="1"/>
    <cellStyle name="Hyperlink" xfId="2099" builtinId="8" hidden="1"/>
    <cellStyle name="Hyperlink" xfId="2101" builtinId="8" hidden="1"/>
    <cellStyle name="Hyperlink" xfId="2103" builtinId="8" hidden="1"/>
    <cellStyle name="Hyperlink" xfId="2105" builtinId="8" hidden="1"/>
    <cellStyle name="Hyperlink" xfId="2107" builtinId="8" hidden="1"/>
    <cellStyle name="Hyperlink" xfId="2109" builtinId="8" hidden="1"/>
    <cellStyle name="Hyperlink" xfId="2111" builtinId="8" hidden="1"/>
    <cellStyle name="Hyperlink" xfId="2113" builtinId="8" hidden="1"/>
    <cellStyle name="Hyperlink" xfId="2115" builtinId="8" hidden="1"/>
    <cellStyle name="Hyperlink" xfId="2117" builtinId="8" hidden="1"/>
    <cellStyle name="Hyperlink" xfId="2119" builtinId="8" hidden="1"/>
    <cellStyle name="Hyperlink" xfId="2121" builtinId="8" hidden="1"/>
    <cellStyle name="Hyperlink" xfId="2123" builtinId="8" hidden="1"/>
    <cellStyle name="Hyperlink" xfId="2125" builtinId="8" hidden="1"/>
    <cellStyle name="Hyperlink" xfId="2127" builtinId="8" hidden="1"/>
    <cellStyle name="Hyperlink" xfId="2129" builtinId="8" hidden="1"/>
    <cellStyle name="Hyperlink" xfId="2131" builtinId="8" hidden="1"/>
    <cellStyle name="Hyperlink" xfId="2133" builtinId="8" hidden="1"/>
    <cellStyle name="Hyperlink" xfId="2135" builtinId="8" hidden="1"/>
    <cellStyle name="Hyperlink" xfId="2137" builtinId="8" hidden="1"/>
    <cellStyle name="Hyperlink" xfId="2139" builtinId="8" hidden="1"/>
    <cellStyle name="Hyperlink" xfId="2141" builtinId="8" hidden="1"/>
    <cellStyle name="Hyperlink" xfId="2143" builtinId="8" hidden="1"/>
    <cellStyle name="Hyperlink" xfId="2145" builtinId="8" hidden="1"/>
    <cellStyle name="Hyperlink" xfId="2147" builtinId="8" hidden="1"/>
    <cellStyle name="Hyperlink" xfId="2149" builtinId="8" hidden="1"/>
    <cellStyle name="Hyperlink" xfId="2151" builtinId="8" hidden="1"/>
    <cellStyle name="Hyperlink" xfId="2153" builtinId="8" hidden="1"/>
    <cellStyle name="Hyperlink" xfId="2155" builtinId="8" hidden="1"/>
    <cellStyle name="Hyperlink" xfId="2157" builtinId="8" hidden="1"/>
    <cellStyle name="Hyperlink" xfId="2159" builtinId="8" hidden="1"/>
    <cellStyle name="Hyperlink" xfId="2161" builtinId="8" hidden="1"/>
    <cellStyle name="Hyperlink" xfId="2163" builtinId="8" hidden="1"/>
    <cellStyle name="Hyperlink" xfId="2165" builtinId="8" hidden="1"/>
    <cellStyle name="Hyperlink" xfId="2167" builtinId="8" hidden="1"/>
    <cellStyle name="Hyperlink" xfId="2169" builtinId="8" hidden="1"/>
    <cellStyle name="Hyperlink" xfId="2171" builtinId="8" hidden="1"/>
    <cellStyle name="Hyperlink" xfId="2173" builtinId="8" hidden="1"/>
    <cellStyle name="Hyperlink" xfId="2175" builtinId="8" hidden="1"/>
    <cellStyle name="Hyperlink" xfId="2177" builtinId="8" hidden="1"/>
    <cellStyle name="Hyperlink" xfId="2179" builtinId="8" hidden="1"/>
    <cellStyle name="Hyperlink" xfId="2181" builtinId="8" hidden="1"/>
    <cellStyle name="Hyperlink" xfId="2183" builtinId="8" hidden="1"/>
    <cellStyle name="Hyperlink" xfId="2185" builtinId="8" hidden="1"/>
    <cellStyle name="Hyperlink" xfId="2187" builtinId="8" hidden="1"/>
    <cellStyle name="Hyperlink" xfId="2189" builtinId="8" hidden="1"/>
    <cellStyle name="Hyperlink" xfId="2191" builtinId="8" hidden="1"/>
    <cellStyle name="Hyperlink" xfId="2193" builtinId="8" hidden="1"/>
    <cellStyle name="Hyperlink" xfId="2195" builtinId="8" hidden="1"/>
    <cellStyle name="Hyperlink" xfId="2197" builtinId="8" hidden="1"/>
    <cellStyle name="Hyperlink" xfId="2199" builtinId="8" hidden="1"/>
    <cellStyle name="Hyperlink" xfId="2201" builtinId="8" hidden="1"/>
    <cellStyle name="Hyperlink" xfId="2203" builtinId="8" hidden="1"/>
    <cellStyle name="Hyperlink" xfId="2205" builtinId="8" hidden="1"/>
    <cellStyle name="Hyperlink" xfId="2207" builtinId="8" hidden="1"/>
    <cellStyle name="Hyperlink" xfId="2209" builtinId="8" hidden="1"/>
    <cellStyle name="Hyperlink" xfId="2211" builtinId="8" hidden="1"/>
    <cellStyle name="Hyperlink" xfId="2213" builtinId="8" hidden="1"/>
    <cellStyle name="Hyperlink" xfId="2215" builtinId="8" hidden="1"/>
    <cellStyle name="Hyperlink" xfId="2217" builtinId="8" hidden="1"/>
    <cellStyle name="Hyperlink" xfId="2219" builtinId="8" hidden="1"/>
    <cellStyle name="Hyperlink" xfId="2221" builtinId="8" hidden="1"/>
    <cellStyle name="Hyperlink" xfId="2223" builtinId="8" hidden="1"/>
    <cellStyle name="Hyperlink" xfId="2225" builtinId="8" hidden="1"/>
    <cellStyle name="Hyperlink" xfId="2227" builtinId="8" hidden="1"/>
    <cellStyle name="Hyperlink" xfId="2229" builtinId="8" hidden="1"/>
    <cellStyle name="Hyperlink" xfId="2231" builtinId="8" hidden="1"/>
    <cellStyle name="Hyperlink" xfId="2233" builtinId="8" hidden="1"/>
    <cellStyle name="Hyperlink" xfId="2235" builtinId="8" hidden="1"/>
    <cellStyle name="Hyperlink" xfId="2237" builtinId="8" hidden="1"/>
    <cellStyle name="Hyperlink" xfId="2239" builtinId="8" hidden="1"/>
    <cellStyle name="Hyperlink" xfId="2241" builtinId="8" hidden="1"/>
    <cellStyle name="Hyperlink" xfId="2243" builtinId="8" hidden="1"/>
    <cellStyle name="Hyperlink" xfId="2245" builtinId="8" hidden="1"/>
    <cellStyle name="Hyperlink" xfId="2247" builtinId="8" hidden="1"/>
    <cellStyle name="Hyperlink" xfId="2249" builtinId="8" hidden="1"/>
    <cellStyle name="Hyperlink" xfId="2251" builtinId="8" hidden="1"/>
    <cellStyle name="Hyperlink" xfId="2253" builtinId="8" hidden="1"/>
    <cellStyle name="Hyperlink" xfId="2255" builtinId="8" hidden="1"/>
    <cellStyle name="Hyperlink" xfId="2257" builtinId="8" hidden="1"/>
    <cellStyle name="Hyperlink" xfId="2259" builtinId="8" hidden="1"/>
    <cellStyle name="Hyperlink" xfId="2261" builtinId="8" hidden="1"/>
    <cellStyle name="Hyperlink" xfId="2263" builtinId="8" hidden="1"/>
    <cellStyle name="Hyperlink" xfId="2265" builtinId="8" hidden="1"/>
    <cellStyle name="Hyperlink" xfId="2267" builtinId="8" hidden="1"/>
    <cellStyle name="Hyperlink" xfId="2269" builtinId="8" hidden="1"/>
    <cellStyle name="Hyperlink" xfId="2271" builtinId="8" hidden="1"/>
    <cellStyle name="Hyperlink" xfId="2273" builtinId="8" hidden="1"/>
    <cellStyle name="Hyperlink" xfId="2275" builtinId="8" hidden="1"/>
    <cellStyle name="Hyperlink" xfId="2277" builtinId="8" hidden="1"/>
    <cellStyle name="Hyperlink" xfId="2279" builtinId="8" hidden="1"/>
    <cellStyle name="Hyperlink" xfId="2281" builtinId="8" hidden="1"/>
    <cellStyle name="Hyperlink" xfId="2283" builtinId="8" hidden="1"/>
    <cellStyle name="Hyperlink" xfId="2285" builtinId="8" hidden="1"/>
    <cellStyle name="Hyperlink" xfId="2287" builtinId="8" hidden="1"/>
    <cellStyle name="Hyperlink" xfId="2289" builtinId="8" hidden="1"/>
    <cellStyle name="Hyperlink" xfId="2291" builtinId="8" hidden="1"/>
    <cellStyle name="Hyperlink" xfId="2293" builtinId="8" hidden="1"/>
    <cellStyle name="Hyperlink" xfId="2295" builtinId="8" hidden="1"/>
    <cellStyle name="Hyperlink" xfId="2297" builtinId="8" hidden="1"/>
    <cellStyle name="Hyperlink" xfId="2299" builtinId="8" hidden="1"/>
    <cellStyle name="Hyperlink" xfId="2301" builtinId="8" hidden="1"/>
    <cellStyle name="Hyperlink" xfId="2303" builtinId="8" hidden="1"/>
    <cellStyle name="Hyperlink" xfId="2305" builtinId="8" hidden="1"/>
    <cellStyle name="Hyperlink" xfId="2307" builtinId="8" hidden="1"/>
    <cellStyle name="Hyperlink" xfId="2309" builtinId="8" hidden="1"/>
    <cellStyle name="Hyperlink" xfId="2311" builtinId="8" hidden="1"/>
    <cellStyle name="Hyperlink" xfId="2313" builtinId="8" hidden="1"/>
    <cellStyle name="Hyperlink" xfId="2315" builtinId="8" hidden="1"/>
    <cellStyle name="Hyperlink" xfId="2317" builtinId="8" hidden="1"/>
    <cellStyle name="Hyperlink" xfId="2319" builtinId="8" hidden="1"/>
    <cellStyle name="Hyperlink" xfId="2321" builtinId="8" hidden="1"/>
    <cellStyle name="Hyperlink" xfId="2323" builtinId="8" hidden="1"/>
    <cellStyle name="Hyperlink" xfId="2325" builtinId="8" hidden="1"/>
    <cellStyle name="Hyperlink" xfId="2327" builtinId="8" hidden="1"/>
    <cellStyle name="Hyperlink" xfId="2329" builtinId="8" hidden="1"/>
    <cellStyle name="Hyperlink" xfId="2331" builtinId="8" hidden="1"/>
    <cellStyle name="Hyperlink" xfId="2333" builtinId="8" hidden="1"/>
    <cellStyle name="Hyperlink" xfId="2335" builtinId="8" hidden="1"/>
    <cellStyle name="Hyperlink" xfId="2337" builtinId="8" hidden="1"/>
    <cellStyle name="Hyperlink" xfId="2339" builtinId="8" hidden="1"/>
    <cellStyle name="Hyperlink" xfId="2341" builtinId="8" hidden="1"/>
    <cellStyle name="Hyperlink" xfId="2343" builtinId="8" hidden="1"/>
    <cellStyle name="Hyperlink" xfId="2345" builtinId="8" hidden="1"/>
    <cellStyle name="Hyperlink" xfId="2347" builtinId="8" hidden="1"/>
    <cellStyle name="Hyperlink" xfId="2349" builtinId="8" hidden="1"/>
    <cellStyle name="Hyperlink" xfId="2351" builtinId="8" hidden="1"/>
    <cellStyle name="Hyperlink" xfId="2353" builtinId="8" hidden="1"/>
    <cellStyle name="Hyperlink" xfId="2355" builtinId="8" hidden="1"/>
    <cellStyle name="Hyperlink" xfId="2357" builtinId="8" hidden="1"/>
    <cellStyle name="Hyperlink" xfId="2359" builtinId="8" hidden="1"/>
    <cellStyle name="Hyperlink" xfId="2361" builtinId="8" hidden="1"/>
    <cellStyle name="Hyperlink" xfId="2363" builtinId="8" hidden="1"/>
    <cellStyle name="Hyperlink" xfId="2365" builtinId="8" hidden="1"/>
    <cellStyle name="Hyperlink" xfId="2367" builtinId="8" hidden="1"/>
    <cellStyle name="Hyperlink" xfId="2369" builtinId="8" hidden="1"/>
    <cellStyle name="Hyperlink" xfId="2371" builtinId="8" hidden="1"/>
    <cellStyle name="Hyperlink" xfId="2373" builtinId="8" hidden="1"/>
    <cellStyle name="Hyperlink" xfId="2375" builtinId="8" hidden="1"/>
    <cellStyle name="Hyperlink" xfId="2377" builtinId="8" hidden="1"/>
    <cellStyle name="Hyperlink" xfId="2379" builtinId="8" hidden="1"/>
    <cellStyle name="Hyperlink" xfId="2381" builtinId="8" hidden="1"/>
    <cellStyle name="Hyperlink" xfId="2383" builtinId="8" hidden="1"/>
    <cellStyle name="Hyperlink" xfId="2385" builtinId="8" hidden="1"/>
    <cellStyle name="Hyperlink" xfId="2387" builtinId="8" hidden="1"/>
    <cellStyle name="Hyperlink" xfId="2389" builtinId="8" hidden="1"/>
    <cellStyle name="Hyperlink" xfId="2391" builtinId="8" hidden="1"/>
    <cellStyle name="Hyperlink" xfId="2393" builtinId="8" hidden="1"/>
    <cellStyle name="Hyperlink" xfId="2395" builtinId="8" hidden="1"/>
    <cellStyle name="Hyperlink" xfId="2397" builtinId="8" hidden="1"/>
    <cellStyle name="Hyperlink" xfId="2399" builtinId="8" hidden="1"/>
    <cellStyle name="Hyperlink" xfId="2401" builtinId="8" hidden="1"/>
    <cellStyle name="Hyperlink" xfId="2403" builtinId="8" hidden="1"/>
    <cellStyle name="Hyperlink" xfId="2405" builtinId="8" hidden="1"/>
    <cellStyle name="Hyperlink" xfId="2407" builtinId="8" hidden="1"/>
    <cellStyle name="Hyperlink" xfId="2409" builtinId="8" hidden="1"/>
    <cellStyle name="Hyperlink" xfId="2411" builtinId="8" hidden="1"/>
    <cellStyle name="Hyperlink" xfId="2413" builtinId="8" hidden="1"/>
    <cellStyle name="Hyperlink" xfId="2415" builtinId="8" hidden="1"/>
    <cellStyle name="Hyperlink" xfId="2417" builtinId="8" hidden="1"/>
    <cellStyle name="Hyperlink" xfId="2419" builtinId="8" hidden="1"/>
    <cellStyle name="Hyperlink" xfId="2421" builtinId="8" hidden="1"/>
    <cellStyle name="Hyperlink" xfId="2423" builtinId="8" hidden="1"/>
    <cellStyle name="Hyperlink" xfId="2425" builtinId="8" hidden="1"/>
    <cellStyle name="Hyperlink" xfId="2427" builtinId="8" hidden="1"/>
    <cellStyle name="Hyperlink" xfId="2429" builtinId="8" hidden="1"/>
    <cellStyle name="Hyperlink" xfId="2431" builtinId="8" hidden="1"/>
    <cellStyle name="Hyperlink" xfId="2433" builtinId="8" hidden="1"/>
    <cellStyle name="Hyperlink" xfId="2435" builtinId="8" hidden="1"/>
    <cellStyle name="Hyperlink" xfId="2437" builtinId="8" hidden="1"/>
    <cellStyle name="Hyperlink" xfId="2439" builtinId="8" hidden="1"/>
    <cellStyle name="Hyperlink" xfId="2441" builtinId="8" hidden="1"/>
    <cellStyle name="Hyperlink" xfId="2443" builtinId="8" hidden="1"/>
    <cellStyle name="Hyperlink" xfId="2445" builtinId="8" hidden="1"/>
    <cellStyle name="Hyperlink" xfId="2447" builtinId="8" hidden="1"/>
    <cellStyle name="Hyperlink" xfId="2449" builtinId="8" hidden="1"/>
    <cellStyle name="Hyperlink" xfId="2451" builtinId="8" hidden="1"/>
    <cellStyle name="Hyperlink" xfId="2453" builtinId="8" hidden="1"/>
    <cellStyle name="Hyperlink" xfId="2455" builtinId="8" hidden="1"/>
    <cellStyle name="Hyperlink" xfId="2457" builtinId="8" hidden="1"/>
    <cellStyle name="Hyperlink" xfId="2459" builtinId="8" hidden="1"/>
    <cellStyle name="Hyperlink" xfId="2461" builtinId="8" hidden="1"/>
    <cellStyle name="Hyperlink" xfId="2463" builtinId="8" hidden="1"/>
    <cellStyle name="Hyperlink" xfId="2465" builtinId="8" hidden="1"/>
    <cellStyle name="Hyperlink" xfId="2467" builtinId="8" hidden="1"/>
    <cellStyle name="Hyperlink" xfId="2469" builtinId="8" hidden="1"/>
    <cellStyle name="Hyperlink" xfId="2471" builtinId="8" hidden="1"/>
    <cellStyle name="Hyperlink" xfId="2473" builtinId="8" hidden="1"/>
    <cellStyle name="Hyperlink" xfId="2475" builtinId="8" hidden="1"/>
    <cellStyle name="Hyperlink" xfId="2477" builtinId="8" hidden="1"/>
    <cellStyle name="Hyperlink" xfId="2479" builtinId="8" hidden="1"/>
    <cellStyle name="Hyperlink" xfId="2481" builtinId="8" hidden="1"/>
    <cellStyle name="Hyperlink" xfId="2483" builtinId="8" hidden="1"/>
    <cellStyle name="Hyperlink" xfId="2485" builtinId="8" hidden="1"/>
    <cellStyle name="Hyperlink" xfId="2487" builtinId="8" hidden="1"/>
    <cellStyle name="Hyperlink" xfId="2489" builtinId="8" hidden="1"/>
    <cellStyle name="Hyperlink" xfId="2491" builtinId="8" hidden="1"/>
    <cellStyle name="Hyperlink" xfId="2493" builtinId="8" hidden="1"/>
    <cellStyle name="Hyperlink" xfId="2495" builtinId="8" hidden="1"/>
    <cellStyle name="Hyperlink" xfId="2497" builtinId="8" hidden="1"/>
    <cellStyle name="Hyperlink" xfId="2499" builtinId="8" hidden="1"/>
    <cellStyle name="Hyperlink" xfId="2501" builtinId="8" hidden="1"/>
    <cellStyle name="Hyperlink" xfId="2503" builtinId="8" hidden="1"/>
    <cellStyle name="Hyperlink" xfId="2505" builtinId="8" hidden="1"/>
    <cellStyle name="Hyperlink" xfId="2507" builtinId="8" hidden="1"/>
    <cellStyle name="Hyperlink" xfId="2509" builtinId="8" hidden="1"/>
    <cellStyle name="Hyperlink" xfId="2511" builtinId="8" hidden="1"/>
    <cellStyle name="Hyperlink" xfId="2513" builtinId="8" hidden="1"/>
    <cellStyle name="Hyperlink" xfId="2515" builtinId="8" hidden="1"/>
    <cellStyle name="Hyperlink" xfId="2517" builtinId="8" hidden="1"/>
    <cellStyle name="Hyperlink" xfId="2519" builtinId="8" hidden="1"/>
    <cellStyle name="Hyperlink" xfId="2521" builtinId="8" hidden="1"/>
    <cellStyle name="Hyperlink" xfId="2523" builtinId="8" hidden="1"/>
    <cellStyle name="Hyperlink" xfId="2525" builtinId="8" hidden="1"/>
    <cellStyle name="Hyperlink" xfId="2527" builtinId="8" hidden="1"/>
    <cellStyle name="Hyperlink" xfId="2529" builtinId="8" hidden="1"/>
    <cellStyle name="Hyperlink" xfId="2531" builtinId="8" hidden="1"/>
    <cellStyle name="Hyperlink" xfId="2533" builtinId="8" hidden="1"/>
    <cellStyle name="Hyperlink" xfId="2535" builtinId="8" hidden="1"/>
    <cellStyle name="Hyperlink" xfId="2537" builtinId="8" hidden="1"/>
    <cellStyle name="Hyperlink" xfId="2539" builtinId="8" hidden="1"/>
    <cellStyle name="Hyperlink" xfId="2541" builtinId="8" hidden="1"/>
    <cellStyle name="Hyperlink" xfId="2543" builtinId="8" hidden="1"/>
    <cellStyle name="Hyperlink" xfId="2545" builtinId="8" hidden="1"/>
    <cellStyle name="Hyperlink" xfId="2547" builtinId="8" hidden="1"/>
    <cellStyle name="Hyperlink" xfId="2549" builtinId="8" hidden="1"/>
    <cellStyle name="Hyperlink" xfId="2551" builtinId="8" hidden="1"/>
    <cellStyle name="Hyperlink" xfId="2553" builtinId="8" hidden="1"/>
    <cellStyle name="Hyperlink" xfId="2555" builtinId="8" hidden="1"/>
    <cellStyle name="Hyperlink" xfId="2557" builtinId="8" hidden="1"/>
    <cellStyle name="Hyperlink" xfId="2559" builtinId="8" hidden="1"/>
    <cellStyle name="Hyperlink" xfId="2561" builtinId="8" hidden="1"/>
    <cellStyle name="Hyperlink" xfId="2563" builtinId="8" hidden="1"/>
    <cellStyle name="Hyperlink" xfId="2565" builtinId="8" hidden="1"/>
    <cellStyle name="Hyperlink" xfId="2567" builtinId="8" hidden="1"/>
    <cellStyle name="Hyperlink" xfId="2569" builtinId="8" hidden="1"/>
    <cellStyle name="Hyperlink" xfId="2571" builtinId="8" hidden="1"/>
    <cellStyle name="Hyperlink" xfId="2573" builtinId="8" hidden="1"/>
    <cellStyle name="Hyperlink" xfId="2575" builtinId="8" hidden="1"/>
    <cellStyle name="Hyperlink" xfId="2577" builtinId="8" hidden="1"/>
    <cellStyle name="Hyperlink" xfId="2579" builtinId="8" hidden="1"/>
    <cellStyle name="Hyperlink" xfId="2581" builtinId="8" hidden="1"/>
    <cellStyle name="Hyperlink" xfId="2583" builtinId="8" hidden="1"/>
    <cellStyle name="Hyperlink" xfId="2585" builtinId="8" hidden="1"/>
    <cellStyle name="Hyperlink" xfId="2587" builtinId="8" hidden="1"/>
    <cellStyle name="Hyperlink" xfId="2589" builtinId="8" hidden="1"/>
    <cellStyle name="Hyperlink" xfId="2591" builtinId="8" hidden="1"/>
    <cellStyle name="Hyperlink" xfId="2593" builtinId="8" hidden="1"/>
    <cellStyle name="Hyperlink" xfId="2595" builtinId="8" hidden="1"/>
    <cellStyle name="Hyperlink" xfId="2597" builtinId="8" hidden="1"/>
    <cellStyle name="Hyperlink" xfId="2599" builtinId="8" hidden="1"/>
    <cellStyle name="Hyperlink" xfId="2601" builtinId="8" hidden="1"/>
    <cellStyle name="Hyperlink" xfId="2603" builtinId="8" hidden="1"/>
    <cellStyle name="Hyperlink" xfId="2605" builtinId="8" hidden="1"/>
    <cellStyle name="Hyperlink" xfId="2607" builtinId="8" hidden="1"/>
    <cellStyle name="Hyperlink" xfId="2609" builtinId="8" hidden="1"/>
    <cellStyle name="Hyperlink" xfId="2611" builtinId="8" hidden="1"/>
    <cellStyle name="Hyperlink" xfId="2613" builtinId="8" hidden="1"/>
    <cellStyle name="Hyperlink" xfId="2615" builtinId="8" hidden="1"/>
    <cellStyle name="Hyperlink" xfId="2617" builtinId="8" hidden="1"/>
    <cellStyle name="Hyperlink" xfId="2619" builtinId="8" hidden="1"/>
    <cellStyle name="Hyperlink" xfId="2621" builtinId="8" hidden="1"/>
    <cellStyle name="Hyperlink" xfId="2623" builtinId="8" hidden="1"/>
    <cellStyle name="Hyperlink" xfId="2625" builtinId="8" hidden="1"/>
    <cellStyle name="Hyperlink" xfId="2627" builtinId="8" hidden="1"/>
    <cellStyle name="Hyperlink" xfId="2629" builtinId="8" hidden="1"/>
    <cellStyle name="Hyperlink" xfId="2631" builtinId="8" hidden="1"/>
    <cellStyle name="Hyperlink" xfId="2633" builtinId="8" hidden="1"/>
    <cellStyle name="Hyperlink" xfId="2635" builtinId="8" hidden="1"/>
    <cellStyle name="Hyperlink" xfId="2637" builtinId="8" hidden="1"/>
    <cellStyle name="Hyperlink" xfId="2639" builtinId="8" hidden="1"/>
    <cellStyle name="Hyperlink" xfId="2641" builtinId="8" hidden="1"/>
    <cellStyle name="Hyperlink" xfId="2643" builtinId="8" hidden="1"/>
    <cellStyle name="Hyperlink" xfId="2645" builtinId="8" hidden="1"/>
    <cellStyle name="Hyperlink" xfId="2647" builtinId="8" hidden="1"/>
    <cellStyle name="Hyperlink" xfId="2649" builtinId="8" hidden="1"/>
    <cellStyle name="Hyperlink" xfId="2651" builtinId="8" hidden="1"/>
    <cellStyle name="Hyperlink" xfId="2653" builtinId="8" hidden="1"/>
    <cellStyle name="Hyperlink" xfId="2655" builtinId="8" hidden="1"/>
    <cellStyle name="Hyperlink" xfId="2657" builtinId="8" hidden="1"/>
    <cellStyle name="Hyperlink" xfId="2659" builtinId="8" hidden="1"/>
    <cellStyle name="Hyperlink" xfId="2661" builtinId="8" hidden="1"/>
    <cellStyle name="Hyperlink" xfId="2663" builtinId="8" hidden="1"/>
    <cellStyle name="Hyperlink" xfId="2665" builtinId="8" hidden="1"/>
    <cellStyle name="Hyperlink" xfId="2667" builtinId="8" hidden="1"/>
    <cellStyle name="Hyperlink" xfId="2669" builtinId="8" hidden="1"/>
    <cellStyle name="Hyperlink" xfId="2671" builtinId="8" hidden="1"/>
    <cellStyle name="Hyperlink" xfId="2673" builtinId="8" hidden="1"/>
    <cellStyle name="Hyperlink" xfId="2675" builtinId="8" hidden="1"/>
    <cellStyle name="Hyperlink" xfId="2677" builtinId="8" hidden="1"/>
    <cellStyle name="Hyperlink" xfId="2679" builtinId="8" hidden="1"/>
    <cellStyle name="Hyperlink" xfId="2681" builtinId="8" hidden="1"/>
    <cellStyle name="Hyperlink" xfId="2683" builtinId="8" hidden="1"/>
    <cellStyle name="Hyperlink" xfId="2685" builtinId="8" hidden="1"/>
    <cellStyle name="Hyperlink" xfId="2687" builtinId="8" hidden="1"/>
    <cellStyle name="Hyperlink" xfId="2689" builtinId="8" hidden="1"/>
    <cellStyle name="Hyperlink" xfId="2691" builtinId="8" hidden="1"/>
    <cellStyle name="Hyperlink" xfId="2693" builtinId="8" hidden="1"/>
    <cellStyle name="Hyperlink" xfId="2695" builtinId="8" hidden="1"/>
    <cellStyle name="Hyperlink" xfId="2697" builtinId="8" hidden="1"/>
    <cellStyle name="Hyperlink" xfId="2699" builtinId="8" hidden="1"/>
    <cellStyle name="Hyperlink" xfId="2701" builtinId="8" hidden="1"/>
    <cellStyle name="Hyperlink" xfId="2703" builtinId="8" hidden="1"/>
    <cellStyle name="Hyperlink" xfId="2705" builtinId="8" hidden="1"/>
    <cellStyle name="Hyperlink" xfId="2707" builtinId="8" hidden="1"/>
    <cellStyle name="Hyperlink" xfId="2709" builtinId="8" hidden="1"/>
    <cellStyle name="Hyperlink" xfId="2711" builtinId="8" hidden="1"/>
    <cellStyle name="Hyperlink" xfId="2713" builtinId="8" hidden="1"/>
    <cellStyle name="Hyperlink" xfId="2715" builtinId="8" hidden="1"/>
    <cellStyle name="Hyperlink" xfId="2717" builtinId="8" hidden="1"/>
    <cellStyle name="Hyperlink" xfId="2719" builtinId="8" hidden="1"/>
    <cellStyle name="Hyperlink" xfId="2721" builtinId="8" hidden="1"/>
    <cellStyle name="Hyperlink" xfId="2723" builtinId="8" hidden="1"/>
    <cellStyle name="Hyperlink" xfId="2725" builtinId="8" hidden="1"/>
    <cellStyle name="Hyperlink" xfId="2727" builtinId="8" hidden="1"/>
    <cellStyle name="Hyperlink" xfId="2729" builtinId="8" hidden="1"/>
    <cellStyle name="Hyperlink" xfId="2731" builtinId="8" hidden="1"/>
    <cellStyle name="Hyperlink" xfId="2733" builtinId="8" hidden="1"/>
    <cellStyle name="Hyperlink" xfId="2735" builtinId="8" hidden="1"/>
    <cellStyle name="Hyperlink" xfId="2737" builtinId="8" hidden="1"/>
    <cellStyle name="Hyperlink" xfId="2739" builtinId="8" hidden="1"/>
    <cellStyle name="Hyperlink" xfId="2741" builtinId="8" hidden="1"/>
    <cellStyle name="Hyperlink" xfId="2743" builtinId="8" hidden="1"/>
    <cellStyle name="Hyperlink" xfId="2745" builtinId="8" hidden="1"/>
    <cellStyle name="Hyperlink" xfId="2747" builtinId="8" hidden="1"/>
    <cellStyle name="Hyperlink" xfId="2749" builtinId="8" hidden="1"/>
    <cellStyle name="Hyperlink" xfId="2751" builtinId="8" hidden="1"/>
    <cellStyle name="Hyperlink" xfId="2753" builtinId="8" hidden="1"/>
    <cellStyle name="Hyperlink" xfId="2755" builtinId="8" hidden="1"/>
    <cellStyle name="Hyperlink" xfId="2757" builtinId="8" hidden="1"/>
    <cellStyle name="Hyperlink" xfId="2759" builtinId="8" hidden="1"/>
    <cellStyle name="Hyperlink" xfId="2761" builtinId="8" hidden="1"/>
    <cellStyle name="Hyperlink" xfId="2763" builtinId="8" hidden="1"/>
    <cellStyle name="Hyperlink" xfId="2765" builtinId="8" hidden="1"/>
    <cellStyle name="Hyperlink" xfId="2767" builtinId="8" hidden="1"/>
    <cellStyle name="Hyperlink" xfId="2769" builtinId="8" hidden="1"/>
    <cellStyle name="Hyperlink" xfId="2771" builtinId="8" hidden="1"/>
    <cellStyle name="Hyperlink" xfId="2773" builtinId="8" hidden="1"/>
    <cellStyle name="Hyperlink" xfId="2775" builtinId="8" hidden="1"/>
    <cellStyle name="Hyperlink" xfId="2777" builtinId="8" hidden="1"/>
    <cellStyle name="Hyperlink" xfId="2779" builtinId="8" hidden="1"/>
    <cellStyle name="Hyperlink" xfId="2781" builtinId="8" hidden="1"/>
    <cellStyle name="Hyperlink" xfId="2783" builtinId="8" hidden="1"/>
    <cellStyle name="Hyperlink" xfId="2785" builtinId="8" hidden="1"/>
    <cellStyle name="Hyperlink" xfId="2787" builtinId="8" hidden="1"/>
    <cellStyle name="Hyperlink" xfId="2789" builtinId="8" hidden="1"/>
    <cellStyle name="Hyperlink" xfId="2791" builtinId="8" hidden="1"/>
    <cellStyle name="Hyperlink" xfId="2793" builtinId="8" hidden="1"/>
    <cellStyle name="Hyperlink" xfId="2795" builtinId="8" hidden="1"/>
    <cellStyle name="Hyperlink" xfId="2797" builtinId="8" hidden="1"/>
    <cellStyle name="Hyperlink" xfId="2799" builtinId="8" hidden="1"/>
    <cellStyle name="Hyperlink" xfId="2801" builtinId="8" hidden="1"/>
    <cellStyle name="Hyperlink" xfId="2803" builtinId="8" hidden="1"/>
    <cellStyle name="Hyperlink" xfId="2805" builtinId="8" hidden="1"/>
    <cellStyle name="Hyperlink" xfId="2807" builtinId="8" hidden="1"/>
    <cellStyle name="Hyperlink" xfId="2809" builtinId="8" hidden="1"/>
    <cellStyle name="Hyperlink" xfId="2811" builtinId="8" hidden="1"/>
    <cellStyle name="Hyperlink" xfId="2813" builtinId="8" hidden="1"/>
    <cellStyle name="Hyperlink" xfId="2815" builtinId="8" hidden="1"/>
    <cellStyle name="Hyperlink" xfId="2817" builtinId="8" hidden="1"/>
    <cellStyle name="Hyperlink" xfId="2819" builtinId="8" hidden="1"/>
    <cellStyle name="Hyperlink" xfId="2821" builtinId="8" hidden="1"/>
    <cellStyle name="Hyperlink" xfId="2823" builtinId="8" hidden="1"/>
    <cellStyle name="Hyperlink" xfId="2825" builtinId="8" hidden="1"/>
    <cellStyle name="Hyperlink" xfId="2827" builtinId="8" hidden="1"/>
    <cellStyle name="Hyperlink" xfId="2829" builtinId="8" hidden="1"/>
    <cellStyle name="Hyperlink" xfId="2831" builtinId="8" hidden="1"/>
    <cellStyle name="Hyperlink" xfId="2833" builtinId="8" hidden="1"/>
    <cellStyle name="Hyperlink" xfId="2835" builtinId="8" hidden="1"/>
    <cellStyle name="Hyperlink" xfId="2837" builtinId="8" hidden="1"/>
    <cellStyle name="Hyperlink" xfId="2839" builtinId="8" hidden="1"/>
    <cellStyle name="Hyperlink" xfId="2841" builtinId="8" hidden="1"/>
    <cellStyle name="Hyperlink" xfId="2843" builtinId="8" hidden="1"/>
    <cellStyle name="Hyperlink" xfId="2845" builtinId="8" hidden="1"/>
    <cellStyle name="Hyperlink" xfId="2847" builtinId="8" hidden="1"/>
    <cellStyle name="Hyperlink" xfId="2849" builtinId="8" hidden="1"/>
    <cellStyle name="Hyperlink" xfId="2851" builtinId="8" hidden="1"/>
    <cellStyle name="Hyperlink" xfId="2853" builtinId="8" hidden="1"/>
    <cellStyle name="Hyperlink" xfId="2855" builtinId="8" hidden="1"/>
    <cellStyle name="Hyperlink" xfId="2857" builtinId="8" hidden="1"/>
    <cellStyle name="Hyperlink" xfId="2859" builtinId="8" hidden="1"/>
    <cellStyle name="Hyperlink" xfId="2861" builtinId="8" hidden="1"/>
    <cellStyle name="Hyperlink" xfId="2863" builtinId="8" hidden="1"/>
    <cellStyle name="Hyperlink" xfId="2865" builtinId="8" hidden="1"/>
    <cellStyle name="Hyperlink" xfId="2867" builtinId="8" hidden="1"/>
    <cellStyle name="Hyperlink" xfId="2869" builtinId="8" hidden="1"/>
    <cellStyle name="Hyperlink" xfId="2871" builtinId="8" hidden="1"/>
    <cellStyle name="Hyperlink" xfId="2873" builtinId="8" hidden="1"/>
    <cellStyle name="Hyperlink" xfId="2875" builtinId="8" hidden="1"/>
    <cellStyle name="Hyperlink" xfId="2877" builtinId="8" hidden="1"/>
    <cellStyle name="Hyperlink" xfId="2879" builtinId="8" hidden="1"/>
    <cellStyle name="Hyperlink" xfId="2881" builtinId="8" hidden="1"/>
    <cellStyle name="Hyperlink" xfId="2883" builtinId="8" hidden="1"/>
    <cellStyle name="Hyperlink" xfId="2885" builtinId="8" hidden="1"/>
    <cellStyle name="Hyperlink" xfId="2887" builtinId="8" hidden="1"/>
    <cellStyle name="Hyperlink" xfId="2889" builtinId="8" hidden="1"/>
    <cellStyle name="Hyperlink" xfId="2891" builtinId="8" hidden="1"/>
    <cellStyle name="Hyperlink" xfId="2893" builtinId="8" hidden="1"/>
    <cellStyle name="Hyperlink" xfId="2895" builtinId="8" hidden="1"/>
    <cellStyle name="Hyperlink" xfId="2897" builtinId="8" hidden="1"/>
    <cellStyle name="Hyperlink" xfId="2899" builtinId="8" hidden="1"/>
    <cellStyle name="Hyperlink" xfId="2901" builtinId="8" hidden="1"/>
    <cellStyle name="Hyperlink" xfId="2903" builtinId="8" hidden="1"/>
    <cellStyle name="Hyperlink" xfId="2905" builtinId="8" hidden="1"/>
    <cellStyle name="Hyperlink" xfId="2907" builtinId="8" hidden="1"/>
    <cellStyle name="Hyperlink" xfId="2909" builtinId="8" hidden="1"/>
    <cellStyle name="Hyperlink" xfId="2911" builtinId="8" hidden="1"/>
    <cellStyle name="Hyperlink" xfId="2913" builtinId="8" hidden="1"/>
    <cellStyle name="Hyperlink" xfId="2915" builtinId="8" hidden="1"/>
    <cellStyle name="Hyperlink" xfId="2917" builtinId="8" hidden="1"/>
    <cellStyle name="Hyperlink" xfId="2919" builtinId="8" hidden="1"/>
    <cellStyle name="Hyperlink" xfId="2921" builtinId="8" hidden="1"/>
    <cellStyle name="Hyperlink" xfId="2923" builtinId="8" hidden="1"/>
    <cellStyle name="Hyperlink" xfId="2925" builtinId="8" hidden="1"/>
    <cellStyle name="Hyperlink" xfId="2927" builtinId="8" hidden="1"/>
    <cellStyle name="Hyperlink" xfId="2929" builtinId="8" hidden="1"/>
    <cellStyle name="Hyperlink" xfId="2931" builtinId="8" hidden="1"/>
    <cellStyle name="Hyperlink" xfId="2933" builtinId="8" hidden="1"/>
    <cellStyle name="Hyperlink" xfId="2935" builtinId="8" hidden="1"/>
    <cellStyle name="Hyperlink" xfId="2937" builtinId="8" hidden="1"/>
    <cellStyle name="Hyperlink" xfId="2939" builtinId="8" hidden="1"/>
    <cellStyle name="Hyperlink" xfId="2941" builtinId="8" hidden="1"/>
    <cellStyle name="Hyperlink" xfId="2943" builtinId="8" hidden="1"/>
    <cellStyle name="Hyperlink" xfId="2945" builtinId="8" hidden="1"/>
    <cellStyle name="Hyperlink" xfId="2947" builtinId="8" hidden="1"/>
    <cellStyle name="Hyperlink" xfId="2949" builtinId="8" hidden="1"/>
    <cellStyle name="Hyperlink" xfId="2951" builtinId="8" hidden="1"/>
    <cellStyle name="Hyperlink" xfId="2953" builtinId="8" hidden="1"/>
    <cellStyle name="Hyperlink" xfId="2955" builtinId="8" hidden="1"/>
    <cellStyle name="Hyperlink" xfId="2957" builtinId="8" hidden="1"/>
    <cellStyle name="Hyperlink" xfId="2959" builtinId="8" hidden="1"/>
    <cellStyle name="Hyperlink" xfId="2961" builtinId="8" hidden="1"/>
    <cellStyle name="Hyperlink" xfId="2963" builtinId="8" hidden="1"/>
    <cellStyle name="Hyperlink" xfId="2965" builtinId="8" hidden="1"/>
    <cellStyle name="Hyperlink" xfId="2967" builtinId="8" hidden="1"/>
    <cellStyle name="Hyperlink" xfId="2969" builtinId="8" hidden="1"/>
    <cellStyle name="Hyperlink" xfId="2971" builtinId="8" hidden="1"/>
    <cellStyle name="Hyperlink" xfId="2973" builtinId="8" hidden="1"/>
    <cellStyle name="Hyperlink" xfId="2975" builtinId="8" hidden="1"/>
    <cellStyle name="Hyperlink" xfId="2977" builtinId="8" hidden="1"/>
    <cellStyle name="Hyperlink" xfId="2979" builtinId="8" hidden="1"/>
    <cellStyle name="Hyperlink" xfId="2981" builtinId="8" hidden="1"/>
    <cellStyle name="Hyperlink" xfId="2983" builtinId="8" hidden="1"/>
    <cellStyle name="Hyperlink" xfId="2985" builtinId="8" hidden="1"/>
    <cellStyle name="Hyperlink" xfId="2987" builtinId="8" hidden="1"/>
    <cellStyle name="Hyperlink" xfId="2989" builtinId="8" hidden="1"/>
    <cellStyle name="Hyperlink" xfId="2991" builtinId="8" hidden="1"/>
    <cellStyle name="Hyperlink" xfId="2993" builtinId="8" hidden="1"/>
    <cellStyle name="Hyperlink" xfId="2995" builtinId="8" hidden="1"/>
    <cellStyle name="Hyperlink" xfId="2997" builtinId="8" hidden="1"/>
    <cellStyle name="Hyperlink" xfId="2999" builtinId="8" hidden="1"/>
    <cellStyle name="Hyperlink" xfId="3001" builtinId="8" hidden="1"/>
    <cellStyle name="Hyperlink" xfId="3003" builtinId="8" hidden="1"/>
    <cellStyle name="Hyperlink" xfId="3005" builtinId="8" hidden="1"/>
    <cellStyle name="Hyperlink" xfId="3007" builtinId="8" hidden="1"/>
    <cellStyle name="Hyperlink" xfId="3009" builtinId="8" hidden="1"/>
    <cellStyle name="Hyperlink" xfId="3011" builtinId="8" hidden="1"/>
    <cellStyle name="Hyperlink" xfId="3013" builtinId="8" hidden="1"/>
    <cellStyle name="Hyperlink" xfId="3015" builtinId="8" hidden="1"/>
    <cellStyle name="Hyperlink" xfId="3017" builtinId="8" hidden="1"/>
    <cellStyle name="Hyperlink" xfId="3019" builtinId="8" hidden="1"/>
    <cellStyle name="Hyperlink" xfId="3021" builtinId="8" hidden="1"/>
    <cellStyle name="Hyperlink" xfId="3023" builtinId="8" hidden="1"/>
    <cellStyle name="Hyperlink" xfId="3025" builtinId="8" hidden="1"/>
    <cellStyle name="Hyperlink" xfId="3027" builtinId="8" hidden="1"/>
    <cellStyle name="Hyperlink" xfId="3029" builtinId="8" hidden="1"/>
    <cellStyle name="Hyperlink" xfId="3031" builtinId="8" hidden="1"/>
    <cellStyle name="Hyperlink" xfId="3033" builtinId="8" hidden="1"/>
    <cellStyle name="Hyperlink" xfId="3035" builtinId="8" hidden="1"/>
    <cellStyle name="Hyperlink" xfId="3037" builtinId="8" hidden="1"/>
    <cellStyle name="Hyperlink" xfId="3039" builtinId="8" hidden="1"/>
    <cellStyle name="Hyperlink" xfId="3041" builtinId="8" hidden="1"/>
    <cellStyle name="Hyperlink" xfId="3043" builtinId="8" hidden="1"/>
    <cellStyle name="Hyperlink" xfId="3045" builtinId="8" hidden="1"/>
    <cellStyle name="Hyperlink" xfId="3047" builtinId="8" hidden="1"/>
    <cellStyle name="Hyperlink" xfId="3049" builtinId="8" hidden="1"/>
    <cellStyle name="Hyperlink" xfId="3051" builtinId="8" hidden="1"/>
    <cellStyle name="Hyperlink" xfId="3053" builtinId="8" hidden="1"/>
    <cellStyle name="Hyperlink" xfId="3055" builtinId="8" hidden="1"/>
    <cellStyle name="Hyperlink" xfId="3057" builtinId="8" hidden="1"/>
    <cellStyle name="Hyperlink" xfId="3059" builtinId="8" hidden="1"/>
    <cellStyle name="Hyperlink" xfId="3061" builtinId="8" hidden="1"/>
    <cellStyle name="Hyperlink" xfId="3063" builtinId="8" hidden="1"/>
    <cellStyle name="Hyperlink" xfId="3065" builtinId="8" hidden="1"/>
    <cellStyle name="Hyperlink" xfId="3067" builtinId="8" hidden="1"/>
    <cellStyle name="Hyperlink" xfId="3069" builtinId="8" hidden="1"/>
    <cellStyle name="Hyperlink" xfId="3071" builtinId="8" hidden="1"/>
    <cellStyle name="Hyperlink" xfId="3073" builtinId="8" hidden="1"/>
    <cellStyle name="Hyperlink" xfId="3075" builtinId="8" hidden="1"/>
    <cellStyle name="Hyperlink" xfId="3077" builtinId="8" hidden="1"/>
    <cellStyle name="Hyperlink" xfId="3079" builtinId="8" hidden="1"/>
    <cellStyle name="Hyperlink" xfId="3081" builtinId="8" hidden="1"/>
    <cellStyle name="Hyperlink" xfId="3083" builtinId="8" hidden="1"/>
    <cellStyle name="Hyperlink" xfId="3085" builtinId="8" hidden="1"/>
    <cellStyle name="Hyperlink" xfId="3087" builtinId="8" hidden="1"/>
    <cellStyle name="Hyperlink" xfId="3089" builtinId="8" hidden="1"/>
    <cellStyle name="Hyperlink" xfId="3091" builtinId="8" hidden="1"/>
    <cellStyle name="Hyperlink" xfId="3093" builtinId="8" hidden="1"/>
    <cellStyle name="Hyperlink" xfId="3095" builtinId="8" hidden="1"/>
    <cellStyle name="Hyperlink" xfId="3097" builtinId="8" hidden="1"/>
    <cellStyle name="Hyperlink" xfId="3099" builtinId="8" hidden="1"/>
    <cellStyle name="Hyperlink" xfId="3101" builtinId="8" hidden="1"/>
    <cellStyle name="Hyperlink" xfId="3103" builtinId="8" hidden="1"/>
    <cellStyle name="Hyperlink" xfId="3105" builtinId="8" hidden="1"/>
    <cellStyle name="Hyperlink" xfId="3107" builtinId="8" hidden="1"/>
    <cellStyle name="Hyperlink" xfId="3109" builtinId="8" hidden="1"/>
    <cellStyle name="Hyperlink" xfId="3111" builtinId="8" hidden="1"/>
    <cellStyle name="Hyperlink" xfId="3113" builtinId="8" hidden="1"/>
    <cellStyle name="Hyperlink" xfId="3115" builtinId="8" hidden="1"/>
    <cellStyle name="Hyperlink" xfId="3117" builtinId="8" hidden="1"/>
    <cellStyle name="Hyperlink" xfId="3119" builtinId="8" hidden="1"/>
    <cellStyle name="Hyperlink" xfId="3121" builtinId="8" hidden="1"/>
    <cellStyle name="Hyperlink" xfId="3123" builtinId="8" hidden="1"/>
    <cellStyle name="Hyperlink" xfId="3125" builtinId="8" hidden="1"/>
    <cellStyle name="Hyperlink" xfId="3127" builtinId="8" hidden="1"/>
    <cellStyle name="Hyperlink" xfId="3129" builtinId="8" hidden="1"/>
    <cellStyle name="Hyperlink" xfId="3131" builtinId="8" hidden="1"/>
    <cellStyle name="Hyperlink" xfId="3133" builtinId="8" hidden="1"/>
    <cellStyle name="Hyperlink" xfId="3135" builtinId="8" hidden="1"/>
    <cellStyle name="Hyperlink" xfId="3137" builtinId="8" hidden="1"/>
    <cellStyle name="Hyperlink" xfId="3139" builtinId="8" hidden="1"/>
    <cellStyle name="Hyperlink" xfId="3141" builtinId="8" hidden="1"/>
    <cellStyle name="Hyperlink" xfId="3143" builtinId="8" hidden="1"/>
    <cellStyle name="Hyperlink" xfId="3145" builtinId="8" hidden="1"/>
    <cellStyle name="Hyperlink" xfId="3147" builtinId="8" hidden="1"/>
    <cellStyle name="Hyperlink" xfId="3149" builtinId="8" hidden="1"/>
    <cellStyle name="Hyperlink" xfId="3151" builtinId="8" hidden="1"/>
    <cellStyle name="Hyperlink" xfId="3153" builtinId="8" hidden="1"/>
    <cellStyle name="Hyperlink" xfId="3155" builtinId="8" hidden="1"/>
    <cellStyle name="Hyperlink" xfId="3157" builtinId="8" hidden="1"/>
    <cellStyle name="Hyperlink" xfId="3159" builtinId="8" hidden="1"/>
    <cellStyle name="Hyperlink" xfId="3161" builtinId="8" hidden="1"/>
    <cellStyle name="Hyperlink" xfId="3163" builtinId="8" hidden="1"/>
    <cellStyle name="Hyperlink" xfId="3165" builtinId="8" hidden="1"/>
    <cellStyle name="Hyperlink" xfId="3167" builtinId="8" hidden="1"/>
    <cellStyle name="Hyperlink" xfId="3169" builtinId="8" hidden="1"/>
    <cellStyle name="Hyperlink" xfId="3171" builtinId="8" hidden="1"/>
    <cellStyle name="Hyperlink" xfId="3173" builtinId="8" hidden="1"/>
    <cellStyle name="Hyperlink" xfId="3175" builtinId="8" hidden="1"/>
    <cellStyle name="Hyperlink" xfId="3177" builtinId="8" hidden="1"/>
    <cellStyle name="Hyperlink" xfId="3179" builtinId="8" hidden="1"/>
    <cellStyle name="Hyperlink" xfId="3181" builtinId="8" hidden="1"/>
    <cellStyle name="Hyperlink" xfId="3183" builtinId="8" hidden="1"/>
    <cellStyle name="Hyperlink" xfId="3185" builtinId="8" hidden="1"/>
    <cellStyle name="Hyperlink" xfId="3187" builtinId="8" hidden="1"/>
    <cellStyle name="Hyperlink" xfId="3189" builtinId="8" hidden="1"/>
    <cellStyle name="Hyperlink" xfId="3191" builtinId="8" hidden="1"/>
    <cellStyle name="Hyperlink" xfId="3193" builtinId="8" hidden="1"/>
    <cellStyle name="Hyperlink" xfId="3195" builtinId="8" hidden="1"/>
    <cellStyle name="Hyperlink" xfId="3197" builtinId="8" hidden="1"/>
    <cellStyle name="Hyperlink" xfId="3199" builtinId="8" hidden="1"/>
    <cellStyle name="Hyperlink" xfId="3201" builtinId="8" hidden="1"/>
    <cellStyle name="Hyperlink" xfId="3203" builtinId="8" hidden="1"/>
    <cellStyle name="Hyperlink" xfId="3205" builtinId="8" hidden="1"/>
    <cellStyle name="Hyperlink" xfId="3207" builtinId="8" hidden="1"/>
    <cellStyle name="Hyperlink" xfId="3209" builtinId="8" hidden="1"/>
    <cellStyle name="Hyperlink" xfId="3211" builtinId="8" hidden="1"/>
    <cellStyle name="Hyperlink" xfId="3213" builtinId="8" hidden="1"/>
    <cellStyle name="Hyperlink" xfId="3215" builtinId="8" hidden="1"/>
    <cellStyle name="Hyperlink" xfId="3217" builtinId="8" hidden="1"/>
    <cellStyle name="Hyperlink" xfId="3219" builtinId="8" hidden="1"/>
    <cellStyle name="Hyperlink" xfId="3221" builtinId="8" hidden="1"/>
    <cellStyle name="Hyperlink" xfId="3223" builtinId="8" hidden="1"/>
    <cellStyle name="Hyperlink" xfId="3225" builtinId="8" hidden="1"/>
    <cellStyle name="Hyperlink" xfId="3227" builtinId="8" hidden="1"/>
    <cellStyle name="Hyperlink" xfId="3229" builtinId="8" hidden="1"/>
    <cellStyle name="Hyperlink" xfId="3231" builtinId="8" hidden="1"/>
    <cellStyle name="Hyperlink" xfId="3233" builtinId="8" hidden="1"/>
    <cellStyle name="Hyperlink" xfId="3235" builtinId="8" hidden="1"/>
    <cellStyle name="Hyperlink" xfId="3237" builtinId="8" hidden="1"/>
    <cellStyle name="Hyperlink" xfId="3239" builtinId="8" hidden="1"/>
    <cellStyle name="Hyperlink" xfId="3241" builtinId="8" hidden="1"/>
    <cellStyle name="Hyperlink" xfId="3243" builtinId="8" hidden="1"/>
    <cellStyle name="Hyperlink" xfId="3245" builtinId="8" hidden="1"/>
    <cellStyle name="Hyperlink" xfId="3247" builtinId="8" hidden="1"/>
    <cellStyle name="Hyperlink" xfId="3249" builtinId="8" hidden="1"/>
    <cellStyle name="Hyperlink" xfId="3251" builtinId="8" hidden="1"/>
    <cellStyle name="Hyperlink" xfId="3253" builtinId="8" hidden="1"/>
    <cellStyle name="Hyperlink" xfId="3255" builtinId="8" hidden="1"/>
    <cellStyle name="Hyperlink" xfId="3257" builtinId="8" hidden="1"/>
    <cellStyle name="Hyperlink" xfId="3259" builtinId="8" hidden="1"/>
    <cellStyle name="Hyperlink" xfId="3261" builtinId="8" hidden="1"/>
    <cellStyle name="Hyperlink" xfId="3263" builtinId="8" hidden="1"/>
    <cellStyle name="Hyperlink" xfId="3265" builtinId="8" hidden="1"/>
    <cellStyle name="Hyperlink" xfId="3267" builtinId="8" hidden="1"/>
    <cellStyle name="Hyperlink" xfId="3269" builtinId="8" hidden="1"/>
    <cellStyle name="Hyperlink" xfId="3271" builtinId="8" hidden="1"/>
    <cellStyle name="Hyperlink" xfId="3273" builtinId="8" hidden="1"/>
    <cellStyle name="Hyperlink" xfId="3275" builtinId="8" hidden="1"/>
    <cellStyle name="Hyperlink" xfId="3277" builtinId="8" hidden="1"/>
    <cellStyle name="Hyperlink" xfId="3279" builtinId="8" hidden="1"/>
    <cellStyle name="Hyperlink" xfId="3281" builtinId="8" hidden="1"/>
    <cellStyle name="Hyperlink" xfId="3283" builtinId="8" hidden="1"/>
    <cellStyle name="Hyperlink" xfId="3285" builtinId="8" hidden="1"/>
    <cellStyle name="Hyperlink" xfId="3287" builtinId="8" hidden="1"/>
    <cellStyle name="Hyperlink" xfId="3289" builtinId="8" hidden="1"/>
    <cellStyle name="Hyperlink" xfId="3291" builtinId="8" hidden="1"/>
    <cellStyle name="Hyperlink" xfId="3293" builtinId="8" hidden="1"/>
    <cellStyle name="Hyperlink" xfId="3295" builtinId="8" hidden="1"/>
    <cellStyle name="Hyperlink" xfId="3297" builtinId="8" hidden="1"/>
    <cellStyle name="Hyperlink" xfId="3299" builtinId="8" hidden="1"/>
    <cellStyle name="Hyperlink" xfId="3301" builtinId="8" hidden="1"/>
    <cellStyle name="Hyperlink" xfId="3303" builtinId="8" hidden="1"/>
    <cellStyle name="Hyperlink" xfId="3305" builtinId="8" hidden="1"/>
    <cellStyle name="Hyperlink" xfId="3307" builtinId="8" hidden="1"/>
    <cellStyle name="Hyperlink" xfId="3309" builtinId="8" hidden="1"/>
    <cellStyle name="Hyperlink" xfId="3311" builtinId="8" hidden="1"/>
    <cellStyle name="Hyperlink" xfId="3313" builtinId="8" hidden="1"/>
    <cellStyle name="Hyperlink" xfId="3315" builtinId="8" hidden="1"/>
    <cellStyle name="Hyperlink" xfId="3317" builtinId="8" hidden="1"/>
    <cellStyle name="Hyperlink" xfId="3319" builtinId="8" hidden="1"/>
    <cellStyle name="Hyperlink" xfId="3321" builtinId="8" hidden="1"/>
    <cellStyle name="Hyperlink" xfId="3323" builtinId="8" hidden="1"/>
    <cellStyle name="Hyperlink" xfId="3325" builtinId="8" hidden="1"/>
    <cellStyle name="Hyperlink" xfId="3327" builtinId="8" hidden="1"/>
    <cellStyle name="Hyperlink" xfId="3329" builtinId="8" hidden="1"/>
    <cellStyle name="Hyperlink" xfId="3331" builtinId="8" hidden="1"/>
    <cellStyle name="Hyperlink" xfId="3333" builtinId="8" hidden="1"/>
    <cellStyle name="Hyperlink" xfId="3335" builtinId="8" hidden="1"/>
    <cellStyle name="Hyperlink" xfId="3337" builtinId="8" hidden="1"/>
    <cellStyle name="Hyperlink" xfId="3339" builtinId="8" hidden="1"/>
    <cellStyle name="Hyperlink" xfId="3341" builtinId="8" hidden="1"/>
    <cellStyle name="Hyperlink" xfId="3343" builtinId="8" hidden="1"/>
    <cellStyle name="Hyperlink" xfId="3345" builtinId="8" hidden="1"/>
    <cellStyle name="Hyperlink" xfId="3347" builtinId="8" hidden="1"/>
    <cellStyle name="Hyperlink" xfId="3349" builtinId="8" hidden="1"/>
    <cellStyle name="Hyperlink" xfId="3351" builtinId="8" hidden="1"/>
    <cellStyle name="Hyperlink" xfId="3353" builtinId="8" hidden="1"/>
    <cellStyle name="Hyperlink" xfId="3355" builtinId="8" hidden="1"/>
    <cellStyle name="Hyperlink" xfId="3357" builtinId="8" hidden="1"/>
    <cellStyle name="Hyperlink" xfId="3359" builtinId="8" hidden="1"/>
    <cellStyle name="Hyperlink" xfId="3361" builtinId="8" hidden="1"/>
    <cellStyle name="Hyperlink" xfId="3363" builtinId="8" hidden="1"/>
    <cellStyle name="Hyperlink" xfId="3365" builtinId="8" hidden="1"/>
    <cellStyle name="Hyperlink" xfId="3367" builtinId="8" hidden="1"/>
    <cellStyle name="Hyperlink" xfId="3369" builtinId="8" hidden="1"/>
    <cellStyle name="Hyperlink" xfId="3371" builtinId="8" hidden="1"/>
    <cellStyle name="Hyperlink" xfId="3373" builtinId="8" hidden="1"/>
    <cellStyle name="Hyperlink" xfId="3375" builtinId="8" hidden="1"/>
    <cellStyle name="Hyperlink" xfId="3377" builtinId="8" hidden="1"/>
    <cellStyle name="Hyperlink" xfId="3379" builtinId="8" hidden="1"/>
    <cellStyle name="Hyperlink" xfId="3381" builtinId="8" hidden="1"/>
    <cellStyle name="Hyperlink" xfId="3383" builtinId="8" hidden="1"/>
    <cellStyle name="Hyperlink" xfId="3385" builtinId="8" hidden="1"/>
    <cellStyle name="Hyperlink" xfId="3387" builtinId="8" hidden="1"/>
    <cellStyle name="Hyperlink" xfId="3389" builtinId="8" hidden="1"/>
    <cellStyle name="Hyperlink" xfId="3391" builtinId="8" hidden="1"/>
    <cellStyle name="Hyperlink" xfId="3393" builtinId="8" hidden="1"/>
    <cellStyle name="Hyperlink" xfId="3395" builtinId="8" hidden="1"/>
    <cellStyle name="Hyperlink" xfId="3397" builtinId="8" hidden="1"/>
    <cellStyle name="Hyperlink" xfId="3399" builtinId="8" hidden="1"/>
    <cellStyle name="Hyperlink" xfId="3401" builtinId="8" hidden="1"/>
    <cellStyle name="Hyperlink" xfId="3403" builtinId="8" hidden="1"/>
    <cellStyle name="Hyperlink" xfId="3405" builtinId="8" hidden="1"/>
    <cellStyle name="Hyperlink" xfId="3407" builtinId="8" hidden="1"/>
    <cellStyle name="Hyperlink" xfId="3409" builtinId="8" hidden="1"/>
    <cellStyle name="Hyperlink" xfId="3411" builtinId="8" hidden="1"/>
    <cellStyle name="Hyperlink" xfId="3413" builtinId="8" hidden="1"/>
    <cellStyle name="Hyperlink" xfId="3415" builtinId="8" hidden="1"/>
    <cellStyle name="Hyperlink" xfId="3417" builtinId="8" hidden="1"/>
    <cellStyle name="Hyperlink" xfId="3419" builtinId="8" hidden="1"/>
    <cellStyle name="Hyperlink" xfId="3421" builtinId="8" hidden="1"/>
    <cellStyle name="Hyperlink" xfId="3423" builtinId="8" hidden="1"/>
    <cellStyle name="Hyperlink" xfId="3425" builtinId="8" hidden="1"/>
    <cellStyle name="Hyperlink" xfId="3427" builtinId="8" hidden="1"/>
    <cellStyle name="Hyperlink" xfId="3429" builtinId="8" hidden="1"/>
    <cellStyle name="Hyperlink" xfId="3431" builtinId="8" hidden="1"/>
    <cellStyle name="Hyperlink" xfId="3433" builtinId="8" hidden="1"/>
    <cellStyle name="Hyperlink" xfId="3435" builtinId="8" hidden="1"/>
    <cellStyle name="Hyperlink" xfId="3437" builtinId="8" hidden="1"/>
    <cellStyle name="Hyperlink" xfId="3439" builtinId="8" hidden="1"/>
    <cellStyle name="Hyperlink" xfId="3441" builtinId="8" hidden="1"/>
    <cellStyle name="Hyperlink" xfId="3443" builtinId="8" hidden="1"/>
    <cellStyle name="Hyperlink" xfId="3445" builtinId="8" hidden="1"/>
    <cellStyle name="Hyperlink" xfId="3447" builtinId="8" hidden="1"/>
    <cellStyle name="Hyperlink" xfId="3449" builtinId="8" hidden="1"/>
    <cellStyle name="Hyperlink" xfId="3451" builtinId="8" hidden="1"/>
    <cellStyle name="Hyperlink" xfId="3453" builtinId="8" hidden="1"/>
    <cellStyle name="Hyperlink" xfId="3455" builtinId="8" hidden="1"/>
    <cellStyle name="Hyperlink" xfId="3457" builtinId="8" hidden="1"/>
    <cellStyle name="Hyperlink" xfId="3459" builtinId="8" hidden="1"/>
    <cellStyle name="Hyperlink" xfId="3461" builtinId="8" hidden="1"/>
    <cellStyle name="Hyperlink" xfId="3463" builtinId="8" hidden="1"/>
    <cellStyle name="Hyperlink" xfId="3465" builtinId="8" hidden="1"/>
    <cellStyle name="Hyperlink" xfId="3467" builtinId="8" hidden="1"/>
    <cellStyle name="Hyperlink" xfId="3469" builtinId="8" hidden="1"/>
    <cellStyle name="Hyperlink" xfId="3471" builtinId="8" hidden="1"/>
    <cellStyle name="Hyperlink" xfId="3473" builtinId="8" hidden="1"/>
    <cellStyle name="Hyperlink" xfId="3475" builtinId="8" hidden="1"/>
    <cellStyle name="Hyperlink" xfId="3477" builtinId="8" hidden="1"/>
    <cellStyle name="Hyperlink" xfId="3479" builtinId="8" hidden="1"/>
    <cellStyle name="Hyperlink" xfId="3481" builtinId="8" hidden="1"/>
    <cellStyle name="Hyperlink" xfId="3483" builtinId="8" hidden="1"/>
    <cellStyle name="Hyperlink" xfId="3485" builtinId="8" hidden="1"/>
    <cellStyle name="Hyperlink" xfId="3487" builtinId="8" hidden="1"/>
    <cellStyle name="Hyperlink" xfId="3489" builtinId="8" hidden="1"/>
    <cellStyle name="Hyperlink" xfId="3491" builtinId="8" hidden="1"/>
    <cellStyle name="Hyperlink" xfId="3493" builtinId="8" hidden="1"/>
    <cellStyle name="Hyperlink" xfId="3495" builtinId="8" hidden="1"/>
    <cellStyle name="Hyperlink" xfId="3497" builtinId="8" hidden="1"/>
    <cellStyle name="Hyperlink" xfId="3499" builtinId="8" hidden="1"/>
    <cellStyle name="Hyperlink" xfId="3501" builtinId="8" hidden="1"/>
    <cellStyle name="Hyperlink" xfId="3503" builtinId="8" hidden="1"/>
    <cellStyle name="Hyperlink" xfId="3505" builtinId="8" hidden="1"/>
    <cellStyle name="Hyperlink" xfId="3507" builtinId="8" hidden="1"/>
    <cellStyle name="Hyperlink" xfId="3509" builtinId="8" hidden="1"/>
    <cellStyle name="Hyperlink" xfId="3511" builtinId="8" hidden="1"/>
    <cellStyle name="Hyperlink" xfId="3513" builtinId="8" hidden="1"/>
    <cellStyle name="Hyperlink" xfId="3515" builtinId="8" hidden="1"/>
    <cellStyle name="Hyperlink" xfId="3517" builtinId="8" hidden="1"/>
    <cellStyle name="Hyperlink" xfId="3519" builtinId="8" hidden="1"/>
    <cellStyle name="Hyperlink" xfId="3521" builtinId="8" hidden="1"/>
    <cellStyle name="Hyperlink" xfId="3523" builtinId="8" hidden="1"/>
    <cellStyle name="Hyperlink" xfId="3525" builtinId="8" hidden="1"/>
    <cellStyle name="Hyperlink" xfId="3527" builtinId="8" hidden="1"/>
    <cellStyle name="Hyperlink" xfId="3529" builtinId="8" hidden="1"/>
    <cellStyle name="Hyperlink" xfId="3531" builtinId="8" hidden="1"/>
    <cellStyle name="Hyperlink" xfId="3533" builtinId="8" hidden="1"/>
    <cellStyle name="Hyperlink" xfId="3535" builtinId="8" hidden="1"/>
    <cellStyle name="Hyperlink" xfId="3537" builtinId="8" hidden="1"/>
    <cellStyle name="Hyperlink" xfId="3539" builtinId="8" hidden="1"/>
    <cellStyle name="Hyperlink" xfId="3541" builtinId="8" hidden="1"/>
    <cellStyle name="Hyperlink" xfId="3543" builtinId="8" hidden="1"/>
    <cellStyle name="Hyperlink" xfId="3545" builtinId="8" hidden="1"/>
    <cellStyle name="Hyperlink" xfId="3547" builtinId="8" hidden="1"/>
    <cellStyle name="Hyperlink" xfId="3549" builtinId="8" hidden="1"/>
    <cellStyle name="Hyperlink" xfId="3551" builtinId="8" hidden="1"/>
    <cellStyle name="Hyperlink" xfId="3553" builtinId="8" hidden="1"/>
    <cellStyle name="Hyperlink" xfId="3555" builtinId="8" hidden="1"/>
    <cellStyle name="Hyperlink" xfId="3557" builtinId="8" hidden="1"/>
    <cellStyle name="Hyperlink" xfId="3559" builtinId="8" hidden="1"/>
    <cellStyle name="Hyperlink" xfId="3561" builtinId="8" hidden="1"/>
    <cellStyle name="Hyperlink" xfId="3563" builtinId="8" hidden="1"/>
    <cellStyle name="Hyperlink" xfId="3565" builtinId="8" hidden="1"/>
    <cellStyle name="Hyperlink" xfId="3567" builtinId="8" hidden="1"/>
    <cellStyle name="Hyperlink" xfId="3569" builtinId="8" hidden="1"/>
    <cellStyle name="Hyperlink" xfId="3571" builtinId="8" hidden="1"/>
    <cellStyle name="Hyperlink" xfId="3573" builtinId="8" hidden="1"/>
    <cellStyle name="Hyperlink" xfId="3575" builtinId="8" hidden="1"/>
    <cellStyle name="Hyperlink" xfId="3577" builtinId="8" hidden="1"/>
    <cellStyle name="Hyperlink" xfId="3579" builtinId="8" hidden="1"/>
    <cellStyle name="Hyperlink" xfId="3581" builtinId="8" hidden="1"/>
    <cellStyle name="Hyperlink" xfId="3583" builtinId="8" hidden="1"/>
    <cellStyle name="Hyperlink" xfId="3585" builtinId="8" hidden="1"/>
    <cellStyle name="Hyperlink" xfId="3587" builtinId="8" hidden="1"/>
    <cellStyle name="Hyperlink" xfId="3589" builtinId="8" hidden="1"/>
    <cellStyle name="Hyperlink" xfId="3591" builtinId="8" hidden="1"/>
    <cellStyle name="Hyperlink" xfId="3593" builtinId="8" hidden="1"/>
    <cellStyle name="Hyperlink" xfId="3595" builtinId="8" hidden="1"/>
    <cellStyle name="Hyperlink" xfId="3597" builtinId="8" hidden="1"/>
    <cellStyle name="Hyperlink" xfId="3599" builtinId="8" hidden="1"/>
    <cellStyle name="Hyperlink" xfId="3601" builtinId="8" hidden="1"/>
    <cellStyle name="Hyperlink" xfId="3603" builtinId="8" hidden="1"/>
    <cellStyle name="Hyperlink" xfId="3605" builtinId="8" hidden="1"/>
    <cellStyle name="Hyperlink" xfId="3607" builtinId="8" hidden="1"/>
    <cellStyle name="Hyperlink" xfId="3609" builtinId="8" hidden="1"/>
    <cellStyle name="Hyperlink" xfId="3611" builtinId="8" hidden="1"/>
    <cellStyle name="Hyperlink" xfId="3613" builtinId="8" hidden="1"/>
    <cellStyle name="Hyperlink" xfId="3615" builtinId="8" hidden="1"/>
    <cellStyle name="Hyperlink" xfId="3617" builtinId="8" hidden="1"/>
    <cellStyle name="Hyperlink" xfId="3619" builtinId="8" hidden="1"/>
    <cellStyle name="Hyperlink" xfId="3621" builtinId="8" hidden="1"/>
    <cellStyle name="Hyperlink" xfId="3623" builtinId="8" hidden="1"/>
    <cellStyle name="Hyperlink" xfId="3625" builtinId="8" hidden="1"/>
    <cellStyle name="Hyperlink" xfId="3627" builtinId="8" hidden="1"/>
    <cellStyle name="Hyperlink" xfId="3629" builtinId="8" hidden="1"/>
    <cellStyle name="Hyperlink" xfId="3631" builtinId="8" hidden="1"/>
    <cellStyle name="Hyperlink" xfId="3633" builtinId="8" hidden="1"/>
    <cellStyle name="Hyperlink" xfId="3635" builtinId="8" hidden="1"/>
    <cellStyle name="Hyperlink" xfId="3637" builtinId="8" hidden="1"/>
    <cellStyle name="Hyperlink" xfId="3639" builtinId="8" hidden="1"/>
    <cellStyle name="Hyperlink" xfId="3641" builtinId="8" hidden="1"/>
    <cellStyle name="Hyperlink" xfId="3643" builtinId="8" hidden="1"/>
    <cellStyle name="Hyperlink" xfId="3645" builtinId="8" hidden="1"/>
    <cellStyle name="Hyperlink" xfId="3647" builtinId="8" hidden="1"/>
    <cellStyle name="Hyperlink" xfId="3649" builtinId="8" hidden="1"/>
    <cellStyle name="Hyperlink" xfId="3651" builtinId="8" hidden="1"/>
    <cellStyle name="Hyperlink" xfId="3653" builtinId="8" hidden="1"/>
    <cellStyle name="Hyperlink" xfId="3655" builtinId="8" hidden="1"/>
    <cellStyle name="Hyperlink" xfId="3657" builtinId="8" hidden="1"/>
    <cellStyle name="Hyperlink" xfId="3659" builtinId="8" hidden="1"/>
    <cellStyle name="Hyperlink" xfId="3661" builtinId="8" hidden="1"/>
    <cellStyle name="Hyperlink" xfId="3663" builtinId="8" hidden="1"/>
    <cellStyle name="Hyperlink" xfId="3665" builtinId="8" hidden="1"/>
    <cellStyle name="Hyperlink" xfId="3667" builtinId="8" hidden="1"/>
    <cellStyle name="Hyperlink" xfId="3669" builtinId="8" hidden="1"/>
    <cellStyle name="Hyperlink" xfId="3671" builtinId="8" hidden="1"/>
    <cellStyle name="Hyperlink" xfId="3673" builtinId="8" hidden="1"/>
    <cellStyle name="Hyperlink" xfId="3675" builtinId="8" hidden="1"/>
    <cellStyle name="Hyperlink" xfId="3677" builtinId="8" hidden="1"/>
    <cellStyle name="Hyperlink" xfId="3679" builtinId="8" hidden="1"/>
    <cellStyle name="Hyperlink" xfId="3681" builtinId="8" hidden="1"/>
    <cellStyle name="Hyperlink" xfId="3683" builtinId="8" hidden="1"/>
    <cellStyle name="Hyperlink" xfId="3685" builtinId="8" hidden="1"/>
    <cellStyle name="Hyperlink" xfId="3687" builtinId="8" hidden="1"/>
    <cellStyle name="Hyperlink" xfId="3689" builtinId="8" hidden="1"/>
    <cellStyle name="Hyperlink" xfId="3691" builtinId="8" hidden="1"/>
    <cellStyle name="Hyperlink" xfId="3693" builtinId="8" hidden="1"/>
    <cellStyle name="Hyperlink" xfId="3695" builtinId="8" hidden="1"/>
    <cellStyle name="Hyperlink" xfId="3697" builtinId="8" hidden="1"/>
    <cellStyle name="Hyperlink" xfId="3699" builtinId="8" hidden="1"/>
    <cellStyle name="Hyperlink" xfId="3701" builtinId="8" hidden="1"/>
    <cellStyle name="Hyperlink" xfId="3703" builtinId="8" hidden="1"/>
    <cellStyle name="Hyperlink" xfId="3705" builtinId="8" hidden="1"/>
    <cellStyle name="Hyperlink" xfId="3707" builtinId="8" hidden="1"/>
    <cellStyle name="Hyperlink" xfId="3709" builtinId="8" hidden="1"/>
    <cellStyle name="Hyperlink" xfId="3711" builtinId="8" hidden="1"/>
    <cellStyle name="Hyperlink" xfId="3713" builtinId="8" hidden="1"/>
    <cellStyle name="Hyperlink" xfId="3715" builtinId="8" hidden="1"/>
    <cellStyle name="Hyperlink" xfId="3717" builtinId="8" hidden="1"/>
    <cellStyle name="Hyperlink" xfId="3719" builtinId="8" hidden="1"/>
    <cellStyle name="Hyperlink" xfId="3721" builtinId="8" hidden="1"/>
    <cellStyle name="Hyperlink" xfId="3723" builtinId="8" hidden="1"/>
    <cellStyle name="Hyperlink" xfId="3725" builtinId="8" hidden="1"/>
    <cellStyle name="Hyperlink" xfId="3727" builtinId="8" hidden="1"/>
    <cellStyle name="Hyperlink" xfId="3729" builtinId="8" hidden="1"/>
    <cellStyle name="Hyperlink" xfId="3731" builtinId="8" hidden="1"/>
    <cellStyle name="Hyperlink" xfId="3733" builtinId="8" hidden="1"/>
    <cellStyle name="Hyperlink" xfId="3735" builtinId="8" hidden="1"/>
    <cellStyle name="Hyperlink" xfId="3737" builtinId="8" hidden="1"/>
    <cellStyle name="Hyperlink" xfId="3739" builtinId="8" hidden="1"/>
    <cellStyle name="Hyperlink" xfId="3741" builtinId="8" hidden="1"/>
    <cellStyle name="Hyperlink" xfId="3743" builtinId="8" hidden="1"/>
    <cellStyle name="Hyperlink" xfId="3745" builtinId="8" hidden="1"/>
    <cellStyle name="Hyperlink" xfId="3747" builtinId="8" hidden="1"/>
    <cellStyle name="Hyperlink" xfId="3749" builtinId="8" hidden="1"/>
    <cellStyle name="Hyperlink" xfId="3751" builtinId="8" hidden="1"/>
    <cellStyle name="Hyperlink" xfId="3753" builtinId="8" hidden="1"/>
    <cellStyle name="Hyperlink" xfId="3755" builtinId="8" hidden="1"/>
    <cellStyle name="Hyperlink" xfId="3757" builtinId="8" hidden="1"/>
    <cellStyle name="Hyperlink" xfId="3759" builtinId="8" hidden="1"/>
    <cellStyle name="Hyperlink" xfId="3761" builtinId="8" hidden="1"/>
    <cellStyle name="Hyperlink" xfId="3763" builtinId="8" hidden="1"/>
    <cellStyle name="Hyperlink" xfId="3765" builtinId="8" hidden="1"/>
    <cellStyle name="Hyperlink" xfId="3767" builtinId="8" hidden="1"/>
    <cellStyle name="Hyperlink" xfId="3769" builtinId="8" hidden="1"/>
    <cellStyle name="Hyperlink" xfId="3771" builtinId="8" hidden="1"/>
    <cellStyle name="Hyperlink" xfId="3773" builtinId="8" hidden="1"/>
    <cellStyle name="Hyperlink" xfId="3775" builtinId="8" hidden="1"/>
    <cellStyle name="Hyperlink" xfId="3777" builtinId="8" hidden="1"/>
    <cellStyle name="Hyperlink" xfId="3779" builtinId="8" hidden="1"/>
    <cellStyle name="Hyperlink" xfId="3781" builtinId="8" hidden="1"/>
    <cellStyle name="Hyperlink" xfId="3783" builtinId="8" hidden="1"/>
    <cellStyle name="Hyperlink" xfId="3785" builtinId="8" hidden="1"/>
    <cellStyle name="Hyperlink" xfId="3787" builtinId="8" hidden="1"/>
    <cellStyle name="Hyperlink" xfId="3789" builtinId="8" hidden="1"/>
    <cellStyle name="Hyperlink" xfId="3791" builtinId="8" hidden="1"/>
    <cellStyle name="Hyperlink" xfId="3793" builtinId="8" hidden="1"/>
    <cellStyle name="Hyperlink" xfId="3795" builtinId="8" hidden="1"/>
    <cellStyle name="Hyperlink" xfId="3797" builtinId="8" hidden="1"/>
    <cellStyle name="Hyperlink" xfId="3799" builtinId="8" hidden="1"/>
    <cellStyle name="Hyperlink" xfId="3801" builtinId="8" hidden="1"/>
    <cellStyle name="Hyperlink" xfId="3803" builtinId="8" hidden="1"/>
    <cellStyle name="Hyperlink" xfId="3805" builtinId="8" hidden="1"/>
    <cellStyle name="Hyperlink" xfId="3807" builtinId="8" hidden="1"/>
    <cellStyle name="Hyperlink" xfId="3809" builtinId="8" hidden="1"/>
    <cellStyle name="Hyperlink" xfId="3811" builtinId="8" hidden="1"/>
    <cellStyle name="Hyperlink" xfId="3813" builtinId="8" hidden="1"/>
    <cellStyle name="Hyperlink" xfId="3815" builtinId="8" hidden="1"/>
    <cellStyle name="Hyperlink" xfId="3817" builtinId="8" hidden="1"/>
    <cellStyle name="Hyperlink" xfId="3819" builtinId="8" hidden="1"/>
    <cellStyle name="Hyperlink" xfId="3821" builtinId="8" hidden="1"/>
    <cellStyle name="Hyperlink" xfId="3823" builtinId="8" hidden="1"/>
    <cellStyle name="Hyperlink" xfId="3825" builtinId="8" hidden="1"/>
    <cellStyle name="Hyperlink" xfId="3827" builtinId="8" hidden="1"/>
    <cellStyle name="Hyperlink" xfId="3829" builtinId="8" hidden="1"/>
    <cellStyle name="Hyperlink" xfId="3831" builtinId="8" hidden="1"/>
    <cellStyle name="Hyperlink" xfId="3833" builtinId="8" hidden="1"/>
    <cellStyle name="Hyperlink" xfId="3835" builtinId="8" hidden="1"/>
    <cellStyle name="Hyperlink" xfId="3837" builtinId="8" hidden="1"/>
    <cellStyle name="Hyperlink" xfId="3839" builtinId="8" hidden="1"/>
    <cellStyle name="Hyperlink" xfId="3841" builtinId="8" hidden="1"/>
    <cellStyle name="Hyperlink" xfId="3843" builtinId="8" hidden="1"/>
    <cellStyle name="Hyperlink" xfId="3845" builtinId="8" hidden="1"/>
    <cellStyle name="Hyperlink" xfId="3847" builtinId="8" hidden="1"/>
    <cellStyle name="Hyperlink" xfId="3849" builtinId="8" hidden="1"/>
    <cellStyle name="Hyperlink" xfId="3851" builtinId="8" hidden="1"/>
    <cellStyle name="Hyperlink" xfId="3853" builtinId="8" hidden="1"/>
    <cellStyle name="Hyperlink" xfId="3855" builtinId="8" hidden="1"/>
    <cellStyle name="Hyperlink" xfId="3857" builtinId="8" hidden="1"/>
    <cellStyle name="Hyperlink" xfId="3859" builtinId="8" hidden="1"/>
    <cellStyle name="Hyperlink" xfId="3861" builtinId="8" hidden="1"/>
    <cellStyle name="Hyperlink" xfId="3863" builtinId="8" hidden="1"/>
    <cellStyle name="Hyperlink" xfId="3865" builtinId="8" hidden="1"/>
    <cellStyle name="Hyperlink" xfId="3867" builtinId="8" hidden="1"/>
    <cellStyle name="Hyperlink" xfId="3869" builtinId="8" hidden="1"/>
    <cellStyle name="Hyperlink" xfId="3871" builtinId="8" hidden="1"/>
    <cellStyle name="Hyperlink" xfId="3873" builtinId="8" hidden="1"/>
    <cellStyle name="Hyperlink" xfId="3875" builtinId="8" hidden="1"/>
    <cellStyle name="Hyperlink" xfId="3877" builtinId="8" hidden="1"/>
    <cellStyle name="Hyperlink" xfId="3879" builtinId="8" hidden="1"/>
    <cellStyle name="Hyperlink" xfId="3881" builtinId="8" hidden="1"/>
    <cellStyle name="Hyperlink" xfId="3883" builtinId="8" hidden="1"/>
    <cellStyle name="Hyperlink" xfId="3885" builtinId="8" hidden="1"/>
    <cellStyle name="Hyperlink" xfId="3887" builtinId="8" hidden="1"/>
    <cellStyle name="Hyperlink" xfId="3889" builtinId="8" hidden="1"/>
    <cellStyle name="Hyperlink" xfId="3891" builtinId="8" hidden="1"/>
    <cellStyle name="Hyperlink" xfId="3893" builtinId="8" hidden="1"/>
    <cellStyle name="Hyperlink" xfId="3895" builtinId="8" hidden="1"/>
    <cellStyle name="Hyperlink" xfId="3897" builtinId="8" hidden="1"/>
    <cellStyle name="Hyperlink" xfId="3899" builtinId="8" hidden="1"/>
    <cellStyle name="Hyperlink" xfId="3901" builtinId="8" hidden="1"/>
    <cellStyle name="Hyperlink" xfId="3903" builtinId="8" hidden="1"/>
    <cellStyle name="Hyperlink" xfId="3905" builtinId="8" hidden="1"/>
    <cellStyle name="Hyperlink" xfId="3907" builtinId="8" hidden="1"/>
    <cellStyle name="Hyperlink" xfId="3909" builtinId="8" hidden="1"/>
    <cellStyle name="Hyperlink" xfId="3911" builtinId="8" hidden="1"/>
    <cellStyle name="Hyperlink" xfId="3913" builtinId="8" hidden="1"/>
    <cellStyle name="Hyperlink" xfId="3915" builtinId="8" hidden="1"/>
    <cellStyle name="Hyperlink" xfId="3917" builtinId="8" hidden="1"/>
    <cellStyle name="Hyperlink" xfId="3919" builtinId="8" hidden="1"/>
    <cellStyle name="Hyperlink" xfId="3921" builtinId="8" hidden="1"/>
    <cellStyle name="Hyperlink" xfId="3923" builtinId="8" hidden="1"/>
    <cellStyle name="Hyperlink" xfId="3925" builtinId="8" hidden="1"/>
    <cellStyle name="Hyperlink" xfId="3927" builtinId="8" hidden="1"/>
    <cellStyle name="Hyperlink" xfId="3929" builtinId="8" hidden="1"/>
    <cellStyle name="Hyperlink" xfId="3931" builtinId="8" hidden="1"/>
    <cellStyle name="Hyperlink" xfId="3933" builtinId="8" hidden="1"/>
    <cellStyle name="Hyperlink" xfId="3935" builtinId="8" hidden="1"/>
    <cellStyle name="Hyperlink" xfId="3937" builtinId="8" hidden="1"/>
    <cellStyle name="Hyperlink" xfId="3939" builtinId="8" hidden="1"/>
    <cellStyle name="Hyperlink" xfId="3941" builtinId="8" hidden="1"/>
    <cellStyle name="Hyperlink" xfId="3943" builtinId="8" hidden="1"/>
    <cellStyle name="Hyperlink" xfId="3945" builtinId="8" hidden="1"/>
    <cellStyle name="Hyperlink" xfId="3947" builtinId="8" hidden="1"/>
    <cellStyle name="Hyperlink" xfId="3949" builtinId="8" hidden="1"/>
    <cellStyle name="Hyperlink" xfId="3951" builtinId="8" hidden="1"/>
    <cellStyle name="Hyperlink" xfId="3953" builtinId="8" hidden="1"/>
    <cellStyle name="Hyperlink" xfId="3955" builtinId="8" hidden="1"/>
    <cellStyle name="Hyperlink" xfId="3957" builtinId="8" hidden="1"/>
    <cellStyle name="Hyperlink" xfId="3959" builtinId="8" hidden="1"/>
    <cellStyle name="Hyperlink" xfId="3961" builtinId="8" hidden="1"/>
    <cellStyle name="Hyperlink" xfId="3963" builtinId="8" hidden="1"/>
    <cellStyle name="Hyperlink" xfId="3965" builtinId="8" hidden="1"/>
    <cellStyle name="Hyperlink" xfId="3967" builtinId="8" hidden="1"/>
    <cellStyle name="Hyperlink" xfId="3969" builtinId="8" hidden="1"/>
    <cellStyle name="Hyperlink" xfId="3971" builtinId="8" hidden="1"/>
    <cellStyle name="Hyperlink" xfId="3973" builtinId="8" hidden="1"/>
    <cellStyle name="Hyperlink" xfId="3975" builtinId="8" hidden="1"/>
    <cellStyle name="Hyperlink" xfId="3977" builtinId="8" hidden="1"/>
    <cellStyle name="Hyperlink" xfId="3979" builtinId="8" hidden="1"/>
    <cellStyle name="Hyperlink" xfId="3981" builtinId="8" hidden="1"/>
    <cellStyle name="Hyperlink" xfId="3983" builtinId="8" hidden="1"/>
    <cellStyle name="Hyperlink" xfId="3985" builtinId="8" hidden="1"/>
    <cellStyle name="Hyperlink" xfId="3987" builtinId="8" hidden="1"/>
    <cellStyle name="Hyperlink" xfId="3989" builtinId="8" hidden="1"/>
    <cellStyle name="Hyperlink" xfId="3991" builtinId="8" hidden="1"/>
    <cellStyle name="Hyperlink" xfId="3993" builtinId="8" hidden="1"/>
    <cellStyle name="Hyperlink" xfId="3995" builtinId="8" hidden="1"/>
    <cellStyle name="Hyperlink" xfId="3997" builtinId="8" hidden="1"/>
    <cellStyle name="Hyperlink" xfId="3999" builtinId="8" hidden="1"/>
    <cellStyle name="Hyperlink" xfId="4001" builtinId="8" hidden="1"/>
    <cellStyle name="Hyperlink" xfId="4003" builtinId="8" hidden="1"/>
    <cellStyle name="Hyperlink" xfId="4005" builtinId="8" hidden="1"/>
    <cellStyle name="Hyperlink" xfId="4007" builtinId="8" hidden="1"/>
    <cellStyle name="Hyperlink" xfId="4009" builtinId="8" hidden="1"/>
    <cellStyle name="Hyperlink" xfId="4011" builtinId="8" hidden="1"/>
    <cellStyle name="Hyperlink" xfId="4013" builtinId="8" hidden="1"/>
    <cellStyle name="Hyperlink" xfId="4015" builtinId="8" hidden="1"/>
    <cellStyle name="Hyperlink" xfId="4017" builtinId="8" hidden="1"/>
    <cellStyle name="Hyperlink" xfId="4019" builtinId="8" hidden="1"/>
    <cellStyle name="Hyperlink" xfId="4021" builtinId="8" hidden="1"/>
    <cellStyle name="Hyperlink" xfId="4023" builtinId="8" hidden="1"/>
    <cellStyle name="Hyperlink" xfId="4025" builtinId="8" hidden="1"/>
    <cellStyle name="Hyperlink" xfId="4027" builtinId="8" hidden="1"/>
    <cellStyle name="Hyperlink" xfId="4029" builtinId="8" hidden="1"/>
    <cellStyle name="Hyperlink" xfId="4031" builtinId="8" hidden="1"/>
    <cellStyle name="Hyperlink" xfId="4033" builtinId="8" hidden="1"/>
    <cellStyle name="Hyperlink" xfId="4035" builtinId="8" hidden="1"/>
    <cellStyle name="Hyperlink" xfId="4037" builtinId="8" hidden="1"/>
    <cellStyle name="Hyperlink" xfId="4039" builtinId="8" hidden="1"/>
    <cellStyle name="Hyperlink" xfId="4041" builtinId="8" hidden="1"/>
    <cellStyle name="Hyperlink" xfId="4043" builtinId="8" hidden="1"/>
    <cellStyle name="Hyperlink" xfId="4045" builtinId="8" hidden="1"/>
    <cellStyle name="Hyperlink" xfId="4047" builtinId="8" hidden="1"/>
    <cellStyle name="Hyperlink" xfId="4049" builtinId="8" hidden="1"/>
    <cellStyle name="Hyperlink" xfId="4051" builtinId="8" hidden="1"/>
    <cellStyle name="Hyperlink" xfId="4053" builtinId="8" hidden="1"/>
    <cellStyle name="Hyperlink" xfId="4055" builtinId="8" hidden="1"/>
    <cellStyle name="Hyperlink" xfId="4057" builtinId="8" hidden="1"/>
    <cellStyle name="Hyperlink" xfId="4059" builtinId="8" hidden="1"/>
    <cellStyle name="Hyperlink" xfId="4061" builtinId="8" hidden="1"/>
    <cellStyle name="Hyperlink" xfId="4063" builtinId="8" hidden="1"/>
    <cellStyle name="Hyperlink" xfId="4065" builtinId="8" hidden="1"/>
    <cellStyle name="Hyperlink" xfId="4067" builtinId="8" hidden="1"/>
    <cellStyle name="Hyperlink" xfId="4069" builtinId="8" hidden="1"/>
    <cellStyle name="Hyperlink" xfId="4071" builtinId="8" hidden="1"/>
    <cellStyle name="Hyperlink" xfId="4073" builtinId="8" hidden="1"/>
    <cellStyle name="Hyperlink" xfId="4075" builtinId="8" hidden="1"/>
    <cellStyle name="Hyperlink" xfId="4077" builtinId="8" hidden="1"/>
    <cellStyle name="Hyperlink" xfId="4079" builtinId="8" hidden="1"/>
    <cellStyle name="Hyperlink" xfId="4081" builtinId="8" hidden="1"/>
    <cellStyle name="Hyperlink" xfId="4083" builtinId="8" hidden="1"/>
    <cellStyle name="Hyperlink" xfId="4085" builtinId="8" hidden="1"/>
    <cellStyle name="Hyperlink" xfId="4087" builtinId="8" hidden="1"/>
    <cellStyle name="Hyperlink" xfId="4089" builtinId="8" hidden="1"/>
    <cellStyle name="Hyperlink" xfId="4091" builtinId="8" hidden="1"/>
    <cellStyle name="Hyperlink" xfId="4093" builtinId="8" hidden="1"/>
    <cellStyle name="Hyperlink" xfId="4095" builtinId="8" hidden="1"/>
    <cellStyle name="Hyperlink" xfId="4097" builtinId="8" hidden="1"/>
    <cellStyle name="Hyperlink" xfId="4099" builtinId="8" hidden="1"/>
    <cellStyle name="Hyperlink" xfId="4101" builtinId="8" hidden="1"/>
    <cellStyle name="Hyperlink" xfId="4103" builtinId="8" hidden="1"/>
    <cellStyle name="Hyperlink" xfId="4105" builtinId="8" hidden="1"/>
    <cellStyle name="Hyperlink" xfId="4107" builtinId="8" hidden="1"/>
    <cellStyle name="Hyperlink" xfId="4109" builtinId="8" hidden="1"/>
    <cellStyle name="Hyperlink" xfId="4111" builtinId="8" hidden="1"/>
    <cellStyle name="Hyperlink" xfId="4113" builtinId="8" hidden="1"/>
    <cellStyle name="Hyperlink" xfId="4115" builtinId="8" hidden="1"/>
    <cellStyle name="Hyperlink" xfId="4117" builtinId="8" hidden="1"/>
    <cellStyle name="Hyperlink" xfId="4119" builtinId="8" hidden="1"/>
    <cellStyle name="Hyperlink" xfId="4121" builtinId="8" hidden="1"/>
    <cellStyle name="Hyperlink" xfId="4123" builtinId="8" hidden="1"/>
    <cellStyle name="Hyperlink" xfId="4125" builtinId="8" hidden="1"/>
    <cellStyle name="Hyperlink" xfId="4127" builtinId="8" hidden="1"/>
    <cellStyle name="Hyperlink" xfId="4129" builtinId="8" hidden="1"/>
    <cellStyle name="Hyperlink" xfId="4131" builtinId="8" hidden="1"/>
    <cellStyle name="Hyperlink" xfId="4133" builtinId="8" hidden="1"/>
    <cellStyle name="Hyperlink" xfId="4135" builtinId="8" hidden="1"/>
    <cellStyle name="Hyperlink" xfId="4137" builtinId="8" hidden="1"/>
    <cellStyle name="Hyperlink" xfId="4139" builtinId="8" hidden="1"/>
    <cellStyle name="Hyperlink" xfId="4141" builtinId="8" hidden="1"/>
    <cellStyle name="Hyperlink" xfId="4143" builtinId="8" hidden="1"/>
    <cellStyle name="Hyperlink" xfId="4145" builtinId="8" hidden="1"/>
    <cellStyle name="Hyperlink" xfId="4147" builtinId="8" hidden="1"/>
    <cellStyle name="Hyperlink" xfId="4149" builtinId="8" hidden="1"/>
    <cellStyle name="Hyperlink" xfId="4151" builtinId="8" hidden="1"/>
    <cellStyle name="Hyperlink" xfId="4153" builtinId="8" hidden="1"/>
    <cellStyle name="Hyperlink" xfId="4155" builtinId="8" hidden="1"/>
    <cellStyle name="Hyperlink" xfId="4157" builtinId="8" hidden="1"/>
    <cellStyle name="Hyperlink" xfId="4159" builtinId="8" hidden="1"/>
    <cellStyle name="Hyperlink" xfId="4161" builtinId="8" hidden="1"/>
    <cellStyle name="Hyperlink" xfId="4163" builtinId="8" hidden="1"/>
    <cellStyle name="Hyperlink" xfId="4165" builtinId="8" hidden="1"/>
    <cellStyle name="Hyperlink" xfId="4167" builtinId="8" hidden="1"/>
    <cellStyle name="Hyperlink" xfId="4169" builtinId="8" hidden="1"/>
    <cellStyle name="Hyperlink" xfId="4171" builtinId="8" hidden="1"/>
    <cellStyle name="Hyperlink" xfId="4173" builtinId="8" hidden="1"/>
    <cellStyle name="Hyperlink" xfId="4175" builtinId="8" hidden="1"/>
    <cellStyle name="Hyperlink" xfId="4177" builtinId="8" hidden="1"/>
    <cellStyle name="Hyperlink" xfId="4179" builtinId="8" hidden="1"/>
    <cellStyle name="Hyperlink" xfId="4181" builtinId="8" hidden="1"/>
    <cellStyle name="Hyperlink" xfId="4183" builtinId="8" hidden="1"/>
    <cellStyle name="Hyperlink" xfId="4185" builtinId="8" hidden="1"/>
    <cellStyle name="Hyperlink" xfId="4187" builtinId="8" hidden="1"/>
    <cellStyle name="Hyperlink" xfId="4189" builtinId="8" hidden="1"/>
    <cellStyle name="Hyperlink" xfId="4191" builtinId="8" hidden="1"/>
    <cellStyle name="Hyperlink" xfId="4193" builtinId="8" hidden="1"/>
    <cellStyle name="Hyperlink" xfId="4195" builtinId="8" hidden="1"/>
    <cellStyle name="Hyperlink" xfId="4197" builtinId="8" hidden="1"/>
    <cellStyle name="Hyperlink" xfId="4199" builtinId="8" hidden="1"/>
    <cellStyle name="Hyperlink" xfId="4201" builtinId="8" hidden="1"/>
    <cellStyle name="Hyperlink" xfId="4203" builtinId="8" hidden="1"/>
    <cellStyle name="Hyperlink" xfId="4205" builtinId="8" hidden="1"/>
    <cellStyle name="Hyperlink" xfId="4207" builtinId="8" hidden="1"/>
    <cellStyle name="Hyperlink" xfId="4209" builtinId="8" hidden="1"/>
    <cellStyle name="Hyperlink" xfId="4211" builtinId="8" hidden="1"/>
    <cellStyle name="Hyperlink" xfId="4213" builtinId="8" hidden="1"/>
    <cellStyle name="Hyperlink" xfId="4215" builtinId="8" hidden="1"/>
    <cellStyle name="Hyperlink" xfId="4217" builtinId="8" hidden="1"/>
    <cellStyle name="Hyperlink" xfId="4219" builtinId="8" hidden="1"/>
    <cellStyle name="Hyperlink" xfId="4221" builtinId="8" hidden="1"/>
    <cellStyle name="Hyperlink" xfId="4223" builtinId="8" hidden="1"/>
    <cellStyle name="Hyperlink" xfId="4225" builtinId="8" hidden="1"/>
    <cellStyle name="Hyperlink" xfId="4227" builtinId="8" hidden="1"/>
    <cellStyle name="Hyperlink" xfId="4229" builtinId="8" hidden="1"/>
    <cellStyle name="Hyperlink" xfId="4231" builtinId="8" hidden="1"/>
    <cellStyle name="Hyperlink" xfId="4233" builtinId="8" hidden="1"/>
    <cellStyle name="Hyperlink" xfId="4235" builtinId="8" hidden="1"/>
    <cellStyle name="Hyperlink" xfId="4237" builtinId="8" hidden="1"/>
    <cellStyle name="Hyperlink" xfId="4239" builtinId="8" hidden="1"/>
    <cellStyle name="Hyperlink" xfId="4241" builtinId="8" hidden="1"/>
    <cellStyle name="Hyperlink" xfId="4243" builtinId="8" hidden="1"/>
    <cellStyle name="Hyperlink" xfId="4245" builtinId="8" hidden="1"/>
    <cellStyle name="Hyperlink" xfId="4247" builtinId="8" hidden="1"/>
    <cellStyle name="Hyperlink" xfId="4249" builtinId="8" hidden="1"/>
    <cellStyle name="Hyperlink" xfId="4251" builtinId="8" hidden="1"/>
    <cellStyle name="Hyperlink" xfId="4253" builtinId="8" hidden="1"/>
    <cellStyle name="Hyperlink" xfId="4255" builtinId="8" hidden="1"/>
    <cellStyle name="Hyperlink" xfId="4257" builtinId="8" hidden="1"/>
    <cellStyle name="Hyperlink" xfId="4259" builtinId="8" hidden="1"/>
    <cellStyle name="Hyperlink" xfId="4261" builtinId="8" hidden="1"/>
    <cellStyle name="Hyperlink" xfId="4263" builtinId="8" hidden="1"/>
    <cellStyle name="Hyperlink" xfId="4265" builtinId="8" hidden="1"/>
    <cellStyle name="Hyperlink" xfId="4267" builtinId="8" hidden="1"/>
    <cellStyle name="Hyperlink" xfId="4269" builtinId="8" hidden="1"/>
    <cellStyle name="Hyperlink" xfId="4271" builtinId="8" hidden="1"/>
    <cellStyle name="Hyperlink" xfId="4273" builtinId="8" hidden="1"/>
    <cellStyle name="Hyperlink" xfId="4275" builtinId="8" hidden="1"/>
    <cellStyle name="Hyperlink" xfId="4277" builtinId="8" hidden="1"/>
    <cellStyle name="Hyperlink" xfId="4279" builtinId="8" hidden="1"/>
    <cellStyle name="Hyperlink" xfId="4281" builtinId="8" hidden="1"/>
    <cellStyle name="Hyperlink" xfId="4283" builtinId="8" hidden="1"/>
    <cellStyle name="Hyperlink" xfId="4285" builtinId="8" hidden="1"/>
    <cellStyle name="Hyperlink" xfId="4287" builtinId="8" hidden="1"/>
    <cellStyle name="Hyperlink" xfId="4289" builtinId="8" hidden="1"/>
    <cellStyle name="Hyperlink" xfId="4291" builtinId="8" hidden="1"/>
    <cellStyle name="Hyperlink" xfId="4293" builtinId="8" hidden="1"/>
    <cellStyle name="Hyperlink" xfId="4295" builtinId="8" hidden="1"/>
    <cellStyle name="Hyperlink" xfId="4297" builtinId="8" hidden="1"/>
    <cellStyle name="Hyperlink" xfId="4299" builtinId="8" hidden="1"/>
    <cellStyle name="Hyperlink" xfId="4301" builtinId="8" hidden="1"/>
    <cellStyle name="Hyperlink" xfId="4303" builtinId="8" hidden="1"/>
    <cellStyle name="Hyperlink" xfId="4305" builtinId="8" hidden="1"/>
    <cellStyle name="Hyperlink" xfId="4307" builtinId="8" hidden="1"/>
    <cellStyle name="Hyperlink" xfId="4309" builtinId="8" hidden="1"/>
    <cellStyle name="Hyperlink" xfId="4311" builtinId="8" hidden="1"/>
    <cellStyle name="Hyperlink" xfId="4313" builtinId="8" hidden="1"/>
    <cellStyle name="Hyperlink" xfId="4315" builtinId="8" hidden="1"/>
    <cellStyle name="Hyperlink" xfId="4317" builtinId="8" hidden="1"/>
    <cellStyle name="Hyperlink" xfId="4319" builtinId="8" hidden="1"/>
    <cellStyle name="Hyperlink" xfId="4321" builtinId="8" hidden="1"/>
    <cellStyle name="Hyperlink" xfId="4323" builtinId="8" hidden="1"/>
    <cellStyle name="Hyperlink" xfId="4325" builtinId="8" hidden="1"/>
    <cellStyle name="Hyperlink" xfId="4327" builtinId="8" hidden="1"/>
    <cellStyle name="Hyperlink" xfId="4329" builtinId="8" hidden="1"/>
    <cellStyle name="Hyperlink" xfId="4331" builtinId="8" hidden="1"/>
    <cellStyle name="Hyperlink" xfId="4333" builtinId="8" hidden="1"/>
    <cellStyle name="Hyperlink" xfId="4335" builtinId="8" hidden="1"/>
    <cellStyle name="Hyperlink" xfId="4337" builtinId="8" hidden="1"/>
    <cellStyle name="Hyperlink" xfId="4339" builtinId="8" hidden="1"/>
    <cellStyle name="Hyperlink" xfId="4341" builtinId="8" hidden="1"/>
    <cellStyle name="Hyperlink" xfId="4343" builtinId="8" hidden="1"/>
    <cellStyle name="Hyperlink" xfId="4345" builtinId="8" hidden="1"/>
    <cellStyle name="Hyperlink" xfId="4347" builtinId="8" hidden="1"/>
    <cellStyle name="Hyperlink" xfId="4349" builtinId="8" hidden="1"/>
    <cellStyle name="Hyperlink" xfId="4351" builtinId="8" hidden="1"/>
    <cellStyle name="Hyperlink" xfId="4353" builtinId="8" hidden="1"/>
    <cellStyle name="Hyperlink" xfId="4355" builtinId="8" hidden="1"/>
    <cellStyle name="Hyperlink" xfId="4357" builtinId="8" hidden="1"/>
    <cellStyle name="Hyperlink" xfId="4359" builtinId="8" hidden="1"/>
    <cellStyle name="Hyperlink" xfId="4361" builtinId="8" hidden="1"/>
    <cellStyle name="Hyperlink" xfId="4363" builtinId="8" hidden="1"/>
    <cellStyle name="Hyperlink" xfId="4365" builtinId="8" hidden="1"/>
    <cellStyle name="Hyperlink" xfId="4367" builtinId="8" hidden="1"/>
    <cellStyle name="Hyperlink" xfId="4369" builtinId="8" hidden="1"/>
    <cellStyle name="Hyperlink" xfId="4371" builtinId="8"/>
    <cellStyle name="Normal" xfId="0" builtinId="0"/>
  </cellStyles>
  <dxfs count="0"/>
  <tableStyles count="0" defaultTableStyle="TableStyleMedium9" defaultPivotStyle="PivotStyleMedium4"/>
  <colors>
    <mruColors>
      <color rgb="FFD7D7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oracle.com/cd/E67482_01/oscar/pdf/45/OnlineHelp_45/helpOnPS2keyCod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9FE35-A90B-3343-BA83-F7F50B48781F}">
  <dimension ref="A1:L124"/>
  <sheetViews>
    <sheetView tabSelected="1" topLeftCell="A14" zoomScale="111" workbookViewId="0">
      <selection activeCell="E44" sqref="E44"/>
    </sheetView>
  </sheetViews>
  <sheetFormatPr baseColWidth="10" defaultRowHeight="16"/>
  <cols>
    <col min="1" max="1" width="10.83203125" style="21"/>
    <col min="2" max="3" width="10.83203125" style="5"/>
    <col min="4" max="4" width="9.33203125" style="5" bestFit="1" customWidth="1"/>
    <col min="5" max="5" width="16.6640625" style="5" customWidth="1"/>
    <col min="6" max="6" width="23.1640625" style="6" customWidth="1"/>
    <col min="7" max="7" width="23.5" style="6" bestFit="1" customWidth="1"/>
    <col min="8" max="8" width="41" style="6" customWidth="1"/>
    <col min="10" max="11" width="10.83203125" style="10"/>
  </cols>
  <sheetData>
    <row r="1" spans="1:12">
      <c r="B1" s="5" t="s">
        <v>11</v>
      </c>
      <c r="D1" s="9" t="s">
        <v>12</v>
      </c>
    </row>
    <row r="3" spans="1:12">
      <c r="B3" s="5">
        <v>5</v>
      </c>
      <c r="C3" s="5">
        <v>10</v>
      </c>
      <c r="E3" s="5">
        <v>10</v>
      </c>
      <c r="F3" s="5">
        <v>20</v>
      </c>
      <c r="G3" s="5">
        <v>4</v>
      </c>
      <c r="H3" s="5">
        <v>30</v>
      </c>
    </row>
    <row r="4" spans="1:12" ht="68">
      <c r="B4" s="7" t="s">
        <v>2</v>
      </c>
      <c r="C4" s="7" t="s">
        <v>6</v>
      </c>
      <c r="D4" s="39" t="s">
        <v>123</v>
      </c>
      <c r="E4" s="7" t="s">
        <v>4</v>
      </c>
      <c r="F4" s="8" t="s">
        <v>5</v>
      </c>
      <c r="G4" s="34" t="s">
        <v>133</v>
      </c>
      <c r="H4" s="8" t="s">
        <v>1</v>
      </c>
      <c r="J4" s="10" t="s">
        <v>108</v>
      </c>
      <c r="K4" s="10" t="s">
        <v>107</v>
      </c>
      <c r="L4" t="s">
        <v>106</v>
      </c>
    </row>
    <row r="5" spans="1:12" s="6" customFormat="1">
      <c r="A5" s="36" t="s">
        <v>36</v>
      </c>
      <c r="B5" s="14">
        <f t="shared" ref="B5:B16" si="0">CODE(A5)</f>
        <v>97</v>
      </c>
      <c r="C5" s="14" t="s">
        <v>7</v>
      </c>
      <c r="D5" s="14" t="s">
        <v>10</v>
      </c>
      <c r="E5" s="14" t="s">
        <v>3</v>
      </c>
      <c r="F5" s="15" t="s">
        <v>13</v>
      </c>
      <c r="G5" s="15">
        <v>0</v>
      </c>
      <c r="H5" s="15" t="s">
        <v>24</v>
      </c>
      <c r="I5" s="6">
        <v>1</v>
      </c>
      <c r="J5" s="6">
        <v>0</v>
      </c>
      <c r="K5" s="31" t="str">
        <f>IF(L5,"DUPLICATE","")</f>
        <v/>
      </c>
      <c r="L5" s="6" t="b">
        <f t="array" ref="L5">OR(EXACT(A5, $A6:$A$49))</f>
        <v>0</v>
      </c>
    </row>
    <row r="6" spans="1:12" s="6" customFormat="1">
      <c r="A6" s="36" t="s">
        <v>44</v>
      </c>
      <c r="B6" s="14">
        <f t="shared" si="0"/>
        <v>118</v>
      </c>
      <c r="C6" s="14" t="s">
        <v>7</v>
      </c>
      <c r="D6" s="14" t="s">
        <v>10</v>
      </c>
      <c r="E6" s="14" t="s">
        <v>3</v>
      </c>
      <c r="F6" s="15" t="s">
        <v>8</v>
      </c>
      <c r="G6" s="15">
        <v>1</v>
      </c>
      <c r="H6" s="15" t="s">
        <v>31</v>
      </c>
      <c r="I6" s="6">
        <v>1</v>
      </c>
      <c r="J6" s="6">
        <v>1</v>
      </c>
      <c r="K6" s="31" t="str">
        <f t="shared" ref="K6:K85" si="1">IF(L6,"DUPLICATE","")</f>
        <v/>
      </c>
      <c r="L6" s="6" t="b">
        <f t="array" ref="L6">OR(EXACT(A6, $A7:$A$49))</f>
        <v>0</v>
      </c>
    </row>
    <row r="7" spans="1:12" s="6" customFormat="1">
      <c r="A7" s="36" t="s">
        <v>41</v>
      </c>
      <c r="B7" s="16">
        <f t="shared" si="0"/>
        <v>113</v>
      </c>
      <c r="C7" s="16" t="s">
        <v>7</v>
      </c>
      <c r="D7" s="16" t="s">
        <v>10</v>
      </c>
      <c r="E7" s="16" t="s">
        <v>3</v>
      </c>
      <c r="F7" s="17" t="s">
        <v>9</v>
      </c>
      <c r="G7" s="17">
        <v>2</v>
      </c>
      <c r="H7" s="17" t="s">
        <v>28</v>
      </c>
      <c r="I7" s="6">
        <v>3</v>
      </c>
      <c r="J7" s="6">
        <v>2</v>
      </c>
      <c r="K7" s="31" t="str">
        <f t="shared" si="1"/>
        <v/>
      </c>
      <c r="L7" s="6" t="b">
        <f t="array" ref="L7">OR(EXACT(A7, $A8:$A$49))</f>
        <v>0</v>
      </c>
    </row>
    <row r="8" spans="1:12" s="6" customFormat="1">
      <c r="A8" s="36" t="s">
        <v>39</v>
      </c>
      <c r="B8" s="14">
        <f t="shared" si="0"/>
        <v>111</v>
      </c>
      <c r="C8" s="14" t="s">
        <v>7</v>
      </c>
      <c r="D8" s="14" t="s">
        <v>10</v>
      </c>
      <c r="E8" s="14" t="s">
        <v>3</v>
      </c>
      <c r="F8" s="15" t="s">
        <v>16</v>
      </c>
      <c r="G8" s="15">
        <v>3</v>
      </c>
      <c r="H8" s="15" t="s">
        <v>27</v>
      </c>
      <c r="I8" s="6">
        <v>3</v>
      </c>
      <c r="J8" s="11">
        <v>3</v>
      </c>
      <c r="K8" s="31" t="str">
        <f t="shared" si="1"/>
        <v/>
      </c>
      <c r="L8" s="6" t="b">
        <f t="array" ref="L8">OR(EXACT(A8, $A9:$A$49))</f>
        <v>0</v>
      </c>
    </row>
    <row r="9" spans="1:12" s="6" customFormat="1">
      <c r="A9" s="36" t="s">
        <v>38</v>
      </c>
      <c r="B9" s="14">
        <f t="shared" si="0"/>
        <v>108</v>
      </c>
      <c r="C9" s="14" t="s">
        <v>7</v>
      </c>
      <c r="D9" s="14" t="s">
        <v>10</v>
      </c>
      <c r="E9" s="14" t="s">
        <v>3</v>
      </c>
      <c r="F9" s="15" t="s">
        <v>15</v>
      </c>
      <c r="G9" s="15">
        <v>4</v>
      </c>
      <c r="H9" s="15" t="s">
        <v>26</v>
      </c>
      <c r="I9" s="6">
        <v>3</v>
      </c>
      <c r="J9" s="11">
        <v>4</v>
      </c>
      <c r="K9" s="31" t="str">
        <f t="shared" si="1"/>
        <v/>
      </c>
      <c r="L9" s="6" t="b">
        <f t="array" ref="L9">OR(EXACT(A9, $A10:$A$49))</f>
        <v>0</v>
      </c>
    </row>
    <row r="10" spans="1:12" s="6" customFormat="1">
      <c r="A10" s="36" t="s">
        <v>46</v>
      </c>
      <c r="B10" s="14">
        <f t="shared" si="0"/>
        <v>120</v>
      </c>
      <c r="C10" s="14" t="s">
        <v>7</v>
      </c>
      <c r="D10" s="14" t="s">
        <v>10</v>
      </c>
      <c r="E10" s="14" t="s">
        <v>3</v>
      </c>
      <c r="F10" s="15" t="s">
        <v>21</v>
      </c>
      <c r="G10" s="15">
        <v>5</v>
      </c>
      <c r="H10" s="15" t="s">
        <v>33</v>
      </c>
      <c r="I10" s="6">
        <v>0</v>
      </c>
      <c r="J10" s="6">
        <v>5</v>
      </c>
      <c r="K10" s="31" t="str">
        <f t="shared" si="1"/>
        <v/>
      </c>
      <c r="L10" s="6" t="b">
        <f t="array" ref="L10">OR(EXACT(A10, $A11:$A$49))</f>
        <v>0</v>
      </c>
    </row>
    <row r="11" spans="1:12" s="6" customFormat="1">
      <c r="A11" s="36" t="s">
        <v>89</v>
      </c>
      <c r="B11" s="14">
        <f t="shared" si="0"/>
        <v>109</v>
      </c>
      <c r="C11" s="14" t="s">
        <v>7</v>
      </c>
      <c r="D11" s="14" t="s">
        <v>10</v>
      </c>
      <c r="E11" s="14" t="s">
        <v>3</v>
      </c>
      <c r="F11" s="15" t="s">
        <v>87</v>
      </c>
      <c r="G11" s="15">
        <v>6</v>
      </c>
      <c r="H11" s="15" t="s">
        <v>88</v>
      </c>
      <c r="I11" s="6">
        <v>0</v>
      </c>
      <c r="J11" s="6">
        <v>6</v>
      </c>
      <c r="K11" s="31" t="str">
        <f t="shared" si="1"/>
        <v/>
      </c>
      <c r="L11" s="6" t="b">
        <f t="array" ref="L11">OR(EXACT(A11, $A12:$A$49))</f>
        <v>0</v>
      </c>
    </row>
    <row r="12" spans="1:12" s="6" customFormat="1">
      <c r="A12" s="36" t="s">
        <v>92</v>
      </c>
      <c r="B12" s="14">
        <f t="shared" si="0"/>
        <v>114</v>
      </c>
      <c r="C12" s="14" t="s">
        <v>7</v>
      </c>
      <c r="D12" s="14" t="s">
        <v>10</v>
      </c>
      <c r="E12" s="14" t="s">
        <v>3</v>
      </c>
      <c r="F12" s="15" t="s">
        <v>90</v>
      </c>
      <c r="G12" s="15">
        <v>7</v>
      </c>
      <c r="H12" s="15" t="s">
        <v>91</v>
      </c>
      <c r="I12" s="6">
        <v>0</v>
      </c>
      <c r="J12" s="6">
        <v>7</v>
      </c>
      <c r="K12" s="31" t="str">
        <f t="shared" si="1"/>
        <v/>
      </c>
      <c r="L12" s="6" t="b">
        <f t="array" ref="L12">OR(EXACT(A12, $A13:$A$49))</f>
        <v>0</v>
      </c>
    </row>
    <row r="13" spans="1:12" s="6" customFormat="1">
      <c r="A13" s="36" t="s">
        <v>78</v>
      </c>
      <c r="B13" s="14">
        <f t="shared" si="0"/>
        <v>100</v>
      </c>
      <c r="C13" s="14" t="s">
        <v>7</v>
      </c>
      <c r="D13" s="14" t="s">
        <v>10</v>
      </c>
      <c r="E13" s="14" t="s">
        <v>3</v>
      </c>
      <c r="F13" s="15" t="s">
        <v>120</v>
      </c>
      <c r="G13" s="15">
        <v>8</v>
      </c>
      <c r="H13" s="15" t="s">
        <v>100</v>
      </c>
      <c r="I13" s="6">
        <v>0</v>
      </c>
      <c r="J13" s="6">
        <v>8</v>
      </c>
      <c r="K13" s="31" t="str">
        <f t="shared" si="1"/>
        <v/>
      </c>
      <c r="L13" s="6" t="b">
        <f t="array" ref="L13">OR(EXACT(A13, $A14:$A$49))</f>
        <v>0</v>
      </c>
    </row>
    <row r="14" spans="1:12" s="6" customFormat="1">
      <c r="A14" s="36" t="s">
        <v>42</v>
      </c>
      <c r="B14" s="14">
        <f t="shared" si="0"/>
        <v>115</v>
      </c>
      <c r="C14" s="14" t="s">
        <v>7</v>
      </c>
      <c r="D14" s="14" t="s">
        <v>10</v>
      </c>
      <c r="E14" s="14" t="s">
        <v>3</v>
      </c>
      <c r="F14" s="15" t="s">
        <v>18</v>
      </c>
      <c r="G14" s="15">
        <v>9</v>
      </c>
      <c r="H14" s="15" t="s">
        <v>29</v>
      </c>
      <c r="I14" s="6">
        <v>2</v>
      </c>
      <c r="J14" s="6">
        <v>9</v>
      </c>
      <c r="K14" s="31" t="str">
        <f t="shared" si="1"/>
        <v/>
      </c>
      <c r="L14" s="6" t="b">
        <f t="array" ref="L14">OR(EXACT(A14, $A15:$A$49))</f>
        <v>0</v>
      </c>
    </row>
    <row r="15" spans="1:12" s="11" customFormat="1">
      <c r="A15" s="36" t="s">
        <v>37</v>
      </c>
      <c r="B15" s="14">
        <f t="shared" si="0"/>
        <v>99</v>
      </c>
      <c r="C15" s="14" t="s">
        <v>7</v>
      </c>
      <c r="D15" s="14" t="s">
        <v>10</v>
      </c>
      <c r="E15" s="14" t="s">
        <v>3</v>
      </c>
      <c r="F15" s="15" t="s">
        <v>14</v>
      </c>
      <c r="G15" s="15">
        <v>10</v>
      </c>
      <c r="H15" s="15" t="s">
        <v>25</v>
      </c>
      <c r="I15" s="6">
        <v>2</v>
      </c>
      <c r="J15" s="6">
        <v>10</v>
      </c>
      <c r="K15" s="31" t="str">
        <f t="shared" si="1"/>
        <v/>
      </c>
      <c r="L15" s="6" t="b">
        <f t="array" ref="L15">OR(EXACT(A15, $A16:$A$49))</f>
        <v>0</v>
      </c>
    </row>
    <row r="16" spans="1:12" s="11" customFormat="1">
      <c r="A16" s="36" t="s">
        <v>43</v>
      </c>
      <c r="B16" s="14">
        <f t="shared" si="0"/>
        <v>116</v>
      </c>
      <c r="C16" s="14" t="s">
        <v>7</v>
      </c>
      <c r="D16" s="14" t="s">
        <v>10</v>
      </c>
      <c r="E16" s="14" t="s">
        <v>3</v>
      </c>
      <c r="F16" s="15" t="s">
        <v>19</v>
      </c>
      <c r="G16" s="15">
        <v>11</v>
      </c>
      <c r="H16" s="15" t="s">
        <v>30</v>
      </c>
      <c r="I16" s="6">
        <v>2</v>
      </c>
      <c r="J16" s="11">
        <v>11</v>
      </c>
      <c r="K16" s="31" t="str">
        <f t="shared" si="1"/>
        <v/>
      </c>
      <c r="L16" s="6" t="b">
        <f t="array" ref="L16">OR(EXACT(A16, $A17:$A$49))</f>
        <v>0</v>
      </c>
    </row>
    <row r="17" spans="1:12" s="11" customFormat="1">
      <c r="A17" s="37" t="s">
        <v>96</v>
      </c>
      <c r="B17" s="14">
        <v>65421</v>
      </c>
      <c r="C17" s="29" t="s">
        <v>102</v>
      </c>
      <c r="D17" s="29" t="s">
        <v>94</v>
      </c>
      <c r="E17" s="14" t="s">
        <v>3</v>
      </c>
      <c r="F17" s="15" t="s">
        <v>95</v>
      </c>
      <c r="G17" s="15">
        <v>12</v>
      </c>
      <c r="H17" s="15" t="s">
        <v>93</v>
      </c>
      <c r="I17" s="6">
        <v>0</v>
      </c>
      <c r="J17" s="6">
        <v>12</v>
      </c>
      <c r="K17" s="31" t="str">
        <f t="shared" si="1"/>
        <v/>
      </c>
      <c r="L17" s="6" t="b">
        <f t="array" ref="L17">OR(EXACT(A17, $A18:$A$49))</f>
        <v>0</v>
      </c>
    </row>
    <row r="18" spans="1:12" s="6" customFormat="1">
      <c r="A18" s="37" t="s">
        <v>45</v>
      </c>
      <c r="B18" s="14">
        <f t="shared" ref="B18:B41" si="2">CODE(A18)</f>
        <v>119</v>
      </c>
      <c r="C18" s="29" t="s">
        <v>102</v>
      </c>
      <c r="D18" s="29" t="s">
        <v>94</v>
      </c>
      <c r="E18" s="14" t="s">
        <v>3</v>
      </c>
      <c r="F18" s="15" t="s">
        <v>20</v>
      </c>
      <c r="G18" s="15">
        <v>13</v>
      </c>
      <c r="H18" s="15" t="s">
        <v>32</v>
      </c>
      <c r="I18" s="6">
        <v>0</v>
      </c>
      <c r="J18" s="6">
        <v>13</v>
      </c>
      <c r="K18" s="31" t="str">
        <f t="shared" si="1"/>
        <v/>
      </c>
      <c r="L18" s="6" t="b">
        <f t="array" ref="L18">OR(EXACT(A18, $A19:$A$49))</f>
        <v>0</v>
      </c>
    </row>
    <row r="19" spans="1:12" s="11" customFormat="1">
      <c r="A19" s="37" t="s">
        <v>75</v>
      </c>
      <c r="B19" s="16">
        <f t="shared" si="2"/>
        <v>110</v>
      </c>
      <c r="C19" s="29" t="s">
        <v>102</v>
      </c>
      <c r="D19" s="29" t="s">
        <v>94</v>
      </c>
      <c r="E19" s="16" t="s">
        <v>3</v>
      </c>
      <c r="F19" s="17" t="s">
        <v>76</v>
      </c>
      <c r="G19" s="17">
        <v>14</v>
      </c>
      <c r="H19" s="18" t="s">
        <v>77</v>
      </c>
      <c r="I19" s="11">
        <v>0</v>
      </c>
      <c r="J19" s="6">
        <v>14</v>
      </c>
      <c r="K19" s="31" t="str">
        <f t="shared" si="1"/>
        <v/>
      </c>
      <c r="L19" s="6" t="b">
        <f t="array" ref="L19">OR(EXACT(A19, $A20:$A$49))</f>
        <v>0</v>
      </c>
    </row>
    <row r="20" spans="1:12" s="6" customFormat="1">
      <c r="A20" s="37" t="s">
        <v>99</v>
      </c>
      <c r="B20" s="14">
        <f t="shared" si="2"/>
        <v>101</v>
      </c>
      <c r="C20" s="29" t="s">
        <v>102</v>
      </c>
      <c r="D20" s="29" t="s">
        <v>94</v>
      </c>
      <c r="E20" s="14" t="s">
        <v>3</v>
      </c>
      <c r="F20" s="15" t="s">
        <v>97</v>
      </c>
      <c r="G20" s="15">
        <v>15</v>
      </c>
      <c r="H20" s="15" t="s">
        <v>98</v>
      </c>
      <c r="I20" s="6">
        <v>0</v>
      </c>
      <c r="J20" s="6">
        <v>15</v>
      </c>
      <c r="K20" s="31" t="str">
        <f t="shared" si="1"/>
        <v/>
      </c>
      <c r="L20" s="6" t="b">
        <f t="array" ref="L20">OR(EXACT(A20, $A21:$A$49))</f>
        <v>0</v>
      </c>
    </row>
    <row r="21" spans="1:12" s="11" customFormat="1">
      <c r="A21" s="21" t="s">
        <v>35</v>
      </c>
      <c r="B21" s="19">
        <f t="shared" si="2"/>
        <v>61</v>
      </c>
      <c r="C21" s="19" t="s">
        <v>7</v>
      </c>
      <c r="D21" s="19" t="s">
        <v>10</v>
      </c>
      <c r="E21" s="19" t="s">
        <v>3</v>
      </c>
      <c r="F21" s="20" t="s">
        <v>0</v>
      </c>
      <c r="G21" s="20">
        <v>-1</v>
      </c>
      <c r="H21" s="20" t="s">
        <v>23</v>
      </c>
      <c r="I21" s="6">
        <v>1</v>
      </c>
      <c r="J21" s="6"/>
      <c r="K21" s="31" t="str">
        <f t="shared" si="1"/>
        <v/>
      </c>
      <c r="L21" s="6" t="b">
        <f t="array" ref="L21">OR(EXACT(A21, $A22:$A$49))</f>
        <v>0</v>
      </c>
    </row>
    <row r="22" spans="1:12" s="6" customFormat="1">
      <c r="A22" s="21" t="s">
        <v>47</v>
      </c>
      <c r="B22" s="19">
        <f t="shared" si="2"/>
        <v>121</v>
      </c>
      <c r="C22" s="19" t="s">
        <v>7</v>
      </c>
      <c r="D22" s="19" t="s">
        <v>10</v>
      </c>
      <c r="E22" s="19" t="s">
        <v>3</v>
      </c>
      <c r="F22" s="20" t="s">
        <v>22</v>
      </c>
      <c r="G22" s="20">
        <v>-1</v>
      </c>
      <c r="H22" s="20" t="s">
        <v>34</v>
      </c>
      <c r="I22" s="6">
        <v>1</v>
      </c>
      <c r="K22" s="31" t="str">
        <f t="shared" si="1"/>
        <v/>
      </c>
      <c r="L22" s="6" t="b">
        <f t="array" ref="L22">OR(EXACT(A22, $A23:$A$49))</f>
        <v>0</v>
      </c>
    </row>
    <row r="23" spans="1:12" s="6" customFormat="1">
      <c r="A23" s="21" t="s">
        <v>105</v>
      </c>
      <c r="B23" s="23">
        <f t="shared" si="2"/>
        <v>105</v>
      </c>
      <c r="C23" s="23" t="s">
        <v>7</v>
      </c>
      <c r="D23" s="23" t="s">
        <v>10</v>
      </c>
      <c r="E23" s="23" t="s">
        <v>3</v>
      </c>
      <c r="F23" s="24" t="s">
        <v>113</v>
      </c>
      <c r="G23" s="24">
        <v>-1</v>
      </c>
      <c r="H23" s="25" t="s">
        <v>105</v>
      </c>
      <c r="I23" s="13">
        <v>4</v>
      </c>
      <c r="K23" s="31" t="str">
        <f t="shared" si="1"/>
        <v/>
      </c>
      <c r="L23" s="6" t="b">
        <f t="array" ref="L23">OR(EXACT(A23, $A30:$A$49))</f>
        <v>0</v>
      </c>
    </row>
    <row r="24" spans="1:12" s="6" customFormat="1">
      <c r="A24" s="21" t="s">
        <v>67</v>
      </c>
      <c r="B24" s="23">
        <f t="shared" si="2"/>
        <v>88</v>
      </c>
      <c r="C24" s="23" t="s">
        <v>7</v>
      </c>
      <c r="D24" s="23" t="s">
        <v>10</v>
      </c>
      <c r="E24" s="23" t="s">
        <v>3</v>
      </c>
      <c r="F24" s="24" t="s">
        <v>81</v>
      </c>
      <c r="G24" s="24">
        <v>-1</v>
      </c>
      <c r="H24" s="24" t="s">
        <v>68</v>
      </c>
      <c r="I24" s="13">
        <v>4</v>
      </c>
      <c r="K24" s="31" t="str">
        <f t="shared" si="1"/>
        <v/>
      </c>
      <c r="L24" s="6" t="b">
        <f t="array" ref="L24">OR(EXACT(A24, $A28:$A$49))</f>
        <v>0</v>
      </c>
    </row>
    <row r="25" spans="1:12" s="6" customFormat="1">
      <c r="A25" s="21" t="s">
        <v>116</v>
      </c>
      <c r="B25" s="23">
        <f t="shared" si="2"/>
        <v>82</v>
      </c>
      <c r="C25" s="23" t="s">
        <v>7</v>
      </c>
      <c r="D25" s="23" t="s">
        <v>10</v>
      </c>
      <c r="E25" s="23" t="s">
        <v>3</v>
      </c>
      <c r="F25" s="24" t="s">
        <v>69</v>
      </c>
      <c r="G25" s="24">
        <v>-1</v>
      </c>
      <c r="H25" s="25" t="s">
        <v>83</v>
      </c>
      <c r="I25" s="13">
        <v>4</v>
      </c>
      <c r="K25" s="31" t="str">
        <f t="shared" si="1"/>
        <v/>
      </c>
      <c r="L25" s="6" t="b">
        <f t="array" ref="L25">OR(EXACT(A25, $A28:$A$49))</f>
        <v>0</v>
      </c>
    </row>
    <row r="26" spans="1:12" s="6" customFormat="1">
      <c r="A26" s="21" t="s">
        <v>63</v>
      </c>
      <c r="B26" s="23">
        <f t="shared" si="2"/>
        <v>80</v>
      </c>
      <c r="C26" s="23" t="s">
        <v>7</v>
      </c>
      <c r="D26" s="23" t="s">
        <v>10</v>
      </c>
      <c r="E26" s="23" t="s">
        <v>3</v>
      </c>
      <c r="F26" s="24" t="s">
        <v>70</v>
      </c>
      <c r="G26" s="24">
        <v>-1</v>
      </c>
      <c r="H26" s="25" t="s">
        <v>82</v>
      </c>
      <c r="I26" s="13">
        <v>4</v>
      </c>
      <c r="K26" s="31" t="str">
        <f t="shared" si="1"/>
        <v/>
      </c>
      <c r="L26" s="6" t="b">
        <f t="array" ref="L26">OR(EXACT(A26, $A31:$A$49))</f>
        <v>0</v>
      </c>
    </row>
    <row r="27" spans="1:12" s="6" customFormat="1">
      <c r="A27" s="21" t="s">
        <v>40</v>
      </c>
      <c r="B27" s="19">
        <f t="shared" si="2"/>
        <v>112</v>
      </c>
      <c r="C27" s="19" t="s">
        <v>7</v>
      </c>
      <c r="D27" s="19" t="s">
        <v>10</v>
      </c>
      <c r="E27" s="19" t="s">
        <v>3</v>
      </c>
      <c r="F27" s="20" t="s">
        <v>119</v>
      </c>
      <c r="G27" s="20">
        <v>-1</v>
      </c>
      <c r="H27" s="20" t="s">
        <v>132</v>
      </c>
      <c r="I27" s="6">
        <v>1</v>
      </c>
      <c r="K27" s="31" t="str">
        <f t="shared" si="1"/>
        <v/>
      </c>
      <c r="L27" s="6" t="b">
        <f t="array" ref="L27">OR(EXACT(A27, $A28:$A$49))</f>
        <v>0</v>
      </c>
    </row>
    <row r="28" spans="1:12" s="6" customFormat="1">
      <c r="A28" s="21" t="s">
        <v>109</v>
      </c>
      <c r="B28" s="32">
        <f t="shared" si="2"/>
        <v>86</v>
      </c>
      <c r="C28" s="32" t="s">
        <v>7</v>
      </c>
      <c r="D28" s="32" t="s">
        <v>10</v>
      </c>
      <c r="E28" s="32" t="s">
        <v>3</v>
      </c>
      <c r="F28" s="33" t="s">
        <v>8</v>
      </c>
      <c r="G28" s="33">
        <v>-1</v>
      </c>
      <c r="H28" s="33" t="s">
        <v>110</v>
      </c>
      <c r="I28" s="6">
        <v>1</v>
      </c>
      <c r="K28" s="31" t="str">
        <f t="shared" si="1"/>
        <v/>
      </c>
      <c r="L28" s="6" t="b">
        <f t="array" ref="L28">OR(EXACT(A28, $A29:$A$49))</f>
        <v>0</v>
      </c>
    </row>
    <row r="29" spans="1:12" s="6" customFormat="1">
      <c r="A29" s="21" t="s">
        <v>64</v>
      </c>
      <c r="B29" s="32">
        <f t="shared" si="2"/>
        <v>89</v>
      </c>
      <c r="C29" s="32" t="s">
        <v>7</v>
      </c>
      <c r="D29" s="32" t="s">
        <v>10</v>
      </c>
      <c r="E29" s="32" t="s">
        <v>3</v>
      </c>
      <c r="F29" s="33" t="s">
        <v>65</v>
      </c>
      <c r="G29" s="33">
        <v>-1</v>
      </c>
      <c r="H29" s="33" t="s">
        <v>66</v>
      </c>
      <c r="I29" s="11">
        <v>2</v>
      </c>
      <c r="K29" s="31" t="str">
        <f t="shared" si="1"/>
        <v/>
      </c>
      <c r="L29" s="6" t="b">
        <f t="array" ref="L29">OR(EXACT(A29, $A30:$A$49))</f>
        <v>0</v>
      </c>
    </row>
    <row r="30" spans="1:12" s="6" customFormat="1">
      <c r="A30" s="21" t="s">
        <v>55</v>
      </c>
      <c r="B30" s="32">
        <f t="shared" si="2"/>
        <v>67</v>
      </c>
      <c r="C30" s="32" t="s">
        <v>7</v>
      </c>
      <c r="D30" s="32" t="s">
        <v>10</v>
      </c>
      <c r="E30" s="32" t="s">
        <v>3</v>
      </c>
      <c r="F30" s="33" t="s">
        <v>49</v>
      </c>
      <c r="G30" s="33">
        <v>-1</v>
      </c>
      <c r="H30" s="33" t="s">
        <v>52</v>
      </c>
      <c r="I30" s="11">
        <v>2</v>
      </c>
      <c r="J30" s="11"/>
      <c r="K30" s="31" t="str">
        <f t="shared" si="1"/>
        <v/>
      </c>
      <c r="L30" s="6" t="b">
        <f t="array" ref="L30">OR(EXACT(A30, $A31:$A$49))</f>
        <v>0</v>
      </c>
    </row>
    <row r="31" spans="1:12" s="6" customFormat="1">
      <c r="A31" s="21" t="s">
        <v>56</v>
      </c>
      <c r="B31" s="32">
        <f t="shared" si="2"/>
        <v>83</v>
      </c>
      <c r="C31" s="32" t="s">
        <v>7</v>
      </c>
      <c r="D31" s="32" t="s">
        <v>10</v>
      </c>
      <c r="E31" s="32" t="s">
        <v>3</v>
      </c>
      <c r="F31" s="33" t="s">
        <v>50</v>
      </c>
      <c r="G31" s="33">
        <v>-1</v>
      </c>
      <c r="H31" s="33" t="s">
        <v>53</v>
      </c>
      <c r="I31" s="11">
        <v>2</v>
      </c>
      <c r="J31" s="11"/>
      <c r="K31" s="31" t="str">
        <f t="shared" si="1"/>
        <v/>
      </c>
      <c r="L31" s="6" t="b">
        <f t="array" ref="L31">OR(EXACT(A31, $A32:$A$49))</f>
        <v>0</v>
      </c>
    </row>
    <row r="32" spans="1:12" s="6" customFormat="1">
      <c r="A32" s="21" t="s">
        <v>57</v>
      </c>
      <c r="B32" s="32">
        <f t="shared" si="2"/>
        <v>84</v>
      </c>
      <c r="C32" s="32" t="s">
        <v>7</v>
      </c>
      <c r="D32" s="32" t="s">
        <v>10</v>
      </c>
      <c r="E32" s="32" t="s">
        <v>3</v>
      </c>
      <c r="F32" s="33" t="s">
        <v>51</v>
      </c>
      <c r="G32" s="33">
        <v>-1</v>
      </c>
      <c r="H32" s="33" t="s">
        <v>54</v>
      </c>
      <c r="I32" s="11">
        <v>2</v>
      </c>
      <c r="K32" s="31" t="str">
        <f t="shared" si="1"/>
        <v/>
      </c>
      <c r="L32" s="6" t="b">
        <f t="array" ref="L32">OR(EXACT(A32, $A33:$A$49))</f>
        <v>0</v>
      </c>
    </row>
    <row r="33" spans="1:12" s="6" customFormat="1">
      <c r="A33" s="21" t="s">
        <v>58</v>
      </c>
      <c r="B33" s="32">
        <f t="shared" si="2"/>
        <v>76</v>
      </c>
      <c r="C33" s="32" t="s">
        <v>7</v>
      </c>
      <c r="D33" s="32" t="s">
        <v>10</v>
      </c>
      <c r="E33" s="32" t="s">
        <v>3</v>
      </c>
      <c r="F33" s="33" t="s">
        <v>59</v>
      </c>
      <c r="G33" s="33">
        <v>-1</v>
      </c>
      <c r="H33" s="33" t="s">
        <v>62</v>
      </c>
      <c r="I33" s="11">
        <v>3</v>
      </c>
      <c r="K33" s="31" t="str">
        <f t="shared" si="1"/>
        <v/>
      </c>
      <c r="L33" s="6" t="b">
        <f t="array" ref="L33">OR(EXACT(A33, $A34:$A$49))</f>
        <v>0</v>
      </c>
    </row>
    <row r="34" spans="1:12" s="6" customFormat="1">
      <c r="A34" s="21" t="s">
        <v>60</v>
      </c>
      <c r="B34" s="32">
        <f t="shared" si="2"/>
        <v>79</v>
      </c>
      <c r="C34" s="32" t="s">
        <v>7</v>
      </c>
      <c r="D34" s="32" t="s">
        <v>10</v>
      </c>
      <c r="E34" s="32" t="s">
        <v>3</v>
      </c>
      <c r="F34" s="33" t="s">
        <v>61</v>
      </c>
      <c r="G34" s="33">
        <v>-1</v>
      </c>
      <c r="H34" s="33" t="s">
        <v>101</v>
      </c>
      <c r="I34" s="11">
        <v>3</v>
      </c>
      <c r="K34" s="31" t="str">
        <f t="shared" si="1"/>
        <v/>
      </c>
      <c r="L34" s="6" t="b">
        <f t="array" ref="L34">OR(EXACT(A34, $A35:$A$49))</f>
        <v>0</v>
      </c>
    </row>
    <row r="35" spans="1:12" s="6" customFormat="1">
      <c r="A35" s="21" t="s">
        <v>85</v>
      </c>
      <c r="B35" s="32">
        <f t="shared" si="2"/>
        <v>81</v>
      </c>
      <c r="C35" s="32" t="s">
        <v>7</v>
      </c>
      <c r="D35" s="32" t="s">
        <v>10</v>
      </c>
      <c r="E35" s="32" t="s">
        <v>3</v>
      </c>
      <c r="F35" s="33" t="s">
        <v>17</v>
      </c>
      <c r="G35" s="33">
        <v>-1</v>
      </c>
      <c r="H35" s="33" t="s">
        <v>86</v>
      </c>
      <c r="I35" s="6">
        <v>3</v>
      </c>
      <c r="K35" s="31" t="str">
        <f t="shared" si="1"/>
        <v/>
      </c>
      <c r="L35" s="6" t="b">
        <f t="array" ref="L35">OR(EXACT(A35, $A37:$A$49))</f>
        <v>0</v>
      </c>
    </row>
    <row r="36" spans="1:12" s="6" customFormat="1">
      <c r="A36" s="21" t="s">
        <v>72</v>
      </c>
      <c r="B36" s="32">
        <f t="shared" si="2"/>
        <v>68</v>
      </c>
      <c r="C36" s="32" t="s">
        <v>7</v>
      </c>
      <c r="D36" s="32" t="s">
        <v>10</v>
      </c>
      <c r="E36" s="32" t="s">
        <v>3</v>
      </c>
      <c r="F36" s="33" t="s">
        <v>125</v>
      </c>
      <c r="G36" s="33">
        <v>-1</v>
      </c>
      <c r="H36" s="33" t="s">
        <v>126</v>
      </c>
      <c r="I36" s="6">
        <v>0</v>
      </c>
      <c r="J36" s="6">
        <v>8</v>
      </c>
      <c r="K36" s="31" t="str">
        <f t="shared" si="1"/>
        <v/>
      </c>
      <c r="L36" s="6" t="b">
        <f t="array" ref="L36">OR(EXACT(A36, $A37:$A$49))</f>
        <v>0</v>
      </c>
    </row>
    <row r="37" spans="1:12" s="6" customFormat="1">
      <c r="A37" s="21" t="s">
        <v>103</v>
      </c>
      <c r="B37" s="26">
        <f t="shared" si="2"/>
        <v>73</v>
      </c>
      <c r="C37" s="30" t="s">
        <v>102</v>
      </c>
      <c r="D37" s="26" t="s">
        <v>10</v>
      </c>
      <c r="E37" s="26" t="s">
        <v>3</v>
      </c>
      <c r="F37" s="27" t="s">
        <v>73</v>
      </c>
      <c r="G37" s="27">
        <v>-1</v>
      </c>
      <c r="H37" s="27" t="s">
        <v>104</v>
      </c>
      <c r="I37" s="11">
        <v>5</v>
      </c>
      <c r="K37" s="31" t="str">
        <f t="shared" si="1"/>
        <v/>
      </c>
      <c r="L37" s="6" t="b">
        <f t="array" ref="L37">OR(EXACT(A37, $A38:$A$49))</f>
        <v>0</v>
      </c>
    </row>
    <row r="38" spans="1:12" s="6" customFormat="1">
      <c r="A38" s="21" t="s">
        <v>112</v>
      </c>
      <c r="B38" s="26">
        <f t="shared" si="2"/>
        <v>74</v>
      </c>
      <c r="C38" s="30" t="s">
        <v>102</v>
      </c>
      <c r="D38" s="26" t="s">
        <v>10</v>
      </c>
      <c r="E38" s="26" t="s">
        <v>3</v>
      </c>
      <c r="F38" s="27" t="s">
        <v>80</v>
      </c>
      <c r="G38" s="27">
        <v>-1</v>
      </c>
      <c r="H38" s="27" t="s">
        <v>79</v>
      </c>
      <c r="I38" s="11">
        <v>5</v>
      </c>
      <c r="K38" s="31" t="str">
        <f t="shared" si="1"/>
        <v/>
      </c>
      <c r="L38" s="6" t="b">
        <f t="array" ref="L38">OR(EXACT(A38, $A39:$A$49))</f>
        <v>0</v>
      </c>
    </row>
    <row r="39" spans="1:12" s="6" customFormat="1">
      <c r="A39" s="21" t="s">
        <v>84</v>
      </c>
      <c r="B39" s="26">
        <f t="shared" si="2"/>
        <v>75</v>
      </c>
      <c r="C39" s="30" t="s">
        <v>102</v>
      </c>
      <c r="D39" s="26" t="s">
        <v>10</v>
      </c>
      <c r="E39" s="26" t="s">
        <v>3</v>
      </c>
      <c r="F39" s="27" t="s">
        <v>74</v>
      </c>
      <c r="G39" s="27">
        <v>-1</v>
      </c>
      <c r="H39" s="27" t="s">
        <v>115</v>
      </c>
      <c r="I39" s="11">
        <v>5</v>
      </c>
      <c r="K39" s="31" t="str">
        <f t="shared" si="1"/>
        <v/>
      </c>
      <c r="L39" s="6" t="b">
        <f t="array" ref="L39">OR(EXACT(A39, $A40:$A$49))</f>
        <v>0</v>
      </c>
    </row>
    <row r="40" spans="1:12" s="6" customFormat="1">
      <c r="A40" s="21" t="s">
        <v>111</v>
      </c>
      <c r="B40" s="26">
        <f t="shared" si="2"/>
        <v>77</v>
      </c>
      <c r="C40" s="30" t="s">
        <v>102</v>
      </c>
      <c r="D40" s="26" t="s">
        <v>10</v>
      </c>
      <c r="E40" s="26" t="s">
        <v>3</v>
      </c>
      <c r="F40" s="27" t="s">
        <v>71</v>
      </c>
      <c r="G40" s="27">
        <v>-1</v>
      </c>
      <c r="H40" s="27" t="s">
        <v>114</v>
      </c>
      <c r="I40" s="11">
        <v>5</v>
      </c>
      <c r="K40" s="31" t="str">
        <f t="shared" si="1"/>
        <v/>
      </c>
      <c r="L40" s="6" t="b">
        <f t="array" ref="L40">OR(EXACT(A40, $A41:$A$49))</f>
        <v>0</v>
      </c>
    </row>
    <row r="41" spans="1:12" s="6" customFormat="1">
      <c r="A41" s="21" t="s">
        <v>129</v>
      </c>
      <c r="B41" s="26">
        <f t="shared" si="2"/>
        <v>70</v>
      </c>
      <c r="C41" s="30" t="s">
        <v>102</v>
      </c>
      <c r="D41" s="26" t="s">
        <v>10</v>
      </c>
      <c r="E41" s="26" t="s">
        <v>3</v>
      </c>
      <c r="F41" s="27" t="s">
        <v>130</v>
      </c>
      <c r="G41" s="27">
        <v>-1</v>
      </c>
      <c r="H41" s="27" t="s">
        <v>131</v>
      </c>
      <c r="I41" s="11">
        <v>5</v>
      </c>
      <c r="K41" s="31" t="str">
        <f t="shared" si="1"/>
        <v/>
      </c>
      <c r="L41" s="6" t="b">
        <f t="array" ref="L41">OR(EXACT(A41, $A42:$A$49))</f>
        <v>0</v>
      </c>
    </row>
    <row r="42" spans="1:12" s="6" customFormat="1">
      <c r="A42" s="21"/>
      <c r="B42" s="5"/>
      <c r="C42" s="5"/>
      <c r="D42" s="5"/>
      <c r="E42" s="5"/>
    </row>
    <row r="43" spans="1:12" s="6" customFormat="1">
      <c r="A43" s="21"/>
      <c r="B43" s="5"/>
      <c r="C43" s="5"/>
      <c r="D43" s="5"/>
      <c r="E43" s="5"/>
    </row>
    <row r="44" spans="1:12" s="6" customFormat="1">
      <c r="A44" s="21"/>
      <c r="B44" s="5"/>
      <c r="C44" s="5"/>
      <c r="D44" s="5"/>
      <c r="E44" s="5"/>
    </row>
    <row r="45" spans="1:12" s="6" customFormat="1">
      <c r="A45" s="21"/>
      <c r="B45" s="5"/>
      <c r="C45" s="5"/>
      <c r="D45" s="5"/>
      <c r="E45" s="5"/>
    </row>
    <row r="46" spans="1:12" s="6" customFormat="1">
      <c r="A46" s="21"/>
      <c r="B46" s="5"/>
      <c r="C46" s="5"/>
      <c r="D46" s="5"/>
      <c r="E46" s="5"/>
    </row>
    <row r="47" spans="1:12" s="6" customFormat="1">
      <c r="A47" s="21"/>
      <c r="B47" s="5"/>
      <c r="C47" s="5"/>
      <c r="D47" s="5"/>
      <c r="E47" s="5"/>
    </row>
    <row r="48" spans="1:12" s="6" customFormat="1">
      <c r="A48" s="21"/>
      <c r="B48" s="5"/>
      <c r="C48" s="5"/>
      <c r="D48" s="5"/>
      <c r="E48" s="5"/>
    </row>
    <row r="49" spans="1:12" s="6" customFormat="1">
      <c r="A49" s="21"/>
      <c r="B49" s="5"/>
      <c r="C49" s="5"/>
      <c r="D49" s="5"/>
      <c r="E49" s="5"/>
    </row>
    <row r="50" spans="1:12" s="6" customFormat="1">
      <c r="A50" s="36" t="str">
        <f t="shared" ref="A50:A59" si="3">INDEX($A$5:$A$40,MATCH(F50,$F$5:$F$40,0))</f>
        <v>Q</v>
      </c>
      <c r="B50" s="16">
        <f>CODE(A50)</f>
        <v>81</v>
      </c>
      <c r="C50" s="22" t="s">
        <v>7</v>
      </c>
      <c r="D50" s="22" t="s">
        <v>48</v>
      </c>
      <c r="E50" s="22" t="s">
        <v>3</v>
      </c>
      <c r="F50" s="35" t="s">
        <v>17</v>
      </c>
      <c r="G50" s="12">
        <v>0</v>
      </c>
      <c r="H50" s="35" t="str">
        <f t="shared" ref="H50:H59" si="4">INDEX($H$5:$H$40,MATCH(F50,$F$5:$F$40,0))</f>
        <v>s[Q]uare</v>
      </c>
      <c r="K50" s="31" t="str">
        <f t="shared" si="1"/>
        <v/>
      </c>
      <c r="L50" s="6" t="b">
        <f t="array" ref="L50:L88">OR(EXACT(A50, $A51:$A$88))</f>
        <v>0</v>
      </c>
    </row>
    <row r="51" spans="1:12" s="6" customFormat="1">
      <c r="A51" s="36" t="str">
        <f t="shared" si="3"/>
        <v>q</v>
      </c>
      <c r="B51" s="16">
        <f t="shared" ref="B51:B84" si="5">CODE(A51)</f>
        <v>113</v>
      </c>
      <c r="C51" s="22" t="s">
        <v>7</v>
      </c>
      <c r="D51" s="22" t="s">
        <v>48</v>
      </c>
      <c r="E51" s="22" t="s">
        <v>3</v>
      </c>
      <c r="F51" s="35" t="s">
        <v>9</v>
      </c>
      <c r="G51" s="12">
        <v>1</v>
      </c>
      <c r="H51" s="35" t="str">
        <f t="shared" si="4"/>
        <v>s[q]rt</v>
      </c>
      <c r="K51" s="31" t="str">
        <f t="shared" si="1"/>
        <v/>
      </c>
      <c r="L51" s="6" t="b">
        <v>0</v>
      </c>
    </row>
    <row r="52" spans="1:12" s="6" customFormat="1">
      <c r="A52" s="36" t="str">
        <f t="shared" si="3"/>
        <v>v</v>
      </c>
      <c r="B52" s="16">
        <f t="shared" si="5"/>
        <v>118</v>
      </c>
      <c r="C52" s="22" t="s">
        <v>7</v>
      </c>
      <c r="D52" s="22" t="s">
        <v>48</v>
      </c>
      <c r="E52" s="22" t="s">
        <v>3</v>
      </c>
      <c r="F52" s="35" t="s">
        <v>8</v>
      </c>
      <c r="G52" s="12">
        <v>2</v>
      </c>
      <c r="H52" s="35" t="str">
        <f t="shared" si="4"/>
        <v>in[v]erse</v>
      </c>
      <c r="K52" s="31" t="str">
        <f t="shared" si="1"/>
        <v/>
      </c>
      <c r="L52" s="6" t="b">
        <v>0</v>
      </c>
    </row>
    <row r="53" spans="1:12" s="6" customFormat="1">
      <c r="A53" s="36" t="str">
        <f t="shared" si="3"/>
        <v>y</v>
      </c>
      <c r="B53" s="16">
        <f t="shared" si="5"/>
        <v>121</v>
      </c>
      <c r="C53" s="22" t="s">
        <v>7</v>
      </c>
      <c r="D53" s="22" t="s">
        <v>48</v>
      </c>
      <c r="E53" s="22" t="s">
        <v>3</v>
      </c>
      <c r="F53" s="35" t="s">
        <v>22</v>
      </c>
      <c r="G53" s="12">
        <v>3</v>
      </c>
      <c r="H53" s="35" t="str">
        <f t="shared" si="4"/>
        <v>[y]^x</v>
      </c>
      <c r="K53" s="31" t="str">
        <f t="shared" si="1"/>
        <v/>
      </c>
      <c r="L53" s="6" t="b">
        <v>0</v>
      </c>
    </row>
    <row r="54" spans="1:12" s="6" customFormat="1">
      <c r="A54" s="36" t="str">
        <f t="shared" si="3"/>
        <v>o</v>
      </c>
      <c r="B54" s="16">
        <f t="shared" si="5"/>
        <v>111</v>
      </c>
      <c r="C54" s="22" t="s">
        <v>7</v>
      </c>
      <c r="D54" s="22" t="s">
        <v>48</v>
      </c>
      <c r="E54" s="22" t="s">
        <v>3</v>
      </c>
      <c r="F54" s="35" t="s">
        <v>16</v>
      </c>
      <c r="G54" s="12">
        <v>4</v>
      </c>
      <c r="H54" s="35" t="str">
        <f t="shared" si="4"/>
        <v>l[o]g</v>
      </c>
      <c r="K54" s="31" t="str">
        <f t="shared" si="1"/>
        <v/>
      </c>
      <c r="L54" s="6" t="b">
        <v>0</v>
      </c>
    </row>
    <row r="55" spans="1:12" s="6" customFormat="1">
      <c r="A55" s="36" t="str">
        <f t="shared" si="3"/>
        <v>l</v>
      </c>
      <c r="B55" s="16">
        <f t="shared" si="5"/>
        <v>108</v>
      </c>
      <c r="C55" s="22" t="s">
        <v>7</v>
      </c>
      <c r="D55" s="22" t="s">
        <v>48</v>
      </c>
      <c r="E55" s="22" t="s">
        <v>3</v>
      </c>
      <c r="F55" s="35" t="s">
        <v>15</v>
      </c>
      <c r="G55" s="12">
        <v>5</v>
      </c>
      <c r="H55" s="35" t="str">
        <f t="shared" si="4"/>
        <v>[l]n</v>
      </c>
      <c r="K55" s="31" t="str">
        <f t="shared" si="1"/>
        <v/>
      </c>
      <c r="L55" s="6" t="b">
        <v>0</v>
      </c>
    </row>
    <row r="56" spans="1:12" s="6" customFormat="1">
      <c r="A56" s="36" t="str">
        <f t="shared" si="3"/>
        <v>m</v>
      </c>
      <c r="B56" s="16">
        <f t="shared" si="5"/>
        <v>109</v>
      </c>
      <c r="C56" s="22" t="s">
        <v>7</v>
      </c>
      <c r="D56" s="22" t="s">
        <v>48</v>
      </c>
      <c r="E56" s="22" t="s">
        <v>3</v>
      </c>
      <c r="F56" s="35" t="s">
        <v>87</v>
      </c>
      <c r="G56" s="12">
        <v>6</v>
      </c>
      <c r="H56" s="35" t="str">
        <f t="shared" si="4"/>
        <v>[m]emory</v>
      </c>
      <c r="K56" s="31" t="str">
        <f t="shared" si="1"/>
        <v/>
      </c>
      <c r="L56" s="6" t="b">
        <v>0</v>
      </c>
    </row>
    <row r="57" spans="1:12" s="6" customFormat="1">
      <c r="A57" s="36" t="str">
        <f t="shared" si="3"/>
        <v>r</v>
      </c>
      <c r="B57" s="16">
        <f t="shared" si="5"/>
        <v>114</v>
      </c>
      <c r="C57" s="22" t="s">
        <v>7</v>
      </c>
      <c r="D57" s="22" t="s">
        <v>48</v>
      </c>
      <c r="E57" s="22" t="s">
        <v>3</v>
      </c>
      <c r="F57" s="35" t="s">
        <v>90</v>
      </c>
      <c r="G57" s="12">
        <v>7</v>
      </c>
      <c r="H57" s="35" t="str">
        <f t="shared" si="4"/>
        <v>[r]cl</v>
      </c>
      <c r="K57" s="31" t="str">
        <f t="shared" si="1"/>
        <v/>
      </c>
      <c r="L57" s="6" t="b">
        <v>0</v>
      </c>
    </row>
    <row r="58" spans="1:12" s="6" customFormat="1">
      <c r="A58" s="36" t="str">
        <f t="shared" si="3"/>
        <v>d</v>
      </c>
      <c r="B58" s="16">
        <f t="shared" si="5"/>
        <v>100</v>
      </c>
      <c r="C58" s="22" t="s">
        <v>7</v>
      </c>
      <c r="D58" s="22" t="s">
        <v>48</v>
      </c>
      <c r="E58" s="22" t="s">
        <v>3</v>
      </c>
      <c r="F58" s="35" t="s">
        <v>120</v>
      </c>
      <c r="G58" s="12">
        <v>8</v>
      </c>
      <c r="H58" s="35" t="str">
        <f t="shared" si="4"/>
        <v>[d]own</v>
      </c>
      <c r="K58" s="31" t="str">
        <f t="shared" si="1"/>
        <v/>
      </c>
      <c r="L58" s="6" t="b">
        <v>0</v>
      </c>
    </row>
    <row r="59" spans="1:12" s="6" customFormat="1">
      <c r="A59" s="36" t="str">
        <f t="shared" si="3"/>
        <v>=</v>
      </c>
      <c r="B59" s="16">
        <f t="shared" si="5"/>
        <v>61</v>
      </c>
      <c r="C59" s="22" t="s">
        <v>7</v>
      </c>
      <c r="D59" s="22" t="s">
        <v>48</v>
      </c>
      <c r="E59" s="22" t="s">
        <v>3</v>
      </c>
      <c r="F59" s="35" t="s">
        <v>0</v>
      </c>
      <c r="G59" s="38">
        <v>-1</v>
      </c>
      <c r="H59" s="35" t="str">
        <f t="shared" si="4"/>
        <v>[=]&gt;D,R,G</v>
      </c>
      <c r="K59" s="31" t="str">
        <f t="shared" si="1"/>
        <v/>
      </c>
      <c r="L59" s="6" t="b">
        <v>0</v>
      </c>
    </row>
    <row r="60" spans="1:12" s="11" customFormat="1">
      <c r="A60" s="28" t="s">
        <v>117</v>
      </c>
      <c r="B60" s="16">
        <f t="shared" si="5"/>
        <v>102</v>
      </c>
      <c r="C60" s="29" t="s">
        <v>102</v>
      </c>
      <c r="D60" s="29" t="s">
        <v>94</v>
      </c>
      <c r="E60" s="22" t="s">
        <v>3</v>
      </c>
      <c r="F60" s="41" t="s">
        <v>121</v>
      </c>
      <c r="G60" s="12">
        <v>10</v>
      </c>
      <c r="H60" s="41" t="s">
        <v>117</v>
      </c>
      <c r="K60" s="31" t="str">
        <f t="shared" si="1"/>
        <v/>
      </c>
      <c r="L60" s="6" t="b">
        <v>0</v>
      </c>
    </row>
    <row r="61" spans="1:12" s="11" customFormat="1">
      <c r="A61" s="28" t="s">
        <v>118</v>
      </c>
      <c r="B61" s="16">
        <f t="shared" si="5"/>
        <v>103</v>
      </c>
      <c r="C61" s="29" t="s">
        <v>102</v>
      </c>
      <c r="D61" s="29" t="s">
        <v>94</v>
      </c>
      <c r="E61" s="22" t="s">
        <v>3</v>
      </c>
      <c r="F61" s="41" t="s">
        <v>122</v>
      </c>
      <c r="G61" s="12">
        <v>11</v>
      </c>
      <c r="H61" s="41" t="s">
        <v>118</v>
      </c>
      <c r="K61" s="31" t="str">
        <f t="shared" si="1"/>
        <v/>
      </c>
      <c r="L61" s="6" t="b">
        <v>0</v>
      </c>
    </row>
    <row r="62" spans="1:12" s="11" customFormat="1">
      <c r="A62" s="36" t="str">
        <f t="shared" ref="A62:A80" si="6">INDEX($A$5:$A$40,MATCH(F62,$F$5:$F$40,0))</f>
        <v>ENTER</v>
      </c>
      <c r="B62" s="16">
        <f t="shared" si="5"/>
        <v>69</v>
      </c>
      <c r="C62" s="29" t="s">
        <v>102</v>
      </c>
      <c r="D62" s="29" t="s">
        <v>94</v>
      </c>
      <c r="E62" s="22" t="s">
        <v>3</v>
      </c>
      <c r="F62" s="35" t="s">
        <v>95</v>
      </c>
      <c r="G62" s="12">
        <v>12</v>
      </c>
      <c r="H62" s="35" t="str">
        <f t="shared" ref="H62:H80" si="7">INDEX($H$5:$H$40,MATCH(F62,$F$5:$F$40,0))</f>
        <v>key</v>
      </c>
      <c r="K62" s="31" t="str">
        <f t="shared" si="1"/>
        <v/>
      </c>
      <c r="L62" s="6" t="b">
        <v>0</v>
      </c>
    </row>
    <row r="63" spans="1:12" s="6" customFormat="1">
      <c r="A63" s="36" t="str">
        <f t="shared" si="6"/>
        <v>w</v>
      </c>
      <c r="B63" s="16">
        <f t="shared" si="5"/>
        <v>119</v>
      </c>
      <c r="C63" s="29" t="s">
        <v>102</v>
      </c>
      <c r="D63" s="29" t="s">
        <v>94</v>
      </c>
      <c r="E63" s="22" t="s">
        <v>3</v>
      </c>
      <c r="F63" s="35" t="s">
        <v>20</v>
      </c>
      <c r="G63" s="12">
        <v>13</v>
      </c>
      <c r="H63" s="35" t="str">
        <f t="shared" si="7"/>
        <v>s[w]ap</v>
      </c>
      <c r="K63" s="31" t="str">
        <f t="shared" si="1"/>
        <v/>
      </c>
      <c r="L63" s="6" t="b">
        <v>0</v>
      </c>
    </row>
    <row r="64" spans="1:12" s="11" customFormat="1">
      <c r="A64" s="36" t="str">
        <f t="shared" si="6"/>
        <v>n</v>
      </c>
      <c r="B64" s="16">
        <f t="shared" si="5"/>
        <v>110</v>
      </c>
      <c r="C64" s="29" t="s">
        <v>102</v>
      </c>
      <c r="D64" s="29" t="s">
        <v>94</v>
      </c>
      <c r="E64" s="22" t="s">
        <v>3</v>
      </c>
      <c r="F64" s="35" t="s">
        <v>76</v>
      </c>
      <c r="G64" s="12">
        <v>14</v>
      </c>
      <c r="H64" s="35" t="str">
        <f t="shared" si="7"/>
        <v>CHS [n]egative</v>
      </c>
      <c r="K64" s="31" t="str">
        <f t="shared" si="1"/>
        <v/>
      </c>
      <c r="L64" s="6" t="b">
        <v>0</v>
      </c>
    </row>
    <row r="65" spans="1:12" s="6" customFormat="1">
      <c r="A65" s="36" t="str">
        <f t="shared" si="6"/>
        <v>e</v>
      </c>
      <c r="B65" s="16">
        <f t="shared" si="5"/>
        <v>101</v>
      </c>
      <c r="C65" s="29" t="s">
        <v>102</v>
      </c>
      <c r="D65" s="29" t="s">
        <v>94</v>
      </c>
      <c r="E65" s="22" t="s">
        <v>3</v>
      </c>
      <c r="F65" s="35" t="s">
        <v>97</v>
      </c>
      <c r="G65" s="12">
        <v>15</v>
      </c>
      <c r="H65" s="35" t="str">
        <f t="shared" si="7"/>
        <v>[e]xponent</v>
      </c>
      <c r="K65" s="31" t="str">
        <f t="shared" si="1"/>
        <v/>
      </c>
      <c r="L65" s="6" t="b">
        <v>0</v>
      </c>
    </row>
    <row r="66" spans="1:12" s="11" customFormat="1">
      <c r="A66" s="36" t="str">
        <f t="shared" si="6"/>
        <v>a</v>
      </c>
      <c r="B66" s="16">
        <f t="shared" si="5"/>
        <v>97</v>
      </c>
      <c r="C66" s="22" t="s">
        <v>7</v>
      </c>
      <c r="D66" s="22" t="s">
        <v>48</v>
      </c>
      <c r="E66" s="22" t="s">
        <v>3</v>
      </c>
      <c r="F66" s="35" t="s">
        <v>13</v>
      </c>
      <c r="G66" s="38">
        <v>-1</v>
      </c>
      <c r="H66" s="35" t="str">
        <f t="shared" si="7"/>
        <v>[a]ccumulate</v>
      </c>
      <c r="I66" s="6"/>
      <c r="K66" s="31" t="str">
        <f t="shared" si="1"/>
        <v/>
      </c>
      <c r="L66" s="6" t="b">
        <v>0</v>
      </c>
    </row>
    <row r="67" spans="1:12" s="6" customFormat="1">
      <c r="A67" s="36" t="str">
        <f t="shared" si="6"/>
        <v>x</v>
      </c>
      <c r="B67" s="16">
        <f t="shared" si="5"/>
        <v>120</v>
      </c>
      <c r="C67" s="22" t="s">
        <v>7</v>
      </c>
      <c r="D67" s="22" t="s">
        <v>48</v>
      </c>
      <c r="E67" s="22" t="s">
        <v>3</v>
      </c>
      <c r="F67" s="35" t="s">
        <v>21</v>
      </c>
      <c r="G67" s="12">
        <v>17</v>
      </c>
      <c r="H67" s="35" t="str">
        <f t="shared" si="7"/>
        <v>[x]eq</v>
      </c>
      <c r="K67" s="31" t="str">
        <f t="shared" si="1"/>
        <v/>
      </c>
      <c r="L67" s="6" t="b">
        <v>0</v>
      </c>
    </row>
    <row r="68" spans="1:12" s="6" customFormat="1">
      <c r="A68" s="36" t="str">
        <f t="shared" si="6"/>
        <v>i</v>
      </c>
      <c r="B68" s="16">
        <f t="shared" si="5"/>
        <v>105</v>
      </c>
      <c r="C68" s="22" t="s">
        <v>7</v>
      </c>
      <c r="D68" s="22" t="s">
        <v>48</v>
      </c>
      <c r="E68" s="22" t="s">
        <v>3</v>
      </c>
      <c r="F68" s="35" t="s">
        <v>113</v>
      </c>
      <c r="G68" s="38">
        <v>-1</v>
      </c>
      <c r="H68" s="35" t="str">
        <f t="shared" si="7"/>
        <v>i</v>
      </c>
      <c r="K68" s="31" t="str">
        <f t="shared" si="1"/>
        <v/>
      </c>
      <c r="L68" s="6" t="b">
        <v>0</v>
      </c>
    </row>
    <row r="69" spans="1:12" s="6" customFormat="1">
      <c r="A69" s="36" t="str">
        <f t="shared" si="6"/>
        <v>X</v>
      </c>
      <c r="B69" s="16">
        <f t="shared" si="5"/>
        <v>88</v>
      </c>
      <c r="C69" s="22" t="s">
        <v>7</v>
      </c>
      <c r="D69" s="22" t="s">
        <v>48</v>
      </c>
      <c r="E69" s="22" t="s">
        <v>3</v>
      </c>
      <c r="F69" s="35" t="s">
        <v>81</v>
      </c>
      <c r="G69" s="38">
        <v>-1</v>
      </c>
      <c r="H69" s="35" t="str">
        <f t="shared" si="7"/>
        <v>comple[X]</v>
      </c>
      <c r="K69" s="31" t="str">
        <f t="shared" si="1"/>
        <v/>
      </c>
      <c r="L69" s="6" t="b">
        <v>0</v>
      </c>
    </row>
    <row r="70" spans="1:12" s="6" customFormat="1">
      <c r="A70" s="36" t="str">
        <f t="shared" si="6"/>
        <v>R</v>
      </c>
      <c r="B70" s="16">
        <f t="shared" si="5"/>
        <v>82</v>
      </c>
      <c r="C70" s="22" t="s">
        <v>7</v>
      </c>
      <c r="D70" s="22" t="s">
        <v>48</v>
      </c>
      <c r="E70" s="22" t="s">
        <v>3</v>
      </c>
      <c r="F70" s="35" t="s">
        <v>69</v>
      </c>
      <c r="G70" s="38">
        <v>-1</v>
      </c>
      <c r="H70" s="35" t="str">
        <f t="shared" si="7"/>
        <v>-&gt;R</v>
      </c>
      <c r="K70" s="31" t="str">
        <f t="shared" si="1"/>
        <v/>
      </c>
      <c r="L70" s="6" t="b">
        <v>0</v>
      </c>
    </row>
    <row r="71" spans="1:12" s="6" customFormat="1">
      <c r="A71" s="36" t="str">
        <f t="shared" si="6"/>
        <v>P</v>
      </c>
      <c r="B71" s="16">
        <f t="shared" si="5"/>
        <v>80</v>
      </c>
      <c r="C71" s="22" t="s">
        <v>7</v>
      </c>
      <c r="D71" s="22" t="s">
        <v>48</v>
      </c>
      <c r="E71" s="22" t="s">
        <v>3</v>
      </c>
      <c r="F71" s="35" t="s">
        <v>70</v>
      </c>
      <c r="G71" s="38">
        <v>-1</v>
      </c>
      <c r="H71" s="35" t="str">
        <f t="shared" si="7"/>
        <v>-&gt;P</v>
      </c>
      <c r="K71" s="31" t="str">
        <f t="shared" si="1"/>
        <v/>
      </c>
      <c r="L71" s="6" t="b">
        <v>0</v>
      </c>
    </row>
    <row r="72" spans="1:12" s="6" customFormat="1">
      <c r="A72" s="36" t="str">
        <f t="shared" si="6"/>
        <v>Y</v>
      </c>
      <c r="B72" s="16">
        <f t="shared" si="5"/>
        <v>89</v>
      </c>
      <c r="C72" s="22" t="s">
        <v>7</v>
      </c>
      <c r="D72" s="22" t="s">
        <v>48</v>
      </c>
      <c r="E72" s="22" t="s">
        <v>3</v>
      </c>
      <c r="F72" s="35" t="s">
        <v>65</v>
      </c>
      <c r="G72" s="38">
        <v>-1</v>
      </c>
      <c r="H72" s="35" t="str">
        <f t="shared" si="7"/>
        <v>xth root of [Y]</v>
      </c>
      <c r="K72" s="31" t="str">
        <f t="shared" si="1"/>
        <v/>
      </c>
      <c r="L72" s="6" t="b">
        <v>0</v>
      </c>
    </row>
    <row r="73" spans="1:12" s="6" customFormat="1">
      <c r="A73" s="36" t="str">
        <f t="shared" si="6"/>
        <v>C</v>
      </c>
      <c r="B73" s="16">
        <f t="shared" si="5"/>
        <v>67</v>
      </c>
      <c r="C73" s="22" t="s">
        <v>7</v>
      </c>
      <c r="D73" s="22" t="s">
        <v>48</v>
      </c>
      <c r="E73" s="22" t="s">
        <v>3</v>
      </c>
      <c r="F73" s="35" t="s">
        <v>49</v>
      </c>
      <c r="G73" s="38">
        <v>-1</v>
      </c>
      <c r="H73" s="35" t="str">
        <f t="shared" si="7"/>
        <v>arc[C]osine</v>
      </c>
      <c r="K73" s="31" t="str">
        <f t="shared" si="1"/>
        <v/>
      </c>
      <c r="L73" s="6" t="b">
        <v>0</v>
      </c>
    </row>
    <row r="74" spans="1:12" s="6" customFormat="1">
      <c r="A74" s="36" t="str">
        <f t="shared" si="6"/>
        <v>S</v>
      </c>
      <c r="B74" s="16">
        <f t="shared" si="5"/>
        <v>83</v>
      </c>
      <c r="C74" s="22" t="s">
        <v>7</v>
      </c>
      <c r="D74" s="22" t="s">
        <v>48</v>
      </c>
      <c r="E74" s="22" t="s">
        <v>3</v>
      </c>
      <c r="F74" s="35" t="s">
        <v>50</v>
      </c>
      <c r="G74" s="38">
        <v>-1</v>
      </c>
      <c r="H74" s="35" t="str">
        <f t="shared" si="7"/>
        <v>arc[S]ine</v>
      </c>
      <c r="K74" s="31" t="str">
        <f t="shared" si="1"/>
        <v/>
      </c>
      <c r="L74" s="6" t="b">
        <v>0</v>
      </c>
    </row>
    <row r="75" spans="1:12" s="6" customFormat="1">
      <c r="A75" s="36" t="str">
        <f t="shared" si="6"/>
        <v>T</v>
      </c>
      <c r="B75" s="16">
        <f t="shared" si="5"/>
        <v>84</v>
      </c>
      <c r="C75" s="22" t="s">
        <v>7</v>
      </c>
      <c r="D75" s="22" t="s">
        <v>48</v>
      </c>
      <c r="E75" s="22" t="s">
        <v>3</v>
      </c>
      <c r="F75" s="35" t="s">
        <v>51</v>
      </c>
      <c r="G75" s="38">
        <v>-1</v>
      </c>
      <c r="H75" s="35" t="str">
        <f t="shared" si="7"/>
        <v>arc[T]angent</v>
      </c>
      <c r="K75" s="31" t="str">
        <f t="shared" si="1"/>
        <v/>
      </c>
      <c r="L75" s="6" t="b">
        <v>0</v>
      </c>
    </row>
    <row r="76" spans="1:12" s="6" customFormat="1">
      <c r="A76" s="36" t="str">
        <f t="shared" si="6"/>
        <v>L</v>
      </c>
      <c r="B76" s="16">
        <f t="shared" si="5"/>
        <v>76</v>
      </c>
      <c r="C76" s="22" t="s">
        <v>7</v>
      </c>
      <c r="D76" s="22" t="s">
        <v>48</v>
      </c>
      <c r="E76" s="22" t="s">
        <v>3</v>
      </c>
      <c r="F76" s="35" t="s">
        <v>59</v>
      </c>
      <c r="G76" s="38">
        <v>-1</v>
      </c>
      <c r="H76" s="35" t="str">
        <f t="shared" si="7"/>
        <v>anti[L]n e^x</v>
      </c>
      <c r="K76" s="31" t="str">
        <f t="shared" si="1"/>
        <v/>
      </c>
      <c r="L76" s="6" t="b">
        <v>0</v>
      </c>
    </row>
    <row r="77" spans="1:12" s="6" customFormat="1">
      <c r="A77" s="36" t="str">
        <f t="shared" si="6"/>
        <v>O</v>
      </c>
      <c r="B77" s="16">
        <f t="shared" si="5"/>
        <v>79</v>
      </c>
      <c r="C77" s="22" t="s">
        <v>7</v>
      </c>
      <c r="D77" s="22" t="s">
        <v>48</v>
      </c>
      <c r="E77" s="22" t="s">
        <v>3</v>
      </c>
      <c r="F77" s="35" t="s">
        <v>61</v>
      </c>
      <c r="G77" s="38">
        <v>-1</v>
      </c>
      <c r="H77" s="35" t="str">
        <f t="shared" si="7"/>
        <v>antil[O]g 10^x</v>
      </c>
      <c r="K77" s="31" t="str">
        <f t="shared" si="1"/>
        <v/>
      </c>
      <c r="L77" s="6" t="b">
        <v>0</v>
      </c>
    </row>
    <row r="78" spans="1:12" s="6" customFormat="1">
      <c r="A78" s="36" t="str">
        <f t="shared" si="6"/>
        <v>I</v>
      </c>
      <c r="B78" s="16">
        <f t="shared" si="5"/>
        <v>73</v>
      </c>
      <c r="C78" s="22" t="s">
        <v>7</v>
      </c>
      <c r="D78" s="22" t="s">
        <v>48</v>
      </c>
      <c r="E78" s="22" t="s">
        <v>3</v>
      </c>
      <c r="F78" s="35" t="s">
        <v>73</v>
      </c>
      <c r="G78" s="38">
        <v>-1</v>
      </c>
      <c r="H78" s="35" t="str">
        <f t="shared" si="7"/>
        <v>D[I]SP</v>
      </c>
      <c r="K78" s="31" t="str">
        <f t="shared" si="1"/>
        <v/>
      </c>
      <c r="L78" s="6" t="b">
        <v>0</v>
      </c>
    </row>
    <row r="79" spans="1:12" s="6" customFormat="1">
      <c r="A79" s="36" t="str">
        <f t="shared" si="6"/>
        <v>J</v>
      </c>
      <c r="B79" s="16">
        <f t="shared" si="5"/>
        <v>74</v>
      </c>
      <c r="C79" s="22" t="s">
        <v>7</v>
      </c>
      <c r="D79" s="22" t="s">
        <v>48</v>
      </c>
      <c r="E79" s="22" t="s">
        <v>3</v>
      </c>
      <c r="F79" s="35" t="s">
        <v>80</v>
      </c>
      <c r="G79" s="38">
        <v>-1</v>
      </c>
      <c r="H79" s="35" t="str">
        <f t="shared" si="7"/>
        <v>EXP</v>
      </c>
      <c r="K79" s="31" t="str">
        <f t="shared" si="1"/>
        <v/>
      </c>
      <c r="L79" s="6" t="b">
        <v>0</v>
      </c>
    </row>
    <row r="80" spans="1:12" s="6" customFormat="1">
      <c r="A80" s="36" t="str">
        <f t="shared" si="6"/>
        <v>K</v>
      </c>
      <c r="B80" s="16">
        <f t="shared" si="5"/>
        <v>75</v>
      </c>
      <c r="C80" s="22" t="s">
        <v>7</v>
      </c>
      <c r="D80" s="22" t="s">
        <v>48</v>
      </c>
      <c r="E80" s="22" t="s">
        <v>3</v>
      </c>
      <c r="F80" s="35" t="s">
        <v>74</v>
      </c>
      <c r="G80" s="38">
        <v>-1</v>
      </c>
      <c r="H80" s="35" t="str">
        <f t="shared" si="7"/>
        <v>ST[K]</v>
      </c>
      <c r="K80" s="31" t="str">
        <f t="shared" si="1"/>
        <v/>
      </c>
      <c r="L80" s="6" t="b">
        <v>0</v>
      </c>
    </row>
    <row r="81" spans="1:12" s="6" customFormat="1">
      <c r="A81" s="28" t="s">
        <v>111</v>
      </c>
      <c r="B81" s="16">
        <f t="shared" si="5"/>
        <v>77</v>
      </c>
      <c r="C81" s="22" t="s">
        <v>7</v>
      </c>
      <c r="D81" s="22" t="s">
        <v>48</v>
      </c>
      <c r="E81" s="22" t="s">
        <v>3</v>
      </c>
      <c r="F81" s="40" t="s">
        <v>127</v>
      </c>
      <c r="G81" s="38">
        <v>-1</v>
      </c>
      <c r="H81" s="41" t="s">
        <v>128</v>
      </c>
      <c r="K81" s="31" t="str">
        <f t="shared" si="1"/>
        <v/>
      </c>
      <c r="L81" s="6" t="b">
        <v>0</v>
      </c>
    </row>
    <row r="82" spans="1:12" s="6" customFormat="1">
      <c r="A82" s="36" t="str">
        <f>INDEX($A$5:$A$40,MATCH(F82,$F$5:$F$40,0))</f>
        <v>s</v>
      </c>
      <c r="B82" s="16">
        <f t="shared" si="5"/>
        <v>115</v>
      </c>
      <c r="C82" s="22" t="s">
        <v>7</v>
      </c>
      <c r="D82" s="22" t="s">
        <v>48</v>
      </c>
      <c r="E82" s="22" t="s">
        <v>3</v>
      </c>
      <c r="F82" s="35" t="s">
        <v>18</v>
      </c>
      <c r="G82" s="38">
        <v>-1</v>
      </c>
      <c r="H82" s="35" t="str">
        <f>INDEX($H$5:$H$40,MATCH(F82,$F$5:$F$40,0))</f>
        <v>[s]ine</v>
      </c>
      <c r="J82" s="11"/>
      <c r="K82" s="31" t="str">
        <f t="shared" si="1"/>
        <v/>
      </c>
      <c r="L82" s="6" t="b">
        <v>0</v>
      </c>
    </row>
    <row r="83" spans="1:12" s="6" customFormat="1">
      <c r="A83" s="36" t="str">
        <f>INDEX($A$5:$A$40,MATCH(F83,$F$5:$F$40,0))</f>
        <v>c</v>
      </c>
      <c r="B83" s="16">
        <f t="shared" si="5"/>
        <v>99</v>
      </c>
      <c r="C83" s="22" t="s">
        <v>7</v>
      </c>
      <c r="D83" s="22" t="s">
        <v>48</v>
      </c>
      <c r="E83" s="22" t="s">
        <v>3</v>
      </c>
      <c r="F83" s="35" t="s">
        <v>14</v>
      </c>
      <c r="G83" s="38">
        <v>-1</v>
      </c>
      <c r="H83" s="35" t="str">
        <f>INDEX($H$5:$H$40,MATCH(F83,$F$5:$F$40,0))</f>
        <v>[c]osine</v>
      </c>
      <c r="J83" s="11"/>
      <c r="K83" s="31" t="str">
        <f t="shared" si="1"/>
        <v/>
      </c>
      <c r="L83" s="6" t="b">
        <v>0</v>
      </c>
    </row>
    <row r="84" spans="1:12" s="6" customFormat="1">
      <c r="A84" s="36" t="str">
        <f>INDEX($A$5:$A$40,MATCH(F84,$F$5:$F$40,0))</f>
        <v>t</v>
      </c>
      <c r="B84" s="16">
        <f t="shared" si="5"/>
        <v>116</v>
      </c>
      <c r="C84" s="22" t="s">
        <v>7</v>
      </c>
      <c r="D84" s="22" t="s">
        <v>48</v>
      </c>
      <c r="E84" s="22" t="s">
        <v>3</v>
      </c>
      <c r="F84" s="35" t="s">
        <v>19</v>
      </c>
      <c r="G84" s="38">
        <v>-1</v>
      </c>
      <c r="H84" s="35" t="str">
        <f>INDEX($H$5:$H$40,MATCH(F84,$F$5:$F$40,0))</f>
        <v>[t]angent</v>
      </c>
      <c r="J84" s="11"/>
      <c r="K84" s="31" t="str">
        <f t="shared" si="1"/>
        <v/>
      </c>
      <c r="L84" s="6" t="b">
        <v>0</v>
      </c>
    </row>
    <row r="85" spans="1:12" s="6" customFormat="1">
      <c r="A85" s="36" t="s">
        <v>72</v>
      </c>
      <c r="B85" s="16">
        <f>CODE(A85)</f>
        <v>68</v>
      </c>
      <c r="C85" s="22" t="s">
        <v>7</v>
      </c>
      <c r="D85" s="22" t="s">
        <v>48</v>
      </c>
      <c r="E85" s="22" t="s">
        <v>3</v>
      </c>
      <c r="F85" s="35" t="s">
        <v>125</v>
      </c>
      <c r="G85" s="38">
        <v>-1</v>
      </c>
      <c r="H85" s="35" t="str">
        <f>INDEX($H$5:$H$40,MATCH(F85,$F$5:$F$40,0))</f>
        <v>Up [D]</v>
      </c>
      <c r="J85" s="11"/>
      <c r="K85" s="31" t="str">
        <f t="shared" si="1"/>
        <v/>
      </c>
      <c r="L85" s="6" t="b">
        <v>0</v>
      </c>
    </row>
    <row r="86" spans="1:12" s="6" customFormat="1">
      <c r="A86" s="36" t="s">
        <v>129</v>
      </c>
      <c r="B86" s="16">
        <f>CODE(A86)</f>
        <v>70</v>
      </c>
      <c r="C86" s="22" t="s">
        <v>7</v>
      </c>
      <c r="D86" s="22" t="s">
        <v>48</v>
      </c>
      <c r="E86" s="22" t="s">
        <v>3</v>
      </c>
      <c r="F86" s="35" t="s">
        <v>130</v>
      </c>
      <c r="G86" s="38">
        <v>-1</v>
      </c>
      <c r="H86" s="35" t="str">
        <f>INDEX($H$5:$H$41,MATCH(F86,$F$5:$F$41,0))</f>
        <v>PRE[F]IX</v>
      </c>
      <c r="J86" s="11"/>
      <c r="K86" s="31" t="str">
        <f t="shared" ref="K86:K87" si="8">IF(L86,"DUPLICATE","")</f>
        <v/>
      </c>
      <c r="L86" s="6" t="b">
        <v>0</v>
      </c>
    </row>
    <row r="87" spans="1:12" s="6" customFormat="1">
      <c r="A87" s="36" t="s">
        <v>40</v>
      </c>
      <c r="B87" s="16">
        <f>CODE(A87)</f>
        <v>112</v>
      </c>
      <c r="C87" s="22" t="s">
        <v>7</v>
      </c>
      <c r="D87" s="22" t="s">
        <v>48</v>
      </c>
      <c r="E87" s="22" t="s">
        <v>3</v>
      </c>
      <c r="F87" s="35" t="s">
        <v>119</v>
      </c>
      <c r="G87" s="38">
        <v>-1</v>
      </c>
      <c r="H87" s="35" t="str">
        <f>INDEX($H$5:$H$40,MATCH(F87,$F$5:$F$40,0))</f>
        <v>pi</v>
      </c>
      <c r="J87" s="11"/>
      <c r="K87" s="31" t="str">
        <f t="shared" si="8"/>
        <v/>
      </c>
      <c r="L87" s="6" t="b">
        <v>0</v>
      </c>
    </row>
    <row r="88" spans="1:12" s="6" customFormat="1">
      <c r="A88" s="36" t="s">
        <v>109</v>
      </c>
      <c r="B88" s="16">
        <f t="shared" ref="B88" si="9">CODE(A88)</f>
        <v>86</v>
      </c>
      <c r="C88" s="22" t="s">
        <v>7</v>
      </c>
      <c r="D88" s="22" t="s">
        <v>48</v>
      </c>
      <c r="E88" s="22" t="s">
        <v>3</v>
      </c>
      <c r="F88" s="35" t="s">
        <v>8</v>
      </c>
      <c r="G88" s="38">
        <v>-1</v>
      </c>
      <c r="H88" s="35" t="str">
        <f>INDEX($H$5:$H$40,MATCH(F88,$F$5:$F$40,0))</f>
        <v>in[v]erse</v>
      </c>
      <c r="I88" s="6">
        <v>1</v>
      </c>
      <c r="K88" s="31" t="str">
        <f t="shared" ref="K88" si="10">IF(L88,"DUPLICATE","")</f>
        <v/>
      </c>
      <c r="L88" s="6" t="b">
        <v>0</v>
      </c>
    </row>
    <row r="89" spans="1:12" s="6" customFormat="1">
      <c r="A89" s="21"/>
      <c r="B89" s="5"/>
      <c r="C89" s="5"/>
      <c r="D89" s="5"/>
      <c r="E89" s="5"/>
      <c r="J89" s="11"/>
      <c r="K89" s="11"/>
    </row>
    <row r="90" spans="1:12" s="6" customFormat="1">
      <c r="A90" s="21"/>
      <c r="B90" s="5"/>
      <c r="C90" s="5"/>
      <c r="D90" s="5"/>
      <c r="E90" s="5"/>
      <c r="J90" s="11"/>
      <c r="K90" s="11"/>
    </row>
    <row r="91" spans="1:12" s="6" customFormat="1">
      <c r="A91" s="21"/>
      <c r="B91" s="5"/>
      <c r="C91" s="5"/>
      <c r="D91" s="5"/>
      <c r="E91" s="5"/>
      <c r="J91" s="11"/>
      <c r="K91" s="11"/>
    </row>
    <row r="92" spans="1:12" s="6" customFormat="1">
      <c r="A92" s="21"/>
      <c r="B92" s="5"/>
      <c r="C92" s="5"/>
      <c r="D92" s="5"/>
      <c r="J92" s="11"/>
      <c r="K92" s="11"/>
    </row>
    <row r="93" spans="1:12" s="6" customFormat="1">
      <c r="A93" s="21"/>
      <c r="B93" s="5"/>
      <c r="C93" s="5"/>
      <c r="D93" s="5"/>
      <c r="E93" s="5"/>
      <c r="J93" s="11"/>
      <c r="K93" s="11"/>
    </row>
    <row r="94" spans="1:12" s="6" customFormat="1">
      <c r="A94" s="21"/>
      <c r="B94" s="5"/>
      <c r="C94" s="5"/>
      <c r="D94" s="5"/>
      <c r="E94" s="5"/>
      <c r="J94" s="11"/>
      <c r="K94" s="11"/>
    </row>
    <row r="95" spans="1:12" s="6" customFormat="1">
      <c r="A95" s="21"/>
      <c r="B95" s="5"/>
      <c r="C95" s="5"/>
      <c r="D95" s="5"/>
      <c r="E95" s="5"/>
      <c r="J95" s="11"/>
      <c r="K95" s="11"/>
    </row>
    <row r="96" spans="1:12" s="6" customFormat="1">
      <c r="A96" s="21"/>
      <c r="B96" s="5"/>
      <c r="C96" s="5"/>
      <c r="D96" s="5"/>
      <c r="E96" s="5"/>
      <c r="J96" s="11"/>
      <c r="K96" s="11"/>
    </row>
    <row r="97" spans="1:11" s="6" customFormat="1">
      <c r="A97" s="21"/>
      <c r="B97" s="5"/>
      <c r="C97" s="5"/>
      <c r="D97" s="5"/>
      <c r="E97" s="5"/>
      <c r="J97" s="11"/>
      <c r="K97" s="11"/>
    </row>
    <row r="98" spans="1:11" s="6" customFormat="1">
      <c r="A98" s="21"/>
      <c r="B98" s="5"/>
      <c r="C98" s="5"/>
      <c r="D98" s="5"/>
      <c r="E98" s="5"/>
      <c r="J98" s="11"/>
      <c r="K98" s="11"/>
    </row>
    <row r="99" spans="1:11" s="6" customFormat="1">
      <c r="A99" s="21"/>
      <c r="B99" s="5"/>
      <c r="C99" s="5"/>
      <c r="D99" s="5"/>
      <c r="E99" s="5"/>
      <c r="J99" s="11"/>
      <c r="K99" s="11"/>
    </row>
    <row r="100" spans="1:11" s="6" customFormat="1">
      <c r="A100" s="21"/>
      <c r="B100" s="5"/>
      <c r="C100" s="5"/>
      <c r="D100" s="5"/>
      <c r="E100" s="5"/>
      <c r="J100" s="11"/>
      <c r="K100" s="11"/>
    </row>
    <row r="101" spans="1:11" s="6" customFormat="1">
      <c r="A101" s="21"/>
      <c r="B101" s="5"/>
      <c r="C101" s="5"/>
      <c r="D101" s="5"/>
      <c r="E101" s="5"/>
      <c r="J101" s="11"/>
      <c r="K101" s="11"/>
    </row>
    <row r="102" spans="1:11" s="6" customFormat="1">
      <c r="A102" s="21"/>
      <c r="B102" s="5"/>
      <c r="C102" s="5"/>
      <c r="D102" s="5"/>
      <c r="E102" s="5"/>
      <c r="J102" s="11"/>
      <c r="K102" s="11"/>
    </row>
    <row r="103" spans="1:11" s="6" customFormat="1">
      <c r="A103" s="21"/>
      <c r="B103" s="5"/>
      <c r="C103" s="5"/>
      <c r="D103" s="5"/>
      <c r="E103" s="5"/>
      <c r="J103" s="11"/>
      <c r="K103" s="11"/>
    </row>
    <row r="104" spans="1:11" s="6" customFormat="1">
      <c r="A104" s="21"/>
      <c r="B104" s="5"/>
      <c r="C104" s="5"/>
      <c r="D104" s="5"/>
      <c r="E104" s="5"/>
      <c r="J104" s="11"/>
      <c r="K104" s="11"/>
    </row>
    <row r="105" spans="1:11" s="6" customFormat="1">
      <c r="A105" s="21"/>
      <c r="B105" s="5"/>
      <c r="C105" s="5"/>
      <c r="D105" s="5"/>
      <c r="E105" s="5"/>
      <c r="J105" s="11"/>
      <c r="K105" s="11"/>
    </row>
    <row r="106" spans="1:11" s="6" customFormat="1">
      <c r="A106" s="21"/>
      <c r="B106" s="5"/>
      <c r="C106" s="5"/>
      <c r="D106" s="5"/>
      <c r="E106" s="5"/>
      <c r="J106" s="11"/>
      <c r="K106" s="11"/>
    </row>
    <row r="107" spans="1:11" s="6" customFormat="1">
      <c r="A107" s="21"/>
      <c r="B107" s="5"/>
      <c r="C107" s="5"/>
      <c r="D107" s="5"/>
      <c r="E107" s="5"/>
      <c r="J107" s="11"/>
      <c r="K107" s="11"/>
    </row>
    <row r="108" spans="1:11" s="6" customFormat="1">
      <c r="A108" s="21"/>
      <c r="B108" s="5"/>
      <c r="C108" s="5"/>
      <c r="D108" s="5"/>
      <c r="E108" s="5"/>
      <c r="J108" s="11"/>
      <c r="K108" s="11"/>
    </row>
    <row r="109" spans="1:11" s="6" customFormat="1">
      <c r="A109" s="21"/>
      <c r="B109" s="5"/>
      <c r="C109" s="5"/>
      <c r="D109" s="5"/>
      <c r="E109" s="5"/>
      <c r="J109" s="11"/>
      <c r="K109" s="11"/>
    </row>
    <row r="110" spans="1:11" s="6" customFormat="1">
      <c r="A110" s="21"/>
      <c r="B110" s="5"/>
      <c r="C110" s="5"/>
      <c r="D110" s="5"/>
      <c r="E110" s="5"/>
      <c r="J110" s="11"/>
      <c r="K110" s="11"/>
    </row>
    <row r="111" spans="1:11" s="6" customFormat="1">
      <c r="A111" s="21"/>
      <c r="B111" s="5"/>
      <c r="C111" s="5"/>
      <c r="D111" s="5"/>
      <c r="E111" s="5"/>
      <c r="J111" s="11"/>
      <c r="K111" s="11"/>
    </row>
    <row r="112" spans="1:11" s="6" customFormat="1">
      <c r="A112" s="21"/>
      <c r="B112" s="5"/>
      <c r="C112" s="5"/>
      <c r="D112" s="5"/>
      <c r="E112" s="5"/>
      <c r="J112" s="11"/>
      <c r="K112" s="11"/>
    </row>
    <row r="113" spans="1:11" s="6" customFormat="1">
      <c r="A113" s="21"/>
      <c r="B113" s="5"/>
      <c r="C113" s="5"/>
      <c r="D113" s="5"/>
      <c r="E113" s="5"/>
      <c r="J113" s="11"/>
      <c r="K113" s="11"/>
    </row>
    <row r="114" spans="1:11" s="6" customFormat="1">
      <c r="A114" s="21"/>
      <c r="B114" s="5"/>
      <c r="C114" s="5"/>
      <c r="D114" s="5"/>
      <c r="E114" s="5"/>
      <c r="J114" s="11"/>
      <c r="K114" s="11"/>
    </row>
    <row r="115" spans="1:11" s="6" customFormat="1">
      <c r="A115" s="21"/>
      <c r="B115" s="5"/>
      <c r="C115" s="5"/>
      <c r="D115" s="5"/>
      <c r="E115" s="5"/>
      <c r="J115" s="11"/>
      <c r="K115" s="11"/>
    </row>
    <row r="116" spans="1:11" s="6" customFormat="1">
      <c r="A116" s="21"/>
      <c r="B116" s="5"/>
      <c r="C116" s="5"/>
      <c r="D116" s="5"/>
      <c r="E116" s="5"/>
      <c r="J116" s="11"/>
      <c r="K116" s="11"/>
    </row>
    <row r="117" spans="1:11" s="6" customFormat="1">
      <c r="A117" s="21"/>
      <c r="B117" s="5"/>
      <c r="C117" s="5"/>
      <c r="D117" s="5"/>
      <c r="E117" s="5"/>
      <c r="J117" s="11"/>
      <c r="K117" s="11"/>
    </row>
    <row r="118" spans="1:11" s="6" customFormat="1">
      <c r="A118" s="21"/>
      <c r="B118" s="5"/>
      <c r="C118" s="5"/>
      <c r="D118" s="5"/>
      <c r="E118" s="5"/>
      <c r="J118" s="11"/>
      <c r="K118" s="11"/>
    </row>
    <row r="119" spans="1:11" s="6" customFormat="1">
      <c r="A119" s="21"/>
      <c r="B119" s="5"/>
      <c r="C119" s="5"/>
      <c r="D119" s="5"/>
      <c r="E119" s="5"/>
      <c r="J119" s="11"/>
      <c r="K119" s="11"/>
    </row>
    <row r="120" spans="1:11" s="6" customFormat="1">
      <c r="A120" s="21"/>
      <c r="B120" s="5"/>
      <c r="C120" s="5"/>
      <c r="D120" s="5"/>
      <c r="E120" s="5"/>
      <c r="J120" s="11"/>
      <c r="K120" s="11"/>
    </row>
    <row r="121" spans="1:11" s="6" customFormat="1">
      <c r="A121" s="21"/>
      <c r="B121" s="5"/>
      <c r="C121" s="5"/>
      <c r="D121" s="5"/>
      <c r="E121" s="5"/>
      <c r="J121" s="11"/>
      <c r="K121" s="11"/>
    </row>
    <row r="122" spans="1:11" s="6" customFormat="1">
      <c r="A122" s="21"/>
      <c r="B122" s="5"/>
      <c r="C122" s="5"/>
      <c r="D122" s="5"/>
      <c r="E122" s="5"/>
      <c r="J122" s="11"/>
      <c r="K122" s="11"/>
    </row>
    <row r="123" spans="1:11" s="6" customFormat="1">
      <c r="A123" s="21"/>
      <c r="B123" s="5"/>
      <c r="C123" s="5"/>
      <c r="D123" s="5"/>
      <c r="E123" s="5"/>
      <c r="J123" s="11"/>
      <c r="K123" s="11"/>
    </row>
    <row r="124" spans="1:11" s="6" customFormat="1">
      <c r="A124" s="21"/>
      <c r="B124" s="5"/>
      <c r="C124" s="5"/>
      <c r="D124" s="5"/>
      <c r="E124" s="5"/>
      <c r="J124" s="11"/>
      <c r="K124" s="11"/>
    </row>
  </sheetData>
  <autoFilter ref="B4:K30" xr:uid="{9A19FE35-A90B-3343-BA83-F7F50B48781F}"/>
  <sortState xmlns:xlrd2="http://schemas.microsoft.com/office/spreadsheetml/2017/richdata2" ref="A5:K40">
    <sortCondition ref="J5:J40"/>
    <sortCondition ref="I5:I40"/>
  </sortState>
  <phoneticPr fontId="5" type="noConversion"/>
  <hyperlinks>
    <hyperlink ref="D1" r:id="rId1" xr:uid="{132F4920-1B75-1845-8F5C-F64DE0D37601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641"/>
  <sheetViews>
    <sheetView topLeftCell="C65" zoomScale="118" workbookViewId="0">
      <selection activeCell="I5" sqref="I5:I88"/>
    </sheetView>
  </sheetViews>
  <sheetFormatPr baseColWidth="10" defaultColWidth="10.83203125" defaultRowHeight="16"/>
  <cols>
    <col min="1" max="1" width="4.1640625" bestFit="1" customWidth="1"/>
    <col min="2" max="2" width="9.33203125" bestFit="1" customWidth="1"/>
    <col min="3" max="3" width="25" style="5" bestFit="1" customWidth="1"/>
    <col min="4" max="4" width="15.33203125" bestFit="1" customWidth="1"/>
    <col min="5" max="5" width="12.83203125" bestFit="1" customWidth="1"/>
    <col min="6" max="6" width="20.83203125" bestFit="1" customWidth="1"/>
    <col min="7" max="7" width="20.83203125" customWidth="1"/>
    <col min="8" max="8" width="23.33203125" bestFit="1" customWidth="1"/>
    <col min="9" max="9" width="154.83203125" style="1" bestFit="1" customWidth="1"/>
    <col min="10" max="10" width="10.83203125" customWidth="1"/>
    <col min="11" max="16" width="3.1640625" customWidth="1"/>
  </cols>
  <sheetData>
    <row r="1" spans="1:9">
      <c r="I1" s="4" t="s">
        <v>124</v>
      </c>
    </row>
    <row r="2" spans="1:9">
      <c r="I2" s="3" t="str">
        <f>SUBSTITUTE(SUBSTITUTE(SUBSTITUTE(SUBSTITUTE(SUBSTITUTE(SUBSTITUTE($I$1,"61",A2),"CM_NORMAL",E2),"ITM_DRG",F2),"nn = comm",H2),"exitIfNim",B2),"allowCondition",D2)</f>
        <v>if(shortCutCommand(w, event_keyval, , , , 9999, KK, ,  ))        {return true;} else        //</v>
      </c>
    </row>
    <row r="3" spans="1:9">
      <c r="I3" s="2"/>
    </row>
    <row r="4" spans="1:9">
      <c r="C4" s="5">
        <v>29</v>
      </c>
      <c r="I4" s="2"/>
    </row>
    <row r="5" spans="1:9">
      <c r="A5" s="6" t="str">
        <f>REPT(" ",Sheet2!$B$3-LEN(Sheet2!B5))&amp;Sheet2!B5</f>
        <v xml:space="preserve">   97</v>
      </c>
      <c r="B5" s="6" t="str">
        <f>REPT(" ",Sheet2!$C$3-LEN(Sheet2!C5))&amp;Sheet2!C5</f>
        <v xml:space="preserve"> ExitIfNim</v>
      </c>
      <c r="C5" s="5" t="str">
        <f>IF(Sheet2!D5="Std","FALSE","shortcutProfile == USER_"&amp;Sheet2!D5)</f>
        <v>shortcutProfile == USER_C47</v>
      </c>
      <c r="D5" s="6" t="str">
        <f t="shared" ref="D5" si="0">REPT( " ",$C$4-LEN(C5) ) &amp;C5</f>
        <v xml:space="preserve">  shortcutProfile == USER_C47</v>
      </c>
      <c r="E5" s="6" t="str">
        <f>REPT(" ",Sheet2!$E$3-LEN(Sheet2!E5))&amp;Sheet2!E5</f>
        <v xml:space="preserve"> CM_NORMAL</v>
      </c>
      <c r="F5" s="6" t="str">
        <f>REPT(" ",Sheet2!$F$3-LEN(Sheet2!F5))&amp;Sheet2!F5</f>
        <v xml:space="preserve">       ITM_SIGMAPLUS</v>
      </c>
      <c r="G5" s="6" t="str">
        <f>REPT(" ",Sheet2!$G$3-LEN(TEXT(Sheet2!G5,"00")))&amp;""""&amp;TEXT(Sheet2!G5,"00")&amp;""""</f>
        <v xml:space="preserve">  "00"</v>
      </c>
      <c r="H5" s="6" t="str">
        <f>REPT(" ",Sheet2!$H$3-LEN(Sheet2!H5))&amp;Sheet2!H5</f>
        <v xml:space="preserve">                  [a]ccumulate</v>
      </c>
      <c r="I5" s="3" t="str">
        <f>IF(Sheet2!B5="","",SUBSTITUTE(SUBSTITUTE(SUBSTITUTE(SUBSTITUTE(SUBSTITUTE(SUBSTITUTE(SUBSTITUTE($I$1,"61",A5),"CM_NORMAL",E5),"ITM_DRG",F5),"nn = comm",H5),"exitIfNim",B5),"allowCondition",D5),"KK",G5))</f>
        <v>if(shortCutCommand(w, event_keyval,    97,   shortcutProfile == USER_C47,  ExitIfNim, 9999,   "00",  CM_NORMAL,        ITM_SIGMAPLUS ))        {return true;} else        //                  [a]ccumulate</v>
      </c>
    </row>
    <row r="6" spans="1:9">
      <c r="A6" s="6" t="str">
        <f>REPT(" ",Sheet2!$B$3-LEN(Sheet2!B6))&amp;Sheet2!B6</f>
        <v xml:space="preserve">  118</v>
      </c>
      <c r="B6" s="6" t="str">
        <f>REPT(" ",Sheet2!$C$3-LEN(Sheet2!C6))&amp;Sheet2!C6</f>
        <v xml:space="preserve"> ExitIfNim</v>
      </c>
      <c r="C6" s="5" t="str">
        <f>IF(Sheet2!D6="Std","FALSE","shortcutProfile == USER_"&amp;Sheet2!D6)</f>
        <v>shortcutProfile == USER_C47</v>
      </c>
      <c r="D6" s="6" t="str">
        <f t="shared" ref="D6:D69" si="1">REPT( " ",$C$4-LEN(C6) ) &amp;C6</f>
        <v xml:space="preserve">  shortcutProfile == USER_C47</v>
      </c>
      <c r="E6" s="6" t="str">
        <f>REPT(" ",Sheet2!$E$3-LEN(Sheet2!E6))&amp;Sheet2!E6</f>
        <v xml:space="preserve"> CM_NORMAL</v>
      </c>
      <c r="F6" s="6" t="str">
        <f>REPT(" ",Sheet2!$F$3-LEN(Sheet2!F6))&amp;Sheet2!F6</f>
        <v xml:space="preserve">            ITM_1ONX</v>
      </c>
      <c r="G6" s="6" t="str">
        <f>REPT(" ",Sheet2!$G$3-LEN(TEXT(Sheet2!G6,"00")))&amp;""""&amp;TEXT(Sheet2!G6,"00")&amp;""""</f>
        <v xml:space="preserve">  "01"</v>
      </c>
      <c r="H6" s="6" t="str">
        <f>REPT(" ",Sheet2!$H$3-LEN(Sheet2!H6))&amp;Sheet2!H6</f>
        <v xml:space="preserve">                     in[v]erse</v>
      </c>
      <c r="I6" s="3" t="str">
        <f>IF(Sheet2!B6="","",SUBSTITUTE(SUBSTITUTE(SUBSTITUTE(SUBSTITUTE(SUBSTITUTE(SUBSTITUTE(SUBSTITUTE($I$1,"61",A6),"CM_NORMAL",E6),"ITM_DRG",F6),"nn = comm",H6),"exitIfNim",B6),"allowCondition",D6),"KK",G6))</f>
        <v>if(shortCutCommand(w, event_keyval,   118,   shortcutProfile == USER_C47,  ExitIfNim, 9999,   "01",  CM_NORMAL,             ITM_1ONX ))        {return true;} else        //                     in[v]erse</v>
      </c>
    </row>
    <row r="7" spans="1:9">
      <c r="A7" s="6" t="str">
        <f>REPT(" ",Sheet2!$B$3-LEN(Sheet2!B7))&amp;Sheet2!B7</f>
        <v xml:space="preserve">  113</v>
      </c>
      <c r="B7" s="6" t="str">
        <f>REPT(" ",Sheet2!$C$3-LEN(Sheet2!C7))&amp;Sheet2!C7</f>
        <v xml:space="preserve"> ExitIfNim</v>
      </c>
      <c r="C7" s="5" t="str">
        <f>IF(Sheet2!D7="Std","FALSE","shortcutProfile == USER_"&amp;Sheet2!D7)</f>
        <v>shortcutProfile == USER_C47</v>
      </c>
      <c r="D7" s="6" t="str">
        <f t="shared" si="1"/>
        <v xml:space="preserve">  shortcutProfile == USER_C47</v>
      </c>
      <c r="E7" s="6" t="str">
        <f>REPT(" ",Sheet2!$E$3-LEN(Sheet2!E7))&amp;Sheet2!E7</f>
        <v xml:space="preserve"> CM_NORMAL</v>
      </c>
      <c r="F7" s="6" t="str">
        <f>REPT(" ",Sheet2!$F$3-LEN(Sheet2!F7))&amp;Sheet2!F7</f>
        <v xml:space="preserve">     ITM_SQUAREROOTX</v>
      </c>
      <c r="G7" s="6" t="str">
        <f>REPT(" ",Sheet2!$G$3-LEN(TEXT(Sheet2!G7,"00")))&amp;""""&amp;TEXT(Sheet2!G7,"00")&amp;""""</f>
        <v xml:space="preserve">  "02"</v>
      </c>
      <c r="H7" s="6" t="str">
        <f>REPT(" ",Sheet2!$H$3-LEN(Sheet2!H7))&amp;Sheet2!H7</f>
        <v xml:space="preserve">                        s[q]rt</v>
      </c>
      <c r="I7" s="3" t="str">
        <f>IF(Sheet2!B7="","",SUBSTITUTE(SUBSTITUTE(SUBSTITUTE(SUBSTITUTE(SUBSTITUTE(SUBSTITUTE(SUBSTITUTE($I$1,"61",A7),"CM_NORMAL",E7),"ITM_DRG",F7),"nn = comm",H7),"exitIfNim",B7),"allowCondition",D7),"KK",G7))</f>
        <v>if(shortCutCommand(w, event_keyval,   113,   shortcutProfile == USER_C47,  ExitIfNim, 9999,   "02",  CM_NORMAL,      ITM_SQUAREROOTX ))        {return true;} else        //                        s[q]rt</v>
      </c>
    </row>
    <row r="8" spans="1:9">
      <c r="A8" s="6" t="str">
        <f>REPT(" ",Sheet2!$B$3-LEN(Sheet2!B8))&amp;Sheet2!B8</f>
        <v xml:space="preserve">  111</v>
      </c>
      <c r="B8" s="6" t="str">
        <f>REPT(" ",Sheet2!$C$3-LEN(Sheet2!C8))&amp;Sheet2!C8</f>
        <v xml:space="preserve"> ExitIfNim</v>
      </c>
      <c r="C8" s="5" t="str">
        <f>IF(Sheet2!D8="Std","FALSE","shortcutProfile == USER_"&amp;Sheet2!D8)</f>
        <v>shortcutProfile == USER_C47</v>
      </c>
      <c r="D8" s="6" t="str">
        <f t="shared" si="1"/>
        <v xml:space="preserve">  shortcutProfile == USER_C47</v>
      </c>
      <c r="E8" s="6" t="str">
        <f>REPT(" ",Sheet2!$E$3-LEN(Sheet2!E8))&amp;Sheet2!E8</f>
        <v xml:space="preserve"> CM_NORMAL</v>
      </c>
      <c r="F8" s="6" t="str">
        <f>REPT(" ",Sheet2!$F$3-LEN(Sheet2!F8))&amp;Sheet2!F8</f>
        <v xml:space="preserve">           ITM_LOG10</v>
      </c>
      <c r="G8" s="6" t="str">
        <f>REPT(" ",Sheet2!$G$3-LEN(TEXT(Sheet2!G8,"00")))&amp;""""&amp;TEXT(Sheet2!G8,"00")&amp;""""</f>
        <v xml:space="preserve">  "03"</v>
      </c>
      <c r="H8" s="6" t="str">
        <f>REPT(" ",Sheet2!$H$3-LEN(Sheet2!H8))&amp;Sheet2!H8</f>
        <v xml:space="preserve">                         l[o]g</v>
      </c>
      <c r="I8" s="3" t="str">
        <f>IF(Sheet2!B8="","",SUBSTITUTE(SUBSTITUTE(SUBSTITUTE(SUBSTITUTE(SUBSTITUTE(SUBSTITUTE(SUBSTITUTE($I$1,"61",A8),"CM_NORMAL",E8),"ITM_DRG",F8),"nn = comm",H8),"exitIfNim",B8),"allowCondition",D8),"KK",G8))</f>
        <v>if(shortCutCommand(w, event_keyval,   111,   shortcutProfile == USER_C47,  ExitIfNim, 9999,   "03",  CM_NORMAL,            ITM_LOG10 ))        {return true;} else        //                         l[o]g</v>
      </c>
    </row>
    <row r="9" spans="1:9">
      <c r="A9" s="6" t="str">
        <f>REPT(" ",Sheet2!$B$3-LEN(Sheet2!B9))&amp;Sheet2!B9</f>
        <v xml:space="preserve">  108</v>
      </c>
      <c r="B9" s="6" t="str">
        <f>REPT(" ",Sheet2!$C$3-LEN(Sheet2!C9))&amp;Sheet2!C9</f>
        <v xml:space="preserve"> ExitIfNim</v>
      </c>
      <c r="C9" s="5" t="str">
        <f>IF(Sheet2!D9="Std","FALSE","shortcutProfile == USER_"&amp;Sheet2!D9)</f>
        <v>shortcutProfile == USER_C47</v>
      </c>
      <c r="D9" s="6" t="str">
        <f t="shared" si="1"/>
        <v xml:space="preserve">  shortcutProfile == USER_C47</v>
      </c>
      <c r="E9" s="6" t="str">
        <f>REPT(" ",Sheet2!$E$3-LEN(Sheet2!E9))&amp;Sheet2!E9</f>
        <v xml:space="preserve"> CM_NORMAL</v>
      </c>
      <c r="F9" s="6" t="str">
        <f>REPT(" ",Sheet2!$F$3-LEN(Sheet2!F9))&amp;Sheet2!F9</f>
        <v xml:space="preserve">              ITM_LN</v>
      </c>
      <c r="G9" s="6" t="str">
        <f>REPT(" ",Sheet2!$G$3-LEN(TEXT(Sheet2!G9,"00")))&amp;""""&amp;TEXT(Sheet2!G9,"00")&amp;""""</f>
        <v xml:space="preserve">  "04"</v>
      </c>
      <c r="H9" s="6" t="str">
        <f>REPT(" ",Sheet2!$H$3-LEN(Sheet2!H9))&amp;Sheet2!H9</f>
        <v xml:space="preserve">                          [l]n</v>
      </c>
      <c r="I9" s="3" t="str">
        <f>IF(Sheet2!B9="","",SUBSTITUTE(SUBSTITUTE(SUBSTITUTE(SUBSTITUTE(SUBSTITUTE(SUBSTITUTE(SUBSTITUTE($I$1,"61",A9),"CM_NORMAL",E9),"ITM_DRG",F9),"nn = comm",H9),"exitIfNim",B9),"allowCondition",D9),"KK",G9))</f>
        <v>if(shortCutCommand(w, event_keyval,   108,   shortcutProfile == USER_C47,  ExitIfNim, 9999,   "04",  CM_NORMAL,               ITM_LN ))        {return true;} else        //                          [l]n</v>
      </c>
    </row>
    <row r="10" spans="1:9">
      <c r="A10" s="6" t="str">
        <f>REPT(" ",Sheet2!$B$3-LEN(Sheet2!B10))&amp;Sheet2!B10</f>
        <v xml:space="preserve">  120</v>
      </c>
      <c r="B10" s="6" t="str">
        <f>REPT(" ",Sheet2!$C$3-LEN(Sheet2!C10))&amp;Sheet2!C10</f>
        <v xml:space="preserve"> ExitIfNim</v>
      </c>
      <c r="C10" s="5" t="str">
        <f>IF(Sheet2!D10="Std","FALSE","shortcutProfile == USER_"&amp;Sheet2!D10)</f>
        <v>shortcutProfile == USER_C47</v>
      </c>
      <c r="D10" s="6" t="str">
        <f t="shared" si="1"/>
        <v xml:space="preserve">  shortcutProfile == USER_C47</v>
      </c>
      <c r="E10" s="6" t="str">
        <f>REPT(" ",Sheet2!$E$3-LEN(Sheet2!E10))&amp;Sheet2!E10</f>
        <v xml:space="preserve"> CM_NORMAL</v>
      </c>
      <c r="F10" s="6" t="str">
        <f>REPT(" ",Sheet2!$F$3-LEN(Sheet2!F10))&amp;Sheet2!F10</f>
        <v xml:space="preserve">             ITM_XEQ</v>
      </c>
      <c r="G10" s="6" t="str">
        <f>REPT(" ",Sheet2!$G$3-LEN(TEXT(Sheet2!G10,"00")))&amp;""""&amp;TEXT(Sheet2!G10,"00")&amp;""""</f>
        <v xml:space="preserve">  "05"</v>
      </c>
      <c r="H10" s="6" t="str">
        <f>REPT(" ",Sheet2!$H$3-LEN(Sheet2!H10))&amp;Sheet2!H10</f>
        <v xml:space="preserve">                         [x]eq</v>
      </c>
      <c r="I10" s="3" t="str">
        <f>IF(Sheet2!B10="","",SUBSTITUTE(SUBSTITUTE(SUBSTITUTE(SUBSTITUTE(SUBSTITUTE(SUBSTITUTE(SUBSTITUTE($I$1,"61",A10),"CM_NORMAL",E10),"ITM_DRG",F10),"nn = comm",H10),"exitIfNim",B10),"allowCondition",D10),"KK",G10))</f>
        <v>if(shortCutCommand(w, event_keyval,   120,   shortcutProfile == USER_C47,  ExitIfNim, 9999,   "05",  CM_NORMAL,              ITM_XEQ ))        {return true;} else        //                         [x]eq</v>
      </c>
    </row>
    <row r="11" spans="1:9">
      <c r="A11" s="6" t="str">
        <f>REPT(" ",Sheet2!$B$3-LEN(Sheet2!B11))&amp;Sheet2!B11</f>
        <v xml:space="preserve">  109</v>
      </c>
      <c r="B11" s="6" t="str">
        <f>REPT(" ",Sheet2!$C$3-LEN(Sheet2!C11))&amp;Sheet2!C11</f>
        <v xml:space="preserve"> ExitIfNim</v>
      </c>
      <c r="C11" s="5" t="str">
        <f>IF(Sheet2!D11="Std","FALSE","shortcutProfile == USER_"&amp;Sheet2!D11)</f>
        <v>shortcutProfile == USER_C47</v>
      </c>
      <c r="D11" s="6" t="str">
        <f t="shared" si="1"/>
        <v xml:space="preserve">  shortcutProfile == USER_C47</v>
      </c>
      <c r="E11" s="6" t="str">
        <f>REPT(" ",Sheet2!$E$3-LEN(Sheet2!E11))&amp;Sheet2!E11</f>
        <v xml:space="preserve"> CM_NORMAL</v>
      </c>
      <c r="F11" s="6" t="str">
        <f>REPT(" ",Sheet2!$F$3-LEN(Sheet2!F11))&amp;Sheet2!F11</f>
        <v xml:space="preserve">             ITM_STO</v>
      </c>
      <c r="G11" s="6" t="str">
        <f>REPT(" ",Sheet2!$G$3-LEN(TEXT(Sheet2!G11,"00")))&amp;""""&amp;TEXT(Sheet2!G11,"00")&amp;""""</f>
        <v xml:space="preserve">  "06"</v>
      </c>
      <c r="H11" s="6" t="str">
        <f>REPT(" ",Sheet2!$H$3-LEN(Sheet2!H11))&amp;Sheet2!H11</f>
        <v xml:space="preserve">                      [m]emory</v>
      </c>
      <c r="I11" s="3" t="str">
        <f>IF(Sheet2!B11="","",SUBSTITUTE(SUBSTITUTE(SUBSTITUTE(SUBSTITUTE(SUBSTITUTE(SUBSTITUTE(SUBSTITUTE($I$1,"61",A11),"CM_NORMAL",E11),"ITM_DRG",F11),"nn = comm",H11),"exitIfNim",B11),"allowCondition",D11),"KK",G11))</f>
        <v>if(shortCutCommand(w, event_keyval,   109,   shortcutProfile == USER_C47,  ExitIfNim, 9999,   "06",  CM_NORMAL,              ITM_STO ))        {return true;} else        //                      [m]emory</v>
      </c>
    </row>
    <row r="12" spans="1:9">
      <c r="A12" s="6" t="str">
        <f>REPT(" ",Sheet2!$B$3-LEN(Sheet2!B12))&amp;Sheet2!B12</f>
        <v xml:space="preserve">  114</v>
      </c>
      <c r="B12" s="6" t="str">
        <f>REPT(" ",Sheet2!$C$3-LEN(Sheet2!C12))&amp;Sheet2!C12</f>
        <v xml:space="preserve"> ExitIfNim</v>
      </c>
      <c r="C12" s="5" t="str">
        <f>IF(Sheet2!D12="Std","FALSE","shortcutProfile == USER_"&amp;Sheet2!D12)</f>
        <v>shortcutProfile == USER_C47</v>
      </c>
      <c r="D12" s="6" t="str">
        <f t="shared" si="1"/>
        <v xml:space="preserve">  shortcutProfile == USER_C47</v>
      </c>
      <c r="E12" s="6" t="str">
        <f>REPT(" ",Sheet2!$E$3-LEN(Sheet2!E12))&amp;Sheet2!E12</f>
        <v xml:space="preserve"> CM_NORMAL</v>
      </c>
      <c r="F12" s="6" t="str">
        <f>REPT(" ",Sheet2!$F$3-LEN(Sheet2!F12))&amp;Sheet2!F12</f>
        <v xml:space="preserve">             ITM_RCL</v>
      </c>
      <c r="G12" s="6" t="str">
        <f>REPT(" ",Sheet2!$G$3-LEN(TEXT(Sheet2!G12,"00")))&amp;""""&amp;TEXT(Sheet2!G12,"00")&amp;""""</f>
        <v xml:space="preserve">  "07"</v>
      </c>
      <c r="H12" s="6" t="str">
        <f>REPT(" ",Sheet2!$H$3-LEN(Sheet2!H12))&amp;Sheet2!H12</f>
        <v xml:space="preserve">                         [r]cl</v>
      </c>
      <c r="I12" s="3" t="str">
        <f>IF(Sheet2!B12="","",SUBSTITUTE(SUBSTITUTE(SUBSTITUTE(SUBSTITUTE(SUBSTITUTE(SUBSTITUTE(SUBSTITUTE($I$1,"61",A12),"CM_NORMAL",E12),"ITM_DRG",F12),"nn = comm",H12),"exitIfNim",B12),"allowCondition",D12),"KK",G12))</f>
        <v>if(shortCutCommand(w, event_keyval,   114,   shortcutProfile == USER_C47,  ExitIfNim, 9999,   "07",  CM_NORMAL,              ITM_RCL ))        {return true;} else        //                         [r]cl</v>
      </c>
    </row>
    <row r="13" spans="1:9">
      <c r="A13" s="6" t="str">
        <f>REPT(" ",Sheet2!$B$3-LEN(Sheet2!B13))&amp;Sheet2!B13</f>
        <v xml:space="preserve">  100</v>
      </c>
      <c r="B13" s="6" t="str">
        <f>REPT(" ",Sheet2!$C$3-LEN(Sheet2!C13))&amp;Sheet2!C13</f>
        <v xml:space="preserve"> ExitIfNim</v>
      </c>
      <c r="C13" s="5" t="str">
        <f>IF(Sheet2!D13="Std","FALSE","shortcutProfile == USER_"&amp;Sheet2!D13)</f>
        <v>shortcutProfile == USER_C47</v>
      </c>
      <c r="D13" s="6" t="str">
        <f t="shared" si="1"/>
        <v xml:space="preserve">  shortcutProfile == USER_C47</v>
      </c>
      <c r="E13" s="6" t="str">
        <f>REPT(" ",Sheet2!$E$3-LEN(Sheet2!E13))&amp;Sheet2!E13</f>
        <v xml:space="preserve"> CM_NORMAL</v>
      </c>
      <c r="F13" s="6" t="str">
        <f>REPT(" ",Sheet2!$F$3-LEN(Sheet2!F13))&amp;Sheet2!F13</f>
        <v xml:space="preserve">           ITM_Rdown</v>
      </c>
      <c r="G13" s="6" t="str">
        <f>REPT(" ",Sheet2!$G$3-LEN(TEXT(Sheet2!G13,"00")))&amp;""""&amp;TEXT(Sheet2!G13,"00")&amp;""""</f>
        <v xml:space="preserve">  "08"</v>
      </c>
      <c r="H13" s="6" t="str">
        <f>REPT(" ",Sheet2!$H$3-LEN(Sheet2!H13))&amp;Sheet2!H13</f>
        <v xml:space="preserve">                        [d]own</v>
      </c>
      <c r="I13" s="3" t="str">
        <f>IF(Sheet2!B13="","",SUBSTITUTE(SUBSTITUTE(SUBSTITUTE(SUBSTITUTE(SUBSTITUTE(SUBSTITUTE(SUBSTITUTE($I$1,"61",A13),"CM_NORMAL",E13),"ITM_DRG",F13),"nn = comm",H13),"exitIfNim",B13),"allowCondition",D13),"KK",G13))</f>
        <v>if(shortCutCommand(w, event_keyval,   100,   shortcutProfile == USER_C47,  ExitIfNim, 9999,   "08",  CM_NORMAL,            ITM_Rdown ))        {return true;} else        //                        [d]own</v>
      </c>
    </row>
    <row r="14" spans="1:9">
      <c r="A14" s="6" t="str">
        <f>REPT(" ",Sheet2!$B$3-LEN(Sheet2!B14))&amp;Sheet2!B14</f>
        <v xml:space="preserve">  115</v>
      </c>
      <c r="B14" s="6" t="str">
        <f>REPT(" ",Sheet2!$C$3-LEN(Sheet2!C14))&amp;Sheet2!C14</f>
        <v xml:space="preserve"> ExitIfNim</v>
      </c>
      <c r="C14" s="5" t="str">
        <f>IF(Sheet2!D14="Std","FALSE","shortcutProfile == USER_"&amp;Sheet2!D14)</f>
        <v>shortcutProfile == USER_C47</v>
      </c>
      <c r="D14" s="6" t="str">
        <f t="shared" si="1"/>
        <v xml:space="preserve">  shortcutProfile == USER_C47</v>
      </c>
      <c r="E14" s="6" t="str">
        <f>REPT(" ",Sheet2!$E$3-LEN(Sheet2!E14))&amp;Sheet2!E14</f>
        <v xml:space="preserve"> CM_NORMAL</v>
      </c>
      <c r="F14" s="6" t="str">
        <f>REPT(" ",Sheet2!$F$3-LEN(Sheet2!F14))&amp;Sheet2!F14</f>
        <v xml:space="preserve">             ITM_sin</v>
      </c>
      <c r="G14" s="6" t="str">
        <f>REPT(" ",Sheet2!$G$3-LEN(TEXT(Sheet2!G14,"00")))&amp;""""&amp;TEXT(Sheet2!G14,"00")&amp;""""</f>
        <v xml:space="preserve">  "09"</v>
      </c>
      <c r="H14" s="6" t="str">
        <f>REPT(" ",Sheet2!$H$3-LEN(Sheet2!H14))&amp;Sheet2!H14</f>
        <v xml:space="preserve">                        [s]ine</v>
      </c>
      <c r="I14" s="3" t="str">
        <f>IF(Sheet2!B14="","",SUBSTITUTE(SUBSTITUTE(SUBSTITUTE(SUBSTITUTE(SUBSTITUTE(SUBSTITUTE(SUBSTITUTE($I$1,"61",A14),"CM_NORMAL",E14),"ITM_DRG",F14),"nn = comm",H14),"exitIfNim",B14),"allowCondition",D14),"KK",G14))</f>
        <v>if(shortCutCommand(w, event_keyval,   115,   shortcutProfile == USER_C47,  ExitIfNim, 9999,   "09",  CM_NORMAL,              ITM_sin ))        {return true;} else        //                        [s]ine</v>
      </c>
    </row>
    <row r="15" spans="1:9">
      <c r="A15" s="6" t="str">
        <f>REPT(" ",Sheet2!$B$3-LEN(Sheet2!B15))&amp;Sheet2!B15</f>
        <v xml:space="preserve">   99</v>
      </c>
      <c r="B15" s="6" t="str">
        <f>REPT(" ",Sheet2!$C$3-LEN(Sheet2!C15))&amp;Sheet2!C15</f>
        <v xml:space="preserve"> ExitIfNim</v>
      </c>
      <c r="C15" s="5" t="str">
        <f>IF(Sheet2!D15="Std","FALSE","shortcutProfile == USER_"&amp;Sheet2!D15)</f>
        <v>shortcutProfile == USER_C47</v>
      </c>
      <c r="D15" s="6" t="str">
        <f t="shared" si="1"/>
        <v xml:space="preserve">  shortcutProfile == USER_C47</v>
      </c>
      <c r="E15" s="6" t="str">
        <f>REPT(" ",Sheet2!$E$3-LEN(Sheet2!E15))&amp;Sheet2!E15</f>
        <v xml:space="preserve"> CM_NORMAL</v>
      </c>
      <c r="F15" s="6" t="str">
        <f>REPT(" ",Sheet2!$F$3-LEN(Sheet2!F15))&amp;Sheet2!F15</f>
        <v xml:space="preserve">             ITM_cos</v>
      </c>
      <c r="G15" s="6" t="str">
        <f>REPT(" ",Sheet2!$G$3-LEN(TEXT(Sheet2!G15,"00")))&amp;""""&amp;TEXT(Sheet2!G15,"00")&amp;""""</f>
        <v xml:space="preserve">  "10"</v>
      </c>
      <c r="H15" s="6" t="str">
        <f>REPT(" ",Sheet2!$H$3-LEN(Sheet2!H15))&amp;Sheet2!H15</f>
        <v xml:space="preserve">                      [c]osine</v>
      </c>
      <c r="I15" s="3" t="str">
        <f>IF(Sheet2!B15="","",SUBSTITUTE(SUBSTITUTE(SUBSTITUTE(SUBSTITUTE(SUBSTITUTE(SUBSTITUTE(SUBSTITUTE($I$1,"61",A15),"CM_NORMAL",E15),"ITM_DRG",F15),"nn = comm",H15),"exitIfNim",B15),"allowCondition",D15),"KK",G15))</f>
        <v>if(shortCutCommand(w, event_keyval,    99,   shortcutProfile == USER_C47,  ExitIfNim, 9999,   "10",  CM_NORMAL,              ITM_cos ))        {return true;} else        //                      [c]osine</v>
      </c>
    </row>
    <row r="16" spans="1:9">
      <c r="A16" s="6" t="str">
        <f>REPT(" ",Sheet2!$B$3-LEN(Sheet2!B16))&amp;Sheet2!B16</f>
        <v xml:space="preserve">  116</v>
      </c>
      <c r="B16" s="6" t="str">
        <f>REPT(" ",Sheet2!$C$3-LEN(Sheet2!C16))&amp;Sheet2!C16</f>
        <v xml:space="preserve"> ExitIfNim</v>
      </c>
      <c r="C16" s="5" t="str">
        <f>IF(Sheet2!D16="Std","FALSE","shortcutProfile == USER_"&amp;Sheet2!D16)</f>
        <v>shortcutProfile == USER_C47</v>
      </c>
      <c r="D16" s="6" t="str">
        <f t="shared" si="1"/>
        <v xml:space="preserve">  shortcutProfile == USER_C47</v>
      </c>
      <c r="E16" s="6" t="str">
        <f>REPT(" ",Sheet2!$E$3-LEN(Sheet2!E16))&amp;Sheet2!E16</f>
        <v xml:space="preserve"> CM_NORMAL</v>
      </c>
      <c r="F16" s="6" t="str">
        <f>REPT(" ",Sheet2!$F$3-LEN(Sheet2!F16))&amp;Sheet2!F16</f>
        <v xml:space="preserve">             ITM_tan</v>
      </c>
      <c r="G16" s="6" t="str">
        <f>REPT(" ",Sheet2!$G$3-LEN(TEXT(Sheet2!G16,"00")))&amp;""""&amp;TEXT(Sheet2!G16,"00")&amp;""""</f>
        <v xml:space="preserve">  "11"</v>
      </c>
      <c r="H16" s="6" t="str">
        <f>REPT(" ",Sheet2!$H$3-LEN(Sheet2!H16))&amp;Sheet2!H16</f>
        <v xml:space="preserve">                     [t]angent</v>
      </c>
      <c r="I16" s="3" t="str">
        <f>IF(Sheet2!B16="","",SUBSTITUTE(SUBSTITUTE(SUBSTITUTE(SUBSTITUTE(SUBSTITUTE(SUBSTITUTE(SUBSTITUTE($I$1,"61",A16),"CM_NORMAL",E16),"ITM_DRG",F16),"nn = comm",H16),"exitIfNim",B16),"allowCondition",D16),"KK",G16))</f>
        <v>if(shortCutCommand(w, event_keyval,   116,   shortcutProfile == USER_C47,  ExitIfNim, 9999,   "11",  CM_NORMAL,              ITM_tan ))        {return true;} else        //                     [t]angent</v>
      </c>
    </row>
    <row r="17" spans="1:9">
      <c r="A17" s="6" t="str">
        <f>REPT(" ",Sheet2!$B$3-LEN(Sheet2!B17))&amp;Sheet2!B17</f>
        <v>65421</v>
      </c>
      <c r="B17" s="6" t="str">
        <f>REPT(" ",Sheet2!$C$3-LEN(Sheet2!C17))&amp;Sheet2!C17</f>
        <v>!ExitIfNim</v>
      </c>
      <c r="C17" s="5" t="str">
        <f>IF(Sheet2!D17="Std","FALSE","shortcutProfile == USER_"&amp;Sheet2!D17)</f>
        <v>FALSE</v>
      </c>
      <c r="D17" s="6" t="str">
        <f t="shared" si="1"/>
        <v xml:space="preserve">                        FALSE</v>
      </c>
      <c r="E17" s="6" t="str">
        <f>REPT(" ",Sheet2!$E$3-LEN(Sheet2!E17))&amp;Sheet2!E17</f>
        <v xml:space="preserve"> CM_NORMAL</v>
      </c>
      <c r="F17" s="6" t="str">
        <f>REPT(" ",Sheet2!$F$3-LEN(Sheet2!F17))&amp;Sheet2!F17</f>
        <v xml:space="preserve">           ITM_ENTER</v>
      </c>
      <c r="G17" s="6" t="str">
        <f>REPT(" ",Sheet2!$G$3-LEN(TEXT(Sheet2!G17,"00")))&amp;""""&amp;TEXT(Sheet2!G17,"00")&amp;""""</f>
        <v xml:space="preserve">  "12"</v>
      </c>
      <c r="H17" s="6" t="str">
        <f>REPT(" ",Sheet2!$H$3-LEN(Sheet2!H17))&amp;Sheet2!H17</f>
        <v xml:space="preserve">                           key</v>
      </c>
      <c r="I17" s="3" t="str">
        <f>IF(Sheet2!B17="","",SUBSTITUTE(SUBSTITUTE(SUBSTITUTE(SUBSTITUTE(SUBSTITUTE(SUBSTITUTE(SUBSTITUTE($I$1,"61",A17),"CM_NORMAL",E17),"ITM_DRG",F17),"nn = comm",H17),"exitIfNim",B17),"allowCondition",D17),"KK",G17))</f>
        <v>if(shortCutCommand(w, event_keyval, 65421,                         FALSE, !ExitIfNim, 9999,   "12",  CM_NORMAL,            ITM_ENTER ))        {return true;} else        //                           key</v>
      </c>
    </row>
    <row r="18" spans="1:9">
      <c r="A18" s="6" t="str">
        <f>REPT(" ",Sheet2!$B$3-LEN(Sheet2!B18))&amp;Sheet2!B18</f>
        <v xml:space="preserve">  119</v>
      </c>
      <c r="B18" s="6" t="str">
        <f>REPT(" ",Sheet2!$C$3-LEN(Sheet2!C18))&amp;Sheet2!C18</f>
        <v>!ExitIfNim</v>
      </c>
      <c r="C18" s="5" t="str">
        <f>IF(Sheet2!D18="Std","FALSE","shortcutProfile == USER_"&amp;Sheet2!D18)</f>
        <v>FALSE</v>
      </c>
      <c r="D18" s="6" t="str">
        <f t="shared" si="1"/>
        <v xml:space="preserve">                        FALSE</v>
      </c>
      <c r="E18" s="6" t="str">
        <f>REPT(" ",Sheet2!$E$3-LEN(Sheet2!E18))&amp;Sheet2!E18</f>
        <v xml:space="preserve"> CM_NORMAL</v>
      </c>
      <c r="F18" s="6" t="str">
        <f>REPT(" ",Sheet2!$F$3-LEN(Sheet2!F18))&amp;Sheet2!F18</f>
        <v xml:space="preserve">            ITM_XexY</v>
      </c>
      <c r="G18" s="6" t="str">
        <f>REPT(" ",Sheet2!$G$3-LEN(TEXT(Sheet2!G18,"00")))&amp;""""&amp;TEXT(Sheet2!G18,"00")&amp;""""</f>
        <v xml:space="preserve">  "13"</v>
      </c>
      <c r="H18" s="6" t="str">
        <f>REPT(" ",Sheet2!$H$3-LEN(Sheet2!H18))&amp;Sheet2!H18</f>
        <v xml:space="preserve">                        s[w]ap</v>
      </c>
      <c r="I18" s="3" t="str">
        <f>IF(Sheet2!B18="","",SUBSTITUTE(SUBSTITUTE(SUBSTITUTE(SUBSTITUTE(SUBSTITUTE(SUBSTITUTE(SUBSTITUTE($I$1,"61",A18),"CM_NORMAL",E18),"ITM_DRG",F18),"nn = comm",H18),"exitIfNim",B18),"allowCondition",D18),"KK",G18))</f>
        <v>if(shortCutCommand(w, event_keyval,   119,                         FALSE, !ExitIfNim, 9999,   "13",  CM_NORMAL,             ITM_XexY ))        {return true;} else        //                        s[w]ap</v>
      </c>
    </row>
    <row r="19" spans="1:9">
      <c r="A19" s="6" t="str">
        <f>REPT(" ",Sheet2!$B$3-LEN(Sheet2!B19))&amp;Sheet2!B19</f>
        <v xml:space="preserve">  110</v>
      </c>
      <c r="B19" s="6" t="str">
        <f>REPT(" ",Sheet2!$C$3-LEN(Sheet2!C19))&amp;Sheet2!C19</f>
        <v>!ExitIfNim</v>
      </c>
      <c r="C19" s="5" t="str">
        <f>IF(Sheet2!D19="Std","FALSE","shortcutProfile == USER_"&amp;Sheet2!D19)</f>
        <v>FALSE</v>
      </c>
      <c r="D19" s="6" t="str">
        <f t="shared" si="1"/>
        <v xml:space="preserve">                        FALSE</v>
      </c>
      <c r="E19" s="6" t="str">
        <f>REPT(" ",Sheet2!$E$3-LEN(Sheet2!E19))&amp;Sheet2!E19</f>
        <v xml:space="preserve"> CM_NORMAL</v>
      </c>
      <c r="F19" s="6" t="str">
        <f>REPT(" ",Sheet2!$F$3-LEN(Sheet2!F19))&amp;Sheet2!F19</f>
        <v xml:space="preserve">             ITM_CHS</v>
      </c>
      <c r="G19" s="6" t="str">
        <f>REPT(" ",Sheet2!$G$3-LEN(TEXT(Sheet2!G19,"00")))&amp;""""&amp;TEXT(Sheet2!G19,"00")&amp;""""</f>
        <v xml:space="preserve">  "14"</v>
      </c>
      <c r="H19" s="6" t="str">
        <f>REPT(" ",Sheet2!$H$3-LEN(Sheet2!H19))&amp;Sheet2!H19</f>
        <v xml:space="preserve">                CHS [n]egative</v>
      </c>
      <c r="I19" s="3" t="str">
        <f>IF(Sheet2!B19="","",SUBSTITUTE(SUBSTITUTE(SUBSTITUTE(SUBSTITUTE(SUBSTITUTE(SUBSTITUTE(SUBSTITUTE($I$1,"61",A19),"CM_NORMAL",E19),"ITM_DRG",F19),"nn = comm",H19),"exitIfNim",B19),"allowCondition",D19),"KK",G19))</f>
        <v>if(shortCutCommand(w, event_keyval,   110,                         FALSE, !ExitIfNim, 9999,   "14",  CM_NORMAL,              ITM_CHS ))        {return true;} else        //                CHS [n]egative</v>
      </c>
    </row>
    <row r="20" spans="1:9">
      <c r="A20" s="6" t="str">
        <f>REPT(" ",Sheet2!$B$3-LEN(Sheet2!B20))&amp;Sheet2!B20</f>
        <v xml:space="preserve">  101</v>
      </c>
      <c r="B20" s="6" t="str">
        <f>REPT(" ",Sheet2!$C$3-LEN(Sheet2!C20))&amp;Sheet2!C20</f>
        <v>!ExitIfNim</v>
      </c>
      <c r="C20" s="5" t="str">
        <f>IF(Sheet2!D20="Std","FALSE","shortcutProfile == USER_"&amp;Sheet2!D20)</f>
        <v>FALSE</v>
      </c>
      <c r="D20" s="6" t="str">
        <f t="shared" si="1"/>
        <v xml:space="preserve">                        FALSE</v>
      </c>
      <c r="E20" s="6" t="str">
        <f>REPT(" ",Sheet2!$E$3-LEN(Sheet2!E20))&amp;Sheet2!E20</f>
        <v xml:space="preserve"> CM_NORMAL</v>
      </c>
      <c r="F20" s="6" t="str">
        <f>REPT(" ",Sheet2!$F$3-LEN(Sheet2!F20))&amp;Sheet2!F20</f>
        <v xml:space="preserve">        ITM_EXPONENT</v>
      </c>
      <c r="G20" s="6" t="str">
        <f>REPT(" ",Sheet2!$G$3-LEN(TEXT(Sheet2!G20,"00")))&amp;""""&amp;TEXT(Sheet2!G20,"00")&amp;""""</f>
        <v xml:space="preserve">  "15"</v>
      </c>
      <c r="H20" s="6" t="str">
        <f>REPT(" ",Sheet2!$H$3-LEN(Sheet2!H20))&amp;Sheet2!H20</f>
        <v xml:space="preserve">                    [e]xponent</v>
      </c>
      <c r="I20" s="3" t="str">
        <f>IF(Sheet2!B20="","",SUBSTITUTE(SUBSTITUTE(SUBSTITUTE(SUBSTITUTE(SUBSTITUTE(SUBSTITUTE(SUBSTITUTE($I$1,"61",A20),"CM_NORMAL",E20),"ITM_DRG",F20),"nn = comm",H20),"exitIfNim",B20),"allowCondition",D20),"KK",G20))</f>
        <v>if(shortCutCommand(w, event_keyval,   101,                         FALSE, !ExitIfNim, 9999,   "15",  CM_NORMAL,         ITM_EXPONENT ))        {return true;} else        //                    [e]xponent</v>
      </c>
    </row>
    <row r="21" spans="1:9">
      <c r="A21" s="6" t="str">
        <f>REPT(" ",Sheet2!$B$3-LEN(Sheet2!B21))&amp;Sheet2!B21</f>
        <v xml:space="preserve">   61</v>
      </c>
      <c r="B21" s="6" t="str">
        <f>REPT(" ",Sheet2!$C$3-LEN(Sheet2!C21))&amp;Sheet2!C21</f>
        <v xml:space="preserve"> ExitIfNim</v>
      </c>
      <c r="C21" s="5" t="str">
        <f>IF(Sheet2!D21="Std","FALSE","shortcutProfile == USER_"&amp;Sheet2!D21)</f>
        <v>shortcutProfile == USER_C47</v>
      </c>
      <c r="D21" s="6" t="str">
        <f t="shared" si="1"/>
        <v xml:space="preserve">  shortcutProfile == USER_C47</v>
      </c>
      <c r="E21" s="6" t="str">
        <f>REPT(" ",Sheet2!$E$3-LEN(Sheet2!E21))&amp;Sheet2!E21</f>
        <v xml:space="preserve"> CM_NORMAL</v>
      </c>
      <c r="F21" s="6" t="str">
        <f>REPT(" ",Sheet2!$F$3-LEN(Sheet2!F21))&amp;Sheet2!F21</f>
        <v xml:space="preserve">             ITM_DRG</v>
      </c>
      <c r="G21" s="6" t="str">
        <f>REPT(" ",Sheet2!$G$3-LEN(TEXT(Sheet2!G21,"00")))&amp;""""&amp;TEXT(Sheet2!G21,"00")&amp;""""</f>
        <v xml:space="preserve"> "-01"</v>
      </c>
      <c r="H21" s="6" t="str">
        <f>REPT(" ",Sheet2!$H$3-LEN(Sheet2!H21))&amp;Sheet2!H21</f>
        <v xml:space="preserve">                     [=]&gt;D,R,G</v>
      </c>
      <c r="I21" s="3" t="str">
        <f>IF(Sheet2!B21="","",SUBSTITUTE(SUBSTITUTE(SUBSTITUTE(SUBSTITUTE(SUBSTITUTE(SUBSTITUTE(SUBSTITUTE($I$1,"61",A21),"CM_NORMAL",E21),"ITM_DRG",F21),"nn = comm",H21),"exitIfNim",B21),"allowCondition",D21),"KK",G21))</f>
        <v>if(shortCutCommand(w, event_keyval,    61,   shortcutProfile == USER_C47,  ExitIfNim, 9999,  "-01",  CM_NORMAL,              ITM_DRG ))        {return true;} else        //                     [=]&gt;D,R,G</v>
      </c>
    </row>
    <row r="22" spans="1:9">
      <c r="A22" s="6" t="str">
        <f>REPT(" ",Sheet2!$B$3-LEN(Sheet2!B22))&amp;Sheet2!B22</f>
        <v xml:space="preserve">  121</v>
      </c>
      <c r="B22" s="6" t="str">
        <f>REPT(" ",Sheet2!$C$3-LEN(Sheet2!C22))&amp;Sheet2!C22</f>
        <v xml:space="preserve"> ExitIfNim</v>
      </c>
      <c r="C22" s="5" t="str">
        <f>IF(Sheet2!D22="Std","FALSE","shortcutProfile == USER_"&amp;Sheet2!D22)</f>
        <v>shortcutProfile == USER_C47</v>
      </c>
      <c r="D22" s="6" t="str">
        <f t="shared" si="1"/>
        <v xml:space="preserve">  shortcutProfile == USER_C47</v>
      </c>
      <c r="E22" s="6" t="str">
        <f>REPT(" ",Sheet2!$E$3-LEN(Sheet2!E22))&amp;Sheet2!E22</f>
        <v xml:space="preserve"> CM_NORMAL</v>
      </c>
      <c r="F22" s="6" t="str">
        <f>REPT(" ",Sheet2!$F$3-LEN(Sheet2!F22))&amp;Sheet2!F22</f>
        <v xml:space="preserve">              ITM_YX</v>
      </c>
      <c r="G22" s="6" t="str">
        <f>REPT(" ",Sheet2!$G$3-LEN(TEXT(Sheet2!G22,"00")))&amp;""""&amp;TEXT(Sheet2!G22,"00")&amp;""""</f>
        <v xml:space="preserve"> "-01"</v>
      </c>
      <c r="H22" s="6" t="str">
        <f>REPT(" ",Sheet2!$H$3-LEN(Sheet2!H22))&amp;Sheet2!H22</f>
        <v xml:space="preserve">                         [y]^x</v>
      </c>
      <c r="I22" s="3" t="str">
        <f>IF(Sheet2!B22="","",SUBSTITUTE(SUBSTITUTE(SUBSTITUTE(SUBSTITUTE(SUBSTITUTE(SUBSTITUTE(SUBSTITUTE($I$1,"61",A22),"CM_NORMAL",E22),"ITM_DRG",F22),"nn = comm",H22),"exitIfNim",B22),"allowCondition",D22),"KK",G22))</f>
        <v>if(shortCutCommand(w, event_keyval,   121,   shortcutProfile == USER_C47,  ExitIfNim, 9999,  "-01",  CM_NORMAL,               ITM_YX ))        {return true;} else        //                         [y]^x</v>
      </c>
    </row>
    <row r="23" spans="1:9">
      <c r="A23" s="6" t="str">
        <f>REPT(" ",Sheet2!$B$3-LEN(Sheet2!B23))&amp;Sheet2!B23</f>
        <v xml:space="preserve">  105</v>
      </c>
      <c r="B23" s="6" t="str">
        <f>REPT(" ",Sheet2!$C$3-LEN(Sheet2!C23))&amp;Sheet2!C23</f>
        <v xml:space="preserve"> ExitIfNim</v>
      </c>
      <c r="C23" s="5" t="str">
        <f>IF(Sheet2!D23="Std","FALSE","shortcutProfile == USER_"&amp;Sheet2!D23)</f>
        <v>shortcutProfile == USER_C47</v>
      </c>
      <c r="D23" s="6" t="str">
        <f t="shared" si="1"/>
        <v xml:space="preserve">  shortcutProfile == USER_C47</v>
      </c>
      <c r="E23" s="6" t="str">
        <f>REPT(" ",Sheet2!$E$3-LEN(Sheet2!E23))&amp;Sheet2!E23</f>
        <v xml:space="preserve"> CM_NORMAL</v>
      </c>
      <c r="F23" s="6" t="str">
        <f>REPT(" ",Sheet2!$F$3-LEN(Sheet2!F23))&amp;Sheet2!F23</f>
        <v xml:space="preserve">            ITM_op_j</v>
      </c>
      <c r="G23" s="6" t="str">
        <f>REPT(" ",Sheet2!$G$3-LEN(TEXT(Sheet2!G23,"00")))&amp;""""&amp;TEXT(Sheet2!G23,"00")&amp;""""</f>
        <v xml:space="preserve"> "-01"</v>
      </c>
      <c r="H23" s="6" t="str">
        <f>REPT(" ",Sheet2!$H$3-LEN(Sheet2!H23))&amp;Sheet2!H23</f>
        <v xml:space="preserve">                             i</v>
      </c>
      <c r="I23" s="3" t="str">
        <f>IF(Sheet2!B23="","",SUBSTITUTE(SUBSTITUTE(SUBSTITUTE(SUBSTITUTE(SUBSTITUTE(SUBSTITUTE(SUBSTITUTE($I$1,"61",A23),"CM_NORMAL",E23),"ITM_DRG",F23),"nn = comm",H23),"exitIfNim",B23),"allowCondition",D23),"KK",G23))</f>
        <v>if(shortCutCommand(w, event_keyval,   105,   shortcutProfile == USER_C47,  ExitIfNim, 9999,  "-01",  CM_NORMAL,             ITM_op_j ))        {return true;} else        //                             i</v>
      </c>
    </row>
    <row r="24" spans="1:9">
      <c r="A24" s="6" t="str">
        <f>REPT(" ",Sheet2!$B$3-LEN(Sheet2!B24))&amp;Sheet2!B24</f>
        <v xml:space="preserve">   88</v>
      </c>
      <c r="B24" s="6" t="str">
        <f>REPT(" ",Sheet2!$C$3-LEN(Sheet2!C24))&amp;Sheet2!C24</f>
        <v xml:space="preserve"> ExitIfNim</v>
      </c>
      <c r="C24" s="5" t="str">
        <f>IF(Sheet2!D24="Std","FALSE","shortcutProfile == USER_"&amp;Sheet2!D24)</f>
        <v>shortcutProfile == USER_C47</v>
      </c>
      <c r="D24" s="6" t="str">
        <f t="shared" si="1"/>
        <v xml:space="preserve">  shortcutProfile == USER_C47</v>
      </c>
      <c r="E24" s="6" t="str">
        <f>REPT(" ",Sheet2!$E$3-LEN(Sheet2!E24))&amp;Sheet2!E24</f>
        <v xml:space="preserve"> CM_NORMAL</v>
      </c>
      <c r="F24" s="6" t="str">
        <f>REPT(" ",Sheet2!$F$3-LEN(Sheet2!F24))&amp;Sheet2!F24</f>
        <v xml:space="preserve">         KEY_COMPLEX</v>
      </c>
      <c r="G24" s="6" t="str">
        <f>REPT(" ",Sheet2!$G$3-LEN(TEXT(Sheet2!G24,"00")))&amp;""""&amp;TEXT(Sheet2!G24,"00")&amp;""""</f>
        <v xml:space="preserve"> "-01"</v>
      </c>
      <c r="H24" s="6" t="str">
        <f>REPT(" ",Sheet2!$H$3-LEN(Sheet2!H24))&amp;Sheet2!H24</f>
        <v xml:space="preserve">                     comple[X]</v>
      </c>
      <c r="I24" s="3" t="str">
        <f>IF(Sheet2!B24="","",SUBSTITUTE(SUBSTITUTE(SUBSTITUTE(SUBSTITUTE(SUBSTITUTE(SUBSTITUTE(SUBSTITUTE($I$1,"61",A24),"CM_NORMAL",E24),"ITM_DRG",F24),"nn = comm",H24),"exitIfNim",B24),"allowCondition",D24),"KK",G24))</f>
        <v>if(shortCutCommand(w, event_keyval,    88,   shortcutProfile == USER_C47,  ExitIfNim, 9999,  "-01",  CM_NORMAL,          KEY_COMPLEX ))        {return true;} else        //                     comple[X]</v>
      </c>
    </row>
    <row r="25" spans="1:9">
      <c r="A25" s="6" t="str">
        <f>REPT(" ",Sheet2!$B$3-LEN(Sheet2!B25))&amp;Sheet2!B25</f>
        <v xml:space="preserve">   82</v>
      </c>
      <c r="B25" s="6" t="str">
        <f>REPT(" ",Sheet2!$C$3-LEN(Sheet2!C25))&amp;Sheet2!C25</f>
        <v xml:space="preserve"> ExitIfNim</v>
      </c>
      <c r="C25" s="5" t="str">
        <f>IF(Sheet2!D25="Std","FALSE","shortcutProfile == USER_"&amp;Sheet2!D25)</f>
        <v>shortcutProfile == USER_C47</v>
      </c>
      <c r="D25" s="6" t="str">
        <f t="shared" si="1"/>
        <v xml:space="preserve">  shortcutProfile == USER_C47</v>
      </c>
      <c r="E25" s="6" t="str">
        <f>REPT(" ",Sheet2!$E$3-LEN(Sheet2!E25))&amp;Sheet2!E25</f>
        <v xml:space="preserve"> CM_NORMAL</v>
      </c>
      <c r="F25" s="6" t="str">
        <f>REPT(" ",Sheet2!$F$3-LEN(Sheet2!F25))&amp;Sheet2!F25</f>
        <v xml:space="preserve">          ITM_toREC2</v>
      </c>
      <c r="G25" s="6" t="str">
        <f>REPT(" ",Sheet2!$G$3-LEN(TEXT(Sheet2!G25,"00")))&amp;""""&amp;TEXT(Sheet2!G25,"00")&amp;""""</f>
        <v xml:space="preserve"> "-01"</v>
      </c>
      <c r="H25" s="6" t="str">
        <f>REPT(" ",Sheet2!$H$3-LEN(Sheet2!H25))&amp;Sheet2!H25</f>
        <v xml:space="preserve">                           -&gt;R</v>
      </c>
      <c r="I25" s="3" t="str">
        <f>IF(Sheet2!B25="","",SUBSTITUTE(SUBSTITUTE(SUBSTITUTE(SUBSTITUTE(SUBSTITUTE(SUBSTITUTE(SUBSTITUTE($I$1,"61",A25),"CM_NORMAL",E25),"ITM_DRG",F25),"nn = comm",H25),"exitIfNim",B25),"allowCondition",D25),"KK",G25))</f>
        <v>if(shortCutCommand(w, event_keyval,    82,   shortcutProfile == USER_C47,  ExitIfNim, 9999,  "-01",  CM_NORMAL,           ITM_toREC2 ))        {return true;} else        //                           -&gt;R</v>
      </c>
    </row>
    <row r="26" spans="1:9">
      <c r="A26" s="6" t="str">
        <f>REPT(" ",Sheet2!$B$3-LEN(Sheet2!B26))&amp;Sheet2!B26</f>
        <v xml:space="preserve">   80</v>
      </c>
      <c r="B26" s="6" t="str">
        <f>REPT(" ",Sheet2!$C$3-LEN(Sheet2!C26))&amp;Sheet2!C26</f>
        <v xml:space="preserve"> ExitIfNim</v>
      </c>
      <c r="C26" s="5" t="str">
        <f>IF(Sheet2!D26="Std","FALSE","shortcutProfile == USER_"&amp;Sheet2!D26)</f>
        <v>shortcutProfile == USER_C47</v>
      </c>
      <c r="D26" s="6" t="str">
        <f t="shared" si="1"/>
        <v xml:space="preserve">  shortcutProfile == USER_C47</v>
      </c>
      <c r="E26" s="6" t="str">
        <f>REPT(" ",Sheet2!$E$3-LEN(Sheet2!E26))&amp;Sheet2!E26</f>
        <v xml:space="preserve"> CM_NORMAL</v>
      </c>
      <c r="F26" s="6" t="str">
        <f>REPT(" ",Sheet2!$F$3-LEN(Sheet2!F26))&amp;Sheet2!F26</f>
        <v xml:space="preserve">          ITM_toPOL2</v>
      </c>
      <c r="G26" s="6" t="str">
        <f>REPT(" ",Sheet2!$G$3-LEN(TEXT(Sheet2!G26,"00")))&amp;""""&amp;TEXT(Sheet2!G26,"00")&amp;""""</f>
        <v xml:space="preserve"> "-01"</v>
      </c>
      <c r="H26" s="6" t="str">
        <f>REPT(" ",Sheet2!$H$3-LEN(Sheet2!H26))&amp;Sheet2!H26</f>
        <v xml:space="preserve">                           -&gt;P</v>
      </c>
      <c r="I26" s="3" t="str">
        <f>IF(Sheet2!B26="","",SUBSTITUTE(SUBSTITUTE(SUBSTITUTE(SUBSTITUTE(SUBSTITUTE(SUBSTITUTE(SUBSTITUTE($I$1,"61",A26),"CM_NORMAL",E26),"ITM_DRG",F26),"nn = comm",H26),"exitIfNim",B26),"allowCondition",D26),"KK",G26))</f>
        <v>if(shortCutCommand(w, event_keyval,    80,   shortcutProfile == USER_C47,  ExitIfNim, 9999,  "-01",  CM_NORMAL,           ITM_toPOL2 ))        {return true;} else        //                           -&gt;P</v>
      </c>
    </row>
    <row r="27" spans="1:9">
      <c r="A27" s="6" t="str">
        <f>REPT(" ",Sheet2!$B$3-LEN(Sheet2!B27))&amp;Sheet2!B27</f>
        <v xml:space="preserve">  112</v>
      </c>
      <c r="B27" s="6" t="str">
        <f>REPT(" ",Sheet2!$C$3-LEN(Sheet2!C27))&amp;Sheet2!C27</f>
        <v xml:space="preserve"> ExitIfNim</v>
      </c>
      <c r="C27" s="5" t="str">
        <f>IF(Sheet2!D27="Std","FALSE","shortcutProfile == USER_"&amp;Sheet2!D27)</f>
        <v>shortcutProfile == USER_C47</v>
      </c>
      <c r="D27" s="6" t="str">
        <f t="shared" si="1"/>
        <v xml:space="preserve">  shortcutProfile == USER_C47</v>
      </c>
      <c r="E27" s="6" t="str">
        <f>REPT(" ",Sheet2!$E$3-LEN(Sheet2!E27))&amp;Sheet2!E27</f>
        <v xml:space="preserve"> CM_NORMAL</v>
      </c>
      <c r="F27" s="6" t="str">
        <f>REPT(" ",Sheet2!$F$3-LEN(Sheet2!F27))&amp;Sheet2!F27</f>
        <v xml:space="preserve">         ITM_CONSTpi</v>
      </c>
      <c r="G27" s="6" t="str">
        <f>REPT(" ",Sheet2!$G$3-LEN(TEXT(Sheet2!G27,"00")))&amp;""""&amp;TEXT(Sheet2!G27,"00")&amp;""""</f>
        <v xml:space="preserve"> "-01"</v>
      </c>
      <c r="H27" s="6" t="str">
        <f>REPT(" ",Sheet2!$H$3-LEN(Sheet2!H27))&amp;Sheet2!H27</f>
        <v xml:space="preserve">                            pi</v>
      </c>
      <c r="I27" s="3" t="str">
        <f>IF(Sheet2!B27="","",SUBSTITUTE(SUBSTITUTE(SUBSTITUTE(SUBSTITUTE(SUBSTITUTE(SUBSTITUTE(SUBSTITUTE($I$1,"61",A27),"CM_NORMAL",E27),"ITM_DRG",F27),"nn = comm",H27),"exitIfNim",B27),"allowCondition",D27),"KK",G27))</f>
        <v>if(shortCutCommand(w, event_keyval,   112,   shortcutProfile == USER_C47,  ExitIfNim, 9999,  "-01",  CM_NORMAL,          ITM_CONSTpi ))        {return true;} else        //                            pi</v>
      </c>
    </row>
    <row r="28" spans="1:9">
      <c r="A28" s="6" t="str">
        <f>REPT(" ",Sheet2!$B$3-LEN(Sheet2!B28))&amp;Sheet2!B28</f>
        <v xml:space="preserve">   86</v>
      </c>
      <c r="B28" s="6" t="str">
        <f>REPT(" ",Sheet2!$C$3-LEN(Sheet2!C28))&amp;Sheet2!C28</f>
        <v xml:space="preserve"> ExitIfNim</v>
      </c>
      <c r="C28" s="5" t="str">
        <f>IF(Sheet2!D28="Std","FALSE","shortcutProfile == USER_"&amp;Sheet2!D28)</f>
        <v>shortcutProfile == USER_C47</v>
      </c>
      <c r="D28" s="6" t="str">
        <f t="shared" si="1"/>
        <v xml:space="preserve">  shortcutProfile == USER_C47</v>
      </c>
      <c r="E28" s="6" t="str">
        <f>REPT(" ",Sheet2!$E$3-LEN(Sheet2!E28))&amp;Sheet2!E28</f>
        <v xml:space="preserve"> CM_NORMAL</v>
      </c>
      <c r="F28" s="6" t="str">
        <f>REPT(" ",Sheet2!$F$3-LEN(Sheet2!F28))&amp;Sheet2!F28</f>
        <v xml:space="preserve">            ITM_1ONX</v>
      </c>
      <c r="G28" s="6" t="str">
        <f>REPT(" ",Sheet2!$G$3-LEN(TEXT(Sheet2!G28,"00")))&amp;""""&amp;TEXT(Sheet2!G28,"00")&amp;""""</f>
        <v xml:space="preserve"> "-01"</v>
      </c>
      <c r="H28" s="6" t="str">
        <f>REPT(" ",Sheet2!$H$3-LEN(Sheet2!H28))&amp;Sheet2!H28</f>
        <v xml:space="preserve">                     in[V]erse</v>
      </c>
      <c r="I28" s="3" t="str">
        <f>IF(Sheet2!B28="","",SUBSTITUTE(SUBSTITUTE(SUBSTITUTE(SUBSTITUTE(SUBSTITUTE(SUBSTITUTE(SUBSTITUTE($I$1,"61",A28),"CM_NORMAL",E28),"ITM_DRG",F28),"nn = comm",H28),"exitIfNim",B28),"allowCondition",D28),"KK",G28))</f>
        <v>if(shortCutCommand(w, event_keyval,    86,   shortcutProfile == USER_C47,  ExitIfNim, 9999,  "-01",  CM_NORMAL,             ITM_1ONX ))        {return true;} else        //                     in[V]erse</v>
      </c>
    </row>
    <row r="29" spans="1:9">
      <c r="A29" s="6" t="str">
        <f>REPT(" ",Sheet2!$B$3-LEN(Sheet2!B29))&amp;Sheet2!B29</f>
        <v xml:space="preserve">   89</v>
      </c>
      <c r="B29" s="6" t="str">
        <f>REPT(" ",Sheet2!$C$3-LEN(Sheet2!C29))&amp;Sheet2!C29</f>
        <v xml:space="preserve"> ExitIfNim</v>
      </c>
      <c r="C29" s="5" t="str">
        <f>IF(Sheet2!D29="Std","FALSE","shortcutProfile == USER_"&amp;Sheet2!D29)</f>
        <v>shortcutProfile == USER_C47</v>
      </c>
      <c r="D29" s="6" t="str">
        <f t="shared" si="1"/>
        <v xml:space="preserve">  shortcutProfile == USER_C47</v>
      </c>
      <c r="E29" s="6" t="str">
        <f>REPT(" ",Sheet2!$E$3-LEN(Sheet2!E29))&amp;Sheet2!E29</f>
        <v xml:space="preserve"> CM_NORMAL</v>
      </c>
      <c r="F29" s="6" t="str">
        <f>REPT(" ",Sheet2!$F$3-LEN(Sheet2!F29))&amp;Sheet2!F29</f>
        <v xml:space="preserve">         ITM_XTHROOT</v>
      </c>
      <c r="G29" s="6" t="str">
        <f>REPT(" ",Sheet2!$G$3-LEN(TEXT(Sheet2!G29,"00")))&amp;""""&amp;TEXT(Sheet2!G29,"00")&amp;""""</f>
        <v xml:space="preserve"> "-01"</v>
      </c>
      <c r="H29" s="6" t="str">
        <f>REPT(" ",Sheet2!$H$3-LEN(Sheet2!H29))&amp;Sheet2!H29</f>
        <v xml:space="preserve">               xth root of [Y]</v>
      </c>
      <c r="I29" s="3" t="str">
        <f>IF(Sheet2!B29="","",SUBSTITUTE(SUBSTITUTE(SUBSTITUTE(SUBSTITUTE(SUBSTITUTE(SUBSTITUTE(SUBSTITUTE($I$1,"61",A29),"CM_NORMAL",E29),"ITM_DRG",F29),"nn = comm",H29),"exitIfNim",B29),"allowCondition",D29),"KK",G29))</f>
        <v>if(shortCutCommand(w, event_keyval,    89,   shortcutProfile == USER_C47,  ExitIfNim, 9999,  "-01",  CM_NORMAL,          ITM_XTHROOT ))        {return true;} else        //               xth root of [Y]</v>
      </c>
    </row>
    <row r="30" spans="1:9">
      <c r="A30" s="6" t="str">
        <f>REPT(" ",Sheet2!$B$3-LEN(Sheet2!B30))&amp;Sheet2!B30</f>
        <v xml:space="preserve">   67</v>
      </c>
      <c r="B30" s="6" t="str">
        <f>REPT(" ",Sheet2!$C$3-LEN(Sheet2!C30))&amp;Sheet2!C30</f>
        <v xml:space="preserve"> ExitIfNim</v>
      </c>
      <c r="C30" s="5" t="str">
        <f>IF(Sheet2!D30="Std","FALSE","shortcutProfile == USER_"&amp;Sheet2!D30)</f>
        <v>shortcutProfile == USER_C47</v>
      </c>
      <c r="D30" s="6" t="str">
        <f t="shared" si="1"/>
        <v xml:space="preserve">  shortcutProfile == USER_C47</v>
      </c>
      <c r="E30" s="6" t="str">
        <f>REPT(" ",Sheet2!$E$3-LEN(Sheet2!E30))&amp;Sheet2!E30</f>
        <v xml:space="preserve"> CM_NORMAL</v>
      </c>
      <c r="F30" s="6" t="str">
        <f>REPT(" ",Sheet2!$F$3-LEN(Sheet2!F30))&amp;Sheet2!F30</f>
        <v xml:space="preserve">          ITM_arccos</v>
      </c>
      <c r="G30" s="6" t="str">
        <f>REPT(" ",Sheet2!$G$3-LEN(TEXT(Sheet2!G30,"00")))&amp;""""&amp;TEXT(Sheet2!G30,"00")&amp;""""</f>
        <v xml:space="preserve"> "-01"</v>
      </c>
      <c r="H30" s="6" t="str">
        <f>REPT(" ",Sheet2!$H$3-LEN(Sheet2!H30))&amp;Sheet2!H30</f>
        <v xml:space="preserve">                   arc[C]osine</v>
      </c>
      <c r="I30" s="3" t="str">
        <f>IF(Sheet2!B30="","",SUBSTITUTE(SUBSTITUTE(SUBSTITUTE(SUBSTITUTE(SUBSTITUTE(SUBSTITUTE(SUBSTITUTE($I$1,"61",A30),"CM_NORMAL",E30),"ITM_DRG",F30),"nn = comm",H30),"exitIfNim",B30),"allowCondition",D30),"KK",G30))</f>
        <v>if(shortCutCommand(w, event_keyval,    67,   shortcutProfile == USER_C47,  ExitIfNim, 9999,  "-01",  CM_NORMAL,           ITM_arccos ))        {return true;} else        //                   arc[C]osine</v>
      </c>
    </row>
    <row r="31" spans="1:9">
      <c r="A31" s="6" t="str">
        <f>REPT(" ",Sheet2!$B$3-LEN(Sheet2!B31))&amp;Sheet2!B31</f>
        <v xml:space="preserve">   83</v>
      </c>
      <c r="B31" s="6" t="str">
        <f>REPT(" ",Sheet2!$C$3-LEN(Sheet2!C31))&amp;Sheet2!C31</f>
        <v xml:space="preserve"> ExitIfNim</v>
      </c>
      <c r="C31" s="5" t="str">
        <f>IF(Sheet2!D31="Std","FALSE","shortcutProfile == USER_"&amp;Sheet2!D31)</f>
        <v>shortcutProfile == USER_C47</v>
      </c>
      <c r="D31" s="6" t="str">
        <f t="shared" si="1"/>
        <v xml:space="preserve">  shortcutProfile == USER_C47</v>
      </c>
      <c r="E31" s="6" t="str">
        <f>REPT(" ",Sheet2!$E$3-LEN(Sheet2!E31))&amp;Sheet2!E31</f>
        <v xml:space="preserve"> CM_NORMAL</v>
      </c>
      <c r="F31" s="6" t="str">
        <f>REPT(" ",Sheet2!$F$3-LEN(Sheet2!F31))&amp;Sheet2!F31</f>
        <v xml:space="preserve">          ITM_arcsin</v>
      </c>
      <c r="G31" s="6" t="str">
        <f>REPT(" ",Sheet2!$G$3-LEN(TEXT(Sheet2!G31,"00")))&amp;""""&amp;TEXT(Sheet2!G31,"00")&amp;""""</f>
        <v xml:space="preserve"> "-01"</v>
      </c>
      <c r="H31" s="6" t="str">
        <f>REPT(" ",Sheet2!$H$3-LEN(Sheet2!H31))&amp;Sheet2!H31</f>
        <v xml:space="preserve">                     arc[S]ine</v>
      </c>
      <c r="I31" s="3" t="str">
        <f>IF(Sheet2!B31="","",SUBSTITUTE(SUBSTITUTE(SUBSTITUTE(SUBSTITUTE(SUBSTITUTE(SUBSTITUTE(SUBSTITUTE($I$1,"61",A31),"CM_NORMAL",E31),"ITM_DRG",F31),"nn = comm",H31),"exitIfNim",B31),"allowCondition",D31),"KK",G31))</f>
        <v>if(shortCutCommand(w, event_keyval,    83,   shortcutProfile == USER_C47,  ExitIfNim, 9999,  "-01",  CM_NORMAL,           ITM_arcsin ))        {return true;} else        //                     arc[S]ine</v>
      </c>
    </row>
    <row r="32" spans="1:9">
      <c r="A32" s="6" t="str">
        <f>REPT(" ",Sheet2!$B$3-LEN(Sheet2!B32))&amp;Sheet2!B32</f>
        <v xml:space="preserve">   84</v>
      </c>
      <c r="B32" s="6" t="str">
        <f>REPT(" ",Sheet2!$C$3-LEN(Sheet2!C32))&amp;Sheet2!C32</f>
        <v xml:space="preserve"> ExitIfNim</v>
      </c>
      <c r="C32" s="5" t="str">
        <f>IF(Sheet2!D32="Std","FALSE","shortcutProfile == USER_"&amp;Sheet2!D32)</f>
        <v>shortcutProfile == USER_C47</v>
      </c>
      <c r="D32" s="6" t="str">
        <f t="shared" si="1"/>
        <v xml:space="preserve">  shortcutProfile == USER_C47</v>
      </c>
      <c r="E32" s="6" t="str">
        <f>REPT(" ",Sheet2!$E$3-LEN(Sheet2!E32))&amp;Sheet2!E32</f>
        <v xml:space="preserve"> CM_NORMAL</v>
      </c>
      <c r="F32" s="6" t="str">
        <f>REPT(" ",Sheet2!$F$3-LEN(Sheet2!F32))&amp;Sheet2!F32</f>
        <v xml:space="preserve">          ITM_arctan</v>
      </c>
      <c r="G32" s="6" t="str">
        <f>REPT(" ",Sheet2!$G$3-LEN(TEXT(Sheet2!G32,"00")))&amp;""""&amp;TEXT(Sheet2!G32,"00")&amp;""""</f>
        <v xml:space="preserve"> "-01"</v>
      </c>
      <c r="H32" s="6" t="str">
        <f>REPT(" ",Sheet2!$H$3-LEN(Sheet2!H32))&amp;Sheet2!H32</f>
        <v xml:space="preserve">                  arc[T]angent</v>
      </c>
      <c r="I32" s="3" t="str">
        <f>IF(Sheet2!B32="","",SUBSTITUTE(SUBSTITUTE(SUBSTITUTE(SUBSTITUTE(SUBSTITUTE(SUBSTITUTE(SUBSTITUTE($I$1,"61",A32),"CM_NORMAL",E32),"ITM_DRG",F32),"nn = comm",H32),"exitIfNim",B32),"allowCondition",D32),"KK",G32))</f>
        <v>if(shortCutCommand(w, event_keyval,    84,   shortcutProfile == USER_C47,  ExitIfNim, 9999,  "-01",  CM_NORMAL,           ITM_arctan ))        {return true;} else        //                  arc[T]angent</v>
      </c>
    </row>
    <row r="33" spans="1:9">
      <c r="A33" s="6" t="str">
        <f>REPT(" ",Sheet2!$B$3-LEN(Sheet2!B33))&amp;Sheet2!B33</f>
        <v xml:space="preserve">   76</v>
      </c>
      <c r="B33" s="6" t="str">
        <f>REPT(" ",Sheet2!$C$3-LEN(Sheet2!C33))&amp;Sheet2!C33</f>
        <v xml:space="preserve"> ExitIfNim</v>
      </c>
      <c r="C33" s="5" t="str">
        <f>IF(Sheet2!D33="Std","FALSE","shortcutProfile == USER_"&amp;Sheet2!D33)</f>
        <v>shortcutProfile == USER_C47</v>
      </c>
      <c r="D33" s="6" t="str">
        <f t="shared" si="1"/>
        <v xml:space="preserve">  shortcutProfile == USER_C47</v>
      </c>
      <c r="E33" s="6" t="str">
        <f>REPT(" ",Sheet2!$E$3-LEN(Sheet2!E33))&amp;Sheet2!E33</f>
        <v xml:space="preserve"> CM_NORMAL</v>
      </c>
      <c r="F33" s="6" t="str">
        <f>REPT(" ",Sheet2!$F$3-LEN(Sheet2!F33))&amp;Sheet2!F33</f>
        <v xml:space="preserve">             ITM_EXP</v>
      </c>
      <c r="G33" s="6" t="str">
        <f>REPT(" ",Sheet2!$G$3-LEN(TEXT(Sheet2!G33,"00")))&amp;""""&amp;TEXT(Sheet2!G33,"00")&amp;""""</f>
        <v xml:space="preserve"> "-01"</v>
      </c>
      <c r="H33" s="6" t="str">
        <f>REPT(" ",Sheet2!$H$3-LEN(Sheet2!H33))&amp;Sheet2!H33</f>
        <v xml:space="preserve">                  anti[L]n e^x</v>
      </c>
      <c r="I33" s="3" t="str">
        <f>IF(Sheet2!B33="","",SUBSTITUTE(SUBSTITUTE(SUBSTITUTE(SUBSTITUTE(SUBSTITUTE(SUBSTITUTE(SUBSTITUTE($I$1,"61",A33),"CM_NORMAL",E33),"ITM_DRG",F33),"nn = comm",H33),"exitIfNim",B33),"allowCondition",D33),"KK",G33))</f>
        <v>if(shortCutCommand(w, event_keyval,    76,   shortcutProfile == USER_C47,  ExitIfNim, 9999,  "-01",  CM_NORMAL,              ITM_EXP ))        {return true;} else        //                  anti[L]n e^x</v>
      </c>
    </row>
    <row r="34" spans="1:9">
      <c r="A34" s="6" t="str">
        <f>REPT(" ",Sheet2!$B$3-LEN(Sheet2!B34))&amp;Sheet2!B34</f>
        <v xml:space="preserve">   79</v>
      </c>
      <c r="B34" s="6" t="str">
        <f>REPT(" ",Sheet2!$C$3-LEN(Sheet2!C34))&amp;Sheet2!C34</f>
        <v xml:space="preserve"> ExitIfNim</v>
      </c>
      <c r="C34" s="5" t="str">
        <f>IF(Sheet2!D34="Std","FALSE","shortcutProfile == USER_"&amp;Sheet2!D34)</f>
        <v>shortcutProfile == USER_C47</v>
      </c>
      <c r="D34" s="6" t="str">
        <f t="shared" si="1"/>
        <v xml:space="preserve">  shortcutProfile == USER_C47</v>
      </c>
      <c r="E34" s="6" t="str">
        <f>REPT(" ",Sheet2!$E$3-LEN(Sheet2!E34))&amp;Sheet2!E34</f>
        <v xml:space="preserve"> CM_NORMAL</v>
      </c>
      <c r="F34" s="6" t="str">
        <f>REPT(" ",Sheet2!$F$3-LEN(Sheet2!F34))&amp;Sheet2!F34</f>
        <v xml:space="preserve">             ITM_10x</v>
      </c>
      <c r="G34" s="6" t="str">
        <f>REPT(" ",Sheet2!$G$3-LEN(TEXT(Sheet2!G34,"00")))&amp;""""&amp;TEXT(Sheet2!G34,"00")&amp;""""</f>
        <v xml:space="preserve"> "-01"</v>
      </c>
      <c r="H34" s="6" t="str">
        <f>REPT(" ",Sheet2!$H$3-LEN(Sheet2!H34))&amp;Sheet2!H34</f>
        <v xml:space="preserve">                antil[O]g 10^x</v>
      </c>
      <c r="I34" s="3" t="str">
        <f>IF(Sheet2!B34="","",SUBSTITUTE(SUBSTITUTE(SUBSTITUTE(SUBSTITUTE(SUBSTITUTE(SUBSTITUTE(SUBSTITUTE($I$1,"61",A34),"CM_NORMAL",E34),"ITM_DRG",F34),"nn = comm",H34),"exitIfNim",B34),"allowCondition",D34),"KK",G34))</f>
        <v>if(shortCutCommand(w, event_keyval,    79,   shortcutProfile == USER_C47,  ExitIfNim, 9999,  "-01",  CM_NORMAL,              ITM_10x ))        {return true;} else        //                antil[O]g 10^x</v>
      </c>
    </row>
    <row r="35" spans="1:9">
      <c r="A35" s="6" t="str">
        <f>REPT(" ",Sheet2!$B$3-LEN(Sheet2!B35))&amp;Sheet2!B35</f>
        <v xml:space="preserve">   81</v>
      </c>
      <c r="B35" s="6" t="str">
        <f>REPT(" ",Sheet2!$C$3-LEN(Sheet2!C35))&amp;Sheet2!C35</f>
        <v xml:space="preserve"> ExitIfNim</v>
      </c>
      <c r="C35" s="5" t="str">
        <f>IF(Sheet2!D35="Std","FALSE","shortcutProfile == USER_"&amp;Sheet2!D35)</f>
        <v>shortcutProfile == USER_C47</v>
      </c>
      <c r="D35" s="6" t="str">
        <f t="shared" si="1"/>
        <v xml:space="preserve">  shortcutProfile == USER_C47</v>
      </c>
      <c r="E35" s="6" t="str">
        <f>REPT(" ",Sheet2!$E$3-LEN(Sheet2!E35))&amp;Sheet2!E35</f>
        <v xml:space="preserve"> CM_NORMAL</v>
      </c>
      <c r="F35" s="6" t="str">
        <f>REPT(" ",Sheet2!$F$3-LEN(Sheet2!F35))&amp;Sheet2!F35</f>
        <v xml:space="preserve">          ITM_SQUARE</v>
      </c>
      <c r="G35" s="6" t="str">
        <f>REPT(" ",Sheet2!$G$3-LEN(TEXT(Sheet2!G35,"00")))&amp;""""&amp;TEXT(Sheet2!G35,"00")&amp;""""</f>
        <v xml:space="preserve"> "-01"</v>
      </c>
      <c r="H35" s="6" t="str">
        <f>REPT(" ",Sheet2!$H$3-LEN(Sheet2!H35))&amp;Sheet2!H35</f>
        <v xml:space="preserve">                      s[Q]uare</v>
      </c>
      <c r="I35" s="3" t="str">
        <f>IF(Sheet2!B35="","",SUBSTITUTE(SUBSTITUTE(SUBSTITUTE(SUBSTITUTE(SUBSTITUTE(SUBSTITUTE(SUBSTITUTE($I$1,"61",A35),"CM_NORMAL",E35),"ITM_DRG",F35),"nn = comm",H35),"exitIfNim",B35),"allowCondition",D35),"KK",G35))</f>
        <v>if(shortCutCommand(w, event_keyval,    81,   shortcutProfile == USER_C47,  ExitIfNim, 9999,  "-01",  CM_NORMAL,           ITM_SQUARE ))        {return true;} else        //                      s[Q]uare</v>
      </c>
    </row>
    <row r="36" spans="1:9">
      <c r="A36" s="6" t="str">
        <f>REPT(" ",Sheet2!$B$3-LEN(Sheet2!B36))&amp;Sheet2!B36</f>
        <v xml:space="preserve">   68</v>
      </c>
      <c r="B36" s="6" t="str">
        <f>REPT(" ",Sheet2!$C$3-LEN(Sheet2!C36))&amp;Sheet2!C36</f>
        <v xml:space="preserve"> ExitIfNim</v>
      </c>
      <c r="C36" s="5" t="str">
        <f>IF(Sheet2!D36="Std","FALSE","shortcutProfile == USER_"&amp;Sheet2!D36)</f>
        <v>shortcutProfile == USER_C47</v>
      </c>
      <c r="D36" s="6" t="str">
        <f t="shared" si="1"/>
        <v xml:space="preserve">  shortcutProfile == USER_C47</v>
      </c>
      <c r="E36" s="6" t="str">
        <f>REPT(" ",Sheet2!$E$3-LEN(Sheet2!E36))&amp;Sheet2!E36</f>
        <v xml:space="preserve"> CM_NORMAL</v>
      </c>
      <c r="F36" s="6" t="str">
        <f>REPT(" ",Sheet2!$F$3-LEN(Sheet2!F36))&amp;Sheet2!F36</f>
        <v xml:space="preserve">             ITM_Rup</v>
      </c>
      <c r="G36" s="6" t="str">
        <f>REPT(" ",Sheet2!$G$3-LEN(TEXT(Sheet2!G36,"00")))&amp;""""&amp;TEXT(Sheet2!G36,"00")&amp;""""</f>
        <v xml:space="preserve"> "-01"</v>
      </c>
      <c r="H36" s="6" t="str">
        <f>REPT(" ",Sheet2!$H$3-LEN(Sheet2!H36))&amp;Sheet2!H36</f>
        <v xml:space="preserve">                        Up [D]</v>
      </c>
      <c r="I36" s="3" t="str">
        <f>IF(Sheet2!B36="","",SUBSTITUTE(SUBSTITUTE(SUBSTITUTE(SUBSTITUTE(SUBSTITUTE(SUBSTITUTE(SUBSTITUTE($I$1,"61",A36),"CM_NORMAL",E36),"ITM_DRG",F36),"nn = comm",H36),"exitIfNim",B36),"allowCondition",D36),"KK",G36))</f>
        <v>if(shortCutCommand(w, event_keyval,    68,   shortcutProfile == USER_C47,  ExitIfNim, 9999,  "-01",  CM_NORMAL,              ITM_Rup ))        {return true;} else        //                        Up [D]</v>
      </c>
    </row>
    <row r="37" spans="1:9">
      <c r="A37" s="6" t="str">
        <f>REPT(" ",Sheet2!$B$3-LEN(Sheet2!B37))&amp;Sheet2!B37</f>
        <v xml:space="preserve">   73</v>
      </c>
      <c r="B37" s="6" t="str">
        <f>REPT(" ",Sheet2!$C$3-LEN(Sheet2!C37))&amp;Sheet2!C37</f>
        <v>!ExitIfNim</v>
      </c>
      <c r="C37" s="5" t="str">
        <f>IF(Sheet2!D37="Std","FALSE","shortcutProfile == USER_"&amp;Sheet2!D37)</f>
        <v>shortcutProfile == USER_C47</v>
      </c>
      <c r="D37" s="6" t="str">
        <f t="shared" si="1"/>
        <v xml:space="preserve">  shortcutProfile == USER_C47</v>
      </c>
      <c r="E37" s="6" t="str">
        <f>REPT(" ",Sheet2!$E$3-LEN(Sheet2!E37))&amp;Sheet2!E37</f>
        <v xml:space="preserve"> CM_NORMAL</v>
      </c>
      <c r="F37" s="6" t="str">
        <f>REPT(" ",Sheet2!$F$3-LEN(Sheet2!F37))&amp;Sheet2!F37</f>
        <v xml:space="preserve">           -MNU_DISP</v>
      </c>
      <c r="G37" s="6" t="str">
        <f>REPT(" ",Sheet2!$G$3-LEN(TEXT(Sheet2!G37,"00")))&amp;""""&amp;TEXT(Sheet2!G37,"00")&amp;""""</f>
        <v xml:space="preserve"> "-01"</v>
      </c>
      <c r="H37" s="6" t="str">
        <f>REPT(" ",Sheet2!$H$3-LEN(Sheet2!H37))&amp;Sheet2!H37</f>
        <v xml:space="preserve">                        D[I]SP</v>
      </c>
      <c r="I37" s="3" t="str">
        <f>IF(Sheet2!B37="","",SUBSTITUTE(SUBSTITUTE(SUBSTITUTE(SUBSTITUTE(SUBSTITUTE(SUBSTITUTE(SUBSTITUTE($I$1,"61",A37),"CM_NORMAL",E37),"ITM_DRG",F37),"nn = comm",H37),"exitIfNim",B37),"allowCondition",D37),"KK",G37))</f>
        <v>if(shortCutCommand(w, event_keyval,    73,   shortcutProfile == USER_C47, !ExitIfNim, 9999,  "-01",  CM_NORMAL,            -MNU_DISP ))        {return true;} else        //                        D[I]SP</v>
      </c>
    </row>
    <row r="38" spans="1:9">
      <c r="A38" s="6" t="str">
        <f>REPT(" ",Sheet2!$B$3-LEN(Sheet2!B38))&amp;Sheet2!B38</f>
        <v xml:space="preserve">   74</v>
      </c>
      <c r="B38" s="6" t="str">
        <f>REPT(" ",Sheet2!$C$3-LEN(Sheet2!C38))&amp;Sheet2!C38</f>
        <v>!ExitIfNim</v>
      </c>
      <c r="C38" s="5" t="str">
        <f>IF(Sheet2!D38="Std","FALSE","shortcutProfile == USER_"&amp;Sheet2!D38)</f>
        <v>shortcutProfile == USER_C47</v>
      </c>
      <c r="D38" s="6" t="str">
        <f t="shared" si="1"/>
        <v xml:space="preserve">  shortcutProfile == USER_C47</v>
      </c>
      <c r="E38" s="6" t="str">
        <f>REPT(" ",Sheet2!$E$3-LEN(Sheet2!E38))&amp;Sheet2!E38</f>
        <v xml:space="preserve"> CM_NORMAL</v>
      </c>
      <c r="F38" s="6" t="str">
        <f>REPT(" ",Sheet2!$F$3-LEN(Sheet2!F38))&amp;Sheet2!F38</f>
        <v xml:space="preserve">            -MNU_EXP</v>
      </c>
      <c r="G38" s="6" t="str">
        <f>REPT(" ",Sheet2!$G$3-LEN(TEXT(Sheet2!G38,"00")))&amp;""""&amp;TEXT(Sheet2!G38,"00")&amp;""""</f>
        <v xml:space="preserve"> "-01"</v>
      </c>
      <c r="H38" s="6" t="str">
        <f>REPT(" ",Sheet2!$H$3-LEN(Sheet2!H38))&amp;Sheet2!H38</f>
        <v xml:space="preserve">                           EXP</v>
      </c>
      <c r="I38" s="3" t="str">
        <f>IF(Sheet2!B38="","",SUBSTITUTE(SUBSTITUTE(SUBSTITUTE(SUBSTITUTE(SUBSTITUTE(SUBSTITUTE(SUBSTITUTE($I$1,"61",A38),"CM_NORMAL",E38),"ITM_DRG",F38),"nn = comm",H38),"exitIfNim",B38),"allowCondition",D38),"KK",G38))</f>
        <v>if(shortCutCommand(w, event_keyval,    74,   shortcutProfile == USER_C47, !ExitIfNim, 9999,  "-01",  CM_NORMAL,             -MNU_EXP ))        {return true;} else        //                           EXP</v>
      </c>
    </row>
    <row r="39" spans="1:9">
      <c r="A39" s="6" t="str">
        <f>REPT(" ",Sheet2!$B$3-LEN(Sheet2!B39))&amp;Sheet2!B39</f>
        <v xml:space="preserve">   75</v>
      </c>
      <c r="B39" s="6" t="str">
        <f>REPT(" ",Sheet2!$C$3-LEN(Sheet2!C39))&amp;Sheet2!C39</f>
        <v>!ExitIfNim</v>
      </c>
      <c r="C39" s="5" t="str">
        <f>IF(Sheet2!D39="Std","FALSE","shortcutProfile == USER_"&amp;Sheet2!D39)</f>
        <v>shortcutProfile == USER_C47</v>
      </c>
      <c r="D39" s="6" t="str">
        <f t="shared" si="1"/>
        <v xml:space="preserve">  shortcutProfile == USER_C47</v>
      </c>
      <c r="E39" s="6" t="str">
        <f>REPT(" ",Sheet2!$E$3-LEN(Sheet2!E39))&amp;Sheet2!E39</f>
        <v xml:space="preserve"> CM_NORMAL</v>
      </c>
      <c r="F39" s="6" t="str">
        <f>REPT(" ",Sheet2!$F$3-LEN(Sheet2!F39))&amp;Sheet2!F39</f>
        <v xml:space="preserve">            -MNU_STK</v>
      </c>
      <c r="G39" s="6" t="str">
        <f>REPT(" ",Sheet2!$G$3-LEN(TEXT(Sheet2!G39,"00")))&amp;""""&amp;TEXT(Sheet2!G39,"00")&amp;""""</f>
        <v xml:space="preserve"> "-01"</v>
      </c>
      <c r="H39" s="6" t="str">
        <f>REPT(" ",Sheet2!$H$3-LEN(Sheet2!H39))&amp;Sheet2!H39</f>
        <v xml:space="preserve">                         ST[K]</v>
      </c>
      <c r="I39" s="3" t="str">
        <f>IF(Sheet2!B39="","",SUBSTITUTE(SUBSTITUTE(SUBSTITUTE(SUBSTITUTE(SUBSTITUTE(SUBSTITUTE(SUBSTITUTE($I$1,"61",A39),"CM_NORMAL",E39),"ITM_DRG",F39),"nn = comm",H39),"exitIfNim",B39),"allowCondition",D39),"KK",G39))</f>
        <v>if(shortCutCommand(w, event_keyval,    75,   shortcutProfile == USER_C47, !ExitIfNim, 9999,  "-01",  CM_NORMAL,             -MNU_STK ))        {return true;} else        //                         ST[K]</v>
      </c>
    </row>
    <row r="40" spans="1:9">
      <c r="A40" s="6" t="str">
        <f>REPT(" ",Sheet2!$B$3-LEN(Sheet2!B40))&amp;Sheet2!B40</f>
        <v xml:space="preserve">   77</v>
      </c>
      <c r="B40" s="6" t="str">
        <f>REPT(" ",Sheet2!$C$3-LEN(Sheet2!C40))&amp;Sheet2!C40</f>
        <v>!ExitIfNim</v>
      </c>
      <c r="C40" s="5" t="str">
        <f>IF(Sheet2!D40="Std","FALSE","shortcutProfile == USER_"&amp;Sheet2!D40)</f>
        <v>shortcutProfile == USER_C47</v>
      </c>
      <c r="D40" s="6" t="str">
        <f t="shared" si="1"/>
        <v xml:space="preserve">  shortcutProfile == USER_C47</v>
      </c>
      <c r="E40" s="6" t="str">
        <f>REPT(" ",Sheet2!$E$3-LEN(Sheet2!E40))&amp;Sheet2!E40</f>
        <v xml:space="preserve"> CM_NORMAL</v>
      </c>
      <c r="F40" s="6" t="str">
        <f>REPT(" ",Sheet2!$F$3-LEN(Sheet2!F40))&amp;Sheet2!F40</f>
        <v xml:space="preserve">           -MNU_MODE</v>
      </c>
      <c r="G40" s="6" t="str">
        <f>REPT(" ",Sheet2!$G$3-LEN(TEXT(Sheet2!G40,"00")))&amp;""""&amp;TEXT(Sheet2!G40,"00")&amp;""""</f>
        <v xml:space="preserve"> "-01"</v>
      </c>
      <c r="H40" s="6" t="str">
        <f>REPT(" ",Sheet2!$H$3-LEN(Sheet2!H40))&amp;Sheet2!H40</f>
        <v xml:space="preserve">                        [M]ODE</v>
      </c>
      <c r="I40" s="3" t="str">
        <f>IF(Sheet2!B40="","",SUBSTITUTE(SUBSTITUTE(SUBSTITUTE(SUBSTITUTE(SUBSTITUTE(SUBSTITUTE(SUBSTITUTE($I$1,"61",A40),"CM_NORMAL",E40),"ITM_DRG",F40),"nn = comm",H40),"exitIfNim",B40),"allowCondition",D40),"KK",G40))</f>
        <v>if(shortCutCommand(w, event_keyval,    77,   shortcutProfile == USER_C47, !ExitIfNim, 9999,  "-01",  CM_NORMAL,            -MNU_MODE ))        {return true;} else        //                        [M]ODE</v>
      </c>
    </row>
    <row r="41" spans="1:9">
      <c r="A41" s="6" t="str">
        <f>REPT(" ",Sheet2!$B$3-LEN(Sheet2!B41))&amp;Sheet2!B41</f>
        <v xml:space="preserve">   70</v>
      </c>
      <c r="B41" s="6" t="str">
        <f>REPT(" ",Sheet2!$C$3-LEN(Sheet2!C41))&amp;Sheet2!C41</f>
        <v>!ExitIfNim</v>
      </c>
      <c r="C41" s="5" t="str">
        <f>IF(Sheet2!D41="Std","FALSE","shortcutProfile == USER_"&amp;Sheet2!D41)</f>
        <v>shortcutProfile == USER_C47</v>
      </c>
      <c r="D41" s="6" t="str">
        <f t="shared" si="1"/>
        <v xml:space="preserve">  shortcutProfile == USER_C47</v>
      </c>
      <c r="E41" s="6" t="str">
        <f>REPT(" ",Sheet2!$E$3-LEN(Sheet2!E41))&amp;Sheet2!E41</f>
        <v xml:space="preserve"> CM_NORMAL</v>
      </c>
      <c r="F41" s="6" t="str">
        <f>REPT(" ",Sheet2!$F$3-LEN(Sheet2!F41))&amp;Sheet2!F41</f>
        <v xml:space="preserve">         -MNU_PREFIX</v>
      </c>
      <c r="G41" s="6" t="str">
        <f>REPT(" ",Sheet2!$G$3-LEN(TEXT(Sheet2!G41,"00")))&amp;""""&amp;TEXT(Sheet2!G41,"00")&amp;""""</f>
        <v xml:space="preserve"> "-01"</v>
      </c>
      <c r="H41" s="6" t="str">
        <f>REPT(" ",Sheet2!$H$3-LEN(Sheet2!H41))&amp;Sheet2!H41</f>
        <v xml:space="preserve">                      PRE[F]IX</v>
      </c>
      <c r="I41" s="3" t="str">
        <f>IF(Sheet2!B41="","",SUBSTITUTE(SUBSTITUTE(SUBSTITUTE(SUBSTITUTE(SUBSTITUTE(SUBSTITUTE(SUBSTITUTE($I$1,"61",A41),"CM_NORMAL",E41),"ITM_DRG",F41),"nn = comm",H41),"exitIfNim",B41),"allowCondition",D41),"KK",G41))</f>
        <v>if(shortCutCommand(w, event_keyval,    70,   shortcutProfile == USER_C47, !ExitIfNim, 9999,  "-01",  CM_NORMAL,          -MNU_PREFIX ))        {return true;} else        //                      PRE[F]IX</v>
      </c>
    </row>
    <row r="42" spans="1:9">
      <c r="A42" s="6" t="str">
        <f>REPT(" ",Sheet2!$B$3-LEN(Sheet2!B42))&amp;Sheet2!B42</f>
        <v xml:space="preserve">     </v>
      </c>
      <c r="B42" s="6" t="str">
        <f>REPT(" ",Sheet2!$C$3-LEN(Sheet2!C42))&amp;Sheet2!C42</f>
        <v xml:space="preserve">          </v>
      </c>
      <c r="C42" s="5" t="str">
        <f>IF(Sheet2!D42="Std","FALSE","shortcutProfile == USER_"&amp;Sheet2!D42)</f>
        <v>shortcutProfile == USER_</v>
      </c>
      <c r="D42" s="6" t="str">
        <f t="shared" si="1"/>
        <v xml:space="preserve">     shortcutProfile == USER_</v>
      </c>
      <c r="E42" s="6" t="str">
        <f>REPT(" ",Sheet2!$E$3-LEN(Sheet2!E42))&amp;Sheet2!E42</f>
        <v xml:space="preserve">          </v>
      </c>
      <c r="F42" s="6" t="str">
        <f>REPT(" ",Sheet2!$F$3-LEN(Sheet2!F42))&amp;Sheet2!F42</f>
        <v xml:space="preserve">                    </v>
      </c>
      <c r="G42" s="6" t="str">
        <f>REPT(" ",Sheet2!$G$3-LEN(TEXT(Sheet2!G42,"00")))&amp;""""&amp;TEXT(Sheet2!G42,"00")&amp;""""</f>
        <v xml:space="preserve">  "00"</v>
      </c>
      <c r="H42" s="6" t="str">
        <f>REPT(" ",Sheet2!$H$3-LEN(Sheet2!H42))&amp;Sheet2!H42</f>
        <v xml:space="preserve">                              </v>
      </c>
      <c r="I42" s="3" t="str">
        <f>IF(Sheet2!B42="","",SUBSTITUTE(SUBSTITUTE(SUBSTITUTE(SUBSTITUTE(SUBSTITUTE(SUBSTITUTE(SUBSTITUTE($I$1,"61",A42),"CM_NORMAL",E42),"ITM_DRG",F42),"nn = comm",H42),"exitIfNim",B42),"allowCondition",D42),"KK",G42))</f>
        <v/>
      </c>
    </row>
    <row r="43" spans="1:9">
      <c r="A43" s="6" t="str">
        <f>REPT(" ",Sheet2!$B$3-LEN(Sheet2!B43))&amp;Sheet2!B43</f>
        <v xml:space="preserve">     </v>
      </c>
      <c r="B43" s="6" t="str">
        <f>REPT(" ",Sheet2!$C$3-LEN(Sheet2!C43))&amp;Sheet2!C43</f>
        <v xml:space="preserve">          </v>
      </c>
      <c r="C43" s="5" t="str">
        <f>IF(Sheet2!D43="Std","FALSE","shortcutProfile == USER_"&amp;Sheet2!D43)</f>
        <v>shortcutProfile == USER_</v>
      </c>
      <c r="D43" s="6" t="str">
        <f t="shared" si="1"/>
        <v xml:space="preserve">     shortcutProfile == USER_</v>
      </c>
      <c r="E43" s="6" t="str">
        <f>REPT(" ",Sheet2!$E$3-LEN(Sheet2!E43))&amp;Sheet2!E43</f>
        <v xml:space="preserve">          </v>
      </c>
      <c r="F43" s="6" t="str">
        <f>REPT(" ",Sheet2!$F$3-LEN(Sheet2!F43))&amp;Sheet2!F43</f>
        <v xml:space="preserve">                    </v>
      </c>
      <c r="G43" s="6" t="str">
        <f>REPT(" ",Sheet2!$G$3-LEN(TEXT(Sheet2!G43,"00")))&amp;""""&amp;TEXT(Sheet2!G43,"00")&amp;""""</f>
        <v xml:space="preserve">  "00"</v>
      </c>
      <c r="H43" s="6" t="str">
        <f>REPT(" ",Sheet2!$H$3-LEN(Sheet2!H43))&amp;Sheet2!H43</f>
        <v xml:space="preserve">                              </v>
      </c>
      <c r="I43" s="3" t="str">
        <f>IF(Sheet2!B43="","",SUBSTITUTE(SUBSTITUTE(SUBSTITUTE(SUBSTITUTE(SUBSTITUTE(SUBSTITUTE(SUBSTITUTE($I$1,"61",A43),"CM_NORMAL",E43),"ITM_DRG",F43),"nn = comm",H43),"exitIfNim",B43),"allowCondition",D43),"KK",G43))</f>
        <v/>
      </c>
    </row>
    <row r="44" spans="1:9">
      <c r="A44" s="6" t="str">
        <f>REPT(" ",Sheet2!$B$3-LEN(Sheet2!B44))&amp;Sheet2!B44</f>
        <v xml:space="preserve">     </v>
      </c>
      <c r="B44" s="6" t="str">
        <f>REPT(" ",Sheet2!$C$3-LEN(Sheet2!C44))&amp;Sheet2!C44</f>
        <v xml:space="preserve">          </v>
      </c>
      <c r="C44" s="5" t="str">
        <f>IF(Sheet2!D44="Std","FALSE","shortcutProfile == USER_"&amp;Sheet2!D44)</f>
        <v>shortcutProfile == USER_</v>
      </c>
      <c r="D44" s="6" t="str">
        <f t="shared" si="1"/>
        <v xml:space="preserve">     shortcutProfile == USER_</v>
      </c>
      <c r="E44" s="6" t="str">
        <f>REPT(" ",Sheet2!$E$3-LEN(Sheet2!E44))&amp;Sheet2!E44</f>
        <v xml:space="preserve">          </v>
      </c>
      <c r="F44" s="6" t="str">
        <f>REPT(" ",Sheet2!$F$3-LEN(Sheet2!F44))&amp;Sheet2!F44</f>
        <v xml:space="preserve">                    </v>
      </c>
      <c r="G44" s="6" t="str">
        <f>REPT(" ",Sheet2!$G$3-LEN(TEXT(Sheet2!G44,"00")))&amp;""""&amp;TEXT(Sheet2!G44,"00")&amp;""""</f>
        <v xml:space="preserve">  "00"</v>
      </c>
      <c r="H44" s="6" t="str">
        <f>REPT(" ",Sheet2!$H$3-LEN(Sheet2!H44))&amp;Sheet2!H44</f>
        <v xml:space="preserve">                              </v>
      </c>
      <c r="I44" s="3" t="str">
        <f>IF(Sheet2!B44="","",SUBSTITUTE(SUBSTITUTE(SUBSTITUTE(SUBSTITUTE(SUBSTITUTE(SUBSTITUTE(SUBSTITUTE($I$1,"61",A44),"CM_NORMAL",E44),"ITM_DRG",F44),"nn = comm",H44),"exitIfNim",B44),"allowCondition",D44),"KK",G44))</f>
        <v/>
      </c>
    </row>
    <row r="45" spans="1:9">
      <c r="A45" s="6" t="str">
        <f>REPT(" ",Sheet2!$B$3-LEN(Sheet2!B45))&amp;Sheet2!B45</f>
        <v xml:space="preserve">     </v>
      </c>
      <c r="B45" s="6" t="str">
        <f>REPT(" ",Sheet2!$C$3-LEN(Sheet2!C45))&amp;Sheet2!C45</f>
        <v xml:space="preserve">          </v>
      </c>
      <c r="C45" s="5" t="str">
        <f>IF(Sheet2!D45="Std","FALSE","shortcutProfile == USER_"&amp;Sheet2!D45)</f>
        <v>shortcutProfile == USER_</v>
      </c>
      <c r="D45" s="6" t="str">
        <f t="shared" si="1"/>
        <v xml:space="preserve">     shortcutProfile == USER_</v>
      </c>
      <c r="E45" s="6" t="str">
        <f>REPT(" ",Sheet2!$E$3-LEN(Sheet2!E45))&amp;Sheet2!E45</f>
        <v xml:space="preserve">          </v>
      </c>
      <c r="F45" s="6" t="str">
        <f>REPT(" ",Sheet2!$F$3-LEN(Sheet2!F45))&amp;Sheet2!F45</f>
        <v xml:space="preserve">                    </v>
      </c>
      <c r="G45" s="6" t="str">
        <f>REPT(" ",Sheet2!$G$3-LEN(TEXT(Sheet2!G45,"00")))&amp;""""&amp;TEXT(Sheet2!G45,"00")&amp;""""</f>
        <v xml:space="preserve">  "00"</v>
      </c>
      <c r="H45" s="6" t="str">
        <f>REPT(" ",Sheet2!$H$3-LEN(Sheet2!H45))&amp;Sheet2!H45</f>
        <v xml:space="preserve">                              </v>
      </c>
      <c r="I45" s="3" t="str">
        <f>IF(Sheet2!B45="","",SUBSTITUTE(SUBSTITUTE(SUBSTITUTE(SUBSTITUTE(SUBSTITUTE(SUBSTITUTE(SUBSTITUTE($I$1,"61",A45),"CM_NORMAL",E45),"ITM_DRG",F45),"nn = comm",H45),"exitIfNim",B45),"allowCondition",D45),"KK",G45))</f>
        <v/>
      </c>
    </row>
    <row r="46" spans="1:9">
      <c r="A46" s="6" t="str">
        <f>REPT(" ",Sheet2!$B$3-LEN(Sheet2!B46))&amp;Sheet2!B46</f>
        <v xml:space="preserve">     </v>
      </c>
      <c r="B46" s="6" t="str">
        <f>REPT(" ",Sheet2!$C$3-LEN(Sheet2!C46))&amp;Sheet2!C46</f>
        <v xml:space="preserve">          </v>
      </c>
      <c r="C46" s="5" t="str">
        <f>IF(Sheet2!D46="Std","FALSE","shortcutProfile == USER_"&amp;Sheet2!D46)</f>
        <v>shortcutProfile == USER_</v>
      </c>
      <c r="D46" s="6" t="str">
        <f t="shared" si="1"/>
        <v xml:space="preserve">     shortcutProfile == USER_</v>
      </c>
      <c r="E46" s="6" t="str">
        <f>REPT(" ",Sheet2!$E$3-LEN(Sheet2!E46))&amp;Sheet2!E46</f>
        <v xml:space="preserve">          </v>
      </c>
      <c r="F46" s="6" t="str">
        <f>REPT(" ",Sheet2!$F$3-LEN(Sheet2!F46))&amp;Sheet2!F46</f>
        <v xml:space="preserve">                    </v>
      </c>
      <c r="G46" s="6" t="str">
        <f>REPT(" ",Sheet2!$G$3-LEN(TEXT(Sheet2!G46,"00")))&amp;""""&amp;TEXT(Sheet2!G46,"00")&amp;""""</f>
        <v xml:space="preserve">  "00"</v>
      </c>
      <c r="H46" s="6" t="str">
        <f>REPT(" ",Sheet2!$H$3-LEN(Sheet2!H46))&amp;Sheet2!H46</f>
        <v xml:space="preserve">                              </v>
      </c>
      <c r="I46" s="3" t="str">
        <f>IF(Sheet2!B46="","",SUBSTITUTE(SUBSTITUTE(SUBSTITUTE(SUBSTITUTE(SUBSTITUTE(SUBSTITUTE(SUBSTITUTE($I$1,"61",A46),"CM_NORMAL",E46),"ITM_DRG",F46),"nn = comm",H46),"exitIfNim",B46),"allowCondition",D46),"KK",G46))</f>
        <v/>
      </c>
    </row>
    <row r="47" spans="1:9">
      <c r="A47" s="6" t="str">
        <f>REPT(" ",Sheet2!$B$3-LEN(Sheet2!B47))&amp;Sheet2!B47</f>
        <v xml:space="preserve">     </v>
      </c>
      <c r="B47" s="6" t="str">
        <f>REPT(" ",Sheet2!$C$3-LEN(Sheet2!C47))&amp;Sheet2!C47</f>
        <v xml:space="preserve">          </v>
      </c>
      <c r="C47" s="5" t="str">
        <f>IF(Sheet2!D47="Std","FALSE","shortcutProfile == USER_"&amp;Sheet2!D47)</f>
        <v>shortcutProfile == USER_</v>
      </c>
      <c r="D47" s="6" t="str">
        <f t="shared" si="1"/>
        <v xml:space="preserve">     shortcutProfile == USER_</v>
      </c>
      <c r="E47" s="6" t="str">
        <f>REPT(" ",Sheet2!$E$3-LEN(Sheet2!E47))&amp;Sheet2!E47</f>
        <v xml:space="preserve">          </v>
      </c>
      <c r="F47" s="6" t="str">
        <f>REPT(" ",Sheet2!$F$3-LEN(Sheet2!F47))&amp;Sheet2!F47</f>
        <v xml:space="preserve">                    </v>
      </c>
      <c r="G47" s="6" t="str">
        <f>REPT(" ",Sheet2!$G$3-LEN(TEXT(Sheet2!G47,"00")))&amp;""""&amp;TEXT(Sheet2!G47,"00")&amp;""""</f>
        <v xml:space="preserve">  "00"</v>
      </c>
      <c r="H47" s="6" t="str">
        <f>REPT(" ",Sheet2!$H$3-LEN(Sheet2!H47))&amp;Sheet2!H47</f>
        <v xml:space="preserve">                              </v>
      </c>
      <c r="I47" s="3" t="str">
        <f>IF(Sheet2!B47="","",SUBSTITUTE(SUBSTITUTE(SUBSTITUTE(SUBSTITUTE(SUBSTITUTE(SUBSTITUTE(SUBSTITUTE($I$1,"61",A47),"CM_NORMAL",E47),"ITM_DRG",F47),"nn = comm",H47),"exitIfNim",B47),"allowCondition",D47),"KK",G47))</f>
        <v/>
      </c>
    </row>
    <row r="48" spans="1:9">
      <c r="A48" s="6" t="str">
        <f>REPT(" ",Sheet2!$B$3-LEN(Sheet2!B48))&amp;Sheet2!B48</f>
        <v xml:space="preserve">     </v>
      </c>
      <c r="B48" s="6" t="str">
        <f>REPT(" ",Sheet2!$C$3-LEN(Sheet2!C48))&amp;Sheet2!C48</f>
        <v xml:space="preserve">          </v>
      </c>
      <c r="C48" s="5" t="str">
        <f>IF(Sheet2!D48="Std","FALSE","shortcutProfile == USER_"&amp;Sheet2!D48)</f>
        <v>shortcutProfile == USER_</v>
      </c>
      <c r="D48" s="6" t="str">
        <f t="shared" si="1"/>
        <v xml:space="preserve">     shortcutProfile == USER_</v>
      </c>
      <c r="E48" s="6" t="str">
        <f>REPT(" ",Sheet2!$E$3-LEN(Sheet2!E48))&amp;Sheet2!E48</f>
        <v xml:space="preserve">          </v>
      </c>
      <c r="F48" s="6" t="str">
        <f>REPT(" ",Sheet2!$F$3-LEN(Sheet2!F48))&amp;Sheet2!F48</f>
        <v xml:space="preserve">                    </v>
      </c>
      <c r="G48" s="6" t="str">
        <f>REPT(" ",Sheet2!$G$3-LEN(TEXT(Sheet2!G48,"00")))&amp;""""&amp;TEXT(Sheet2!G48,"00")&amp;""""</f>
        <v xml:space="preserve">  "00"</v>
      </c>
      <c r="H48" s="6" t="str">
        <f>REPT(" ",Sheet2!$H$3-LEN(Sheet2!H48))&amp;Sheet2!H48</f>
        <v xml:space="preserve">                              </v>
      </c>
      <c r="I48" s="3" t="str">
        <f>IF(Sheet2!B48="","",SUBSTITUTE(SUBSTITUTE(SUBSTITUTE(SUBSTITUTE(SUBSTITUTE(SUBSTITUTE(SUBSTITUTE($I$1,"61",A48),"CM_NORMAL",E48),"ITM_DRG",F48),"nn = comm",H48),"exitIfNim",B48),"allowCondition",D48),"KK",G48))</f>
        <v/>
      </c>
    </row>
    <row r="49" spans="1:9">
      <c r="A49" s="6" t="str">
        <f>REPT(" ",Sheet2!$B$3-LEN(Sheet2!B49))&amp;Sheet2!B49</f>
        <v xml:space="preserve">     </v>
      </c>
      <c r="B49" s="6" t="str">
        <f>REPT(" ",Sheet2!$C$3-LEN(Sheet2!C49))&amp;Sheet2!C49</f>
        <v xml:space="preserve">          </v>
      </c>
      <c r="C49" s="5" t="str">
        <f>IF(Sheet2!D49="Std","FALSE","shortcutProfile == USER_"&amp;Sheet2!D49)</f>
        <v>shortcutProfile == USER_</v>
      </c>
      <c r="D49" s="6" t="str">
        <f t="shared" si="1"/>
        <v xml:space="preserve">     shortcutProfile == USER_</v>
      </c>
      <c r="E49" s="6" t="str">
        <f>REPT(" ",Sheet2!$E$3-LEN(Sheet2!E49))&amp;Sheet2!E49</f>
        <v xml:space="preserve">          </v>
      </c>
      <c r="F49" s="6" t="str">
        <f>REPT(" ",Sheet2!$F$3-LEN(Sheet2!F49))&amp;Sheet2!F49</f>
        <v xml:space="preserve">                    </v>
      </c>
      <c r="G49" s="6" t="str">
        <f>REPT(" ",Sheet2!$G$3-LEN(TEXT(Sheet2!G49,"00")))&amp;""""&amp;TEXT(Sheet2!G49,"00")&amp;""""</f>
        <v xml:space="preserve">  "00"</v>
      </c>
      <c r="H49" s="6" t="str">
        <f>REPT(" ",Sheet2!$H$3-LEN(Sheet2!H49))&amp;Sheet2!H49</f>
        <v xml:space="preserve">                              </v>
      </c>
      <c r="I49" s="3" t="str">
        <f>IF(Sheet2!B49="","",SUBSTITUTE(SUBSTITUTE(SUBSTITUTE(SUBSTITUTE(SUBSTITUTE(SUBSTITUTE(SUBSTITUTE($I$1,"61",A49),"CM_NORMAL",E49),"ITM_DRG",F49),"nn = comm",H49),"exitIfNim",B49),"allowCondition",D49),"KK",G49))</f>
        <v/>
      </c>
    </row>
    <row r="50" spans="1:9">
      <c r="A50" s="6" t="str">
        <f>REPT(" ",Sheet2!$B$3-LEN(Sheet2!B50))&amp;Sheet2!B50</f>
        <v xml:space="preserve">   81</v>
      </c>
      <c r="B50" s="6" t="str">
        <f>REPT(" ",Sheet2!$C$3-LEN(Sheet2!C50))&amp;Sheet2!C50</f>
        <v xml:space="preserve"> ExitIfNim</v>
      </c>
      <c r="C50" s="5" t="str">
        <f>IF(Sheet2!D50="Std","FALSE","shortcutProfile == USER_"&amp;Sheet2!D50)</f>
        <v>shortcutProfile == USER_R47</v>
      </c>
      <c r="D50" s="6" t="str">
        <f t="shared" si="1"/>
        <v xml:space="preserve">  shortcutProfile == USER_R47</v>
      </c>
      <c r="E50" s="6" t="str">
        <f>REPT(" ",Sheet2!$E$3-LEN(Sheet2!E50))&amp;Sheet2!E50</f>
        <v xml:space="preserve"> CM_NORMAL</v>
      </c>
      <c r="F50" s="6" t="str">
        <f>REPT(" ",Sheet2!$F$3-LEN(Sheet2!F50))&amp;Sheet2!F50</f>
        <v xml:space="preserve">          ITM_SQUARE</v>
      </c>
      <c r="G50" s="6" t="str">
        <f>REPT(" ",Sheet2!$G$3-LEN(TEXT(Sheet2!G50,"00")))&amp;""""&amp;TEXT(Sheet2!G50,"00")&amp;""""</f>
        <v xml:space="preserve">  "00"</v>
      </c>
      <c r="H50" s="6" t="str">
        <f>REPT(" ",Sheet2!$H$3-LEN(Sheet2!H50))&amp;Sheet2!H50</f>
        <v xml:space="preserve">                      s[Q]uare</v>
      </c>
      <c r="I50" s="3" t="str">
        <f>IF(Sheet2!B50="","",SUBSTITUTE(SUBSTITUTE(SUBSTITUTE(SUBSTITUTE(SUBSTITUTE(SUBSTITUTE(SUBSTITUTE($I$1,"61",A50),"CM_NORMAL",E50),"ITM_DRG",F50),"nn = comm",H50),"exitIfNim",B50),"allowCondition",D50),"KK",G50))</f>
        <v>if(shortCutCommand(w, event_keyval,    81,   shortcutProfile == USER_R47,  ExitIfNim, 9999,   "00",  CM_NORMAL,           ITM_SQUARE ))        {return true;} else        //                      s[Q]uare</v>
      </c>
    </row>
    <row r="51" spans="1:9">
      <c r="A51" s="6" t="str">
        <f>REPT(" ",Sheet2!$B$3-LEN(Sheet2!B51))&amp;Sheet2!B51</f>
        <v xml:space="preserve">  113</v>
      </c>
      <c r="B51" s="6" t="str">
        <f>REPT(" ",Sheet2!$C$3-LEN(Sheet2!C51))&amp;Sheet2!C51</f>
        <v xml:space="preserve"> ExitIfNim</v>
      </c>
      <c r="C51" s="5" t="str">
        <f>IF(Sheet2!D51="Std","FALSE","shortcutProfile == USER_"&amp;Sheet2!D51)</f>
        <v>shortcutProfile == USER_R47</v>
      </c>
      <c r="D51" s="6" t="str">
        <f t="shared" si="1"/>
        <v xml:space="preserve">  shortcutProfile == USER_R47</v>
      </c>
      <c r="E51" s="6" t="str">
        <f>REPT(" ",Sheet2!$E$3-LEN(Sheet2!E51))&amp;Sheet2!E51</f>
        <v xml:space="preserve"> CM_NORMAL</v>
      </c>
      <c r="F51" s="6" t="str">
        <f>REPT(" ",Sheet2!$F$3-LEN(Sheet2!F51))&amp;Sheet2!F51</f>
        <v xml:space="preserve">     ITM_SQUAREROOTX</v>
      </c>
      <c r="G51" s="6" t="str">
        <f>REPT(" ",Sheet2!$G$3-LEN(TEXT(Sheet2!G51,"00")))&amp;""""&amp;TEXT(Sheet2!G51,"00")&amp;""""</f>
        <v xml:space="preserve">  "01"</v>
      </c>
      <c r="H51" s="6" t="str">
        <f>REPT(" ",Sheet2!$H$3-LEN(Sheet2!H51))&amp;Sheet2!H51</f>
        <v xml:space="preserve">                        s[q]rt</v>
      </c>
      <c r="I51" s="3" t="str">
        <f>IF(Sheet2!B51="","",SUBSTITUTE(SUBSTITUTE(SUBSTITUTE(SUBSTITUTE(SUBSTITUTE(SUBSTITUTE(SUBSTITUTE($I$1,"61",A51),"CM_NORMAL",E51),"ITM_DRG",F51),"nn = comm",H51),"exitIfNim",B51),"allowCondition",D51),"KK",G51))</f>
        <v>if(shortCutCommand(w, event_keyval,   113,   shortcutProfile == USER_R47,  ExitIfNim, 9999,   "01",  CM_NORMAL,      ITM_SQUAREROOTX ))        {return true;} else        //                        s[q]rt</v>
      </c>
    </row>
    <row r="52" spans="1:9">
      <c r="A52" s="6" t="str">
        <f>REPT(" ",Sheet2!$B$3-LEN(Sheet2!B52))&amp;Sheet2!B52</f>
        <v xml:space="preserve">  118</v>
      </c>
      <c r="B52" s="6" t="str">
        <f>REPT(" ",Sheet2!$C$3-LEN(Sheet2!C52))&amp;Sheet2!C52</f>
        <v xml:space="preserve"> ExitIfNim</v>
      </c>
      <c r="C52" s="5" t="str">
        <f>IF(Sheet2!D52="Std","FALSE","shortcutProfile == USER_"&amp;Sheet2!D52)</f>
        <v>shortcutProfile == USER_R47</v>
      </c>
      <c r="D52" s="6" t="str">
        <f t="shared" si="1"/>
        <v xml:space="preserve">  shortcutProfile == USER_R47</v>
      </c>
      <c r="E52" s="6" t="str">
        <f>REPT(" ",Sheet2!$E$3-LEN(Sheet2!E52))&amp;Sheet2!E52</f>
        <v xml:space="preserve"> CM_NORMAL</v>
      </c>
      <c r="F52" s="6" t="str">
        <f>REPT(" ",Sheet2!$F$3-LEN(Sheet2!F52))&amp;Sheet2!F52</f>
        <v xml:space="preserve">            ITM_1ONX</v>
      </c>
      <c r="G52" s="6" t="str">
        <f>REPT(" ",Sheet2!$G$3-LEN(TEXT(Sheet2!G52,"00")))&amp;""""&amp;TEXT(Sheet2!G52,"00")&amp;""""</f>
        <v xml:space="preserve">  "02"</v>
      </c>
      <c r="H52" s="6" t="str">
        <f>REPT(" ",Sheet2!$H$3-LEN(Sheet2!H52))&amp;Sheet2!H52</f>
        <v xml:space="preserve">                     in[v]erse</v>
      </c>
      <c r="I52" s="3" t="str">
        <f>IF(Sheet2!B52="","",SUBSTITUTE(SUBSTITUTE(SUBSTITUTE(SUBSTITUTE(SUBSTITUTE(SUBSTITUTE(SUBSTITUTE($I$1,"61",A52),"CM_NORMAL",E52),"ITM_DRG",F52),"nn = comm",H52),"exitIfNim",B52),"allowCondition",D52),"KK",G52))</f>
        <v>if(shortCutCommand(w, event_keyval,   118,   shortcutProfile == USER_R47,  ExitIfNim, 9999,   "02",  CM_NORMAL,             ITM_1ONX ))        {return true;} else        //                     in[v]erse</v>
      </c>
    </row>
    <row r="53" spans="1:9">
      <c r="A53" s="6" t="str">
        <f>REPT(" ",Sheet2!$B$3-LEN(Sheet2!B53))&amp;Sheet2!B53</f>
        <v xml:space="preserve">  121</v>
      </c>
      <c r="B53" s="6" t="str">
        <f>REPT(" ",Sheet2!$C$3-LEN(Sheet2!C53))&amp;Sheet2!C53</f>
        <v xml:space="preserve"> ExitIfNim</v>
      </c>
      <c r="C53" s="5" t="str">
        <f>IF(Sheet2!D53="Std","FALSE","shortcutProfile == USER_"&amp;Sheet2!D53)</f>
        <v>shortcutProfile == USER_R47</v>
      </c>
      <c r="D53" s="6" t="str">
        <f t="shared" si="1"/>
        <v xml:space="preserve">  shortcutProfile == USER_R47</v>
      </c>
      <c r="E53" s="6" t="str">
        <f>REPT(" ",Sheet2!$E$3-LEN(Sheet2!E53))&amp;Sheet2!E53</f>
        <v xml:space="preserve"> CM_NORMAL</v>
      </c>
      <c r="F53" s="6" t="str">
        <f>REPT(" ",Sheet2!$F$3-LEN(Sheet2!F53))&amp;Sheet2!F53</f>
        <v xml:space="preserve">              ITM_YX</v>
      </c>
      <c r="G53" s="6" t="str">
        <f>REPT(" ",Sheet2!$G$3-LEN(TEXT(Sheet2!G53,"00")))&amp;""""&amp;TEXT(Sheet2!G53,"00")&amp;""""</f>
        <v xml:space="preserve">  "03"</v>
      </c>
      <c r="H53" s="6" t="str">
        <f>REPT(" ",Sheet2!$H$3-LEN(Sheet2!H53))&amp;Sheet2!H53</f>
        <v xml:space="preserve">                         [y]^x</v>
      </c>
      <c r="I53" s="3" t="str">
        <f>IF(Sheet2!B53="","",SUBSTITUTE(SUBSTITUTE(SUBSTITUTE(SUBSTITUTE(SUBSTITUTE(SUBSTITUTE(SUBSTITUTE($I$1,"61",A53),"CM_NORMAL",E53),"ITM_DRG",F53),"nn = comm",H53),"exitIfNim",B53),"allowCondition",D53),"KK",G53))</f>
        <v>if(shortCutCommand(w, event_keyval,   121,   shortcutProfile == USER_R47,  ExitIfNim, 9999,   "03",  CM_NORMAL,               ITM_YX ))        {return true;} else        //                         [y]^x</v>
      </c>
    </row>
    <row r="54" spans="1:9">
      <c r="A54" s="6" t="str">
        <f>REPT(" ",Sheet2!$B$3-LEN(Sheet2!B54))&amp;Sheet2!B54</f>
        <v xml:space="preserve">  111</v>
      </c>
      <c r="B54" s="6" t="str">
        <f>REPT(" ",Sheet2!$C$3-LEN(Sheet2!C54))&amp;Sheet2!C54</f>
        <v xml:space="preserve"> ExitIfNim</v>
      </c>
      <c r="C54" s="5" t="str">
        <f>IF(Sheet2!D54="Std","FALSE","shortcutProfile == USER_"&amp;Sheet2!D54)</f>
        <v>shortcutProfile == USER_R47</v>
      </c>
      <c r="D54" s="6" t="str">
        <f t="shared" si="1"/>
        <v xml:space="preserve">  shortcutProfile == USER_R47</v>
      </c>
      <c r="E54" s="6" t="str">
        <f>REPT(" ",Sheet2!$E$3-LEN(Sheet2!E54))&amp;Sheet2!E54</f>
        <v xml:space="preserve"> CM_NORMAL</v>
      </c>
      <c r="F54" s="6" t="str">
        <f>REPT(" ",Sheet2!$F$3-LEN(Sheet2!F54))&amp;Sheet2!F54</f>
        <v xml:space="preserve">           ITM_LOG10</v>
      </c>
      <c r="G54" s="6" t="str">
        <f>REPT(" ",Sheet2!$G$3-LEN(TEXT(Sheet2!G54,"00")))&amp;""""&amp;TEXT(Sheet2!G54,"00")&amp;""""</f>
        <v xml:space="preserve">  "04"</v>
      </c>
      <c r="H54" s="6" t="str">
        <f>REPT(" ",Sheet2!$H$3-LEN(Sheet2!H54))&amp;Sheet2!H54</f>
        <v xml:space="preserve">                         l[o]g</v>
      </c>
      <c r="I54" s="3" t="str">
        <f>IF(Sheet2!B54="","",SUBSTITUTE(SUBSTITUTE(SUBSTITUTE(SUBSTITUTE(SUBSTITUTE(SUBSTITUTE(SUBSTITUTE($I$1,"61",A54),"CM_NORMAL",E54),"ITM_DRG",F54),"nn = comm",H54),"exitIfNim",B54),"allowCondition",D54),"KK",G54))</f>
        <v>if(shortCutCommand(w, event_keyval,   111,   shortcutProfile == USER_R47,  ExitIfNim, 9999,   "04",  CM_NORMAL,            ITM_LOG10 ))        {return true;} else        //                         l[o]g</v>
      </c>
    </row>
    <row r="55" spans="1:9">
      <c r="A55" s="6" t="str">
        <f>REPT(" ",Sheet2!$B$3-LEN(Sheet2!B55))&amp;Sheet2!B55</f>
        <v xml:space="preserve">  108</v>
      </c>
      <c r="B55" s="6" t="str">
        <f>REPT(" ",Sheet2!$C$3-LEN(Sheet2!C55))&amp;Sheet2!C55</f>
        <v xml:space="preserve"> ExitIfNim</v>
      </c>
      <c r="C55" s="5" t="str">
        <f>IF(Sheet2!D55="Std","FALSE","shortcutProfile == USER_"&amp;Sheet2!D55)</f>
        <v>shortcutProfile == USER_R47</v>
      </c>
      <c r="D55" s="6" t="str">
        <f t="shared" si="1"/>
        <v xml:space="preserve">  shortcutProfile == USER_R47</v>
      </c>
      <c r="E55" s="6" t="str">
        <f>REPT(" ",Sheet2!$E$3-LEN(Sheet2!E55))&amp;Sheet2!E55</f>
        <v xml:space="preserve"> CM_NORMAL</v>
      </c>
      <c r="F55" s="6" t="str">
        <f>REPT(" ",Sheet2!$F$3-LEN(Sheet2!F55))&amp;Sheet2!F55</f>
        <v xml:space="preserve">              ITM_LN</v>
      </c>
      <c r="G55" s="6" t="str">
        <f>REPT(" ",Sheet2!$G$3-LEN(TEXT(Sheet2!G55,"00")))&amp;""""&amp;TEXT(Sheet2!G55,"00")&amp;""""</f>
        <v xml:space="preserve">  "05"</v>
      </c>
      <c r="H55" s="6" t="str">
        <f>REPT(" ",Sheet2!$H$3-LEN(Sheet2!H55))&amp;Sheet2!H55</f>
        <v xml:space="preserve">                          [l]n</v>
      </c>
      <c r="I55" s="3" t="str">
        <f>IF(Sheet2!B55="","",SUBSTITUTE(SUBSTITUTE(SUBSTITUTE(SUBSTITUTE(SUBSTITUTE(SUBSTITUTE(SUBSTITUTE($I$1,"61",A55),"CM_NORMAL",E55),"ITM_DRG",F55),"nn = comm",H55),"exitIfNim",B55),"allowCondition",D55),"KK",G55))</f>
        <v>if(shortCutCommand(w, event_keyval,   108,   shortcutProfile == USER_R47,  ExitIfNim, 9999,   "05",  CM_NORMAL,               ITM_LN ))        {return true;} else        //                          [l]n</v>
      </c>
    </row>
    <row r="56" spans="1:9">
      <c r="A56" s="6" t="str">
        <f>REPT(" ",Sheet2!$B$3-LEN(Sheet2!B56))&amp;Sheet2!B56</f>
        <v xml:space="preserve">  109</v>
      </c>
      <c r="B56" s="6" t="str">
        <f>REPT(" ",Sheet2!$C$3-LEN(Sheet2!C56))&amp;Sheet2!C56</f>
        <v xml:space="preserve"> ExitIfNim</v>
      </c>
      <c r="C56" s="5" t="str">
        <f>IF(Sheet2!D56="Std","FALSE","shortcutProfile == USER_"&amp;Sheet2!D56)</f>
        <v>shortcutProfile == USER_R47</v>
      </c>
      <c r="D56" s="6" t="str">
        <f t="shared" si="1"/>
        <v xml:space="preserve">  shortcutProfile == USER_R47</v>
      </c>
      <c r="E56" s="6" t="str">
        <f>REPT(" ",Sheet2!$E$3-LEN(Sheet2!E56))&amp;Sheet2!E56</f>
        <v xml:space="preserve"> CM_NORMAL</v>
      </c>
      <c r="F56" s="6" t="str">
        <f>REPT(" ",Sheet2!$F$3-LEN(Sheet2!F56))&amp;Sheet2!F56</f>
        <v xml:space="preserve">             ITM_STO</v>
      </c>
      <c r="G56" s="6" t="str">
        <f>REPT(" ",Sheet2!$G$3-LEN(TEXT(Sheet2!G56,"00")))&amp;""""&amp;TEXT(Sheet2!G56,"00")&amp;""""</f>
        <v xml:space="preserve">  "06"</v>
      </c>
      <c r="H56" s="6" t="str">
        <f>REPT(" ",Sheet2!$H$3-LEN(Sheet2!H56))&amp;Sheet2!H56</f>
        <v xml:space="preserve">                      [m]emory</v>
      </c>
      <c r="I56" s="3" t="str">
        <f>IF(Sheet2!B56="","",SUBSTITUTE(SUBSTITUTE(SUBSTITUTE(SUBSTITUTE(SUBSTITUTE(SUBSTITUTE(SUBSTITUTE($I$1,"61",A56),"CM_NORMAL",E56),"ITM_DRG",F56),"nn = comm",H56),"exitIfNim",B56),"allowCondition",D56),"KK",G56))</f>
        <v>if(shortCutCommand(w, event_keyval,   109,   shortcutProfile == USER_R47,  ExitIfNim, 9999,   "06",  CM_NORMAL,              ITM_STO ))        {return true;} else        //                      [m]emory</v>
      </c>
    </row>
    <row r="57" spans="1:9">
      <c r="A57" s="6" t="str">
        <f>REPT(" ",Sheet2!$B$3-LEN(Sheet2!B57))&amp;Sheet2!B57</f>
        <v xml:space="preserve">  114</v>
      </c>
      <c r="B57" s="6" t="str">
        <f>REPT(" ",Sheet2!$C$3-LEN(Sheet2!C57))&amp;Sheet2!C57</f>
        <v xml:space="preserve"> ExitIfNim</v>
      </c>
      <c r="C57" s="5" t="str">
        <f>IF(Sheet2!D57="Std","FALSE","shortcutProfile == USER_"&amp;Sheet2!D57)</f>
        <v>shortcutProfile == USER_R47</v>
      </c>
      <c r="D57" s="6" t="str">
        <f t="shared" si="1"/>
        <v xml:space="preserve">  shortcutProfile == USER_R47</v>
      </c>
      <c r="E57" s="6" t="str">
        <f>REPT(" ",Sheet2!$E$3-LEN(Sheet2!E57))&amp;Sheet2!E57</f>
        <v xml:space="preserve"> CM_NORMAL</v>
      </c>
      <c r="F57" s="6" t="str">
        <f>REPT(" ",Sheet2!$F$3-LEN(Sheet2!F57))&amp;Sheet2!F57</f>
        <v xml:space="preserve">             ITM_RCL</v>
      </c>
      <c r="G57" s="6" t="str">
        <f>REPT(" ",Sheet2!$G$3-LEN(TEXT(Sheet2!G57,"00")))&amp;""""&amp;TEXT(Sheet2!G57,"00")&amp;""""</f>
        <v xml:space="preserve">  "07"</v>
      </c>
      <c r="H57" s="6" t="str">
        <f>REPT(" ",Sheet2!$H$3-LEN(Sheet2!H57))&amp;Sheet2!H57</f>
        <v xml:space="preserve">                         [r]cl</v>
      </c>
      <c r="I57" s="3" t="str">
        <f>IF(Sheet2!B57="","",SUBSTITUTE(SUBSTITUTE(SUBSTITUTE(SUBSTITUTE(SUBSTITUTE(SUBSTITUTE(SUBSTITUTE($I$1,"61",A57),"CM_NORMAL",E57),"ITM_DRG",F57),"nn = comm",H57),"exitIfNim",B57),"allowCondition",D57),"KK",G57))</f>
        <v>if(shortCutCommand(w, event_keyval,   114,   shortcutProfile == USER_R47,  ExitIfNim, 9999,   "07",  CM_NORMAL,              ITM_RCL ))        {return true;} else        //                         [r]cl</v>
      </c>
    </row>
    <row r="58" spans="1:9">
      <c r="A58" s="6" t="str">
        <f>REPT(" ",Sheet2!$B$3-LEN(Sheet2!B58))&amp;Sheet2!B58</f>
        <v xml:space="preserve">  100</v>
      </c>
      <c r="B58" s="6" t="str">
        <f>REPT(" ",Sheet2!$C$3-LEN(Sheet2!C58))&amp;Sheet2!C58</f>
        <v xml:space="preserve"> ExitIfNim</v>
      </c>
      <c r="C58" s="5" t="str">
        <f>IF(Sheet2!D58="Std","FALSE","shortcutProfile == USER_"&amp;Sheet2!D58)</f>
        <v>shortcutProfile == USER_R47</v>
      </c>
      <c r="D58" s="6" t="str">
        <f t="shared" si="1"/>
        <v xml:space="preserve">  shortcutProfile == USER_R47</v>
      </c>
      <c r="E58" s="6" t="str">
        <f>REPT(" ",Sheet2!$E$3-LEN(Sheet2!E58))&amp;Sheet2!E58</f>
        <v xml:space="preserve"> CM_NORMAL</v>
      </c>
      <c r="F58" s="6" t="str">
        <f>REPT(" ",Sheet2!$F$3-LEN(Sheet2!F58))&amp;Sheet2!F58</f>
        <v xml:space="preserve">           ITM_Rdown</v>
      </c>
      <c r="G58" s="6" t="str">
        <f>REPT(" ",Sheet2!$G$3-LEN(TEXT(Sheet2!G58,"00")))&amp;""""&amp;TEXT(Sheet2!G58,"00")&amp;""""</f>
        <v xml:space="preserve">  "08"</v>
      </c>
      <c r="H58" s="6" t="str">
        <f>REPT(" ",Sheet2!$H$3-LEN(Sheet2!H58))&amp;Sheet2!H58</f>
        <v xml:space="preserve">                        [d]own</v>
      </c>
      <c r="I58" s="3" t="str">
        <f>IF(Sheet2!B58="","",SUBSTITUTE(SUBSTITUTE(SUBSTITUTE(SUBSTITUTE(SUBSTITUTE(SUBSTITUTE(SUBSTITUTE($I$1,"61",A58),"CM_NORMAL",E58),"ITM_DRG",F58),"nn = comm",H58),"exitIfNim",B58),"allowCondition",D58),"KK",G58))</f>
        <v>if(shortCutCommand(w, event_keyval,   100,   shortcutProfile == USER_R47,  ExitIfNim, 9999,   "08",  CM_NORMAL,            ITM_Rdown ))        {return true;} else        //                        [d]own</v>
      </c>
    </row>
    <row r="59" spans="1:9">
      <c r="A59" s="6" t="str">
        <f>REPT(" ",Sheet2!$B$3-LEN(Sheet2!B59))&amp;Sheet2!B59</f>
        <v xml:space="preserve">   61</v>
      </c>
      <c r="B59" s="6" t="str">
        <f>REPT(" ",Sheet2!$C$3-LEN(Sheet2!C59))&amp;Sheet2!C59</f>
        <v xml:space="preserve"> ExitIfNim</v>
      </c>
      <c r="C59" s="5" t="str">
        <f>IF(Sheet2!D59="Std","FALSE","shortcutProfile == USER_"&amp;Sheet2!D59)</f>
        <v>shortcutProfile == USER_R47</v>
      </c>
      <c r="D59" s="6" t="str">
        <f t="shared" si="1"/>
        <v xml:space="preserve">  shortcutProfile == USER_R47</v>
      </c>
      <c r="E59" s="6" t="str">
        <f>REPT(" ",Sheet2!$E$3-LEN(Sheet2!E59))&amp;Sheet2!E59</f>
        <v xml:space="preserve"> CM_NORMAL</v>
      </c>
      <c r="F59" s="6" t="str">
        <f>REPT(" ",Sheet2!$F$3-LEN(Sheet2!F59))&amp;Sheet2!F59</f>
        <v xml:space="preserve">             ITM_DRG</v>
      </c>
      <c r="G59" s="6" t="str">
        <f>REPT(" ",Sheet2!$G$3-LEN(TEXT(Sheet2!G59,"00")))&amp;""""&amp;TEXT(Sheet2!G59,"00")&amp;""""</f>
        <v xml:space="preserve"> "-01"</v>
      </c>
      <c r="H59" s="6" t="str">
        <f>REPT(" ",Sheet2!$H$3-LEN(Sheet2!H59))&amp;Sheet2!H59</f>
        <v xml:space="preserve">                     [=]&gt;D,R,G</v>
      </c>
      <c r="I59" s="3" t="str">
        <f>IF(Sheet2!B59="","",SUBSTITUTE(SUBSTITUTE(SUBSTITUTE(SUBSTITUTE(SUBSTITUTE(SUBSTITUTE(SUBSTITUTE($I$1,"61",A59),"CM_NORMAL",E59),"ITM_DRG",F59),"nn = comm",H59),"exitIfNim",B59),"allowCondition",D59),"KK",G59))</f>
        <v>if(shortCutCommand(w, event_keyval,    61,   shortcutProfile == USER_R47,  ExitIfNim, 9999,  "-01",  CM_NORMAL,              ITM_DRG ))        {return true;} else        //                     [=]&gt;D,R,G</v>
      </c>
    </row>
    <row r="60" spans="1:9">
      <c r="A60" s="6" t="str">
        <f>REPT(" ",Sheet2!$B$3-LEN(Sheet2!B60))&amp;Sheet2!B60</f>
        <v xml:space="preserve">  102</v>
      </c>
      <c r="B60" s="6" t="str">
        <f>REPT(" ",Sheet2!$C$3-LEN(Sheet2!C60))&amp;Sheet2!C60</f>
        <v>!ExitIfNim</v>
      </c>
      <c r="C60" s="5" t="str">
        <f>IF(Sheet2!D60="Std","FALSE","shortcutProfile == USER_"&amp;Sheet2!D60)</f>
        <v>FALSE</v>
      </c>
      <c r="D60" s="6" t="str">
        <f t="shared" si="1"/>
        <v xml:space="preserve">                        FALSE</v>
      </c>
      <c r="E60" s="6" t="str">
        <f>REPT(" ",Sheet2!$E$3-LEN(Sheet2!E60))&amp;Sheet2!E60</f>
        <v xml:space="preserve"> CM_NORMAL</v>
      </c>
      <c r="F60" s="6" t="str">
        <f>REPT(" ",Sheet2!$F$3-LEN(Sheet2!F60))&amp;Sheet2!F60</f>
        <v xml:space="preserve">          ITM_SHIFTf</v>
      </c>
      <c r="G60" s="6" t="str">
        <f>REPT(" ",Sheet2!$G$3-LEN(TEXT(Sheet2!G60,"00")))&amp;""""&amp;TEXT(Sheet2!G60,"00")&amp;""""</f>
        <v xml:space="preserve">  "10"</v>
      </c>
      <c r="H60" s="6" t="str">
        <f>REPT(" ",Sheet2!$H$3-LEN(Sheet2!H60))&amp;Sheet2!H60</f>
        <v xml:space="preserve">                             f</v>
      </c>
      <c r="I60" s="3" t="str">
        <f>IF(Sheet2!B60="","",SUBSTITUTE(SUBSTITUTE(SUBSTITUTE(SUBSTITUTE(SUBSTITUTE(SUBSTITUTE(SUBSTITUTE($I$1,"61",A60),"CM_NORMAL",E60),"ITM_DRG",F60),"nn = comm",H60),"exitIfNim",B60),"allowCondition",D60),"KK",G60))</f>
        <v>if(shortCutCommand(w, event_keyval,   102,                         FALSE, !ExitIfNim, 9999,   "10",  CM_NORMAL,           ITM_SHIFTf ))        {return true;} else        //                             f</v>
      </c>
    </row>
    <row r="61" spans="1:9">
      <c r="A61" s="6" t="str">
        <f>REPT(" ",Sheet2!$B$3-LEN(Sheet2!B61))&amp;Sheet2!B61</f>
        <v xml:space="preserve">  103</v>
      </c>
      <c r="B61" s="6" t="str">
        <f>REPT(" ",Sheet2!$C$3-LEN(Sheet2!C61))&amp;Sheet2!C61</f>
        <v>!ExitIfNim</v>
      </c>
      <c r="C61" s="5" t="str">
        <f>IF(Sheet2!D61="Std","FALSE","shortcutProfile == USER_"&amp;Sheet2!D61)</f>
        <v>FALSE</v>
      </c>
      <c r="D61" s="6" t="str">
        <f t="shared" si="1"/>
        <v xml:space="preserve">                        FALSE</v>
      </c>
      <c r="E61" s="6" t="str">
        <f>REPT(" ",Sheet2!$E$3-LEN(Sheet2!E61))&amp;Sheet2!E61</f>
        <v xml:space="preserve"> CM_NORMAL</v>
      </c>
      <c r="F61" s="6" t="str">
        <f>REPT(" ",Sheet2!$F$3-LEN(Sheet2!F61))&amp;Sheet2!F61</f>
        <v xml:space="preserve">          ITM_SHIFTg</v>
      </c>
      <c r="G61" s="6" t="str">
        <f>REPT(" ",Sheet2!$G$3-LEN(TEXT(Sheet2!G61,"00")))&amp;""""&amp;TEXT(Sheet2!G61,"00")&amp;""""</f>
        <v xml:space="preserve">  "11"</v>
      </c>
      <c r="H61" s="6" t="str">
        <f>REPT(" ",Sheet2!$H$3-LEN(Sheet2!H61))&amp;Sheet2!H61</f>
        <v xml:space="preserve">                             g</v>
      </c>
      <c r="I61" s="3" t="str">
        <f>IF(Sheet2!B61="","",SUBSTITUTE(SUBSTITUTE(SUBSTITUTE(SUBSTITUTE(SUBSTITUTE(SUBSTITUTE(SUBSTITUTE($I$1,"61",A61),"CM_NORMAL",E61),"ITM_DRG",F61),"nn = comm",H61),"exitIfNim",B61),"allowCondition",D61),"KK",G61))</f>
        <v>if(shortCutCommand(w, event_keyval,   103,                         FALSE, !ExitIfNim, 9999,   "11",  CM_NORMAL,           ITM_SHIFTg ))        {return true;} else        //                             g</v>
      </c>
    </row>
    <row r="62" spans="1:9">
      <c r="A62" s="6" t="str">
        <f>REPT(" ",Sheet2!$B$3-LEN(Sheet2!B62))&amp;Sheet2!B62</f>
        <v xml:space="preserve">   69</v>
      </c>
      <c r="B62" s="6" t="str">
        <f>REPT(" ",Sheet2!$C$3-LEN(Sheet2!C62))&amp;Sheet2!C62</f>
        <v>!ExitIfNim</v>
      </c>
      <c r="C62" s="5" t="str">
        <f>IF(Sheet2!D62="Std","FALSE","shortcutProfile == USER_"&amp;Sheet2!D62)</f>
        <v>FALSE</v>
      </c>
      <c r="D62" s="6" t="str">
        <f t="shared" si="1"/>
        <v xml:space="preserve">                        FALSE</v>
      </c>
      <c r="E62" s="6" t="str">
        <f>REPT(" ",Sheet2!$E$3-LEN(Sheet2!E62))&amp;Sheet2!E62</f>
        <v xml:space="preserve"> CM_NORMAL</v>
      </c>
      <c r="F62" s="6" t="str">
        <f>REPT(" ",Sheet2!$F$3-LEN(Sheet2!F62))&amp;Sheet2!F62</f>
        <v xml:space="preserve">           ITM_ENTER</v>
      </c>
      <c r="G62" s="6" t="str">
        <f>REPT(" ",Sheet2!$G$3-LEN(TEXT(Sheet2!G62,"00")))&amp;""""&amp;TEXT(Sheet2!G62,"00")&amp;""""</f>
        <v xml:space="preserve">  "12"</v>
      </c>
      <c r="H62" s="6" t="str">
        <f>REPT(" ",Sheet2!$H$3-LEN(Sheet2!H62))&amp;Sheet2!H62</f>
        <v xml:space="preserve">                           key</v>
      </c>
      <c r="I62" s="3" t="str">
        <f>IF(Sheet2!B62="","",SUBSTITUTE(SUBSTITUTE(SUBSTITUTE(SUBSTITUTE(SUBSTITUTE(SUBSTITUTE(SUBSTITUTE($I$1,"61",A62),"CM_NORMAL",E62),"ITM_DRG",F62),"nn = comm",H62),"exitIfNim",B62),"allowCondition",D62),"KK",G62))</f>
        <v>if(shortCutCommand(w, event_keyval,    69,                         FALSE, !ExitIfNim, 9999,   "12",  CM_NORMAL,            ITM_ENTER ))        {return true;} else        //                           key</v>
      </c>
    </row>
    <row r="63" spans="1:9">
      <c r="A63" s="6" t="str">
        <f>REPT(" ",Sheet2!$B$3-LEN(Sheet2!B63))&amp;Sheet2!B63</f>
        <v xml:space="preserve">  119</v>
      </c>
      <c r="B63" s="6" t="str">
        <f>REPT(" ",Sheet2!$C$3-LEN(Sheet2!C63))&amp;Sheet2!C63</f>
        <v>!ExitIfNim</v>
      </c>
      <c r="C63" s="5" t="str">
        <f>IF(Sheet2!D63="Std","FALSE","shortcutProfile == USER_"&amp;Sheet2!D63)</f>
        <v>FALSE</v>
      </c>
      <c r="D63" s="6" t="str">
        <f t="shared" si="1"/>
        <v xml:space="preserve">                        FALSE</v>
      </c>
      <c r="E63" s="6" t="str">
        <f>REPT(" ",Sheet2!$E$3-LEN(Sheet2!E63))&amp;Sheet2!E63</f>
        <v xml:space="preserve"> CM_NORMAL</v>
      </c>
      <c r="F63" s="6" t="str">
        <f>REPT(" ",Sheet2!$F$3-LEN(Sheet2!F63))&amp;Sheet2!F63</f>
        <v xml:space="preserve">            ITM_XexY</v>
      </c>
      <c r="G63" s="6" t="str">
        <f>REPT(" ",Sheet2!$G$3-LEN(TEXT(Sheet2!G63,"00")))&amp;""""&amp;TEXT(Sheet2!G63,"00")&amp;""""</f>
        <v xml:space="preserve">  "13"</v>
      </c>
      <c r="H63" s="6" t="str">
        <f>REPT(" ",Sheet2!$H$3-LEN(Sheet2!H63))&amp;Sheet2!H63</f>
        <v xml:space="preserve">                        s[w]ap</v>
      </c>
      <c r="I63" s="3" t="str">
        <f>IF(Sheet2!B63="","",SUBSTITUTE(SUBSTITUTE(SUBSTITUTE(SUBSTITUTE(SUBSTITUTE(SUBSTITUTE(SUBSTITUTE($I$1,"61",A63),"CM_NORMAL",E63),"ITM_DRG",F63),"nn = comm",H63),"exitIfNim",B63),"allowCondition",D63),"KK",G63))</f>
        <v>if(shortCutCommand(w, event_keyval,   119,                         FALSE, !ExitIfNim, 9999,   "13",  CM_NORMAL,             ITM_XexY ))        {return true;} else        //                        s[w]ap</v>
      </c>
    </row>
    <row r="64" spans="1:9">
      <c r="A64" s="6" t="str">
        <f>REPT(" ",Sheet2!$B$3-LEN(Sheet2!B64))&amp;Sheet2!B64</f>
        <v xml:space="preserve">  110</v>
      </c>
      <c r="B64" s="6" t="str">
        <f>REPT(" ",Sheet2!$C$3-LEN(Sheet2!C64))&amp;Sheet2!C64</f>
        <v>!ExitIfNim</v>
      </c>
      <c r="C64" s="5" t="str">
        <f>IF(Sheet2!D64="Std","FALSE","shortcutProfile == USER_"&amp;Sheet2!D64)</f>
        <v>FALSE</v>
      </c>
      <c r="D64" s="6" t="str">
        <f t="shared" si="1"/>
        <v xml:space="preserve">                        FALSE</v>
      </c>
      <c r="E64" s="6" t="str">
        <f>REPT(" ",Sheet2!$E$3-LEN(Sheet2!E64))&amp;Sheet2!E64</f>
        <v xml:space="preserve"> CM_NORMAL</v>
      </c>
      <c r="F64" s="6" t="str">
        <f>REPT(" ",Sheet2!$F$3-LEN(Sheet2!F64))&amp;Sheet2!F64</f>
        <v xml:space="preserve">             ITM_CHS</v>
      </c>
      <c r="G64" s="6" t="str">
        <f>REPT(" ",Sheet2!$G$3-LEN(TEXT(Sheet2!G64,"00")))&amp;""""&amp;TEXT(Sheet2!G64,"00")&amp;""""</f>
        <v xml:space="preserve">  "14"</v>
      </c>
      <c r="H64" s="6" t="str">
        <f>REPT(" ",Sheet2!$H$3-LEN(Sheet2!H64))&amp;Sheet2!H64</f>
        <v xml:space="preserve">                CHS [n]egative</v>
      </c>
      <c r="I64" s="3" t="str">
        <f>IF(Sheet2!B64="","",SUBSTITUTE(SUBSTITUTE(SUBSTITUTE(SUBSTITUTE(SUBSTITUTE(SUBSTITUTE(SUBSTITUTE($I$1,"61",A64),"CM_NORMAL",E64),"ITM_DRG",F64),"nn = comm",H64),"exitIfNim",B64),"allowCondition",D64),"KK",G64))</f>
        <v>if(shortCutCommand(w, event_keyval,   110,                         FALSE, !ExitIfNim, 9999,   "14",  CM_NORMAL,              ITM_CHS ))        {return true;} else        //                CHS [n]egative</v>
      </c>
    </row>
    <row r="65" spans="1:9">
      <c r="A65" s="6" t="str">
        <f>REPT(" ",Sheet2!$B$3-LEN(Sheet2!B65))&amp;Sheet2!B65</f>
        <v xml:space="preserve">  101</v>
      </c>
      <c r="B65" s="6" t="str">
        <f>REPT(" ",Sheet2!$C$3-LEN(Sheet2!C65))&amp;Sheet2!C65</f>
        <v>!ExitIfNim</v>
      </c>
      <c r="C65" s="5" t="str">
        <f>IF(Sheet2!D65="Std","FALSE","shortcutProfile == USER_"&amp;Sheet2!D65)</f>
        <v>FALSE</v>
      </c>
      <c r="D65" s="6" t="str">
        <f t="shared" si="1"/>
        <v xml:space="preserve">                        FALSE</v>
      </c>
      <c r="E65" s="6" t="str">
        <f>REPT(" ",Sheet2!$E$3-LEN(Sheet2!E65))&amp;Sheet2!E65</f>
        <v xml:space="preserve"> CM_NORMAL</v>
      </c>
      <c r="F65" s="6" t="str">
        <f>REPT(" ",Sheet2!$F$3-LEN(Sheet2!F65))&amp;Sheet2!F65</f>
        <v xml:space="preserve">        ITM_EXPONENT</v>
      </c>
      <c r="G65" s="6" t="str">
        <f>REPT(" ",Sheet2!$G$3-LEN(TEXT(Sheet2!G65,"00")))&amp;""""&amp;TEXT(Sheet2!G65,"00")&amp;""""</f>
        <v xml:space="preserve">  "15"</v>
      </c>
      <c r="H65" s="6" t="str">
        <f>REPT(" ",Sheet2!$H$3-LEN(Sheet2!H65))&amp;Sheet2!H65</f>
        <v xml:space="preserve">                    [e]xponent</v>
      </c>
      <c r="I65" s="3" t="str">
        <f>IF(Sheet2!B65="","",SUBSTITUTE(SUBSTITUTE(SUBSTITUTE(SUBSTITUTE(SUBSTITUTE(SUBSTITUTE(SUBSTITUTE($I$1,"61",A65),"CM_NORMAL",E65),"ITM_DRG",F65),"nn = comm",H65),"exitIfNim",B65),"allowCondition",D65),"KK",G65))</f>
        <v>if(shortCutCommand(w, event_keyval,   101,                         FALSE, !ExitIfNim, 9999,   "15",  CM_NORMAL,         ITM_EXPONENT ))        {return true;} else        //                    [e]xponent</v>
      </c>
    </row>
    <row r="66" spans="1:9">
      <c r="A66" s="6" t="str">
        <f>REPT(" ",Sheet2!$B$3-LEN(Sheet2!B66))&amp;Sheet2!B66</f>
        <v xml:space="preserve">   97</v>
      </c>
      <c r="B66" s="6" t="str">
        <f>REPT(" ",Sheet2!$C$3-LEN(Sheet2!C66))&amp;Sheet2!C66</f>
        <v xml:space="preserve"> ExitIfNim</v>
      </c>
      <c r="C66" s="5" t="str">
        <f>IF(Sheet2!D66="Std","FALSE","shortcutProfile == USER_"&amp;Sheet2!D66)</f>
        <v>shortcutProfile == USER_R47</v>
      </c>
      <c r="D66" s="6" t="str">
        <f t="shared" si="1"/>
        <v xml:space="preserve">  shortcutProfile == USER_R47</v>
      </c>
      <c r="E66" s="6" t="str">
        <f>REPT(" ",Sheet2!$E$3-LEN(Sheet2!E66))&amp;Sheet2!E66</f>
        <v xml:space="preserve"> CM_NORMAL</v>
      </c>
      <c r="F66" s="6" t="str">
        <f>REPT(" ",Sheet2!$F$3-LEN(Sheet2!F66))&amp;Sheet2!F66</f>
        <v xml:space="preserve">       ITM_SIGMAPLUS</v>
      </c>
      <c r="G66" s="6" t="str">
        <f>REPT(" ",Sheet2!$G$3-LEN(TEXT(Sheet2!G66,"00")))&amp;""""&amp;TEXT(Sheet2!G66,"00")&amp;""""</f>
        <v xml:space="preserve"> "-01"</v>
      </c>
      <c r="H66" s="6" t="str">
        <f>REPT(" ",Sheet2!$H$3-LEN(Sheet2!H66))&amp;Sheet2!H66</f>
        <v xml:space="preserve">                  [a]ccumulate</v>
      </c>
      <c r="I66" s="3" t="str">
        <f>IF(Sheet2!B66="","",SUBSTITUTE(SUBSTITUTE(SUBSTITUTE(SUBSTITUTE(SUBSTITUTE(SUBSTITUTE(SUBSTITUTE($I$1,"61",A66),"CM_NORMAL",E66),"ITM_DRG",F66),"nn = comm",H66),"exitIfNim",B66),"allowCondition",D66),"KK",G66))</f>
        <v>if(shortCutCommand(w, event_keyval,    97,   shortcutProfile == USER_R47,  ExitIfNim, 9999,  "-01",  CM_NORMAL,        ITM_SIGMAPLUS ))        {return true;} else        //                  [a]ccumulate</v>
      </c>
    </row>
    <row r="67" spans="1:9">
      <c r="A67" s="6" t="str">
        <f>REPT(" ",Sheet2!$B$3-LEN(Sheet2!B67))&amp;Sheet2!B67</f>
        <v xml:space="preserve">  120</v>
      </c>
      <c r="B67" s="6" t="str">
        <f>REPT(" ",Sheet2!$C$3-LEN(Sheet2!C67))&amp;Sheet2!C67</f>
        <v xml:space="preserve"> ExitIfNim</v>
      </c>
      <c r="C67" s="5" t="str">
        <f>IF(Sheet2!D67="Std","FALSE","shortcutProfile == USER_"&amp;Sheet2!D67)</f>
        <v>shortcutProfile == USER_R47</v>
      </c>
      <c r="D67" s="6" t="str">
        <f t="shared" si="1"/>
        <v xml:space="preserve">  shortcutProfile == USER_R47</v>
      </c>
      <c r="E67" s="6" t="str">
        <f>REPT(" ",Sheet2!$E$3-LEN(Sheet2!E67))&amp;Sheet2!E67</f>
        <v xml:space="preserve"> CM_NORMAL</v>
      </c>
      <c r="F67" s="6" t="str">
        <f>REPT(" ",Sheet2!$F$3-LEN(Sheet2!F67))&amp;Sheet2!F67</f>
        <v xml:space="preserve">             ITM_XEQ</v>
      </c>
      <c r="G67" s="6" t="str">
        <f>REPT(" ",Sheet2!$G$3-LEN(TEXT(Sheet2!G67,"00")))&amp;""""&amp;TEXT(Sheet2!G67,"00")&amp;""""</f>
        <v xml:space="preserve">  "17"</v>
      </c>
      <c r="H67" s="6" t="str">
        <f>REPT(" ",Sheet2!$H$3-LEN(Sheet2!H67))&amp;Sheet2!H67</f>
        <v xml:space="preserve">                         [x]eq</v>
      </c>
      <c r="I67" s="3" t="str">
        <f>IF(Sheet2!B67="","",SUBSTITUTE(SUBSTITUTE(SUBSTITUTE(SUBSTITUTE(SUBSTITUTE(SUBSTITUTE(SUBSTITUTE($I$1,"61",A67),"CM_NORMAL",E67),"ITM_DRG",F67),"nn = comm",H67),"exitIfNim",B67),"allowCondition",D67),"KK",G67))</f>
        <v>if(shortCutCommand(w, event_keyval,   120,   shortcutProfile == USER_R47,  ExitIfNim, 9999,   "17",  CM_NORMAL,              ITM_XEQ ))        {return true;} else        //                         [x]eq</v>
      </c>
    </row>
    <row r="68" spans="1:9">
      <c r="A68" s="6" t="str">
        <f>REPT(" ",Sheet2!$B$3-LEN(Sheet2!B68))&amp;Sheet2!B68</f>
        <v xml:space="preserve">  105</v>
      </c>
      <c r="B68" s="6" t="str">
        <f>REPT(" ",Sheet2!$C$3-LEN(Sheet2!C68))&amp;Sheet2!C68</f>
        <v xml:space="preserve"> ExitIfNim</v>
      </c>
      <c r="C68" s="5" t="str">
        <f>IF(Sheet2!D68="Std","FALSE","shortcutProfile == USER_"&amp;Sheet2!D68)</f>
        <v>shortcutProfile == USER_R47</v>
      </c>
      <c r="D68" s="6" t="str">
        <f t="shared" si="1"/>
        <v xml:space="preserve">  shortcutProfile == USER_R47</v>
      </c>
      <c r="E68" s="6" t="str">
        <f>REPT(" ",Sheet2!$E$3-LEN(Sheet2!E68))&amp;Sheet2!E68</f>
        <v xml:space="preserve"> CM_NORMAL</v>
      </c>
      <c r="F68" s="6" t="str">
        <f>REPT(" ",Sheet2!$F$3-LEN(Sheet2!F68))&amp;Sheet2!F68</f>
        <v xml:space="preserve">            ITM_op_j</v>
      </c>
      <c r="G68" s="6" t="str">
        <f>REPT(" ",Sheet2!$G$3-LEN(TEXT(Sheet2!G68,"00")))&amp;""""&amp;TEXT(Sheet2!G68,"00")&amp;""""</f>
        <v xml:space="preserve"> "-01"</v>
      </c>
      <c r="H68" s="6" t="str">
        <f>REPT(" ",Sheet2!$H$3-LEN(Sheet2!H68))&amp;Sheet2!H68</f>
        <v xml:space="preserve">                             i</v>
      </c>
      <c r="I68" s="3" t="str">
        <f>IF(Sheet2!B68="","",SUBSTITUTE(SUBSTITUTE(SUBSTITUTE(SUBSTITUTE(SUBSTITUTE(SUBSTITUTE(SUBSTITUTE($I$1,"61",A68),"CM_NORMAL",E68),"ITM_DRG",F68),"nn = comm",H68),"exitIfNim",B68),"allowCondition",D68),"KK",G68))</f>
        <v>if(shortCutCommand(w, event_keyval,   105,   shortcutProfile == USER_R47,  ExitIfNim, 9999,  "-01",  CM_NORMAL,             ITM_op_j ))        {return true;} else        //                             i</v>
      </c>
    </row>
    <row r="69" spans="1:9">
      <c r="A69" s="6" t="str">
        <f>REPT(" ",Sheet2!$B$3-LEN(Sheet2!B69))&amp;Sheet2!B69</f>
        <v xml:space="preserve">   88</v>
      </c>
      <c r="B69" s="6" t="str">
        <f>REPT(" ",Sheet2!$C$3-LEN(Sheet2!C69))&amp;Sheet2!C69</f>
        <v xml:space="preserve"> ExitIfNim</v>
      </c>
      <c r="C69" s="5" t="str">
        <f>IF(Sheet2!D69="Std","FALSE","shortcutProfile == USER_"&amp;Sheet2!D69)</f>
        <v>shortcutProfile == USER_R47</v>
      </c>
      <c r="D69" s="6" t="str">
        <f t="shared" si="1"/>
        <v xml:space="preserve">  shortcutProfile == USER_R47</v>
      </c>
      <c r="E69" s="6" t="str">
        <f>REPT(" ",Sheet2!$E$3-LEN(Sheet2!E69))&amp;Sheet2!E69</f>
        <v xml:space="preserve"> CM_NORMAL</v>
      </c>
      <c r="F69" s="6" t="str">
        <f>REPT(" ",Sheet2!$F$3-LEN(Sheet2!F69))&amp;Sheet2!F69</f>
        <v xml:space="preserve">         KEY_COMPLEX</v>
      </c>
      <c r="G69" s="6" t="str">
        <f>REPT(" ",Sheet2!$G$3-LEN(TEXT(Sheet2!G69,"00")))&amp;""""&amp;TEXT(Sheet2!G69,"00")&amp;""""</f>
        <v xml:space="preserve"> "-01"</v>
      </c>
      <c r="H69" s="6" t="str">
        <f>REPT(" ",Sheet2!$H$3-LEN(Sheet2!H69))&amp;Sheet2!H69</f>
        <v xml:space="preserve">                     comple[X]</v>
      </c>
      <c r="I69" s="3" t="str">
        <f>IF(Sheet2!B69="","",SUBSTITUTE(SUBSTITUTE(SUBSTITUTE(SUBSTITUTE(SUBSTITUTE(SUBSTITUTE(SUBSTITUTE($I$1,"61",A69),"CM_NORMAL",E69),"ITM_DRG",F69),"nn = comm",H69),"exitIfNim",B69),"allowCondition",D69),"KK",G69))</f>
        <v>if(shortCutCommand(w, event_keyval,    88,   shortcutProfile == USER_R47,  ExitIfNim, 9999,  "-01",  CM_NORMAL,          KEY_COMPLEX ))        {return true;} else        //                     comple[X]</v>
      </c>
    </row>
    <row r="70" spans="1:9">
      <c r="A70" s="6" t="str">
        <f>REPT(" ",Sheet2!$B$3-LEN(Sheet2!B70))&amp;Sheet2!B70</f>
        <v xml:space="preserve">   82</v>
      </c>
      <c r="B70" s="6" t="str">
        <f>REPT(" ",Sheet2!$C$3-LEN(Sheet2!C70))&amp;Sheet2!C70</f>
        <v xml:space="preserve"> ExitIfNim</v>
      </c>
      <c r="C70" s="5" t="str">
        <f>IF(Sheet2!D70="Std","FALSE","shortcutProfile == USER_"&amp;Sheet2!D70)</f>
        <v>shortcutProfile == USER_R47</v>
      </c>
      <c r="D70" s="6" t="str">
        <f t="shared" ref="D70:D90" si="2">REPT( " ",$C$4-LEN(C70) ) &amp;C70</f>
        <v xml:space="preserve">  shortcutProfile == USER_R47</v>
      </c>
      <c r="E70" s="6" t="str">
        <f>REPT(" ",Sheet2!$E$3-LEN(Sheet2!E70))&amp;Sheet2!E70</f>
        <v xml:space="preserve"> CM_NORMAL</v>
      </c>
      <c r="F70" s="6" t="str">
        <f>REPT(" ",Sheet2!$F$3-LEN(Sheet2!F70))&amp;Sheet2!F70</f>
        <v xml:space="preserve">          ITM_toREC2</v>
      </c>
      <c r="G70" s="6" t="str">
        <f>REPT(" ",Sheet2!$G$3-LEN(TEXT(Sheet2!G70,"00")))&amp;""""&amp;TEXT(Sheet2!G70,"00")&amp;""""</f>
        <v xml:space="preserve"> "-01"</v>
      </c>
      <c r="H70" s="6" t="str">
        <f>REPT(" ",Sheet2!$H$3-LEN(Sheet2!H70))&amp;Sheet2!H70</f>
        <v xml:space="preserve">                           -&gt;R</v>
      </c>
      <c r="I70" s="3" t="str">
        <f>IF(Sheet2!B70="","",SUBSTITUTE(SUBSTITUTE(SUBSTITUTE(SUBSTITUTE(SUBSTITUTE(SUBSTITUTE(SUBSTITUTE($I$1,"61",A70),"CM_NORMAL",E70),"ITM_DRG",F70),"nn = comm",H70),"exitIfNim",B70),"allowCondition",D70),"KK",G70))</f>
        <v>if(shortCutCommand(w, event_keyval,    82,   shortcutProfile == USER_R47,  ExitIfNim, 9999,  "-01",  CM_NORMAL,           ITM_toREC2 ))        {return true;} else        //                           -&gt;R</v>
      </c>
    </row>
    <row r="71" spans="1:9">
      <c r="A71" s="6" t="str">
        <f>REPT(" ",Sheet2!$B$3-LEN(Sheet2!B71))&amp;Sheet2!B71</f>
        <v xml:space="preserve">   80</v>
      </c>
      <c r="B71" s="6" t="str">
        <f>REPT(" ",Sheet2!$C$3-LEN(Sheet2!C71))&amp;Sheet2!C71</f>
        <v xml:space="preserve"> ExitIfNim</v>
      </c>
      <c r="C71" s="5" t="str">
        <f>IF(Sheet2!D71="Std","FALSE","shortcutProfile == USER_"&amp;Sheet2!D71)</f>
        <v>shortcutProfile == USER_R47</v>
      </c>
      <c r="D71" s="6" t="str">
        <f t="shared" si="2"/>
        <v xml:space="preserve">  shortcutProfile == USER_R47</v>
      </c>
      <c r="E71" s="6" t="str">
        <f>REPT(" ",Sheet2!$E$3-LEN(Sheet2!E71))&amp;Sheet2!E71</f>
        <v xml:space="preserve"> CM_NORMAL</v>
      </c>
      <c r="F71" s="6" t="str">
        <f>REPT(" ",Sheet2!$F$3-LEN(Sheet2!F71))&amp;Sheet2!F71</f>
        <v xml:space="preserve">          ITM_toPOL2</v>
      </c>
      <c r="G71" s="6" t="str">
        <f>REPT(" ",Sheet2!$G$3-LEN(TEXT(Sheet2!G71,"00")))&amp;""""&amp;TEXT(Sheet2!G71,"00")&amp;""""</f>
        <v xml:space="preserve"> "-01"</v>
      </c>
      <c r="H71" s="6" t="str">
        <f>REPT(" ",Sheet2!$H$3-LEN(Sheet2!H71))&amp;Sheet2!H71</f>
        <v xml:space="preserve">                           -&gt;P</v>
      </c>
      <c r="I71" s="3" t="str">
        <f>IF(Sheet2!B71="","",SUBSTITUTE(SUBSTITUTE(SUBSTITUTE(SUBSTITUTE(SUBSTITUTE(SUBSTITUTE(SUBSTITUTE($I$1,"61",A71),"CM_NORMAL",E71),"ITM_DRG",F71),"nn = comm",H71),"exitIfNim",B71),"allowCondition",D71),"KK",G71))</f>
        <v>if(shortCutCommand(w, event_keyval,    80,   shortcutProfile == USER_R47,  ExitIfNim, 9999,  "-01",  CM_NORMAL,           ITM_toPOL2 ))        {return true;} else        //                           -&gt;P</v>
      </c>
    </row>
    <row r="72" spans="1:9">
      <c r="A72" s="6" t="str">
        <f>REPT(" ",Sheet2!$B$3-LEN(Sheet2!B72))&amp;Sheet2!B72</f>
        <v xml:space="preserve">   89</v>
      </c>
      <c r="B72" s="6" t="str">
        <f>REPT(" ",Sheet2!$C$3-LEN(Sheet2!C72))&amp;Sheet2!C72</f>
        <v xml:space="preserve"> ExitIfNim</v>
      </c>
      <c r="C72" s="5" t="str">
        <f>IF(Sheet2!D72="Std","FALSE","shortcutProfile == USER_"&amp;Sheet2!D72)</f>
        <v>shortcutProfile == USER_R47</v>
      </c>
      <c r="D72" s="6" t="str">
        <f t="shared" si="2"/>
        <v xml:space="preserve">  shortcutProfile == USER_R47</v>
      </c>
      <c r="E72" s="6" t="str">
        <f>REPT(" ",Sheet2!$E$3-LEN(Sheet2!E72))&amp;Sheet2!E72</f>
        <v xml:space="preserve"> CM_NORMAL</v>
      </c>
      <c r="F72" s="6" t="str">
        <f>REPT(" ",Sheet2!$F$3-LEN(Sheet2!F72))&amp;Sheet2!F72</f>
        <v xml:space="preserve">         ITM_XTHROOT</v>
      </c>
      <c r="G72" s="6" t="str">
        <f>REPT(" ",Sheet2!$G$3-LEN(TEXT(Sheet2!G72,"00")))&amp;""""&amp;TEXT(Sheet2!G72,"00")&amp;""""</f>
        <v xml:space="preserve"> "-01"</v>
      </c>
      <c r="H72" s="6" t="str">
        <f>REPT(" ",Sheet2!$H$3-LEN(Sheet2!H72))&amp;Sheet2!H72</f>
        <v xml:space="preserve">               xth root of [Y]</v>
      </c>
      <c r="I72" s="3" t="str">
        <f>IF(Sheet2!B72="","",SUBSTITUTE(SUBSTITUTE(SUBSTITUTE(SUBSTITUTE(SUBSTITUTE(SUBSTITUTE(SUBSTITUTE($I$1,"61",A72),"CM_NORMAL",E72),"ITM_DRG",F72),"nn = comm",H72),"exitIfNim",B72),"allowCondition",D72),"KK",G72))</f>
        <v>if(shortCutCommand(w, event_keyval,    89,   shortcutProfile == USER_R47,  ExitIfNim, 9999,  "-01",  CM_NORMAL,          ITM_XTHROOT ))        {return true;} else        //               xth root of [Y]</v>
      </c>
    </row>
    <row r="73" spans="1:9">
      <c r="A73" s="6" t="str">
        <f>REPT(" ",Sheet2!$B$3-LEN(Sheet2!B73))&amp;Sheet2!B73</f>
        <v xml:space="preserve">   67</v>
      </c>
      <c r="B73" s="6" t="str">
        <f>REPT(" ",Sheet2!$C$3-LEN(Sheet2!C73))&amp;Sheet2!C73</f>
        <v xml:space="preserve"> ExitIfNim</v>
      </c>
      <c r="C73" s="5" t="str">
        <f>IF(Sheet2!D73="Std","FALSE","shortcutProfile == USER_"&amp;Sheet2!D73)</f>
        <v>shortcutProfile == USER_R47</v>
      </c>
      <c r="D73" s="6" t="str">
        <f t="shared" si="2"/>
        <v xml:space="preserve">  shortcutProfile == USER_R47</v>
      </c>
      <c r="E73" s="6" t="str">
        <f>REPT(" ",Sheet2!$E$3-LEN(Sheet2!E73))&amp;Sheet2!E73</f>
        <v xml:space="preserve"> CM_NORMAL</v>
      </c>
      <c r="F73" s="6" t="str">
        <f>REPT(" ",Sheet2!$F$3-LEN(Sheet2!F73))&amp;Sheet2!F73</f>
        <v xml:space="preserve">          ITM_arccos</v>
      </c>
      <c r="G73" s="6" t="str">
        <f>REPT(" ",Sheet2!$G$3-LEN(TEXT(Sheet2!G73,"00")))&amp;""""&amp;TEXT(Sheet2!G73,"00")&amp;""""</f>
        <v xml:space="preserve"> "-01"</v>
      </c>
      <c r="H73" s="6" t="str">
        <f>REPT(" ",Sheet2!$H$3-LEN(Sheet2!H73))&amp;Sheet2!H73</f>
        <v xml:space="preserve">                   arc[C]osine</v>
      </c>
      <c r="I73" s="3" t="str">
        <f>IF(Sheet2!B73="","",SUBSTITUTE(SUBSTITUTE(SUBSTITUTE(SUBSTITUTE(SUBSTITUTE(SUBSTITUTE(SUBSTITUTE($I$1,"61",A73),"CM_NORMAL",E73),"ITM_DRG",F73),"nn = comm",H73),"exitIfNim",B73),"allowCondition",D73),"KK",G73))</f>
        <v>if(shortCutCommand(w, event_keyval,    67,   shortcutProfile == USER_R47,  ExitIfNim, 9999,  "-01",  CM_NORMAL,           ITM_arccos ))        {return true;} else        //                   arc[C]osine</v>
      </c>
    </row>
    <row r="74" spans="1:9">
      <c r="A74" s="6" t="str">
        <f>REPT(" ",Sheet2!$B$3-LEN(Sheet2!B74))&amp;Sheet2!B74</f>
        <v xml:space="preserve">   83</v>
      </c>
      <c r="B74" s="6" t="str">
        <f>REPT(" ",Sheet2!$C$3-LEN(Sheet2!C74))&amp;Sheet2!C74</f>
        <v xml:space="preserve"> ExitIfNim</v>
      </c>
      <c r="C74" s="5" t="str">
        <f>IF(Sheet2!D74="Std","FALSE","shortcutProfile == USER_"&amp;Sheet2!D74)</f>
        <v>shortcutProfile == USER_R47</v>
      </c>
      <c r="D74" s="6" t="str">
        <f t="shared" si="2"/>
        <v xml:space="preserve">  shortcutProfile == USER_R47</v>
      </c>
      <c r="E74" s="6" t="str">
        <f>REPT(" ",Sheet2!$E$3-LEN(Sheet2!E74))&amp;Sheet2!E74</f>
        <v xml:space="preserve"> CM_NORMAL</v>
      </c>
      <c r="F74" s="6" t="str">
        <f>REPT(" ",Sheet2!$F$3-LEN(Sheet2!F74))&amp;Sheet2!F74</f>
        <v xml:space="preserve">          ITM_arcsin</v>
      </c>
      <c r="G74" s="6" t="str">
        <f>REPT(" ",Sheet2!$G$3-LEN(TEXT(Sheet2!G74,"00")))&amp;""""&amp;TEXT(Sheet2!G74,"00")&amp;""""</f>
        <v xml:space="preserve"> "-01"</v>
      </c>
      <c r="H74" s="6" t="str">
        <f>REPT(" ",Sheet2!$H$3-LEN(Sheet2!H74))&amp;Sheet2!H74</f>
        <v xml:space="preserve">                     arc[S]ine</v>
      </c>
      <c r="I74" s="3" t="str">
        <f>IF(Sheet2!B74="","",SUBSTITUTE(SUBSTITUTE(SUBSTITUTE(SUBSTITUTE(SUBSTITUTE(SUBSTITUTE(SUBSTITUTE($I$1,"61",A74),"CM_NORMAL",E74),"ITM_DRG",F74),"nn = comm",H74),"exitIfNim",B74),"allowCondition",D74),"KK",G74))</f>
        <v>if(shortCutCommand(w, event_keyval,    83,   shortcutProfile == USER_R47,  ExitIfNim, 9999,  "-01",  CM_NORMAL,           ITM_arcsin ))        {return true;} else        //                     arc[S]ine</v>
      </c>
    </row>
    <row r="75" spans="1:9">
      <c r="A75" s="6" t="str">
        <f>REPT(" ",Sheet2!$B$3-LEN(Sheet2!B75))&amp;Sheet2!B75</f>
        <v xml:space="preserve">   84</v>
      </c>
      <c r="B75" s="6" t="str">
        <f>REPT(" ",Sheet2!$C$3-LEN(Sheet2!C75))&amp;Sheet2!C75</f>
        <v xml:space="preserve"> ExitIfNim</v>
      </c>
      <c r="C75" s="5" t="str">
        <f>IF(Sheet2!D75="Std","FALSE","shortcutProfile == USER_"&amp;Sheet2!D75)</f>
        <v>shortcutProfile == USER_R47</v>
      </c>
      <c r="D75" s="6" t="str">
        <f t="shared" si="2"/>
        <v xml:space="preserve">  shortcutProfile == USER_R47</v>
      </c>
      <c r="E75" s="6" t="str">
        <f>REPT(" ",Sheet2!$E$3-LEN(Sheet2!E75))&amp;Sheet2!E75</f>
        <v xml:space="preserve"> CM_NORMAL</v>
      </c>
      <c r="F75" s="6" t="str">
        <f>REPT(" ",Sheet2!$F$3-LEN(Sheet2!F75))&amp;Sheet2!F75</f>
        <v xml:space="preserve">          ITM_arctan</v>
      </c>
      <c r="G75" s="6" t="str">
        <f>REPT(" ",Sheet2!$G$3-LEN(TEXT(Sheet2!G75,"00")))&amp;""""&amp;TEXT(Sheet2!G75,"00")&amp;""""</f>
        <v xml:space="preserve"> "-01"</v>
      </c>
      <c r="H75" s="6" t="str">
        <f>REPT(" ",Sheet2!$H$3-LEN(Sheet2!H75))&amp;Sheet2!H75</f>
        <v xml:space="preserve">                  arc[T]angent</v>
      </c>
      <c r="I75" s="3" t="str">
        <f>IF(Sheet2!B75="","",SUBSTITUTE(SUBSTITUTE(SUBSTITUTE(SUBSTITUTE(SUBSTITUTE(SUBSTITUTE(SUBSTITUTE($I$1,"61",A75),"CM_NORMAL",E75),"ITM_DRG",F75),"nn = comm",H75),"exitIfNim",B75),"allowCondition",D75),"KK",G75))</f>
        <v>if(shortCutCommand(w, event_keyval,    84,   shortcutProfile == USER_R47,  ExitIfNim, 9999,  "-01",  CM_NORMAL,           ITM_arctan ))        {return true;} else        //                  arc[T]angent</v>
      </c>
    </row>
    <row r="76" spans="1:9">
      <c r="A76" s="6" t="str">
        <f>REPT(" ",Sheet2!$B$3-LEN(Sheet2!B76))&amp;Sheet2!B76</f>
        <v xml:space="preserve">   76</v>
      </c>
      <c r="B76" s="6" t="str">
        <f>REPT(" ",Sheet2!$C$3-LEN(Sheet2!C76))&amp;Sheet2!C76</f>
        <v xml:space="preserve"> ExitIfNim</v>
      </c>
      <c r="C76" s="5" t="str">
        <f>IF(Sheet2!D76="Std","FALSE","shortcutProfile == USER_"&amp;Sheet2!D76)</f>
        <v>shortcutProfile == USER_R47</v>
      </c>
      <c r="D76" s="6" t="str">
        <f t="shared" si="2"/>
        <v xml:space="preserve">  shortcutProfile == USER_R47</v>
      </c>
      <c r="E76" s="6" t="str">
        <f>REPT(" ",Sheet2!$E$3-LEN(Sheet2!E76))&amp;Sheet2!E76</f>
        <v xml:space="preserve"> CM_NORMAL</v>
      </c>
      <c r="F76" s="6" t="str">
        <f>REPT(" ",Sheet2!$F$3-LEN(Sheet2!F76))&amp;Sheet2!F76</f>
        <v xml:space="preserve">             ITM_EXP</v>
      </c>
      <c r="G76" s="6" t="str">
        <f>REPT(" ",Sheet2!$G$3-LEN(TEXT(Sheet2!G76,"00")))&amp;""""&amp;TEXT(Sheet2!G76,"00")&amp;""""</f>
        <v xml:space="preserve"> "-01"</v>
      </c>
      <c r="H76" s="6" t="str">
        <f>REPT(" ",Sheet2!$H$3-LEN(Sheet2!H76))&amp;Sheet2!H76</f>
        <v xml:space="preserve">                  anti[L]n e^x</v>
      </c>
      <c r="I76" s="3" t="str">
        <f>IF(Sheet2!B76="","",SUBSTITUTE(SUBSTITUTE(SUBSTITUTE(SUBSTITUTE(SUBSTITUTE(SUBSTITUTE(SUBSTITUTE($I$1,"61",A76),"CM_NORMAL",E76),"ITM_DRG",F76),"nn = comm",H76),"exitIfNim",B76),"allowCondition",D76),"KK",G76))</f>
        <v>if(shortCutCommand(w, event_keyval,    76,   shortcutProfile == USER_R47,  ExitIfNim, 9999,  "-01",  CM_NORMAL,              ITM_EXP ))        {return true;} else        //                  anti[L]n e^x</v>
      </c>
    </row>
    <row r="77" spans="1:9">
      <c r="A77" s="6" t="str">
        <f>REPT(" ",Sheet2!$B$3-LEN(Sheet2!B77))&amp;Sheet2!B77</f>
        <v xml:space="preserve">   79</v>
      </c>
      <c r="B77" s="6" t="str">
        <f>REPT(" ",Sheet2!$C$3-LEN(Sheet2!C77))&amp;Sheet2!C77</f>
        <v xml:space="preserve"> ExitIfNim</v>
      </c>
      <c r="C77" s="5" t="str">
        <f>IF(Sheet2!D77="Std","FALSE","shortcutProfile == USER_"&amp;Sheet2!D77)</f>
        <v>shortcutProfile == USER_R47</v>
      </c>
      <c r="D77" s="6" t="str">
        <f t="shared" si="2"/>
        <v xml:space="preserve">  shortcutProfile == USER_R47</v>
      </c>
      <c r="E77" s="6" t="str">
        <f>REPT(" ",Sheet2!$E$3-LEN(Sheet2!E77))&amp;Sheet2!E77</f>
        <v xml:space="preserve"> CM_NORMAL</v>
      </c>
      <c r="F77" s="6" t="str">
        <f>REPT(" ",Sheet2!$F$3-LEN(Sheet2!F77))&amp;Sheet2!F77</f>
        <v xml:space="preserve">             ITM_10x</v>
      </c>
      <c r="G77" s="6" t="str">
        <f>REPT(" ",Sheet2!$G$3-LEN(TEXT(Sheet2!G77,"00")))&amp;""""&amp;TEXT(Sheet2!G77,"00")&amp;""""</f>
        <v xml:space="preserve"> "-01"</v>
      </c>
      <c r="H77" s="6" t="str">
        <f>REPT(" ",Sheet2!$H$3-LEN(Sheet2!H77))&amp;Sheet2!H77</f>
        <v xml:space="preserve">                antil[O]g 10^x</v>
      </c>
      <c r="I77" s="3" t="str">
        <f>IF(Sheet2!B77="","",SUBSTITUTE(SUBSTITUTE(SUBSTITUTE(SUBSTITUTE(SUBSTITUTE(SUBSTITUTE(SUBSTITUTE($I$1,"61",A77),"CM_NORMAL",E77),"ITM_DRG",F77),"nn = comm",H77),"exitIfNim",B77),"allowCondition",D77),"KK",G77))</f>
        <v>if(shortCutCommand(w, event_keyval,    79,   shortcutProfile == USER_R47,  ExitIfNim, 9999,  "-01",  CM_NORMAL,              ITM_10x ))        {return true;} else        //                antil[O]g 10^x</v>
      </c>
    </row>
    <row r="78" spans="1:9">
      <c r="A78" s="6" t="str">
        <f>REPT(" ",Sheet2!$B$3-LEN(Sheet2!B78))&amp;Sheet2!B78</f>
        <v xml:space="preserve">   73</v>
      </c>
      <c r="B78" s="6" t="str">
        <f>REPT(" ",Sheet2!$C$3-LEN(Sheet2!C78))&amp;Sheet2!C78</f>
        <v xml:space="preserve"> ExitIfNim</v>
      </c>
      <c r="C78" s="5" t="str">
        <f>IF(Sheet2!D78="Std","FALSE","shortcutProfile == USER_"&amp;Sheet2!D78)</f>
        <v>shortcutProfile == USER_R47</v>
      </c>
      <c r="D78" s="6" t="str">
        <f t="shared" si="2"/>
        <v xml:space="preserve">  shortcutProfile == USER_R47</v>
      </c>
      <c r="E78" s="6" t="str">
        <f>REPT(" ",Sheet2!$E$3-LEN(Sheet2!E78))&amp;Sheet2!E78</f>
        <v xml:space="preserve"> CM_NORMAL</v>
      </c>
      <c r="F78" s="6" t="str">
        <f>REPT(" ",Sheet2!$F$3-LEN(Sheet2!F78))&amp;Sheet2!F78</f>
        <v xml:space="preserve">           -MNU_DISP</v>
      </c>
      <c r="G78" s="6" t="str">
        <f>REPT(" ",Sheet2!$G$3-LEN(TEXT(Sheet2!G78,"00")))&amp;""""&amp;TEXT(Sheet2!G78,"00")&amp;""""</f>
        <v xml:space="preserve"> "-01"</v>
      </c>
      <c r="H78" s="6" t="str">
        <f>REPT(" ",Sheet2!$H$3-LEN(Sheet2!H78))&amp;Sheet2!H78</f>
        <v xml:space="preserve">                        D[I]SP</v>
      </c>
      <c r="I78" s="3" t="str">
        <f>IF(Sheet2!B78="","",SUBSTITUTE(SUBSTITUTE(SUBSTITUTE(SUBSTITUTE(SUBSTITUTE(SUBSTITUTE(SUBSTITUTE($I$1,"61",A78),"CM_NORMAL",E78),"ITM_DRG",F78),"nn = comm",H78),"exitIfNim",B78),"allowCondition",D78),"KK",G78))</f>
        <v>if(shortCutCommand(w, event_keyval,    73,   shortcutProfile == USER_R47,  ExitIfNim, 9999,  "-01",  CM_NORMAL,            -MNU_DISP ))        {return true;} else        //                        D[I]SP</v>
      </c>
    </row>
    <row r="79" spans="1:9">
      <c r="A79" s="6" t="str">
        <f>REPT(" ",Sheet2!$B$3-LEN(Sheet2!B79))&amp;Sheet2!B79</f>
        <v xml:space="preserve">   74</v>
      </c>
      <c r="B79" s="6" t="str">
        <f>REPT(" ",Sheet2!$C$3-LEN(Sheet2!C79))&amp;Sheet2!C79</f>
        <v xml:space="preserve"> ExitIfNim</v>
      </c>
      <c r="C79" s="5" t="str">
        <f>IF(Sheet2!D79="Std","FALSE","shortcutProfile == USER_"&amp;Sheet2!D79)</f>
        <v>shortcutProfile == USER_R47</v>
      </c>
      <c r="D79" s="6" t="str">
        <f t="shared" si="2"/>
        <v xml:space="preserve">  shortcutProfile == USER_R47</v>
      </c>
      <c r="E79" s="6" t="str">
        <f>REPT(" ",Sheet2!$E$3-LEN(Sheet2!E79))&amp;Sheet2!E79</f>
        <v xml:space="preserve"> CM_NORMAL</v>
      </c>
      <c r="F79" s="6" t="str">
        <f>REPT(" ",Sheet2!$F$3-LEN(Sheet2!F79))&amp;Sheet2!F79</f>
        <v xml:space="preserve">            -MNU_EXP</v>
      </c>
      <c r="G79" s="6" t="str">
        <f>REPT(" ",Sheet2!$G$3-LEN(TEXT(Sheet2!G79,"00")))&amp;""""&amp;TEXT(Sheet2!G79,"00")&amp;""""</f>
        <v xml:space="preserve"> "-01"</v>
      </c>
      <c r="H79" s="6" t="str">
        <f>REPT(" ",Sheet2!$H$3-LEN(Sheet2!H79))&amp;Sheet2!H79</f>
        <v xml:space="preserve">                           EXP</v>
      </c>
      <c r="I79" s="3" t="str">
        <f>IF(Sheet2!B79="","",SUBSTITUTE(SUBSTITUTE(SUBSTITUTE(SUBSTITUTE(SUBSTITUTE(SUBSTITUTE(SUBSTITUTE($I$1,"61",A79),"CM_NORMAL",E79),"ITM_DRG",F79),"nn = comm",H79),"exitIfNim",B79),"allowCondition",D79),"KK",G79))</f>
        <v>if(shortCutCommand(w, event_keyval,    74,   shortcutProfile == USER_R47,  ExitIfNim, 9999,  "-01",  CM_NORMAL,             -MNU_EXP ))        {return true;} else        //                           EXP</v>
      </c>
    </row>
    <row r="80" spans="1:9">
      <c r="A80" s="6" t="str">
        <f>REPT(" ",Sheet2!$B$3-LEN(Sheet2!B80))&amp;Sheet2!B80</f>
        <v xml:space="preserve">   75</v>
      </c>
      <c r="B80" s="6" t="str">
        <f>REPT(" ",Sheet2!$C$3-LEN(Sheet2!C80))&amp;Sheet2!C80</f>
        <v xml:space="preserve"> ExitIfNim</v>
      </c>
      <c r="C80" s="5" t="str">
        <f>IF(Sheet2!D80="Std","FALSE","shortcutProfile == USER_"&amp;Sheet2!D80)</f>
        <v>shortcutProfile == USER_R47</v>
      </c>
      <c r="D80" s="6" t="str">
        <f t="shared" si="2"/>
        <v xml:space="preserve">  shortcutProfile == USER_R47</v>
      </c>
      <c r="E80" s="6" t="str">
        <f>REPT(" ",Sheet2!$E$3-LEN(Sheet2!E80))&amp;Sheet2!E80</f>
        <v xml:space="preserve"> CM_NORMAL</v>
      </c>
      <c r="F80" s="6" t="str">
        <f>REPT(" ",Sheet2!$F$3-LEN(Sheet2!F80))&amp;Sheet2!F80</f>
        <v xml:space="preserve">            -MNU_STK</v>
      </c>
      <c r="G80" s="6" t="str">
        <f>REPT(" ",Sheet2!$G$3-LEN(TEXT(Sheet2!G80,"00")))&amp;""""&amp;TEXT(Sheet2!G80,"00")&amp;""""</f>
        <v xml:space="preserve"> "-01"</v>
      </c>
      <c r="H80" s="6" t="str">
        <f>REPT(" ",Sheet2!$H$3-LEN(Sheet2!H80))&amp;Sheet2!H80</f>
        <v xml:space="preserve">                         ST[K]</v>
      </c>
      <c r="I80" s="3" t="str">
        <f>IF(Sheet2!B80="","",SUBSTITUTE(SUBSTITUTE(SUBSTITUTE(SUBSTITUTE(SUBSTITUTE(SUBSTITUTE(SUBSTITUTE($I$1,"61",A80),"CM_NORMAL",E80),"ITM_DRG",F80),"nn = comm",H80),"exitIfNim",B80),"allowCondition",D80),"KK",G80))</f>
        <v>if(shortCutCommand(w, event_keyval,    75,   shortcutProfile == USER_R47,  ExitIfNim, 9999,  "-01",  CM_NORMAL,             -MNU_STK ))        {return true;} else        //                         ST[K]</v>
      </c>
    </row>
    <row r="81" spans="1:9">
      <c r="A81" s="6" t="str">
        <f>REPT(" ",Sheet2!$B$3-LEN(Sheet2!B81))&amp;Sheet2!B81</f>
        <v xml:space="preserve">   77</v>
      </c>
      <c r="B81" s="6" t="str">
        <f>REPT(" ",Sheet2!$C$3-LEN(Sheet2!C81))&amp;Sheet2!C81</f>
        <v xml:space="preserve"> ExitIfNim</v>
      </c>
      <c r="C81" s="5" t="str">
        <f>IF(Sheet2!D81="Std","FALSE","shortcutProfile == USER_"&amp;Sheet2!D81)</f>
        <v>shortcutProfile == USER_R47</v>
      </c>
      <c r="D81" s="6" t="str">
        <f t="shared" si="2"/>
        <v xml:space="preserve">  shortcutProfile == USER_R47</v>
      </c>
      <c r="E81" s="6" t="str">
        <f>REPT(" ",Sheet2!$E$3-LEN(Sheet2!E81))&amp;Sheet2!E81</f>
        <v xml:space="preserve"> CM_NORMAL</v>
      </c>
      <c r="F81" s="6" t="str">
        <f>REPT(" ",Sheet2!$F$3-LEN(Sheet2!F81))&amp;Sheet2!F81</f>
        <v xml:space="preserve">           -MNU_PREF</v>
      </c>
      <c r="G81" s="6" t="str">
        <f>REPT(" ",Sheet2!$G$3-LEN(TEXT(Sheet2!G81,"00")))&amp;""""&amp;TEXT(Sheet2!G81,"00")&amp;""""</f>
        <v xml:space="preserve"> "-01"</v>
      </c>
      <c r="H81" s="6" t="str">
        <f>REPT(" ",Sheet2!$H$3-LEN(Sheet2!H81))&amp;Sheet2!H81</f>
        <v xml:space="preserve">                      PREF [M]</v>
      </c>
      <c r="I81" s="3" t="str">
        <f>IF(Sheet2!B81="","",SUBSTITUTE(SUBSTITUTE(SUBSTITUTE(SUBSTITUTE(SUBSTITUTE(SUBSTITUTE(SUBSTITUTE($I$1,"61",A81),"CM_NORMAL",E81),"ITM_DRG",F81),"nn = comm",H81),"exitIfNim",B81),"allowCondition",D81),"KK",G81))</f>
        <v>if(shortCutCommand(w, event_keyval,    77,   shortcutProfile == USER_R47,  ExitIfNim, 9999,  "-01",  CM_NORMAL,            -MNU_PREF ))        {return true;} else        //                      PREF [M]</v>
      </c>
    </row>
    <row r="82" spans="1:9">
      <c r="A82" s="6" t="str">
        <f>REPT(" ",Sheet2!$B$3-LEN(Sheet2!B82))&amp;Sheet2!B82</f>
        <v xml:space="preserve">  115</v>
      </c>
      <c r="B82" s="6" t="str">
        <f>REPT(" ",Sheet2!$C$3-LEN(Sheet2!C82))&amp;Sheet2!C82</f>
        <v xml:space="preserve"> ExitIfNim</v>
      </c>
      <c r="C82" s="5" t="str">
        <f>IF(Sheet2!D82="Std","FALSE","shortcutProfile == USER_"&amp;Sheet2!D82)</f>
        <v>shortcutProfile == USER_R47</v>
      </c>
      <c r="D82" s="6" t="str">
        <f t="shared" si="2"/>
        <v xml:space="preserve">  shortcutProfile == USER_R47</v>
      </c>
      <c r="E82" s="6" t="str">
        <f>REPT(" ",Sheet2!$E$3-LEN(Sheet2!E82))&amp;Sheet2!E82</f>
        <v xml:space="preserve"> CM_NORMAL</v>
      </c>
      <c r="F82" s="6" t="str">
        <f>REPT(" ",Sheet2!$F$3-LEN(Sheet2!F82))&amp;Sheet2!F82</f>
        <v xml:space="preserve">             ITM_sin</v>
      </c>
      <c r="G82" s="6" t="str">
        <f>REPT(" ",Sheet2!$G$3-LEN(TEXT(Sheet2!G82,"00")))&amp;""""&amp;TEXT(Sheet2!G82,"00")&amp;""""</f>
        <v xml:space="preserve"> "-01"</v>
      </c>
      <c r="H82" s="6" t="str">
        <f>REPT(" ",Sheet2!$H$3-LEN(Sheet2!H82))&amp;Sheet2!H82</f>
        <v xml:space="preserve">                        [s]ine</v>
      </c>
      <c r="I82" s="3" t="str">
        <f>IF(Sheet2!B82="","",SUBSTITUTE(SUBSTITUTE(SUBSTITUTE(SUBSTITUTE(SUBSTITUTE(SUBSTITUTE(SUBSTITUTE($I$1,"61",A82),"CM_NORMAL",E82),"ITM_DRG",F82),"nn = comm",H82),"exitIfNim",B82),"allowCondition",D82),"KK",G82))</f>
        <v>if(shortCutCommand(w, event_keyval,   115,   shortcutProfile == USER_R47,  ExitIfNim, 9999,  "-01",  CM_NORMAL,              ITM_sin ))        {return true;} else        //                        [s]ine</v>
      </c>
    </row>
    <row r="83" spans="1:9">
      <c r="A83" s="6" t="str">
        <f>REPT(" ",Sheet2!$B$3-LEN(Sheet2!B83))&amp;Sheet2!B83</f>
        <v xml:space="preserve">   99</v>
      </c>
      <c r="B83" s="6" t="str">
        <f>REPT(" ",Sheet2!$C$3-LEN(Sheet2!C83))&amp;Sheet2!C83</f>
        <v xml:space="preserve"> ExitIfNim</v>
      </c>
      <c r="C83" s="5" t="str">
        <f>IF(Sheet2!D83="Std","FALSE","shortcutProfile == USER_"&amp;Sheet2!D83)</f>
        <v>shortcutProfile == USER_R47</v>
      </c>
      <c r="D83" s="6" t="str">
        <f t="shared" si="2"/>
        <v xml:space="preserve">  shortcutProfile == USER_R47</v>
      </c>
      <c r="E83" s="6" t="str">
        <f>REPT(" ",Sheet2!$E$3-LEN(Sheet2!E83))&amp;Sheet2!E83</f>
        <v xml:space="preserve"> CM_NORMAL</v>
      </c>
      <c r="F83" s="6" t="str">
        <f>REPT(" ",Sheet2!$F$3-LEN(Sheet2!F83))&amp;Sheet2!F83</f>
        <v xml:space="preserve">             ITM_cos</v>
      </c>
      <c r="G83" s="6" t="str">
        <f>REPT(" ",Sheet2!$G$3-LEN(TEXT(Sheet2!G83,"00")))&amp;""""&amp;TEXT(Sheet2!G83,"00")&amp;""""</f>
        <v xml:space="preserve"> "-01"</v>
      </c>
      <c r="H83" s="6" t="str">
        <f>REPT(" ",Sheet2!$H$3-LEN(Sheet2!H83))&amp;Sheet2!H83</f>
        <v xml:space="preserve">                      [c]osine</v>
      </c>
      <c r="I83" s="3" t="str">
        <f>IF(Sheet2!B83="","",SUBSTITUTE(SUBSTITUTE(SUBSTITUTE(SUBSTITUTE(SUBSTITUTE(SUBSTITUTE(SUBSTITUTE($I$1,"61",A83),"CM_NORMAL",E83),"ITM_DRG",F83),"nn = comm",H83),"exitIfNim",B83),"allowCondition",D83),"KK",G83))</f>
        <v>if(shortCutCommand(w, event_keyval,    99,   shortcutProfile == USER_R47,  ExitIfNim, 9999,  "-01",  CM_NORMAL,              ITM_cos ))        {return true;} else        //                      [c]osine</v>
      </c>
    </row>
    <row r="84" spans="1:9">
      <c r="A84" s="6" t="str">
        <f>REPT(" ",Sheet2!$B$3-LEN(Sheet2!B84))&amp;Sheet2!B84</f>
        <v xml:space="preserve">  116</v>
      </c>
      <c r="B84" s="6" t="str">
        <f>REPT(" ",Sheet2!$C$3-LEN(Sheet2!C84))&amp;Sheet2!C84</f>
        <v xml:space="preserve"> ExitIfNim</v>
      </c>
      <c r="C84" s="5" t="str">
        <f>IF(Sheet2!D84="Std","FALSE","shortcutProfile == USER_"&amp;Sheet2!D84)</f>
        <v>shortcutProfile == USER_R47</v>
      </c>
      <c r="D84" s="6" t="str">
        <f t="shared" si="2"/>
        <v xml:space="preserve">  shortcutProfile == USER_R47</v>
      </c>
      <c r="E84" s="6" t="str">
        <f>REPT(" ",Sheet2!$E$3-LEN(Sheet2!E84))&amp;Sheet2!E84</f>
        <v xml:space="preserve"> CM_NORMAL</v>
      </c>
      <c r="F84" s="6" t="str">
        <f>REPT(" ",Sheet2!$F$3-LEN(Sheet2!F84))&amp;Sheet2!F84</f>
        <v xml:space="preserve">             ITM_tan</v>
      </c>
      <c r="G84" s="6" t="str">
        <f>REPT(" ",Sheet2!$G$3-LEN(TEXT(Sheet2!G84,"00")))&amp;""""&amp;TEXT(Sheet2!G84,"00")&amp;""""</f>
        <v xml:space="preserve"> "-01"</v>
      </c>
      <c r="H84" s="6" t="str">
        <f>REPT(" ",Sheet2!$H$3-LEN(Sheet2!H84))&amp;Sheet2!H84</f>
        <v xml:space="preserve">                     [t]angent</v>
      </c>
      <c r="I84" s="3" t="str">
        <f>IF(Sheet2!B84="","",SUBSTITUTE(SUBSTITUTE(SUBSTITUTE(SUBSTITUTE(SUBSTITUTE(SUBSTITUTE(SUBSTITUTE($I$1,"61",A84),"CM_NORMAL",E84),"ITM_DRG",F84),"nn = comm",H84),"exitIfNim",B84),"allowCondition",D84),"KK",G84))</f>
        <v>if(shortCutCommand(w, event_keyval,   116,   shortcutProfile == USER_R47,  ExitIfNim, 9999,  "-01",  CM_NORMAL,              ITM_tan ))        {return true;} else        //                     [t]angent</v>
      </c>
    </row>
    <row r="85" spans="1:9">
      <c r="A85" s="6" t="str">
        <f>REPT(" ",Sheet2!$B$3-LEN(Sheet2!B85))&amp;Sheet2!B85</f>
        <v xml:space="preserve">   68</v>
      </c>
      <c r="B85" s="6" t="str">
        <f>REPT(" ",Sheet2!$C$3-LEN(Sheet2!C85))&amp;Sheet2!C85</f>
        <v xml:space="preserve"> ExitIfNim</v>
      </c>
      <c r="C85" s="5" t="str">
        <f>IF(Sheet2!D85="Std","FALSE","shortcutProfile == USER_"&amp;Sheet2!D85)</f>
        <v>shortcutProfile == USER_R47</v>
      </c>
      <c r="D85" s="6" t="str">
        <f t="shared" si="2"/>
        <v xml:space="preserve">  shortcutProfile == USER_R47</v>
      </c>
      <c r="E85" s="6" t="str">
        <f>REPT(" ",Sheet2!$E$3-LEN(Sheet2!E85))&amp;Sheet2!E85</f>
        <v xml:space="preserve"> CM_NORMAL</v>
      </c>
      <c r="F85" s="6" t="str">
        <f>REPT(" ",Sheet2!$F$3-LEN(Sheet2!F85))&amp;Sheet2!F85</f>
        <v xml:space="preserve">             ITM_Rup</v>
      </c>
      <c r="G85" s="6" t="str">
        <f>REPT(" ",Sheet2!$G$3-LEN(TEXT(Sheet2!G85,"00")))&amp;""""&amp;TEXT(Sheet2!G85,"00")&amp;""""</f>
        <v xml:space="preserve"> "-01"</v>
      </c>
      <c r="H85" s="6" t="str">
        <f>REPT(" ",Sheet2!$H$3-LEN(Sheet2!H85))&amp;Sheet2!H85</f>
        <v xml:space="preserve">                        Up [D]</v>
      </c>
      <c r="I85" s="3" t="str">
        <f>IF(Sheet2!B85="","",SUBSTITUTE(SUBSTITUTE(SUBSTITUTE(SUBSTITUTE(SUBSTITUTE(SUBSTITUTE(SUBSTITUTE($I$1,"61",A85),"CM_NORMAL",E85),"ITM_DRG",F85),"nn = comm",H85),"exitIfNim",B85),"allowCondition",D85),"KK",G85))</f>
        <v>if(shortCutCommand(w, event_keyval,    68,   shortcutProfile == USER_R47,  ExitIfNim, 9999,  "-01",  CM_NORMAL,              ITM_Rup ))        {return true;} else        //                        Up [D]</v>
      </c>
    </row>
    <row r="86" spans="1:9">
      <c r="A86" s="6" t="str">
        <f>REPT(" ",Sheet2!$B$3-LEN(Sheet2!B86))&amp;Sheet2!B86</f>
        <v xml:space="preserve">   70</v>
      </c>
      <c r="B86" s="6" t="str">
        <f>REPT(" ",Sheet2!$C$3-LEN(Sheet2!C86))&amp;Sheet2!C86</f>
        <v xml:space="preserve"> ExitIfNim</v>
      </c>
      <c r="C86" s="5" t="str">
        <f>IF(Sheet2!D86="Std","FALSE","shortcutProfile == USER_"&amp;Sheet2!D86)</f>
        <v>shortcutProfile == USER_R47</v>
      </c>
      <c r="D86" s="6" t="str">
        <f t="shared" si="2"/>
        <v xml:space="preserve">  shortcutProfile == USER_R47</v>
      </c>
      <c r="E86" s="6" t="str">
        <f>REPT(" ",Sheet2!$E$3-LEN(Sheet2!E86))&amp;Sheet2!E86</f>
        <v xml:space="preserve"> CM_NORMAL</v>
      </c>
      <c r="F86" s="6" t="str">
        <f>REPT(" ",Sheet2!$F$3-LEN(Sheet2!F86))&amp;Sheet2!F86</f>
        <v xml:space="preserve">         -MNU_PREFIX</v>
      </c>
      <c r="G86" s="6" t="str">
        <f>REPT(" ",Sheet2!$G$3-LEN(TEXT(Sheet2!G86,"00")))&amp;""""&amp;TEXT(Sheet2!G86,"00")&amp;""""</f>
        <v xml:space="preserve"> "-01"</v>
      </c>
      <c r="H86" s="6" t="str">
        <f>REPT(" ",Sheet2!$H$3-LEN(Sheet2!H86))&amp;Sheet2!H86</f>
        <v xml:space="preserve">                      PRE[F]IX</v>
      </c>
      <c r="I86" s="3" t="str">
        <f>IF(Sheet2!B86="","",SUBSTITUTE(SUBSTITUTE(SUBSTITUTE(SUBSTITUTE(SUBSTITUTE(SUBSTITUTE(SUBSTITUTE($I$1,"61",A86),"CM_NORMAL",E86),"ITM_DRG",F86),"nn = comm",H86),"exitIfNim",B86),"allowCondition",D86),"KK",G86))</f>
        <v>if(shortCutCommand(w, event_keyval,    70,   shortcutProfile == USER_R47,  ExitIfNim, 9999,  "-01",  CM_NORMAL,          -MNU_PREFIX ))        {return true;} else        //                      PRE[F]IX</v>
      </c>
    </row>
    <row r="87" spans="1:9">
      <c r="A87" s="6" t="str">
        <f>REPT(" ",Sheet2!$B$3-LEN(Sheet2!B87))&amp;Sheet2!B87</f>
        <v xml:space="preserve">  112</v>
      </c>
      <c r="B87" s="6" t="str">
        <f>REPT(" ",Sheet2!$C$3-LEN(Sheet2!C87))&amp;Sheet2!C87</f>
        <v xml:space="preserve"> ExitIfNim</v>
      </c>
      <c r="C87" s="5" t="str">
        <f>IF(Sheet2!D87="Std","FALSE","shortcutProfile == USER_"&amp;Sheet2!D87)</f>
        <v>shortcutProfile == USER_R47</v>
      </c>
      <c r="D87" s="6" t="str">
        <f t="shared" si="2"/>
        <v xml:space="preserve">  shortcutProfile == USER_R47</v>
      </c>
      <c r="E87" s="6" t="str">
        <f>REPT(" ",Sheet2!$E$3-LEN(Sheet2!E87))&amp;Sheet2!E87</f>
        <v xml:space="preserve"> CM_NORMAL</v>
      </c>
      <c r="F87" s="6" t="str">
        <f>REPT(" ",Sheet2!$F$3-LEN(Sheet2!F87))&amp;Sheet2!F87</f>
        <v xml:space="preserve">         ITM_CONSTpi</v>
      </c>
      <c r="G87" s="6" t="str">
        <f>REPT(" ",Sheet2!$G$3-LEN(TEXT(Sheet2!G87,"00")))&amp;""""&amp;TEXT(Sheet2!G87,"00")&amp;""""</f>
        <v xml:space="preserve"> "-01"</v>
      </c>
      <c r="H87" s="6" t="str">
        <f>REPT(" ",Sheet2!$H$3-LEN(Sheet2!H87))&amp;Sheet2!H87</f>
        <v xml:space="preserve">                            pi</v>
      </c>
      <c r="I87" s="3" t="str">
        <f>IF(Sheet2!B87="","",SUBSTITUTE(SUBSTITUTE(SUBSTITUTE(SUBSTITUTE(SUBSTITUTE(SUBSTITUTE(SUBSTITUTE($I$1,"61",A87),"CM_NORMAL",E87),"ITM_DRG",F87),"nn = comm",H87),"exitIfNim",B87),"allowCondition",D87),"KK",G87))</f>
        <v>if(shortCutCommand(w, event_keyval,   112,   shortcutProfile == USER_R47,  ExitIfNim, 9999,  "-01",  CM_NORMAL,          ITM_CONSTpi ))        {return true;} else        //                            pi</v>
      </c>
    </row>
    <row r="88" spans="1:9">
      <c r="A88" s="6" t="str">
        <f>REPT(" ",Sheet2!$B$3-LEN(Sheet2!B88))&amp;Sheet2!B88</f>
        <v xml:space="preserve">   86</v>
      </c>
      <c r="B88" s="6" t="str">
        <f>REPT(" ",Sheet2!$C$3-LEN(Sheet2!C88))&amp;Sheet2!C88</f>
        <v xml:space="preserve"> ExitIfNim</v>
      </c>
      <c r="C88" s="5" t="str">
        <f>IF(Sheet2!D88="Std","FALSE","shortcutProfile == USER_"&amp;Sheet2!D88)</f>
        <v>shortcutProfile == USER_R47</v>
      </c>
      <c r="D88" s="6" t="str">
        <f t="shared" si="2"/>
        <v xml:space="preserve">  shortcutProfile == USER_R47</v>
      </c>
      <c r="E88" s="6" t="str">
        <f>REPT(" ",Sheet2!$E$3-LEN(Sheet2!E88))&amp;Sheet2!E88</f>
        <v xml:space="preserve"> CM_NORMAL</v>
      </c>
      <c r="F88" s="6" t="str">
        <f>REPT(" ",Sheet2!$F$3-LEN(Sheet2!F88))&amp;Sheet2!F88</f>
        <v xml:space="preserve">            ITM_1ONX</v>
      </c>
      <c r="G88" s="6" t="str">
        <f>REPT(" ",Sheet2!$G$3-LEN(TEXT(Sheet2!G88,"00")))&amp;""""&amp;TEXT(Sheet2!G88,"00")&amp;""""</f>
        <v xml:space="preserve"> "-01"</v>
      </c>
      <c r="H88" s="6" t="str">
        <f>REPT(" ",Sheet2!$H$3-LEN(Sheet2!H88))&amp;Sheet2!H88</f>
        <v xml:space="preserve">                     in[v]erse</v>
      </c>
      <c r="I88" s="3" t="str">
        <f>IF(Sheet2!B88="","",SUBSTITUTE(SUBSTITUTE(SUBSTITUTE(SUBSTITUTE(SUBSTITUTE(SUBSTITUTE(SUBSTITUTE($I$1,"61",A88),"CM_NORMAL",E88),"ITM_DRG",F88),"nn = comm",H88),"exitIfNim",B88),"allowCondition",D88),"KK",G88))</f>
        <v>if(shortCutCommand(w, event_keyval,    86,   shortcutProfile == USER_R47,  ExitIfNim, 9999,  "-01",  CM_NORMAL,             ITM_1ONX ))        {return true;} else        //                     in[v]erse</v>
      </c>
    </row>
    <row r="89" spans="1:9">
      <c r="A89" s="6" t="str">
        <f>REPT(" ",Sheet2!$B$3-LEN(Sheet2!B89))&amp;Sheet2!B89</f>
        <v xml:space="preserve">     </v>
      </c>
      <c r="B89" s="6" t="str">
        <f>REPT(" ",Sheet2!$C$3-LEN(Sheet2!C89))&amp;Sheet2!C89</f>
        <v xml:space="preserve">          </v>
      </c>
      <c r="C89" s="5" t="str">
        <f>IF(Sheet2!D89="Std","FALSE","shortcutProfile == USER_"&amp;Sheet2!D89)</f>
        <v>shortcutProfile == USER_</v>
      </c>
      <c r="D89" s="6" t="str">
        <f t="shared" si="2"/>
        <v xml:space="preserve">     shortcutProfile == USER_</v>
      </c>
      <c r="E89" s="6" t="str">
        <f>REPT(" ",Sheet2!$E$3-LEN(Sheet2!E89))&amp;Sheet2!E89</f>
        <v xml:space="preserve">          </v>
      </c>
      <c r="F89" s="6" t="str">
        <f>REPT(" ",Sheet2!$F$3-LEN(Sheet2!F89))&amp;Sheet2!F89</f>
        <v xml:space="preserve">                    </v>
      </c>
      <c r="G89" s="6" t="str">
        <f>REPT(" ",Sheet2!$G$3-LEN(TEXT(Sheet2!G89,"00")))&amp;""""&amp;TEXT(Sheet2!G89,"00")&amp;""""</f>
        <v xml:space="preserve">  "00"</v>
      </c>
      <c r="H89" s="6" t="str">
        <f>REPT(" ",Sheet2!$H$3-LEN(Sheet2!H89))&amp;Sheet2!H89</f>
        <v xml:space="preserve">                              </v>
      </c>
      <c r="I89" s="3" t="str">
        <f>IF(Sheet2!B89="","",SUBSTITUTE(SUBSTITUTE(SUBSTITUTE(SUBSTITUTE(SUBSTITUTE(SUBSTITUTE(SUBSTITUTE($I$1,"61",A89),"CM_NORMAL",E89),"ITM_DRG",F89),"nn = comm",H89),"exitIfNim",B89),"allowCondition",D89),"KK",G89))</f>
        <v/>
      </c>
    </row>
    <row r="90" spans="1:9">
      <c r="A90" s="6" t="str">
        <f>REPT(" ",Sheet2!$B$3-LEN(Sheet2!B90))&amp;Sheet2!B90</f>
        <v xml:space="preserve">     </v>
      </c>
      <c r="B90" s="6" t="str">
        <f>REPT(" ",Sheet2!$C$3-LEN(Sheet2!C90))&amp;Sheet2!C90</f>
        <v xml:space="preserve">          </v>
      </c>
      <c r="C90" s="5" t="str">
        <f>IF(Sheet2!D90="Std","FALSE","shortcutProfile == USER_"&amp;Sheet2!D90)</f>
        <v>shortcutProfile == USER_</v>
      </c>
      <c r="D90" s="6" t="str">
        <f t="shared" si="2"/>
        <v xml:space="preserve">     shortcutProfile == USER_</v>
      </c>
      <c r="E90" s="6" t="str">
        <f>REPT(" ",Sheet2!$E$3-LEN(Sheet2!E90))&amp;Sheet2!E90</f>
        <v xml:space="preserve">          </v>
      </c>
      <c r="F90" s="6" t="str">
        <f>REPT(" ",Sheet2!$F$3-LEN(Sheet2!F90))&amp;Sheet2!F90</f>
        <v xml:space="preserve">                    </v>
      </c>
      <c r="G90" s="6" t="str">
        <f>REPT(" ",Sheet2!$G$3-LEN(TEXT(Sheet2!G90,"00")))&amp;""""&amp;TEXT(Sheet2!G90,"00")&amp;""""</f>
        <v xml:space="preserve">  "00"</v>
      </c>
      <c r="H90" s="6" t="str">
        <f>REPT(" ",Sheet2!$H$3-LEN(Sheet2!H90))&amp;Sheet2!H90</f>
        <v xml:space="preserve">                              </v>
      </c>
      <c r="I90" s="3" t="str">
        <f>IF(Sheet2!B90="","",SUBSTITUTE(SUBSTITUTE(SUBSTITUTE(SUBSTITUTE(SUBSTITUTE(SUBSTITUTE(SUBSTITUTE($I$1,"61",A90),"CM_NORMAL",E90),"ITM_DRG",F90),"nn = comm",H90),"exitIfNim",B90),"allowCondition",D90),"KK",G90))</f>
        <v/>
      </c>
    </row>
    <row r="91" spans="1:9">
      <c r="I91" s="2"/>
    </row>
    <row r="92" spans="1:9">
      <c r="I92" s="2"/>
    </row>
    <row r="93" spans="1:9">
      <c r="I93" s="2"/>
    </row>
    <row r="94" spans="1:9">
      <c r="I94" s="2"/>
    </row>
    <row r="95" spans="1:9">
      <c r="I95" s="2"/>
    </row>
    <row r="96" spans="1:9">
      <c r="I96" s="2"/>
    </row>
    <row r="97" spans="9:9">
      <c r="I97" s="2"/>
    </row>
    <row r="98" spans="9:9">
      <c r="I98" s="2"/>
    </row>
    <row r="99" spans="9:9">
      <c r="I99" s="2"/>
    </row>
    <row r="100" spans="9:9">
      <c r="I100" s="2"/>
    </row>
    <row r="101" spans="9:9">
      <c r="I101" s="2"/>
    </row>
    <row r="102" spans="9:9">
      <c r="I102" s="2"/>
    </row>
    <row r="103" spans="9:9">
      <c r="I103" s="2"/>
    </row>
    <row r="104" spans="9:9">
      <c r="I104" s="2"/>
    </row>
    <row r="105" spans="9:9">
      <c r="I105" s="2"/>
    </row>
    <row r="106" spans="9:9">
      <c r="I106" s="2"/>
    </row>
    <row r="107" spans="9:9">
      <c r="I107" s="2"/>
    </row>
    <row r="108" spans="9:9">
      <c r="I108" s="2"/>
    </row>
    <row r="109" spans="9:9">
      <c r="I109" s="2"/>
    </row>
    <row r="110" spans="9:9">
      <c r="I110" s="2"/>
    </row>
    <row r="111" spans="9:9">
      <c r="I111" s="2"/>
    </row>
    <row r="112" spans="9:9">
      <c r="I112" s="2"/>
    </row>
    <row r="113" spans="9:9">
      <c r="I113" s="2"/>
    </row>
    <row r="114" spans="9:9">
      <c r="I114" s="2"/>
    </row>
    <row r="115" spans="9:9">
      <c r="I115" s="2"/>
    </row>
    <row r="116" spans="9:9">
      <c r="I116" s="2"/>
    </row>
    <row r="117" spans="9:9">
      <c r="I117" s="2"/>
    </row>
    <row r="118" spans="9:9">
      <c r="I118" s="2"/>
    </row>
    <row r="119" spans="9:9">
      <c r="I119" s="2"/>
    </row>
    <row r="120" spans="9:9">
      <c r="I120" s="2"/>
    </row>
    <row r="121" spans="9:9">
      <c r="I121" s="2"/>
    </row>
    <row r="122" spans="9:9">
      <c r="I122" s="2"/>
    </row>
    <row r="123" spans="9:9">
      <c r="I123" s="2"/>
    </row>
    <row r="124" spans="9:9">
      <c r="I124" s="2"/>
    </row>
    <row r="125" spans="9:9">
      <c r="I125" s="2"/>
    </row>
    <row r="126" spans="9:9">
      <c r="I126" s="2"/>
    </row>
    <row r="127" spans="9:9">
      <c r="I127" s="2"/>
    </row>
    <row r="128" spans="9:9">
      <c r="I128" s="2"/>
    </row>
    <row r="129" spans="9:9">
      <c r="I129" s="2"/>
    </row>
    <row r="130" spans="9:9">
      <c r="I130" s="2"/>
    </row>
    <row r="131" spans="9:9">
      <c r="I131" s="2"/>
    </row>
    <row r="132" spans="9:9">
      <c r="I132" s="2"/>
    </row>
    <row r="133" spans="9:9">
      <c r="I133" s="2"/>
    </row>
    <row r="134" spans="9:9">
      <c r="I134" s="2"/>
    </row>
    <row r="135" spans="9:9">
      <c r="I135" s="2"/>
    </row>
    <row r="136" spans="9:9">
      <c r="I136" s="2"/>
    </row>
    <row r="137" spans="9:9">
      <c r="I137" s="2"/>
    </row>
    <row r="138" spans="9:9">
      <c r="I138" s="2"/>
    </row>
    <row r="139" spans="9:9">
      <c r="I139" s="2"/>
    </row>
    <row r="140" spans="9:9">
      <c r="I140" s="2"/>
    </row>
    <row r="141" spans="9:9">
      <c r="I141" s="2"/>
    </row>
    <row r="142" spans="9:9">
      <c r="I142" s="2"/>
    </row>
    <row r="143" spans="9:9">
      <c r="I143" s="2"/>
    </row>
    <row r="144" spans="9:9">
      <c r="I144" s="2"/>
    </row>
    <row r="145" spans="9:9">
      <c r="I145" s="2"/>
    </row>
    <row r="146" spans="9:9">
      <c r="I146" s="2"/>
    </row>
    <row r="147" spans="9:9">
      <c r="I147" s="2"/>
    </row>
    <row r="148" spans="9:9">
      <c r="I148" s="2"/>
    </row>
    <row r="149" spans="9:9">
      <c r="I149" s="2"/>
    </row>
    <row r="150" spans="9:9">
      <c r="I150" s="2"/>
    </row>
    <row r="151" spans="9:9">
      <c r="I151" s="2"/>
    </row>
    <row r="152" spans="9:9">
      <c r="I152" s="2"/>
    </row>
    <row r="153" spans="9:9">
      <c r="I153" s="2"/>
    </row>
    <row r="154" spans="9:9">
      <c r="I154" s="2"/>
    </row>
    <row r="155" spans="9:9">
      <c r="I155" s="2"/>
    </row>
    <row r="156" spans="9:9">
      <c r="I156" s="2"/>
    </row>
    <row r="157" spans="9:9">
      <c r="I157" s="2"/>
    </row>
    <row r="158" spans="9:9">
      <c r="I158" s="2"/>
    </row>
    <row r="159" spans="9:9">
      <c r="I159" s="2"/>
    </row>
    <row r="160" spans="9:9">
      <c r="I160" s="2"/>
    </row>
    <row r="161" spans="9:9">
      <c r="I161" s="2"/>
    </row>
    <row r="162" spans="9:9">
      <c r="I162" s="2"/>
    </row>
    <row r="163" spans="9:9">
      <c r="I163" s="2"/>
    </row>
    <row r="164" spans="9:9">
      <c r="I164" s="2"/>
    </row>
    <row r="165" spans="9:9">
      <c r="I165" s="2"/>
    </row>
    <row r="166" spans="9:9">
      <c r="I166" s="2"/>
    </row>
    <row r="167" spans="9:9">
      <c r="I167" s="2"/>
    </row>
    <row r="168" spans="9:9">
      <c r="I168" s="2"/>
    </row>
    <row r="169" spans="9:9">
      <c r="I169" s="2"/>
    </row>
    <row r="170" spans="9:9">
      <c r="I170" s="2"/>
    </row>
    <row r="171" spans="9:9">
      <c r="I171" s="2"/>
    </row>
    <row r="172" spans="9:9">
      <c r="I172" s="2"/>
    </row>
    <row r="173" spans="9:9">
      <c r="I173" s="2"/>
    </row>
    <row r="174" spans="9:9">
      <c r="I174" s="2"/>
    </row>
    <row r="175" spans="9:9">
      <c r="I175" s="2"/>
    </row>
    <row r="176" spans="9:9">
      <c r="I176" s="2"/>
    </row>
    <row r="177" spans="9:9">
      <c r="I177" s="2"/>
    </row>
    <row r="178" spans="9:9">
      <c r="I178" s="2"/>
    </row>
    <row r="179" spans="9:9">
      <c r="I179" s="2"/>
    </row>
    <row r="180" spans="9:9">
      <c r="I180" s="2"/>
    </row>
    <row r="181" spans="9:9">
      <c r="I181" s="2"/>
    </row>
    <row r="182" spans="9:9">
      <c r="I182" s="2"/>
    </row>
    <row r="183" spans="9:9">
      <c r="I183" s="2"/>
    </row>
    <row r="184" spans="9:9">
      <c r="I184" s="2"/>
    </row>
    <row r="185" spans="9:9">
      <c r="I185" s="2"/>
    </row>
    <row r="186" spans="9:9">
      <c r="I186" s="2"/>
    </row>
    <row r="187" spans="9:9">
      <c r="I187" s="2"/>
    </row>
    <row r="188" spans="9:9">
      <c r="I188" s="2"/>
    </row>
    <row r="189" spans="9:9">
      <c r="I189" s="2"/>
    </row>
    <row r="190" spans="9:9">
      <c r="I190" s="2"/>
    </row>
    <row r="191" spans="9:9">
      <c r="I191" s="2"/>
    </row>
    <row r="192" spans="9:9">
      <c r="I192" s="2"/>
    </row>
    <row r="193" spans="9:9">
      <c r="I193" s="2"/>
    </row>
    <row r="194" spans="9:9">
      <c r="I194" s="2"/>
    </row>
    <row r="195" spans="9:9">
      <c r="I195" s="2"/>
    </row>
    <row r="196" spans="9:9">
      <c r="I196" s="2"/>
    </row>
    <row r="197" spans="9:9">
      <c r="I197" s="2"/>
    </row>
    <row r="198" spans="9:9">
      <c r="I198" s="2"/>
    </row>
    <row r="199" spans="9:9">
      <c r="I199" s="2"/>
    </row>
    <row r="200" spans="9:9">
      <c r="I200" s="2"/>
    </row>
    <row r="201" spans="9:9">
      <c r="I201" s="2"/>
    </row>
    <row r="202" spans="9:9">
      <c r="I202" s="2"/>
    </row>
    <row r="203" spans="9:9">
      <c r="I203" s="2"/>
    </row>
    <row r="204" spans="9:9">
      <c r="I204" s="2"/>
    </row>
    <row r="205" spans="9:9">
      <c r="I205" s="2"/>
    </row>
    <row r="206" spans="9:9">
      <c r="I206" s="2"/>
    </row>
    <row r="207" spans="9:9">
      <c r="I207" s="2"/>
    </row>
    <row r="208" spans="9:9">
      <c r="I208" s="2"/>
    </row>
    <row r="209" spans="9:9">
      <c r="I209" s="2"/>
    </row>
    <row r="210" spans="9:9">
      <c r="I210" s="2"/>
    </row>
    <row r="211" spans="9:9">
      <c r="I211" s="2"/>
    </row>
    <row r="212" spans="9:9">
      <c r="I212" s="2"/>
    </row>
    <row r="213" spans="9:9">
      <c r="I213" s="2"/>
    </row>
    <row r="214" spans="9:9">
      <c r="I214" s="2"/>
    </row>
    <row r="215" spans="9:9">
      <c r="I215" s="2"/>
    </row>
    <row r="216" spans="9:9">
      <c r="I216" s="2"/>
    </row>
    <row r="217" spans="9:9">
      <c r="I217" s="2"/>
    </row>
    <row r="218" spans="9:9">
      <c r="I218" s="2"/>
    </row>
    <row r="219" spans="9:9">
      <c r="I219" s="2"/>
    </row>
    <row r="220" spans="9:9">
      <c r="I220" s="2"/>
    </row>
    <row r="221" spans="9:9">
      <c r="I221" s="2"/>
    </row>
    <row r="222" spans="9:9">
      <c r="I222" s="2"/>
    </row>
    <row r="223" spans="9:9">
      <c r="I223" s="2"/>
    </row>
    <row r="224" spans="9:9">
      <c r="I224" s="2"/>
    </row>
    <row r="225" spans="9:9">
      <c r="I225" s="2"/>
    </row>
    <row r="226" spans="9:9">
      <c r="I226" s="2"/>
    </row>
    <row r="227" spans="9:9">
      <c r="I227" s="2"/>
    </row>
    <row r="228" spans="9:9">
      <c r="I228" s="2"/>
    </row>
    <row r="229" spans="9:9">
      <c r="I229" s="2"/>
    </row>
    <row r="230" spans="9:9">
      <c r="I230" s="2"/>
    </row>
    <row r="231" spans="9:9">
      <c r="I231" s="2"/>
    </row>
    <row r="232" spans="9:9">
      <c r="I232" s="2"/>
    </row>
    <row r="233" spans="9:9">
      <c r="I233" s="2"/>
    </row>
    <row r="234" spans="9:9">
      <c r="I234" s="2"/>
    </row>
    <row r="235" spans="9:9">
      <c r="I235" s="2"/>
    </row>
    <row r="236" spans="9:9">
      <c r="I236" s="2"/>
    </row>
    <row r="237" spans="9:9">
      <c r="I237" s="2"/>
    </row>
    <row r="238" spans="9:9">
      <c r="I238" s="2"/>
    </row>
    <row r="239" spans="9:9">
      <c r="I239" s="2"/>
    </row>
    <row r="240" spans="9:9">
      <c r="I240" s="2"/>
    </row>
    <row r="241" spans="9:9">
      <c r="I241" s="2"/>
    </row>
    <row r="242" spans="9:9">
      <c r="I242" s="2"/>
    </row>
    <row r="243" spans="9:9">
      <c r="I243" s="2"/>
    </row>
    <row r="244" spans="9:9">
      <c r="I244" s="2"/>
    </row>
    <row r="245" spans="9:9">
      <c r="I245" s="2"/>
    </row>
    <row r="246" spans="9:9">
      <c r="I246" s="2"/>
    </row>
    <row r="247" spans="9:9">
      <c r="I247" s="2"/>
    </row>
    <row r="248" spans="9:9">
      <c r="I248" s="2"/>
    </row>
    <row r="249" spans="9:9">
      <c r="I249" s="2"/>
    </row>
    <row r="250" spans="9:9">
      <c r="I250" s="2"/>
    </row>
    <row r="251" spans="9:9">
      <c r="I251" s="2"/>
    </row>
    <row r="252" spans="9:9">
      <c r="I252" s="2"/>
    </row>
    <row r="253" spans="9:9">
      <c r="I253" s="2"/>
    </row>
    <row r="254" spans="9:9">
      <c r="I254" s="2"/>
    </row>
    <row r="255" spans="9:9">
      <c r="I255" s="2"/>
    </row>
    <row r="256" spans="9:9">
      <c r="I256" s="2"/>
    </row>
    <row r="257" spans="9:9">
      <c r="I257" s="2"/>
    </row>
    <row r="258" spans="9:9">
      <c r="I258" s="2"/>
    </row>
    <row r="259" spans="9:9">
      <c r="I259" s="2"/>
    </row>
    <row r="260" spans="9:9">
      <c r="I260" s="2"/>
    </row>
    <row r="261" spans="9:9">
      <c r="I261" s="2"/>
    </row>
    <row r="262" spans="9:9">
      <c r="I262" s="2"/>
    </row>
    <row r="263" spans="9:9">
      <c r="I263" s="2"/>
    </row>
    <row r="264" spans="9:9">
      <c r="I264" s="2"/>
    </row>
    <row r="265" spans="9:9">
      <c r="I265" s="2"/>
    </row>
    <row r="266" spans="9:9">
      <c r="I266" s="2"/>
    </row>
    <row r="267" spans="9:9">
      <c r="I267" s="2"/>
    </row>
    <row r="268" spans="9:9">
      <c r="I268" s="2"/>
    </row>
    <row r="269" spans="9:9">
      <c r="I269" s="2"/>
    </row>
    <row r="270" spans="9:9">
      <c r="I270" s="2"/>
    </row>
    <row r="271" spans="9:9">
      <c r="I271" s="2"/>
    </row>
    <row r="272" spans="9:9">
      <c r="I272" s="2"/>
    </row>
    <row r="273" spans="9:9">
      <c r="I273" s="2"/>
    </row>
    <row r="274" spans="9:9">
      <c r="I274" s="2"/>
    </row>
    <row r="275" spans="9:9">
      <c r="I275" s="2"/>
    </row>
    <row r="276" spans="9:9">
      <c r="I276" s="2"/>
    </row>
    <row r="277" spans="9:9">
      <c r="I277" s="2"/>
    </row>
    <row r="278" spans="9:9">
      <c r="I278" s="2"/>
    </row>
    <row r="279" spans="9:9">
      <c r="I279" s="2"/>
    </row>
    <row r="280" spans="9:9">
      <c r="I280" s="2"/>
    </row>
    <row r="281" spans="9:9">
      <c r="I281" s="2"/>
    </row>
    <row r="282" spans="9:9">
      <c r="I282" s="2"/>
    </row>
    <row r="283" spans="9:9">
      <c r="I283" s="2"/>
    </row>
    <row r="284" spans="9:9">
      <c r="I284" s="2"/>
    </row>
    <row r="285" spans="9:9">
      <c r="I285" s="2"/>
    </row>
    <row r="286" spans="9:9">
      <c r="I286" s="2"/>
    </row>
    <row r="287" spans="9:9">
      <c r="I287" s="2"/>
    </row>
    <row r="288" spans="9:9">
      <c r="I288" s="2"/>
    </row>
    <row r="289" spans="9:9">
      <c r="I289" s="2"/>
    </row>
    <row r="290" spans="9:9">
      <c r="I290" s="2"/>
    </row>
    <row r="291" spans="9:9">
      <c r="I291" s="2"/>
    </row>
    <row r="292" spans="9:9">
      <c r="I292" s="2"/>
    </row>
    <row r="293" spans="9:9">
      <c r="I293" s="2"/>
    </row>
    <row r="294" spans="9:9">
      <c r="I294" s="2"/>
    </row>
    <row r="295" spans="9:9">
      <c r="I295" s="2"/>
    </row>
    <row r="296" spans="9:9">
      <c r="I296" s="2"/>
    </row>
    <row r="297" spans="9:9">
      <c r="I297" s="2"/>
    </row>
    <row r="298" spans="9:9">
      <c r="I298" s="2"/>
    </row>
    <row r="299" spans="9:9">
      <c r="I299" s="2"/>
    </row>
    <row r="300" spans="9:9">
      <c r="I300" s="2"/>
    </row>
    <row r="301" spans="9:9">
      <c r="I301" s="2"/>
    </row>
    <row r="302" spans="9:9">
      <c r="I302" s="2"/>
    </row>
    <row r="303" spans="9:9">
      <c r="I303" s="2"/>
    </row>
    <row r="304" spans="9:9">
      <c r="I304" s="2"/>
    </row>
    <row r="305" spans="9:9">
      <c r="I305" s="2"/>
    </row>
    <row r="306" spans="9:9">
      <c r="I306" s="2"/>
    </row>
    <row r="307" spans="9:9">
      <c r="I307" s="2"/>
    </row>
    <row r="308" spans="9:9">
      <c r="I308" s="2"/>
    </row>
    <row r="309" spans="9:9">
      <c r="I309" s="2"/>
    </row>
    <row r="310" spans="9:9">
      <c r="I310" s="2"/>
    </row>
    <row r="311" spans="9:9">
      <c r="I311" s="2"/>
    </row>
    <row r="312" spans="9:9">
      <c r="I312" s="2"/>
    </row>
    <row r="313" spans="9:9">
      <c r="I313" s="2"/>
    </row>
    <row r="314" spans="9:9">
      <c r="I314" s="2"/>
    </row>
    <row r="315" spans="9:9">
      <c r="I315" s="2"/>
    </row>
    <row r="316" spans="9:9">
      <c r="I316" s="2"/>
    </row>
    <row r="317" spans="9:9">
      <c r="I317" s="2"/>
    </row>
    <row r="318" spans="9:9">
      <c r="I318" s="2"/>
    </row>
    <row r="319" spans="9:9">
      <c r="I319" s="2"/>
    </row>
    <row r="320" spans="9:9">
      <c r="I320" s="2"/>
    </row>
    <row r="321" spans="9:9">
      <c r="I321" s="2"/>
    </row>
    <row r="322" spans="9:9">
      <c r="I322" s="2"/>
    </row>
    <row r="323" spans="9:9">
      <c r="I323" s="2"/>
    </row>
    <row r="324" spans="9:9">
      <c r="I324" s="2"/>
    </row>
    <row r="325" spans="9:9">
      <c r="I325" s="2"/>
    </row>
    <row r="326" spans="9:9">
      <c r="I326" s="2"/>
    </row>
    <row r="327" spans="9:9">
      <c r="I327" s="2"/>
    </row>
    <row r="328" spans="9:9">
      <c r="I328" s="2"/>
    </row>
    <row r="329" spans="9:9">
      <c r="I329" s="2"/>
    </row>
    <row r="330" spans="9:9">
      <c r="I330" s="2"/>
    </row>
    <row r="331" spans="9:9">
      <c r="I331" s="2"/>
    </row>
    <row r="332" spans="9:9">
      <c r="I332" s="2"/>
    </row>
    <row r="333" spans="9:9">
      <c r="I333" s="2"/>
    </row>
    <row r="334" spans="9:9">
      <c r="I334" s="2"/>
    </row>
    <row r="335" spans="9:9">
      <c r="I335" s="2"/>
    </row>
    <row r="336" spans="9:9">
      <c r="I336" s="2"/>
    </row>
    <row r="337" spans="9:9">
      <c r="I337" s="2"/>
    </row>
    <row r="338" spans="9:9">
      <c r="I338" s="2"/>
    </row>
    <row r="339" spans="9:9">
      <c r="I339" s="2"/>
    </row>
    <row r="340" spans="9:9">
      <c r="I340" s="2"/>
    </row>
    <row r="341" spans="9:9">
      <c r="I341" s="2"/>
    </row>
    <row r="342" spans="9:9">
      <c r="I342" s="2"/>
    </row>
    <row r="343" spans="9:9">
      <c r="I343" s="2"/>
    </row>
    <row r="344" spans="9:9">
      <c r="I344" s="2"/>
    </row>
    <row r="345" spans="9:9">
      <c r="I345" s="2"/>
    </row>
    <row r="346" spans="9:9">
      <c r="I346" s="2"/>
    </row>
    <row r="347" spans="9:9">
      <c r="I347" s="2"/>
    </row>
    <row r="348" spans="9:9">
      <c r="I348" s="2"/>
    </row>
    <row r="349" spans="9:9">
      <c r="I349" s="2"/>
    </row>
    <row r="350" spans="9:9">
      <c r="I350" s="2"/>
    </row>
    <row r="351" spans="9:9">
      <c r="I351" s="2"/>
    </row>
    <row r="352" spans="9:9">
      <c r="I352" s="2"/>
    </row>
    <row r="353" spans="9:9">
      <c r="I353" s="2"/>
    </row>
    <row r="354" spans="9:9">
      <c r="I354" s="2"/>
    </row>
    <row r="355" spans="9:9">
      <c r="I355" s="2"/>
    </row>
    <row r="356" spans="9:9">
      <c r="I356" s="2"/>
    </row>
    <row r="357" spans="9:9">
      <c r="I357" s="2"/>
    </row>
    <row r="358" spans="9:9">
      <c r="I358" s="2"/>
    </row>
    <row r="359" spans="9:9">
      <c r="I359" s="2"/>
    </row>
    <row r="360" spans="9:9">
      <c r="I360" s="2"/>
    </row>
    <row r="361" spans="9:9">
      <c r="I361" s="2"/>
    </row>
    <row r="362" spans="9:9">
      <c r="I362" s="2"/>
    </row>
    <row r="363" spans="9:9">
      <c r="I363" s="2"/>
    </row>
    <row r="364" spans="9:9">
      <c r="I364" s="2"/>
    </row>
    <row r="365" spans="9:9">
      <c r="I365" s="2"/>
    </row>
    <row r="366" spans="9:9">
      <c r="I366" s="2"/>
    </row>
    <row r="367" spans="9:9">
      <c r="I367" s="2"/>
    </row>
    <row r="368" spans="9:9">
      <c r="I368" s="2"/>
    </row>
    <row r="369" spans="9:9">
      <c r="I369" s="2"/>
    </row>
    <row r="370" spans="9:9">
      <c r="I370" s="2"/>
    </row>
    <row r="371" spans="9:9">
      <c r="I371" s="2"/>
    </row>
    <row r="372" spans="9:9">
      <c r="I372" s="2"/>
    </row>
    <row r="373" spans="9:9">
      <c r="I373" s="2"/>
    </row>
    <row r="374" spans="9:9">
      <c r="I374" s="2"/>
    </row>
    <row r="375" spans="9:9">
      <c r="I375" s="2"/>
    </row>
    <row r="376" spans="9:9">
      <c r="I376" s="2"/>
    </row>
    <row r="377" spans="9:9">
      <c r="I377" s="2"/>
    </row>
    <row r="378" spans="9:9">
      <c r="I378" s="2"/>
    </row>
    <row r="379" spans="9:9">
      <c r="I379" s="2"/>
    </row>
    <row r="380" spans="9:9">
      <c r="I380" s="2"/>
    </row>
    <row r="381" spans="9:9">
      <c r="I381" s="2"/>
    </row>
    <row r="382" spans="9:9">
      <c r="I382" s="2"/>
    </row>
    <row r="383" spans="9:9">
      <c r="I383" s="2"/>
    </row>
    <row r="384" spans="9:9">
      <c r="I384" s="2"/>
    </row>
    <row r="385" spans="9:9">
      <c r="I385" s="2"/>
    </row>
    <row r="386" spans="9:9">
      <c r="I386" s="2"/>
    </row>
    <row r="387" spans="9:9">
      <c r="I387" s="2"/>
    </row>
    <row r="388" spans="9:9">
      <c r="I388" s="2"/>
    </row>
    <row r="389" spans="9:9">
      <c r="I389" s="2"/>
    </row>
    <row r="390" spans="9:9">
      <c r="I390" s="2"/>
    </row>
    <row r="391" spans="9:9">
      <c r="I391" s="2"/>
    </row>
    <row r="392" spans="9:9">
      <c r="I392" s="2"/>
    </row>
    <row r="393" spans="9:9">
      <c r="I393" s="2"/>
    </row>
    <row r="394" spans="9:9">
      <c r="I394" s="2"/>
    </row>
    <row r="395" spans="9:9">
      <c r="I395" s="2"/>
    </row>
    <row r="396" spans="9:9">
      <c r="I396" s="2"/>
    </row>
    <row r="397" spans="9:9">
      <c r="I397" s="2"/>
    </row>
    <row r="398" spans="9:9">
      <c r="I398" s="2"/>
    </row>
    <row r="399" spans="9:9">
      <c r="I399" s="2"/>
    </row>
    <row r="400" spans="9:9">
      <c r="I400" s="2"/>
    </row>
    <row r="401" spans="9:9">
      <c r="I401" s="2"/>
    </row>
    <row r="402" spans="9:9">
      <c r="I402" s="2"/>
    </row>
    <row r="403" spans="9:9">
      <c r="I403" s="2"/>
    </row>
    <row r="404" spans="9:9">
      <c r="I404" s="2"/>
    </row>
    <row r="405" spans="9:9">
      <c r="I405" s="2"/>
    </row>
    <row r="406" spans="9:9">
      <c r="I406" s="2"/>
    </row>
    <row r="407" spans="9:9">
      <c r="I407" s="2"/>
    </row>
    <row r="408" spans="9:9">
      <c r="I408" s="2"/>
    </row>
    <row r="409" spans="9:9">
      <c r="I409" s="2"/>
    </row>
    <row r="410" spans="9:9">
      <c r="I410" s="2"/>
    </row>
    <row r="411" spans="9:9">
      <c r="I411" s="2"/>
    </row>
    <row r="412" spans="9:9">
      <c r="I412" s="2"/>
    </row>
    <row r="413" spans="9:9">
      <c r="I413" s="2"/>
    </row>
    <row r="414" spans="9:9">
      <c r="I414" s="2"/>
    </row>
    <row r="415" spans="9:9">
      <c r="I415" s="2"/>
    </row>
    <row r="416" spans="9:9">
      <c r="I416" s="2"/>
    </row>
    <row r="417" spans="9:9">
      <c r="I417" s="2"/>
    </row>
    <row r="418" spans="9:9">
      <c r="I418" s="2"/>
    </row>
    <row r="419" spans="9:9">
      <c r="I419" s="2"/>
    </row>
    <row r="420" spans="9:9">
      <c r="I420" s="2"/>
    </row>
    <row r="421" spans="9:9">
      <c r="I421" s="2"/>
    </row>
    <row r="422" spans="9:9">
      <c r="I422" s="2"/>
    </row>
    <row r="423" spans="9:9">
      <c r="I423" s="2"/>
    </row>
    <row r="424" spans="9:9">
      <c r="I424" s="2"/>
    </row>
    <row r="425" spans="9:9">
      <c r="I425" s="2"/>
    </row>
    <row r="426" spans="9:9">
      <c r="I426" s="2"/>
    </row>
    <row r="427" spans="9:9">
      <c r="I427" s="2"/>
    </row>
    <row r="428" spans="9:9">
      <c r="I428" s="2"/>
    </row>
    <row r="429" spans="9:9">
      <c r="I429" s="2"/>
    </row>
    <row r="430" spans="9:9">
      <c r="I430" s="2"/>
    </row>
    <row r="431" spans="9:9">
      <c r="I431" s="2"/>
    </row>
    <row r="432" spans="9:9">
      <c r="I432" s="2"/>
    </row>
    <row r="433" spans="9:9">
      <c r="I433" s="2"/>
    </row>
    <row r="434" spans="9:9">
      <c r="I434" s="2"/>
    </row>
    <row r="435" spans="9:9">
      <c r="I435" s="2"/>
    </row>
    <row r="436" spans="9:9">
      <c r="I436" s="2"/>
    </row>
    <row r="437" spans="9:9">
      <c r="I437" s="2"/>
    </row>
    <row r="438" spans="9:9">
      <c r="I438" s="2"/>
    </row>
    <row r="439" spans="9:9">
      <c r="I439" s="2"/>
    </row>
    <row r="440" spans="9:9">
      <c r="I440" s="2"/>
    </row>
    <row r="441" spans="9:9">
      <c r="I441" s="2"/>
    </row>
    <row r="442" spans="9:9">
      <c r="I442" s="2"/>
    </row>
    <row r="443" spans="9:9">
      <c r="I443" s="2"/>
    </row>
    <row r="444" spans="9:9">
      <c r="I444" s="2"/>
    </row>
    <row r="445" spans="9:9">
      <c r="I445" s="2"/>
    </row>
    <row r="446" spans="9:9">
      <c r="I446" s="2"/>
    </row>
    <row r="447" spans="9:9">
      <c r="I447" s="2"/>
    </row>
    <row r="448" spans="9:9">
      <c r="I448" s="2"/>
    </row>
    <row r="449" spans="9:9">
      <c r="I449" s="2"/>
    </row>
    <row r="450" spans="9:9">
      <c r="I450" s="2"/>
    </row>
    <row r="451" spans="9:9">
      <c r="I451" s="2"/>
    </row>
    <row r="452" spans="9:9">
      <c r="I452" s="2"/>
    </row>
    <row r="453" spans="9:9">
      <c r="I453" s="2"/>
    </row>
    <row r="454" spans="9:9">
      <c r="I454" s="2"/>
    </row>
    <row r="455" spans="9:9">
      <c r="I455" s="2"/>
    </row>
    <row r="456" spans="9:9">
      <c r="I456" s="2"/>
    </row>
    <row r="457" spans="9:9">
      <c r="I457" s="2"/>
    </row>
    <row r="458" spans="9:9">
      <c r="I458" s="2"/>
    </row>
    <row r="459" spans="9:9">
      <c r="I459" s="2"/>
    </row>
    <row r="460" spans="9:9">
      <c r="I460" s="2"/>
    </row>
    <row r="461" spans="9:9">
      <c r="I461" s="2"/>
    </row>
    <row r="462" spans="9:9">
      <c r="I462" s="2"/>
    </row>
    <row r="463" spans="9:9">
      <c r="I463" s="2"/>
    </row>
    <row r="464" spans="9:9">
      <c r="I464" s="2"/>
    </row>
    <row r="465" spans="9:9">
      <c r="I465" s="2"/>
    </row>
    <row r="466" spans="9:9">
      <c r="I466" s="2"/>
    </row>
    <row r="467" spans="9:9">
      <c r="I467" s="2"/>
    </row>
    <row r="468" spans="9:9">
      <c r="I468" s="2"/>
    </row>
    <row r="469" spans="9:9">
      <c r="I469" s="2"/>
    </row>
    <row r="470" spans="9:9">
      <c r="I470" s="2"/>
    </row>
    <row r="471" spans="9:9">
      <c r="I471" s="2"/>
    </row>
    <row r="472" spans="9:9">
      <c r="I472" s="2"/>
    </row>
    <row r="473" spans="9:9">
      <c r="I473" s="2"/>
    </row>
    <row r="474" spans="9:9">
      <c r="I474" s="2"/>
    </row>
    <row r="475" spans="9:9">
      <c r="I475" s="2"/>
    </row>
    <row r="476" spans="9:9">
      <c r="I476" s="2"/>
    </row>
    <row r="477" spans="9:9">
      <c r="I477" s="2"/>
    </row>
    <row r="478" spans="9:9">
      <c r="I478" s="2"/>
    </row>
    <row r="479" spans="9:9">
      <c r="I479" s="2"/>
    </row>
    <row r="480" spans="9:9">
      <c r="I480" s="2"/>
    </row>
    <row r="481" spans="9:9">
      <c r="I481" s="2"/>
    </row>
    <row r="482" spans="9:9">
      <c r="I482" s="2"/>
    </row>
    <row r="483" spans="9:9">
      <c r="I483" s="2"/>
    </row>
    <row r="484" spans="9:9">
      <c r="I484" s="2"/>
    </row>
    <row r="485" spans="9:9">
      <c r="I485" s="2"/>
    </row>
    <row r="486" spans="9:9">
      <c r="I486" s="2"/>
    </row>
    <row r="487" spans="9:9">
      <c r="I487" s="2"/>
    </row>
    <row r="488" spans="9:9">
      <c r="I488" s="2"/>
    </row>
    <row r="489" spans="9:9">
      <c r="I489" s="2"/>
    </row>
    <row r="490" spans="9:9">
      <c r="I490" s="2"/>
    </row>
    <row r="491" spans="9:9">
      <c r="I491" s="2"/>
    </row>
    <row r="492" spans="9:9">
      <c r="I492" s="2"/>
    </row>
    <row r="493" spans="9:9">
      <c r="I493" s="2"/>
    </row>
    <row r="494" spans="9:9">
      <c r="I494" s="2"/>
    </row>
    <row r="495" spans="9:9">
      <c r="I495" s="2"/>
    </row>
    <row r="496" spans="9:9">
      <c r="I496" s="2"/>
    </row>
    <row r="497" spans="9:9">
      <c r="I497" s="2"/>
    </row>
    <row r="498" spans="9:9">
      <c r="I498" s="2"/>
    </row>
    <row r="499" spans="9:9">
      <c r="I499" s="2"/>
    </row>
    <row r="500" spans="9:9">
      <c r="I500" s="2"/>
    </row>
    <row r="501" spans="9:9">
      <c r="I501" s="2"/>
    </row>
    <row r="502" spans="9:9">
      <c r="I502" s="2"/>
    </row>
    <row r="503" spans="9:9">
      <c r="I503" s="2"/>
    </row>
    <row r="504" spans="9:9">
      <c r="I504" s="2"/>
    </row>
    <row r="505" spans="9:9">
      <c r="I505" s="2"/>
    </row>
    <row r="506" spans="9:9">
      <c r="I506" s="2"/>
    </row>
    <row r="507" spans="9:9">
      <c r="I507" s="2"/>
    </row>
    <row r="508" spans="9:9">
      <c r="I508" s="2"/>
    </row>
    <row r="509" spans="9:9">
      <c r="I509" s="2"/>
    </row>
    <row r="510" spans="9:9">
      <c r="I510" s="2"/>
    </row>
    <row r="511" spans="9:9">
      <c r="I511" s="2"/>
    </row>
    <row r="512" spans="9:9">
      <c r="I512" s="2"/>
    </row>
    <row r="513" spans="9:9">
      <c r="I513" s="2"/>
    </row>
    <row r="514" spans="9:9">
      <c r="I514" s="2"/>
    </row>
    <row r="515" spans="9:9">
      <c r="I515" s="2"/>
    </row>
    <row r="516" spans="9:9">
      <c r="I516" s="2"/>
    </row>
    <row r="517" spans="9:9">
      <c r="I517" s="2"/>
    </row>
    <row r="518" spans="9:9">
      <c r="I518" s="2"/>
    </row>
    <row r="519" spans="9:9">
      <c r="I519" s="2"/>
    </row>
    <row r="520" spans="9:9">
      <c r="I520" s="2"/>
    </row>
    <row r="521" spans="9:9">
      <c r="I521" s="2"/>
    </row>
    <row r="522" spans="9:9">
      <c r="I522" s="2"/>
    </row>
    <row r="523" spans="9:9">
      <c r="I523" s="2"/>
    </row>
    <row r="524" spans="9:9">
      <c r="I524" s="2"/>
    </row>
    <row r="525" spans="9:9">
      <c r="I525" s="2"/>
    </row>
    <row r="526" spans="9:9">
      <c r="I526" s="2"/>
    </row>
    <row r="527" spans="9:9">
      <c r="I527" s="2"/>
    </row>
    <row r="528" spans="9:9">
      <c r="I528" s="2"/>
    </row>
    <row r="529" spans="9:9">
      <c r="I529" s="2"/>
    </row>
    <row r="530" spans="9:9">
      <c r="I530" s="2"/>
    </row>
    <row r="531" spans="9:9">
      <c r="I531" s="2"/>
    </row>
    <row r="532" spans="9:9">
      <c r="I532" s="2"/>
    </row>
    <row r="533" spans="9:9">
      <c r="I533" s="2"/>
    </row>
    <row r="534" spans="9:9">
      <c r="I534" s="2"/>
    </row>
    <row r="535" spans="9:9">
      <c r="I535" s="2"/>
    </row>
    <row r="536" spans="9:9">
      <c r="I536" s="2"/>
    </row>
    <row r="537" spans="9:9">
      <c r="I537" s="2"/>
    </row>
    <row r="538" spans="9:9">
      <c r="I538" s="2"/>
    </row>
    <row r="539" spans="9:9">
      <c r="I539" s="2"/>
    </row>
    <row r="540" spans="9:9">
      <c r="I540" s="2"/>
    </row>
    <row r="541" spans="9:9">
      <c r="I541" s="2"/>
    </row>
    <row r="542" spans="9:9">
      <c r="I542" s="2"/>
    </row>
    <row r="543" spans="9:9">
      <c r="I543" s="2"/>
    </row>
    <row r="544" spans="9:9">
      <c r="I544" s="2"/>
    </row>
    <row r="545" spans="9:9">
      <c r="I545" s="2"/>
    </row>
    <row r="546" spans="9:9">
      <c r="I546" s="2"/>
    </row>
    <row r="547" spans="9:9">
      <c r="I547" s="2"/>
    </row>
    <row r="548" spans="9:9">
      <c r="I548" s="2"/>
    </row>
    <row r="549" spans="9:9">
      <c r="I549" s="2"/>
    </row>
    <row r="550" spans="9:9">
      <c r="I550" s="2"/>
    </row>
    <row r="551" spans="9:9">
      <c r="I551" s="2"/>
    </row>
    <row r="552" spans="9:9">
      <c r="I552" s="2"/>
    </row>
    <row r="553" spans="9:9">
      <c r="I553" s="2"/>
    </row>
    <row r="554" spans="9:9">
      <c r="I554" s="2"/>
    </row>
    <row r="555" spans="9:9">
      <c r="I555" s="2"/>
    </row>
    <row r="556" spans="9:9">
      <c r="I556" s="2"/>
    </row>
    <row r="557" spans="9:9">
      <c r="I557" s="2"/>
    </row>
    <row r="558" spans="9:9">
      <c r="I558" s="2"/>
    </row>
    <row r="559" spans="9:9">
      <c r="I559" s="2"/>
    </row>
    <row r="560" spans="9:9">
      <c r="I560" s="2"/>
    </row>
    <row r="561" spans="9:9">
      <c r="I561" s="2"/>
    </row>
    <row r="562" spans="9:9">
      <c r="I562" s="2"/>
    </row>
    <row r="563" spans="9:9">
      <c r="I563" s="2"/>
    </row>
    <row r="564" spans="9:9">
      <c r="I564" s="2"/>
    </row>
    <row r="565" spans="9:9">
      <c r="I565" s="2"/>
    </row>
    <row r="566" spans="9:9">
      <c r="I566" s="2"/>
    </row>
    <row r="567" spans="9:9">
      <c r="I567" s="2"/>
    </row>
    <row r="568" spans="9:9">
      <c r="I568" s="2"/>
    </row>
    <row r="569" spans="9:9">
      <c r="I569" s="2"/>
    </row>
    <row r="570" spans="9:9">
      <c r="I570" s="2"/>
    </row>
    <row r="571" spans="9:9">
      <c r="I571" s="2"/>
    </row>
    <row r="572" spans="9:9">
      <c r="I572" s="2"/>
    </row>
    <row r="573" spans="9:9">
      <c r="I573" s="2"/>
    </row>
    <row r="574" spans="9:9">
      <c r="I574" s="2"/>
    </row>
    <row r="575" spans="9:9">
      <c r="I575" s="2"/>
    </row>
    <row r="576" spans="9:9">
      <c r="I576" s="2"/>
    </row>
    <row r="577" spans="9:9">
      <c r="I577" s="2"/>
    </row>
    <row r="578" spans="9:9">
      <c r="I578" s="2"/>
    </row>
    <row r="579" spans="9:9">
      <c r="I579" s="2"/>
    </row>
    <row r="580" spans="9:9">
      <c r="I580" s="2"/>
    </row>
    <row r="581" spans="9:9">
      <c r="I581" s="2"/>
    </row>
    <row r="582" spans="9:9">
      <c r="I582" s="2"/>
    </row>
    <row r="583" spans="9:9">
      <c r="I583" s="2"/>
    </row>
    <row r="584" spans="9:9">
      <c r="I584" s="2"/>
    </row>
    <row r="585" spans="9:9">
      <c r="I585" s="2"/>
    </row>
    <row r="586" spans="9:9">
      <c r="I586" s="2"/>
    </row>
    <row r="587" spans="9:9">
      <c r="I587" s="2"/>
    </row>
    <row r="588" spans="9:9">
      <c r="I588" s="2"/>
    </row>
    <row r="589" spans="9:9">
      <c r="I589" s="2"/>
    </row>
    <row r="590" spans="9:9">
      <c r="I590" s="2"/>
    </row>
    <row r="591" spans="9:9">
      <c r="I591" s="2"/>
    </row>
    <row r="592" spans="9:9">
      <c r="I592" s="2"/>
    </row>
    <row r="593" spans="9:9">
      <c r="I593" s="2"/>
    </row>
    <row r="594" spans="9:9">
      <c r="I594" s="2"/>
    </row>
    <row r="595" spans="9:9">
      <c r="I595" s="2"/>
    </row>
    <row r="596" spans="9:9">
      <c r="I596" s="2"/>
    </row>
    <row r="597" spans="9:9">
      <c r="I597" s="2"/>
    </row>
    <row r="598" spans="9:9">
      <c r="I598" s="2"/>
    </row>
    <row r="599" spans="9:9">
      <c r="I599" s="2"/>
    </row>
    <row r="600" spans="9:9">
      <c r="I600" s="2"/>
    </row>
    <row r="601" spans="9:9">
      <c r="I601" s="2"/>
    </row>
    <row r="602" spans="9:9">
      <c r="I602" s="2"/>
    </row>
    <row r="603" spans="9:9">
      <c r="I603" s="2"/>
    </row>
    <row r="604" spans="9:9">
      <c r="I604" s="2"/>
    </row>
    <row r="605" spans="9:9">
      <c r="I605" s="2"/>
    </row>
    <row r="606" spans="9:9">
      <c r="I606" s="2"/>
    </row>
    <row r="607" spans="9:9">
      <c r="I607" s="2"/>
    </row>
    <row r="608" spans="9:9">
      <c r="I608" s="2"/>
    </row>
    <row r="609" spans="9:9">
      <c r="I609" s="2"/>
    </row>
    <row r="610" spans="9:9">
      <c r="I610" s="2"/>
    </row>
    <row r="611" spans="9:9">
      <c r="I611" s="2"/>
    </row>
    <row r="612" spans="9:9">
      <c r="I612" s="2"/>
    </row>
    <row r="613" spans="9:9">
      <c r="I613" s="2"/>
    </row>
    <row r="614" spans="9:9">
      <c r="I614" s="2"/>
    </row>
    <row r="615" spans="9:9">
      <c r="I615" s="2"/>
    </row>
    <row r="616" spans="9:9">
      <c r="I616" s="2"/>
    </row>
    <row r="617" spans="9:9">
      <c r="I617" s="2"/>
    </row>
    <row r="618" spans="9:9">
      <c r="I618" s="2"/>
    </row>
    <row r="619" spans="9:9">
      <c r="I619" s="2"/>
    </row>
    <row r="620" spans="9:9">
      <c r="I620" s="2"/>
    </row>
    <row r="621" spans="9:9">
      <c r="I621" s="2"/>
    </row>
    <row r="622" spans="9:9">
      <c r="I622" s="2"/>
    </row>
    <row r="623" spans="9:9">
      <c r="I623" s="2"/>
    </row>
    <row r="624" spans="9:9">
      <c r="I624" s="2"/>
    </row>
    <row r="625" spans="9:9">
      <c r="I625" s="2"/>
    </row>
    <row r="626" spans="9:9">
      <c r="I626" s="2"/>
    </row>
    <row r="627" spans="9:9">
      <c r="I627" s="2"/>
    </row>
    <row r="628" spans="9:9">
      <c r="I628" s="2"/>
    </row>
    <row r="629" spans="9:9">
      <c r="I629" s="2"/>
    </row>
    <row r="630" spans="9:9">
      <c r="I630" s="2"/>
    </row>
    <row r="631" spans="9:9">
      <c r="I631" s="2"/>
    </row>
    <row r="632" spans="9:9">
      <c r="I632" s="2"/>
    </row>
    <row r="633" spans="9:9">
      <c r="I633" s="2"/>
    </row>
    <row r="634" spans="9:9">
      <c r="I634" s="2"/>
    </row>
    <row r="635" spans="9:9">
      <c r="I635" s="2"/>
    </row>
    <row r="636" spans="9:9">
      <c r="I636" s="2"/>
    </row>
    <row r="637" spans="9:9">
      <c r="I637" s="2"/>
    </row>
    <row r="638" spans="9:9">
      <c r="I638" s="2"/>
    </row>
    <row r="639" spans="9:9">
      <c r="I639" s="2"/>
    </row>
    <row r="640" spans="9:9">
      <c r="I640" s="2"/>
    </row>
    <row r="641" spans="9:9">
      <c r="I641" s="2"/>
    </row>
    <row r="642" spans="9:9">
      <c r="I642" s="2"/>
    </row>
    <row r="643" spans="9:9">
      <c r="I643" s="2"/>
    </row>
    <row r="644" spans="9:9">
      <c r="I644" s="2"/>
    </row>
    <row r="645" spans="9:9">
      <c r="I645" s="2"/>
    </row>
    <row r="646" spans="9:9">
      <c r="I646" s="2"/>
    </row>
    <row r="647" spans="9:9">
      <c r="I647" s="2"/>
    </row>
    <row r="648" spans="9:9">
      <c r="I648" s="2"/>
    </row>
    <row r="649" spans="9:9">
      <c r="I649" s="2"/>
    </row>
    <row r="650" spans="9:9">
      <c r="I650" s="2"/>
    </row>
    <row r="651" spans="9:9">
      <c r="I651" s="2"/>
    </row>
    <row r="652" spans="9:9">
      <c r="I652" s="2"/>
    </row>
    <row r="653" spans="9:9">
      <c r="I653" s="2"/>
    </row>
    <row r="654" spans="9:9">
      <c r="I654" s="2"/>
    </row>
    <row r="655" spans="9:9">
      <c r="I655" s="2"/>
    </row>
    <row r="656" spans="9:9">
      <c r="I656" s="2"/>
    </row>
    <row r="657" spans="9:9">
      <c r="I657" s="2"/>
    </row>
    <row r="658" spans="9:9">
      <c r="I658" s="2"/>
    </row>
    <row r="659" spans="9:9">
      <c r="I659" s="2"/>
    </row>
    <row r="660" spans="9:9">
      <c r="I660" s="2"/>
    </row>
    <row r="661" spans="9:9">
      <c r="I661" s="2"/>
    </row>
    <row r="662" spans="9:9">
      <c r="I662" s="2"/>
    </row>
    <row r="663" spans="9:9">
      <c r="I663" s="2"/>
    </row>
    <row r="664" spans="9:9">
      <c r="I664" s="2"/>
    </row>
    <row r="665" spans="9:9">
      <c r="I665" s="2"/>
    </row>
    <row r="666" spans="9:9">
      <c r="I666" s="2"/>
    </row>
    <row r="667" spans="9:9">
      <c r="I667" s="2"/>
    </row>
    <row r="668" spans="9:9">
      <c r="I668" s="2"/>
    </row>
    <row r="669" spans="9:9">
      <c r="I669" s="2"/>
    </row>
    <row r="670" spans="9:9">
      <c r="I670" s="2"/>
    </row>
    <row r="671" spans="9:9">
      <c r="I671" s="2"/>
    </row>
    <row r="672" spans="9:9">
      <c r="I672" s="2"/>
    </row>
    <row r="673" spans="9:9">
      <c r="I673" s="2"/>
    </row>
    <row r="674" spans="9:9">
      <c r="I674" s="2"/>
    </row>
    <row r="675" spans="9:9">
      <c r="I675" s="2"/>
    </row>
    <row r="676" spans="9:9">
      <c r="I676" s="2"/>
    </row>
    <row r="677" spans="9:9">
      <c r="I677" s="2"/>
    </row>
    <row r="678" spans="9:9">
      <c r="I678" s="2"/>
    </row>
    <row r="679" spans="9:9">
      <c r="I679" s="2"/>
    </row>
    <row r="680" spans="9:9">
      <c r="I680" s="2"/>
    </row>
    <row r="681" spans="9:9">
      <c r="I681" s="2"/>
    </row>
    <row r="682" spans="9:9">
      <c r="I682" s="2"/>
    </row>
    <row r="683" spans="9:9">
      <c r="I683" s="2"/>
    </row>
    <row r="684" spans="9:9">
      <c r="I684" s="2"/>
    </row>
    <row r="685" spans="9:9">
      <c r="I685" s="2"/>
    </row>
    <row r="686" spans="9:9">
      <c r="I686" s="2"/>
    </row>
    <row r="687" spans="9:9">
      <c r="I687" s="2"/>
    </row>
    <row r="688" spans="9:9">
      <c r="I688" s="2"/>
    </row>
    <row r="689" spans="9:9">
      <c r="I689" s="2"/>
    </row>
    <row r="690" spans="9:9">
      <c r="I690" s="2"/>
    </row>
    <row r="691" spans="9:9">
      <c r="I691" s="2"/>
    </row>
    <row r="692" spans="9:9">
      <c r="I692" s="2"/>
    </row>
    <row r="693" spans="9:9">
      <c r="I693" s="2"/>
    </row>
    <row r="694" spans="9:9">
      <c r="I694" s="2"/>
    </row>
    <row r="695" spans="9:9">
      <c r="I695" s="2"/>
    </row>
    <row r="696" spans="9:9">
      <c r="I696" s="2"/>
    </row>
    <row r="697" spans="9:9">
      <c r="I697" s="2"/>
    </row>
    <row r="698" spans="9:9">
      <c r="I698" s="2"/>
    </row>
    <row r="699" spans="9:9">
      <c r="I699" s="2"/>
    </row>
    <row r="700" spans="9:9">
      <c r="I700" s="2"/>
    </row>
    <row r="701" spans="9:9">
      <c r="I701" s="2"/>
    </row>
    <row r="702" spans="9:9">
      <c r="I702" s="2"/>
    </row>
    <row r="703" spans="9:9">
      <c r="I703" s="2"/>
    </row>
    <row r="704" spans="9:9">
      <c r="I704" s="2"/>
    </row>
    <row r="705" spans="9:9">
      <c r="I705" s="2"/>
    </row>
    <row r="706" spans="9:9">
      <c r="I706" s="2"/>
    </row>
    <row r="707" spans="9:9">
      <c r="I707" s="2"/>
    </row>
    <row r="708" spans="9:9">
      <c r="I708" s="2"/>
    </row>
    <row r="709" spans="9:9">
      <c r="I709" s="2"/>
    </row>
    <row r="710" spans="9:9">
      <c r="I710" s="2"/>
    </row>
    <row r="711" spans="9:9">
      <c r="I711" s="2"/>
    </row>
    <row r="712" spans="9:9">
      <c r="I712" s="2"/>
    </row>
    <row r="713" spans="9:9">
      <c r="I713" s="2"/>
    </row>
    <row r="714" spans="9:9">
      <c r="I714" s="2"/>
    </row>
    <row r="715" spans="9:9">
      <c r="I715" s="2"/>
    </row>
    <row r="716" spans="9:9">
      <c r="I716" s="2"/>
    </row>
    <row r="717" spans="9:9">
      <c r="I717" s="2"/>
    </row>
    <row r="718" spans="9:9">
      <c r="I718" s="2"/>
    </row>
    <row r="719" spans="9:9">
      <c r="I719" s="2"/>
    </row>
    <row r="720" spans="9:9">
      <c r="I720" s="2"/>
    </row>
    <row r="721" spans="9:9">
      <c r="I721" s="2"/>
    </row>
    <row r="722" spans="9:9">
      <c r="I722" s="2"/>
    </row>
    <row r="723" spans="9:9">
      <c r="I723" s="2"/>
    </row>
    <row r="724" spans="9:9">
      <c r="I724" s="2"/>
    </row>
    <row r="725" spans="9:9">
      <c r="I725" s="2"/>
    </row>
    <row r="726" spans="9:9">
      <c r="I726" s="2"/>
    </row>
    <row r="727" spans="9:9">
      <c r="I727" s="2"/>
    </row>
    <row r="728" spans="9:9">
      <c r="I728" s="2"/>
    </row>
    <row r="729" spans="9:9">
      <c r="I729" s="2"/>
    </row>
    <row r="730" spans="9:9">
      <c r="I730" s="2"/>
    </row>
    <row r="731" spans="9:9">
      <c r="I731" s="2"/>
    </row>
    <row r="732" spans="9:9">
      <c r="I732" s="2"/>
    </row>
    <row r="733" spans="9:9">
      <c r="I733" s="2"/>
    </row>
    <row r="734" spans="9:9">
      <c r="I734" s="2"/>
    </row>
    <row r="735" spans="9:9">
      <c r="I735" s="2"/>
    </row>
    <row r="736" spans="9:9">
      <c r="I736" s="2"/>
    </row>
    <row r="737" spans="9:9">
      <c r="I737" s="2"/>
    </row>
    <row r="738" spans="9:9">
      <c r="I738" s="2"/>
    </row>
    <row r="739" spans="9:9">
      <c r="I739" s="2"/>
    </row>
    <row r="740" spans="9:9">
      <c r="I740" s="2"/>
    </row>
    <row r="741" spans="9:9">
      <c r="I741" s="2"/>
    </row>
    <row r="742" spans="9:9">
      <c r="I742" s="2"/>
    </row>
    <row r="743" spans="9:9">
      <c r="I743" s="2"/>
    </row>
    <row r="744" spans="9:9">
      <c r="I744" s="2"/>
    </row>
    <row r="745" spans="9:9">
      <c r="I745" s="2"/>
    </row>
    <row r="746" spans="9:9">
      <c r="I746" s="2"/>
    </row>
    <row r="747" spans="9:9">
      <c r="I747" s="2"/>
    </row>
    <row r="748" spans="9:9">
      <c r="I748" s="2"/>
    </row>
    <row r="749" spans="9:9">
      <c r="I749" s="2"/>
    </row>
    <row r="750" spans="9:9">
      <c r="I750" s="2"/>
    </row>
    <row r="751" spans="9:9">
      <c r="I751" s="2"/>
    </row>
    <row r="752" spans="9:9">
      <c r="I752" s="2"/>
    </row>
    <row r="753" spans="9:9">
      <c r="I753" s="2"/>
    </row>
    <row r="754" spans="9:9">
      <c r="I754" s="2"/>
    </row>
    <row r="755" spans="9:9">
      <c r="I755" s="2"/>
    </row>
    <row r="756" spans="9:9">
      <c r="I756" s="2"/>
    </row>
    <row r="757" spans="9:9">
      <c r="I757" s="2"/>
    </row>
    <row r="758" spans="9:9">
      <c r="I758" s="2"/>
    </row>
    <row r="759" spans="9:9">
      <c r="I759" s="2"/>
    </row>
    <row r="760" spans="9:9">
      <c r="I760" s="2"/>
    </row>
    <row r="761" spans="9:9">
      <c r="I761" s="2"/>
    </row>
    <row r="762" spans="9:9">
      <c r="I762" s="2"/>
    </row>
    <row r="763" spans="9:9">
      <c r="I763" s="2"/>
    </row>
    <row r="764" spans="9:9">
      <c r="I764" s="2"/>
    </row>
    <row r="765" spans="9:9">
      <c r="I765" s="2"/>
    </row>
    <row r="766" spans="9:9">
      <c r="I766" s="2"/>
    </row>
    <row r="767" spans="9:9">
      <c r="I767" s="2"/>
    </row>
    <row r="768" spans="9:9">
      <c r="I768" s="2"/>
    </row>
    <row r="769" spans="9:9">
      <c r="I769" s="2"/>
    </row>
    <row r="770" spans="9:9">
      <c r="I770" s="2"/>
    </row>
    <row r="771" spans="9:9">
      <c r="I771" s="2"/>
    </row>
    <row r="772" spans="9:9">
      <c r="I772" s="2"/>
    </row>
    <row r="773" spans="9:9">
      <c r="I773" s="2"/>
    </row>
    <row r="774" spans="9:9">
      <c r="I774" s="2"/>
    </row>
    <row r="775" spans="9:9">
      <c r="I775" s="2"/>
    </row>
    <row r="776" spans="9:9">
      <c r="I776" s="2"/>
    </row>
    <row r="777" spans="9:9">
      <c r="I777" s="2"/>
    </row>
    <row r="778" spans="9:9">
      <c r="I778" s="2"/>
    </row>
    <row r="779" spans="9:9">
      <c r="I779" s="2"/>
    </row>
    <row r="780" spans="9:9">
      <c r="I780" s="2"/>
    </row>
    <row r="781" spans="9:9">
      <c r="I781" s="2"/>
    </row>
    <row r="782" spans="9:9">
      <c r="I782" s="2"/>
    </row>
    <row r="783" spans="9:9">
      <c r="I783" s="2"/>
    </row>
    <row r="784" spans="9:9">
      <c r="I784" s="2"/>
    </row>
    <row r="785" spans="9:9">
      <c r="I785" s="2"/>
    </row>
    <row r="786" spans="9:9">
      <c r="I786" s="2"/>
    </row>
    <row r="787" spans="9:9">
      <c r="I787" s="2"/>
    </row>
    <row r="788" spans="9:9">
      <c r="I788" s="2"/>
    </row>
    <row r="789" spans="9:9">
      <c r="I789" s="2"/>
    </row>
    <row r="790" spans="9:9">
      <c r="I790" s="2"/>
    </row>
    <row r="791" spans="9:9">
      <c r="I791" s="2"/>
    </row>
    <row r="792" spans="9:9">
      <c r="I792" s="2"/>
    </row>
    <row r="793" spans="9:9">
      <c r="I793" s="2"/>
    </row>
    <row r="794" spans="9:9">
      <c r="I794" s="2"/>
    </row>
    <row r="795" spans="9:9">
      <c r="I795" s="2"/>
    </row>
    <row r="796" spans="9:9">
      <c r="I796" s="2"/>
    </row>
    <row r="797" spans="9:9">
      <c r="I797" s="2"/>
    </row>
    <row r="798" spans="9:9">
      <c r="I798" s="2"/>
    </row>
    <row r="799" spans="9:9">
      <c r="I799" s="2"/>
    </row>
    <row r="800" spans="9:9">
      <c r="I800" s="2"/>
    </row>
    <row r="801" spans="9:9">
      <c r="I801" s="2"/>
    </row>
    <row r="802" spans="9:9">
      <c r="I802" s="2"/>
    </row>
    <row r="803" spans="9:9">
      <c r="I803" s="2"/>
    </row>
    <row r="804" spans="9:9">
      <c r="I804" s="2"/>
    </row>
    <row r="805" spans="9:9">
      <c r="I805" s="2"/>
    </row>
    <row r="806" spans="9:9">
      <c r="I806" s="2"/>
    </row>
    <row r="807" spans="9:9">
      <c r="I807" s="2"/>
    </row>
    <row r="808" spans="9:9">
      <c r="I808" s="2"/>
    </row>
    <row r="809" spans="9:9">
      <c r="I809" s="2"/>
    </row>
    <row r="810" spans="9:9">
      <c r="I810" s="2"/>
    </row>
    <row r="811" spans="9:9">
      <c r="I811" s="2"/>
    </row>
    <row r="812" spans="9:9">
      <c r="I812" s="2"/>
    </row>
    <row r="813" spans="9:9">
      <c r="I813" s="2"/>
    </row>
    <row r="814" spans="9:9">
      <c r="I814" s="2"/>
    </row>
    <row r="815" spans="9:9">
      <c r="I815" s="2"/>
    </row>
    <row r="816" spans="9:9">
      <c r="I816" s="2"/>
    </row>
    <row r="817" spans="9:9">
      <c r="I817" s="2"/>
    </row>
    <row r="818" spans="9:9">
      <c r="I818" s="2"/>
    </row>
    <row r="819" spans="9:9">
      <c r="I819" s="2"/>
    </row>
    <row r="820" spans="9:9">
      <c r="I820" s="2"/>
    </row>
    <row r="821" spans="9:9">
      <c r="I821" s="2"/>
    </row>
    <row r="822" spans="9:9">
      <c r="I822" s="2"/>
    </row>
    <row r="823" spans="9:9">
      <c r="I823" s="2"/>
    </row>
    <row r="824" spans="9:9">
      <c r="I824" s="2"/>
    </row>
    <row r="825" spans="9:9">
      <c r="I825" s="2"/>
    </row>
    <row r="826" spans="9:9">
      <c r="I826" s="2"/>
    </row>
    <row r="827" spans="9:9">
      <c r="I827" s="2"/>
    </row>
    <row r="828" spans="9:9">
      <c r="I828" s="2"/>
    </row>
    <row r="829" spans="9:9">
      <c r="I829" s="2"/>
    </row>
    <row r="830" spans="9:9">
      <c r="I830" s="2"/>
    </row>
    <row r="831" spans="9:9">
      <c r="I831" s="2"/>
    </row>
    <row r="832" spans="9:9">
      <c r="I832" s="2"/>
    </row>
    <row r="833" spans="9:9">
      <c r="I833" s="2"/>
    </row>
    <row r="834" spans="9:9">
      <c r="I834" s="2"/>
    </row>
    <row r="835" spans="9:9">
      <c r="I835" s="2"/>
    </row>
    <row r="836" spans="9:9">
      <c r="I836" s="2"/>
    </row>
    <row r="837" spans="9:9">
      <c r="I837" s="2"/>
    </row>
    <row r="838" spans="9:9">
      <c r="I838" s="2"/>
    </row>
    <row r="839" spans="9:9">
      <c r="I839" s="2"/>
    </row>
    <row r="840" spans="9:9">
      <c r="I840" s="2"/>
    </row>
    <row r="841" spans="9:9">
      <c r="I841" s="2"/>
    </row>
    <row r="842" spans="9:9">
      <c r="I842" s="2"/>
    </row>
    <row r="843" spans="9:9">
      <c r="I843" s="2"/>
    </row>
    <row r="844" spans="9:9">
      <c r="I844" s="2"/>
    </row>
    <row r="845" spans="9:9">
      <c r="I845" s="2"/>
    </row>
    <row r="846" spans="9:9">
      <c r="I846" s="2"/>
    </row>
    <row r="847" spans="9:9">
      <c r="I847" s="2"/>
    </row>
    <row r="848" spans="9:9">
      <c r="I848" s="2"/>
    </row>
    <row r="849" spans="9:9">
      <c r="I849" s="2"/>
    </row>
    <row r="850" spans="9:9">
      <c r="I850" s="2"/>
    </row>
    <row r="851" spans="9:9">
      <c r="I851" s="2"/>
    </row>
    <row r="852" spans="9:9">
      <c r="I852" s="2"/>
    </row>
    <row r="853" spans="9:9">
      <c r="I853" s="2"/>
    </row>
    <row r="854" spans="9:9">
      <c r="I854" s="2"/>
    </row>
    <row r="855" spans="9:9">
      <c r="I855" s="2"/>
    </row>
    <row r="856" spans="9:9">
      <c r="I856" s="2"/>
    </row>
    <row r="857" spans="9:9">
      <c r="I857" s="2"/>
    </row>
    <row r="858" spans="9:9">
      <c r="I858" s="2"/>
    </row>
    <row r="859" spans="9:9">
      <c r="I859" s="2"/>
    </row>
    <row r="860" spans="9:9">
      <c r="I860" s="2"/>
    </row>
    <row r="861" spans="9:9">
      <c r="I861" s="2"/>
    </row>
    <row r="862" spans="9:9">
      <c r="I862" s="2"/>
    </row>
    <row r="863" spans="9:9">
      <c r="I863" s="2"/>
    </row>
    <row r="864" spans="9:9">
      <c r="I864" s="2"/>
    </row>
    <row r="865" spans="9:9">
      <c r="I865" s="2"/>
    </row>
    <row r="866" spans="9:9">
      <c r="I866" s="2"/>
    </row>
    <row r="867" spans="9:9">
      <c r="I867" s="2"/>
    </row>
    <row r="868" spans="9:9">
      <c r="I868" s="2"/>
    </row>
    <row r="869" spans="9:9">
      <c r="I869" s="2"/>
    </row>
    <row r="870" spans="9:9">
      <c r="I870" s="2"/>
    </row>
    <row r="871" spans="9:9">
      <c r="I871" s="2"/>
    </row>
    <row r="872" spans="9:9">
      <c r="I872" s="2"/>
    </row>
    <row r="873" spans="9:9">
      <c r="I873" s="2"/>
    </row>
    <row r="874" spans="9:9">
      <c r="I874" s="2"/>
    </row>
    <row r="875" spans="9:9">
      <c r="I875" s="2"/>
    </row>
    <row r="876" spans="9:9">
      <c r="I876" s="2"/>
    </row>
    <row r="877" spans="9:9">
      <c r="I877" s="2"/>
    </row>
    <row r="878" spans="9:9">
      <c r="I878" s="2"/>
    </row>
    <row r="879" spans="9:9">
      <c r="I879" s="2"/>
    </row>
    <row r="880" spans="9:9">
      <c r="I880" s="2"/>
    </row>
    <row r="881" spans="9:9">
      <c r="I881" s="2"/>
    </row>
    <row r="882" spans="9:9">
      <c r="I882" s="2"/>
    </row>
    <row r="883" spans="9:9">
      <c r="I883" s="2"/>
    </row>
    <row r="884" spans="9:9">
      <c r="I884" s="2"/>
    </row>
    <row r="885" spans="9:9">
      <c r="I885" s="2"/>
    </row>
    <row r="886" spans="9:9">
      <c r="I886" s="2"/>
    </row>
    <row r="887" spans="9:9">
      <c r="I887" s="2"/>
    </row>
    <row r="888" spans="9:9">
      <c r="I888" s="2"/>
    </row>
    <row r="889" spans="9:9">
      <c r="I889" s="2"/>
    </row>
    <row r="890" spans="9:9">
      <c r="I890" s="2"/>
    </row>
    <row r="891" spans="9:9">
      <c r="I891" s="2"/>
    </row>
    <row r="892" spans="9:9">
      <c r="I892" s="2"/>
    </row>
    <row r="893" spans="9:9">
      <c r="I893" s="2"/>
    </row>
    <row r="894" spans="9:9">
      <c r="I894" s="2"/>
    </row>
    <row r="895" spans="9:9">
      <c r="I895" s="2"/>
    </row>
    <row r="896" spans="9:9">
      <c r="I896" s="2"/>
    </row>
    <row r="897" spans="9:9">
      <c r="I897" s="2"/>
    </row>
    <row r="898" spans="9:9">
      <c r="I898" s="2"/>
    </row>
    <row r="899" spans="9:9">
      <c r="I899" s="2"/>
    </row>
    <row r="900" spans="9:9">
      <c r="I900" s="2"/>
    </row>
    <row r="901" spans="9:9">
      <c r="I901" s="2"/>
    </row>
    <row r="902" spans="9:9">
      <c r="I902" s="2"/>
    </row>
    <row r="903" spans="9:9">
      <c r="I903" s="2"/>
    </row>
    <row r="904" spans="9:9">
      <c r="I904" s="2"/>
    </row>
    <row r="905" spans="9:9">
      <c r="I905" s="2"/>
    </row>
    <row r="906" spans="9:9">
      <c r="I906" s="2"/>
    </row>
    <row r="907" spans="9:9">
      <c r="I907" s="2"/>
    </row>
    <row r="908" spans="9:9">
      <c r="I908" s="2"/>
    </row>
    <row r="909" spans="9:9">
      <c r="I909" s="2"/>
    </row>
    <row r="910" spans="9:9">
      <c r="I910" s="2"/>
    </row>
    <row r="911" spans="9:9">
      <c r="I911" s="2"/>
    </row>
    <row r="912" spans="9:9">
      <c r="I912" s="2"/>
    </row>
    <row r="913" spans="9:9">
      <c r="I913" s="2"/>
    </row>
    <row r="914" spans="9:9">
      <c r="I914" s="2"/>
    </row>
    <row r="915" spans="9:9">
      <c r="I915" s="2"/>
    </row>
    <row r="916" spans="9:9">
      <c r="I916" s="2"/>
    </row>
    <row r="917" spans="9:9">
      <c r="I917" s="2"/>
    </row>
    <row r="918" spans="9:9">
      <c r="I918" s="2"/>
    </row>
    <row r="919" spans="9:9">
      <c r="I919" s="2"/>
    </row>
    <row r="920" spans="9:9">
      <c r="I920" s="2"/>
    </row>
    <row r="921" spans="9:9">
      <c r="I921" s="2"/>
    </row>
    <row r="922" spans="9:9">
      <c r="I922" s="2"/>
    </row>
    <row r="923" spans="9:9">
      <c r="I923" s="2"/>
    </row>
    <row r="924" spans="9:9">
      <c r="I924" s="2"/>
    </row>
    <row r="925" spans="9:9">
      <c r="I925" s="2"/>
    </row>
    <row r="926" spans="9:9">
      <c r="I926" s="2"/>
    </row>
    <row r="927" spans="9:9">
      <c r="I927" s="2"/>
    </row>
    <row r="928" spans="9:9">
      <c r="I928" s="2"/>
    </row>
    <row r="929" spans="9:9">
      <c r="I929" s="2"/>
    </row>
    <row r="930" spans="9:9">
      <c r="I930" s="2"/>
    </row>
    <row r="931" spans="9:9">
      <c r="I931" s="2"/>
    </row>
    <row r="932" spans="9:9">
      <c r="I932" s="2"/>
    </row>
    <row r="933" spans="9:9">
      <c r="I933" s="2"/>
    </row>
    <row r="934" spans="9:9">
      <c r="I934" s="2"/>
    </row>
    <row r="935" spans="9:9">
      <c r="I935" s="2"/>
    </row>
    <row r="936" spans="9:9">
      <c r="I936" s="2"/>
    </row>
    <row r="937" spans="9:9">
      <c r="I937" s="2"/>
    </row>
    <row r="938" spans="9:9">
      <c r="I938" s="2"/>
    </row>
    <row r="939" spans="9:9">
      <c r="I939" s="2"/>
    </row>
    <row r="940" spans="9:9">
      <c r="I940" s="2"/>
    </row>
    <row r="941" spans="9:9">
      <c r="I941" s="2"/>
    </row>
    <row r="942" spans="9:9">
      <c r="I942" s="2"/>
    </row>
    <row r="943" spans="9:9">
      <c r="I943" s="2"/>
    </row>
    <row r="944" spans="9:9">
      <c r="I944" s="2"/>
    </row>
    <row r="945" spans="9:9">
      <c r="I945" s="2"/>
    </row>
    <row r="946" spans="9:9">
      <c r="I946" s="2"/>
    </row>
    <row r="947" spans="9:9">
      <c r="I947" s="2"/>
    </row>
    <row r="948" spans="9:9">
      <c r="I948" s="2"/>
    </row>
    <row r="949" spans="9:9">
      <c r="I949" s="2"/>
    </row>
    <row r="950" spans="9:9">
      <c r="I950" s="2"/>
    </row>
    <row r="951" spans="9:9">
      <c r="I951" s="2"/>
    </row>
    <row r="952" spans="9:9">
      <c r="I952" s="2"/>
    </row>
    <row r="953" spans="9:9">
      <c r="I953" s="2"/>
    </row>
    <row r="954" spans="9:9">
      <c r="I954" s="2"/>
    </row>
    <row r="955" spans="9:9">
      <c r="I955" s="2"/>
    </row>
    <row r="956" spans="9:9">
      <c r="I956" s="2"/>
    </row>
    <row r="957" spans="9:9">
      <c r="I957" s="2"/>
    </row>
    <row r="958" spans="9:9">
      <c r="I958" s="2"/>
    </row>
    <row r="959" spans="9:9">
      <c r="I959" s="2"/>
    </row>
    <row r="960" spans="9:9">
      <c r="I960" s="2"/>
    </row>
    <row r="961" spans="9:9">
      <c r="I961" s="2"/>
    </row>
    <row r="962" spans="9:9">
      <c r="I962" s="2"/>
    </row>
    <row r="963" spans="9:9">
      <c r="I963" s="2"/>
    </row>
    <row r="964" spans="9:9">
      <c r="I964" s="2"/>
    </row>
    <row r="965" spans="9:9">
      <c r="I965" s="2"/>
    </row>
    <row r="966" spans="9:9">
      <c r="I966" s="2"/>
    </row>
    <row r="967" spans="9:9">
      <c r="I967" s="2"/>
    </row>
    <row r="968" spans="9:9">
      <c r="I968" s="2"/>
    </row>
    <row r="969" spans="9:9">
      <c r="I969" s="2"/>
    </row>
    <row r="970" spans="9:9">
      <c r="I970" s="2"/>
    </row>
    <row r="971" spans="9:9">
      <c r="I971" s="2"/>
    </row>
    <row r="972" spans="9:9">
      <c r="I972" s="2"/>
    </row>
    <row r="973" spans="9:9">
      <c r="I973" s="2"/>
    </row>
    <row r="974" spans="9:9">
      <c r="I974" s="2"/>
    </row>
    <row r="975" spans="9:9">
      <c r="I975" s="2"/>
    </row>
    <row r="976" spans="9:9">
      <c r="I976" s="2"/>
    </row>
    <row r="977" spans="9:9">
      <c r="I977" s="2"/>
    </row>
    <row r="978" spans="9:9">
      <c r="I978" s="2"/>
    </row>
    <row r="979" spans="9:9">
      <c r="I979" s="2"/>
    </row>
    <row r="980" spans="9:9">
      <c r="I980" s="2"/>
    </row>
    <row r="981" spans="9:9">
      <c r="I981" s="2"/>
    </row>
    <row r="982" spans="9:9">
      <c r="I982" s="2"/>
    </row>
    <row r="983" spans="9:9">
      <c r="I983" s="2"/>
    </row>
    <row r="984" spans="9:9">
      <c r="I984" s="2"/>
    </row>
    <row r="985" spans="9:9">
      <c r="I985" s="2"/>
    </row>
    <row r="986" spans="9:9">
      <c r="I986" s="2"/>
    </row>
    <row r="987" spans="9:9">
      <c r="I987" s="2"/>
    </row>
    <row r="988" spans="9:9">
      <c r="I988" s="2"/>
    </row>
    <row r="989" spans="9:9">
      <c r="I989" s="2"/>
    </row>
    <row r="990" spans="9:9">
      <c r="I990" s="2"/>
    </row>
    <row r="991" spans="9:9">
      <c r="I991" s="2"/>
    </row>
    <row r="992" spans="9:9">
      <c r="I992" s="2"/>
    </row>
    <row r="993" spans="9:9">
      <c r="I993" s="2"/>
    </row>
    <row r="994" spans="9:9">
      <c r="I994" s="2"/>
    </row>
    <row r="995" spans="9:9">
      <c r="I995" s="2"/>
    </row>
    <row r="996" spans="9:9">
      <c r="I996" s="2"/>
    </row>
    <row r="997" spans="9:9">
      <c r="I997" s="2"/>
    </row>
    <row r="998" spans="9:9">
      <c r="I998" s="2"/>
    </row>
    <row r="999" spans="9:9">
      <c r="I999" s="2"/>
    </row>
    <row r="1000" spans="9:9">
      <c r="I1000" s="2"/>
    </row>
    <row r="1001" spans="9:9">
      <c r="I1001" s="2"/>
    </row>
    <row r="1002" spans="9:9">
      <c r="I1002" s="2"/>
    </row>
    <row r="1003" spans="9:9">
      <c r="I1003" s="2"/>
    </row>
    <row r="1004" spans="9:9">
      <c r="I1004" s="2"/>
    </row>
    <row r="1005" spans="9:9">
      <c r="I1005" s="2"/>
    </row>
    <row r="1006" spans="9:9">
      <c r="I1006" s="2"/>
    </row>
    <row r="1007" spans="9:9">
      <c r="I1007" s="2"/>
    </row>
    <row r="1008" spans="9:9">
      <c r="I1008" s="2"/>
    </row>
    <row r="1009" spans="9:9">
      <c r="I1009" s="2"/>
    </row>
    <row r="1010" spans="9:9">
      <c r="I1010" s="2"/>
    </row>
    <row r="1011" spans="9:9">
      <c r="I1011" s="2"/>
    </row>
    <row r="1012" spans="9:9">
      <c r="I1012" s="2"/>
    </row>
    <row r="1013" spans="9:9">
      <c r="I1013" s="2"/>
    </row>
    <row r="1014" spans="9:9">
      <c r="I1014" s="2"/>
    </row>
    <row r="1015" spans="9:9">
      <c r="I1015" s="2"/>
    </row>
    <row r="1016" spans="9:9">
      <c r="I1016" s="2"/>
    </row>
    <row r="1017" spans="9:9">
      <c r="I1017" s="2"/>
    </row>
    <row r="1018" spans="9:9">
      <c r="I1018" s="2"/>
    </row>
    <row r="1019" spans="9:9">
      <c r="I1019" s="2"/>
    </row>
    <row r="1020" spans="9:9">
      <c r="I1020" s="2"/>
    </row>
    <row r="1021" spans="9:9">
      <c r="I1021" s="2"/>
    </row>
    <row r="1022" spans="9:9">
      <c r="I1022" s="2"/>
    </row>
    <row r="1023" spans="9:9">
      <c r="I1023" s="2"/>
    </row>
    <row r="1024" spans="9:9">
      <c r="I1024" s="2"/>
    </row>
    <row r="1025" spans="9:9">
      <c r="I1025" s="2"/>
    </row>
    <row r="1026" spans="9:9">
      <c r="I1026" s="2"/>
    </row>
    <row r="1027" spans="9:9">
      <c r="I1027" s="2"/>
    </row>
    <row r="1028" spans="9:9">
      <c r="I1028" s="2"/>
    </row>
    <row r="1029" spans="9:9">
      <c r="I1029" s="2"/>
    </row>
    <row r="1030" spans="9:9">
      <c r="I1030" s="2"/>
    </row>
    <row r="1031" spans="9:9">
      <c r="I1031" s="2"/>
    </row>
    <row r="1032" spans="9:9">
      <c r="I1032" s="2"/>
    </row>
    <row r="1033" spans="9:9">
      <c r="I1033" s="2"/>
    </row>
    <row r="1034" spans="9:9">
      <c r="I1034" s="2"/>
    </row>
    <row r="1035" spans="9:9">
      <c r="I1035" s="2"/>
    </row>
    <row r="1036" spans="9:9">
      <c r="I1036" s="2"/>
    </row>
    <row r="1037" spans="9:9">
      <c r="I1037" s="2"/>
    </row>
    <row r="1038" spans="9:9">
      <c r="I1038" s="2"/>
    </row>
    <row r="1039" spans="9:9">
      <c r="I1039" s="2"/>
    </row>
    <row r="1040" spans="9:9">
      <c r="I1040" s="2"/>
    </row>
    <row r="1041" spans="9:9">
      <c r="I1041" s="2"/>
    </row>
    <row r="1042" spans="9:9">
      <c r="I1042" s="2"/>
    </row>
    <row r="1043" spans="9:9">
      <c r="I1043" s="2"/>
    </row>
    <row r="1044" spans="9:9">
      <c r="I1044" s="2"/>
    </row>
    <row r="1045" spans="9:9">
      <c r="I1045" s="2"/>
    </row>
    <row r="1046" spans="9:9">
      <c r="I1046" s="2"/>
    </row>
    <row r="1047" spans="9:9">
      <c r="I1047" s="2"/>
    </row>
    <row r="1048" spans="9:9">
      <c r="I1048" s="2"/>
    </row>
    <row r="1049" spans="9:9">
      <c r="I1049" s="2"/>
    </row>
    <row r="1050" spans="9:9">
      <c r="I1050" s="2"/>
    </row>
    <row r="1051" spans="9:9">
      <c r="I1051" s="2"/>
    </row>
    <row r="1052" spans="9:9">
      <c r="I1052" s="2"/>
    </row>
    <row r="1053" spans="9:9">
      <c r="I1053" s="2"/>
    </row>
    <row r="1054" spans="9:9">
      <c r="I1054" s="2"/>
    </row>
    <row r="1055" spans="9:9">
      <c r="I1055" s="2"/>
    </row>
    <row r="1056" spans="9:9">
      <c r="I1056" s="2"/>
    </row>
    <row r="1057" spans="9:9">
      <c r="I1057" s="2"/>
    </row>
    <row r="1058" spans="9:9">
      <c r="I1058" s="2"/>
    </row>
    <row r="1059" spans="9:9">
      <c r="I1059" s="2"/>
    </row>
    <row r="1060" spans="9:9">
      <c r="I1060" s="2"/>
    </row>
    <row r="1061" spans="9:9">
      <c r="I1061" s="2"/>
    </row>
    <row r="1062" spans="9:9">
      <c r="I1062" s="2"/>
    </row>
    <row r="1063" spans="9:9">
      <c r="I1063" s="2"/>
    </row>
    <row r="1064" spans="9:9">
      <c r="I1064" s="2"/>
    </row>
    <row r="1065" spans="9:9">
      <c r="I1065" s="2"/>
    </row>
    <row r="1066" spans="9:9">
      <c r="I1066" s="2"/>
    </row>
    <row r="1067" spans="9:9">
      <c r="I1067" s="2"/>
    </row>
    <row r="1068" spans="9:9">
      <c r="I1068" s="2"/>
    </row>
    <row r="1069" spans="9:9">
      <c r="I1069" s="2"/>
    </row>
    <row r="1070" spans="9:9">
      <c r="I1070" s="2"/>
    </row>
    <row r="1071" spans="9:9">
      <c r="I1071" s="2"/>
    </row>
    <row r="1072" spans="9:9">
      <c r="I1072" s="2"/>
    </row>
    <row r="1073" spans="9:9">
      <c r="I1073" s="2"/>
    </row>
    <row r="1074" spans="9:9">
      <c r="I1074" s="2"/>
    </row>
    <row r="1075" spans="9:9">
      <c r="I1075" s="2"/>
    </row>
    <row r="1076" spans="9:9">
      <c r="I1076" s="2"/>
    </row>
    <row r="1077" spans="9:9">
      <c r="I1077" s="2"/>
    </row>
    <row r="1078" spans="9:9">
      <c r="I1078" s="2"/>
    </row>
    <row r="1079" spans="9:9">
      <c r="I1079" s="2"/>
    </row>
    <row r="1080" spans="9:9">
      <c r="I1080" s="2"/>
    </row>
    <row r="1081" spans="9:9">
      <c r="I1081" s="2"/>
    </row>
    <row r="1082" spans="9:9">
      <c r="I1082" s="2"/>
    </row>
    <row r="1083" spans="9:9">
      <c r="I1083" s="2"/>
    </row>
    <row r="1084" spans="9:9">
      <c r="I1084" s="2"/>
    </row>
    <row r="1085" spans="9:9">
      <c r="I1085" s="2"/>
    </row>
    <row r="1086" spans="9:9">
      <c r="I1086" s="2"/>
    </row>
    <row r="1087" spans="9:9">
      <c r="I1087" s="2"/>
    </row>
    <row r="1088" spans="9:9">
      <c r="I1088" s="2"/>
    </row>
    <row r="1089" spans="9:9">
      <c r="I1089" s="2"/>
    </row>
    <row r="1090" spans="9:9">
      <c r="I1090" s="2"/>
    </row>
    <row r="1091" spans="9:9">
      <c r="I1091" s="2"/>
    </row>
    <row r="1092" spans="9:9">
      <c r="I1092" s="2"/>
    </row>
    <row r="1093" spans="9:9">
      <c r="I1093" s="2"/>
    </row>
    <row r="1094" spans="9:9">
      <c r="I1094" s="2"/>
    </row>
    <row r="1095" spans="9:9">
      <c r="I1095" s="2"/>
    </row>
    <row r="1096" spans="9:9">
      <c r="I1096" s="2"/>
    </row>
    <row r="1097" spans="9:9">
      <c r="I1097" s="2"/>
    </row>
    <row r="1098" spans="9:9">
      <c r="I1098" s="2"/>
    </row>
    <row r="1099" spans="9:9">
      <c r="I1099" s="2"/>
    </row>
    <row r="1100" spans="9:9">
      <c r="I1100" s="2"/>
    </row>
    <row r="1101" spans="9:9">
      <c r="I1101" s="2"/>
    </row>
    <row r="1102" spans="9:9">
      <c r="I1102" s="2"/>
    </row>
    <row r="1103" spans="9:9">
      <c r="I1103" s="2"/>
    </row>
    <row r="1104" spans="9:9">
      <c r="I1104" s="2"/>
    </row>
    <row r="1105" spans="9:9">
      <c r="I1105" s="2"/>
    </row>
    <row r="1106" spans="9:9">
      <c r="I1106" s="2"/>
    </row>
    <row r="1107" spans="9:9">
      <c r="I1107" s="2"/>
    </row>
    <row r="1108" spans="9:9">
      <c r="I1108" s="2"/>
    </row>
    <row r="1109" spans="9:9">
      <c r="I1109" s="2"/>
    </row>
    <row r="1110" spans="9:9">
      <c r="I1110" s="2"/>
    </row>
    <row r="1111" spans="9:9">
      <c r="I1111" s="2"/>
    </row>
    <row r="1112" spans="9:9">
      <c r="I1112" s="2"/>
    </row>
    <row r="1113" spans="9:9">
      <c r="I1113" s="2"/>
    </row>
    <row r="1114" spans="9:9">
      <c r="I1114" s="2"/>
    </row>
    <row r="1115" spans="9:9">
      <c r="I1115" s="2"/>
    </row>
    <row r="1116" spans="9:9">
      <c r="I1116" s="2"/>
    </row>
    <row r="1117" spans="9:9">
      <c r="I1117" s="2"/>
    </row>
    <row r="1118" spans="9:9">
      <c r="I1118" s="2"/>
    </row>
    <row r="1119" spans="9:9">
      <c r="I1119" s="2"/>
    </row>
    <row r="1120" spans="9:9">
      <c r="I1120" s="2"/>
    </row>
    <row r="1121" spans="9:9">
      <c r="I1121" s="2"/>
    </row>
    <row r="1122" spans="9:9">
      <c r="I1122" s="2"/>
    </row>
    <row r="1123" spans="9:9">
      <c r="I1123" s="2"/>
    </row>
    <row r="1124" spans="9:9">
      <c r="I1124" s="2"/>
    </row>
    <row r="1125" spans="9:9">
      <c r="I1125" s="2"/>
    </row>
    <row r="1126" spans="9:9">
      <c r="I1126" s="2"/>
    </row>
    <row r="1127" spans="9:9">
      <c r="I1127" s="2"/>
    </row>
    <row r="1128" spans="9:9">
      <c r="I1128" s="2"/>
    </row>
    <row r="1129" spans="9:9">
      <c r="I1129" s="2"/>
    </row>
    <row r="1130" spans="9:9">
      <c r="I1130" s="2"/>
    </row>
    <row r="1131" spans="9:9">
      <c r="I1131" s="2"/>
    </row>
    <row r="1132" spans="9:9">
      <c r="I1132" s="2"/>
    </row>
    <row r="1133" spans="9:9">
      <c r="I1133" s="2"/>
    </row>
    <row r="1134" spans="9:9">
      <c r="I1134" s="2"/>
    </row>
    <row r="1135" spans="9:9">
      <c r="I1135" s="2"/>
    </row>
    <row r="1136" spans="9:9">
      <c r="I1136" s="2"/>
    </row>
    <row r="1137" spans="9:9">
      <c r="I1137" s="2"/>
    </row>
    <row r="1138" spans="9:9">
      <c r="I1138" s="2"/>
    </row>
    <row r="1139" spans="9:9">
      <c r="I1139" s="2"/>
    </row>
    <row r="1140" spans="9:9">
      <c r="I1140" s="2"/>
    </row>
    <row r="1141" spans="9:9">
      <c r="I1141" s="2"/>
    </row>
    <row r="1142" spans="9:9">
      <c r="I1142" s="2"/>
    </row>
    <row r="1143" spans="9:9">
      <c r="I1143" s="2"/>
    </row>
    <row r="1144" spans="9:9">
      <c r="I1144" s="2"/>
    </row>
    <row r="1145" spans="9:9">
      <c r="I1145" s="2"/>
    </row>
    <row r="1146" spans="9:9">
      <c r="I1146" s="2"/>
    </row>
    <row r="1147" spans="9:9">
      <c r="I1147" s="2"/>
    </row>
    <row r="1148" spans="9:9">
      <c r="I1148" s="2"/>
    </row>
    <row r="1149" spans="9:9">
      <c r="I1149" s="2"/>
    </row>
    <row r="1150" spans="9:9">
      <c r="I1150" s="2"/>
    </row>
    <row r="1151" spans="9:9">
      <c r="I1151" s="2"/>
    </row>
    <row r="1152" spans="9:9">
      <c r="I1152" s="2"/>
    </row>
    <row r="1153" spans="9:9">
      <c r="I1153" s="2"/>
    </row>
    <row r="1154" spans="9:9">
      <c r="I1154" s="2"/>
    </row>
    <row r="1155" spans="9:9">
      <c r="I1155" s="2"/>
    </row>
    <row r="1156" spans="9:9">
      <c r="I1156" s="2"/>
    </row>
    <row r="1157" spans="9:9">
      <c r="I1157" s="2"/>
    </row>
    <row r="1158" spans="9:9">
      <c r="I1158" s="2"/>
    </row>
    <row r="1159" spans="9:9">
      <c r="I1159" s="2"/>
    </row>
    <row r="1160" spans="9:9">
      <c r="I1160" s="2"/>
    </row>
    <row r="1161" spans="9:9">
      <c r="I1161" s="2"/>
    </row>
    <row r="1162" spans="9:9">
      <c r="I1162" s="2"/>
    </row>
    <row r="1163" spans="9:9">
      <c r="I1163" s="2"/>
    </row>
    <row r="1164" spans="9:9">
      <c r="I1164" s="2"/>
    </row>
    <row r="1165" spans="9:9">
      <c r="I1165" s="2"/>
    </row>
    <row r="1166" spans="9:9">
      <c r="I1166" s="2"/>
    </row>
    <row r="1167" spans="9:9">
      <c r="I1167" s="2"/>
    </row>
    <row r="1168" spans="9:9">
      <c r="I1168" s="2"/>
    </row>
    <row r="1169" spans="9:9">
      <c r="I1169" s="2"/>
    </row>
    <row r="1170" spans="9:9">
      <c r="I1170" s="2"/>
    </row>
    <row r="1171" spans="9:9">
      <c r="I1171" s="2"/>
    </row>
    <row r="1172" spans="9:9">
      <c r="I1172" s="2"/>
    </row>
    <row r="1173" spans="9:9">
      <c r="I1173" s="2"/>
    </row>
    <row r="1174" spans="9:9">
      <c r="I1174" s="2"/>
    </row>
    <row r="1175" spans="9:9">
      <c r="I1175" s="2"/>
    </row>
    <row r="1176" spans="9:9">
      <c r="I1176" s="2"/>
    </row>
    <row r="1177" spans="9:9">
      <c r="I1177" s="2"/>
    </row>
    <row r="1178" spans="9:9">
      <c r="I1178" s="2"/>
    </row>
    <row r="1179" spans="9:9">
      <c r="I1179" s="2"/>
    </row>
    <row r="1180" spans="9:9">
      <c r="I1180" s="2"/>
    </row>
    <row r="1181" spans="9:9">
      <c r="I1181" s="2"/>
    </row>
    <row r="1182" spans="9:9">
      <c r="I1182" s="2"/>
    </row>
    <row r="1183" spans="9:9">
      <c r="I1183" s="2"/>
    </row>
    <row r="1184" spans="9:9">
      <c r="I1184" s="2"/>
    </row>
    <row r="1185" spans="9:9">
      <c r="I1185" s="2"/>
    </row>
    <row r="1186" spans="9:9">
      <c r="I1186" s="2"/>
    </row>
    <row r="1187" spans="9:9">
      <c r="I1187" s="2"/>
    </row>
    <row r="1188" spans="9:9">
      <c r="I1188" s="2"/>
    </row>
    <row r="1189" spans="9:9">
      <c r="I1189" s="2"/>
    </row>
    <row r="1190" spans="9:9">
      <c r="I1190" s="2"/>
    </row>
    <row r="1191" spans="9:9">
      <c r="I1191" s="2"/>
    </row>
    <row r="1192" spans="9:9">
      <c r="I1192" s="2"/>
    </row>
    <row r="1193" spans="9:9">
      <c r="I1193" s="2"/>
    </row>
    <row r="1194" spans="9:9">
      <c r="I1194" s="2"/>
    </row>
    <row r="1195" spans="9:9">
      <c r="I1195" s="2"/>
    </row>
    <row r="1196" spans="9:9">
      <c r="I1196" s="2"/>
    </row>
    <row r="1197" spans="9:9">
      <c r="I1197" s="2"/>
    </row>
    <row r="1198" spans="9:9">
      <c r="I1198" s="2"/>
    </row>
    <row r="1199" spans="9:9">
      <c r="I1199" s="2"/>
    </row>
    <row r="1200" spans="9:9">
      <c r="I1200" s="2"/>
    </row>
    <row r="1201" spans="9:9">
      <c r="I1201" s="2"/>
    </row>
    <row r="1202" spans="9:9">
      <c r="I1202" s="2"/>
    </row>
    <row r="1203" spans="9:9">
      <c r="I1203" s="2"/>
    </row>
    <row r="1204" spans="9:9">
      <c r="I1204" s="2"/>
    </row>
    <row r="1205" spans="9:9">
      <c r="I1205" s="2"/>
    </row>
    <row r="1206" spans="9:9">
      <c r="I1206" s="2"/>
    </row>
    <row r="1207" spans="9:9">
      <c r="I1207" s="2"/>
    </row>
    <row r="1208" spans="9:9">
      <c r="I1208" s="2"/>
    </row>
    <row r="1209" spans="9:9">
      <c r="I1209" s="2"/>
    </row>
    <row r="1210" spans="9:9">
      <c r="I1210" s="2"/>
    </row>
    <row r="1211" spans="9:9">
      <c r="I1211" s="2"/>
    </row>
    <row r="1212" spans="9:9">
      <c r="I1212" s="2"/>
    </row>
    <row r="1213" spans="9:9">
      <c r="I1213" s="2"/>
    </row>
    <row r="1214" spans="9:9">
      <c r="I1214" s="2"/>
    </row>
    <row r="1215" spans="9:9">
      <c r="I1215" s="2"/>
    </row>
    <row r="1216" spans="9:9">
      <c r="I1216" s="2"/>
    </row>
    <row r="1217" spans="9:9">
      <c r="I1217" s="2"/>
    </row>
    <row r="1218" spans="9:9">
      <c r="I1218" s="2"/>
    </row>
    <row r="1219" spans="9:9">
      <c r="I1219" s="2"/>
    </row>
    <row r="1220" spans="9:9">
      <c r="I1220" s="2"/>
    </row>
    <row r="1221" spans="9:9">
      <c r="I1221" s="2"/>
    </row>
    <row r="1222" spans="9:9">
      <c r="I1222" s="2"/>
    </row>
    <row r="1223" spans="9:9">
      <c r="I1223" s="2"/>
    </row>
    <row r="1224" spans="9:9">
      <c r="I1224" s="2"/>
    </row>
    <row r="1225" spans="9:9">
      <c r="I1225" s="2"/>
    </row>
    <row r="1226" spans="9:9">
      <c r="I1226" s="2"/>
    </row>
    <row r="1227" spans="9:9">
      <c r="I1227" s="2"/>
    </row>
    <row r="1228" spans="9:9">
      <c r="I1228" s="2"/>
    </row>
    <row r="1229" spans="9:9">
      <c r="I1229" s="2"/>
    </row>
    <row r="1230" spans="9:9">
      <c r="I1230" s="2"/>
    </row>
    <row r="1231" spans="9:9">
      <c r="I1231" s="2"/>
    </row>
    <row r="1232" spans="9:9">
      <c r="I1232" s="2"/>
    </row>
    <row r="1233" spans="9:9">
      <c r="I1233" s="2"/>
    </row>
    <row r="1234" spans="9:9">
      <c r="I1234" s="2"/>
    </row>
    <row r="1235" spans="9:9">
      <c r="I1235" s="2"/>
    </row>
    <row r="1236" spans="9:9">
      <c r="I1236" s="2"/>
    </row>
    <row r="1237" spans="9:9">
      <c r="I1237" s="2"/>
    </row>
    <row r="1238" spans="9:9">
      <c r="I1238" s="2"/>
    </row>
    <row r="1239" spans="9:9">
      <c r="I1239" s="2"/>
    </row>
    <row r="1240" spans="9:9">
      <c r="I1240" s="2"/>
    </row>
    <row r="1241" spans="9:9">
      <c r="I1241" s="2"/>
    </row>
    <row r="1242" spans="9:9">
      <c r="I1242" s="2"/>
    </row>
    <row r="1243" spans="9:9">
      <c r="I1243" s="2"/>
    </row>
    <row r="1244" spans="9:9">
      <c r="I1244" s="2"/>
    </row>
    <row r="1245" spans="9:9">
      <c r="I1245" s="2"/>
    </row>
    <row r="1246" spans="9:9">
      <c r="I1246" s="2"/>
    </row>
    <row r="1247" spans="9:9">
      <c r="I1247" s="2"/>
    </row>
    <row r="1248" spans="9:9">
      <c r="I1248" s="2"/>
    </row>
    <row r="1249" spans="9:9">
      <c r="I1249" s="2"/>
    </row>
    <row r="1250" spans="9:9">
      <c r="I1250" s="2"/>
    </row>
    <row r="1251" spans="9:9">
      <c r="I1251" s="2"/>
    </row>
    <row r="1252" spans="9:9">
      <c r="I1252" s="2"/>
    </row>
    <row r="1253" spans="9:9">
      <c r="I1253" s="2"/>
    </row>
    <row r="1254" spans="9:9">
      <c r="I1254" s="2"/>
    </row>
    <row r="1255" spans="9:9">
      <c r="I1255" s="2"/>
    </row>
    <row r="1256" spans="9:9">
      <c r="I1256" s="2"/>
    </row>
    <row r="1257" spans="9:9">
      <c r="I1257" s="2"/>
    </row>
    <row r="1258" spans="9:9">
      <c r="I1258" s="2"/>
    </row>
    <row r="1259" spans="9:9">
      <c r="I1259" s="2"/>
    </row>
    <row r="1260" spans="9:9">
      <c r="I1260" s="2"/>
    </row>
    <row r="1261" spans="9:9">
      <c r="I1261" s="2"/>
    </row>
    <row r="1262" spans="9:9">
      <c r="I1262" s="2"/>
    </row>
    <row r="1263" spans="9:9">
      <c r="I1263" s="2"/>
    </row>
    <row r="1264" spans="9:9">
      <c r="I1264" s="2"/>
    </row>
    <row r="1265" spans="9:9">
      <c r="I1265" s="2"/>
    </row>
    <row r="1266" spans="9:9">
      <c r="I1266" s="2"/>
    </row>
    <row r="1267" spans="9:9">
      <c r="I1267" s="2"/>
    </row>
    <row r="1268" spans="9:9">
      <c r="I1268" s="2"/>
    </row>
    <row r="1269" spans="9:9">
      <c r="I1269" s="2"/>
    </row>
    <row r="1270" spans="9:9">
      <c r="I1270" s="2"/>
    </row>
    <row r="1271" spans="9:9">
      <c r="I1271" s="2"/>
    </row>
    <row r="1272" spans="9:9">
      <c r="I1272" s="2"/>
    </row>
    <row r="1273" spans="9:9">
      <c r="I1273" s="2"/>
    </row>
    <row r="1274" spans="9:9">
      <c r="I1274" s="2"/>
    </row>
    <row r="1275" spans="9:9">
      <c r="I1275" s="2"/>
    </row>
    <row r="1276" spans="9:9">
      <c r="I1276" s="2"/>
    </row>
    <row r="1277" spans="9:9">
      <c r="I1277" s="2"/>
    </row>
    <row r="1278" spans="9:9">
      <c r="I1278" s="2"/>
    </row>
    <row r="1279" spans="9:9">
      <c r="I1279" s="2"/>
    </row>
    <row r="1280" spans="9:9">
      <c r="I1280" s="2"/>
    </row>
    <row r="1281" spans="9:9">
      <c r="I1281" s="2"/>
    </row>
    <row r="1282" spans="9:9">
      <c r="I1282" s="2"/>
    </row>
    <row r="1283" spans="9:9">
      <c r="I1283" s="2"/>
    </row>
    <row r="1284" spans="9:9">
      <c r="I1284" s="2"/>
    </row>
    <row r="1285" spans="9:9">
      <c r="I1285" s="2"/>
    </row>
    <row r="1286" spans="9:9">
      <c r="I1286" s="2"/>
    </row>
    <row r="1287" spans="9:9">
      <c r="I1287" s="2"/>
    </row>
    <row r="1288" spans="9:9">
      <c r="I1288" s="2"/>
    </row>
    <row r="1289" spans="9:9">
      <c r="I1289" s="2"/>
    </row>
    <row r="1290" spans="9:9">
      <c r="I1290" s="2"/>
    </row>
    <row r="1291" spans="9:9">
      <c r="I1291" s="2"/>
    </row>
    <row r="1292" spans="9:9">
      <c r="I1292" s="2"/>
    </row>
    <row r="1293" spans="9:9">
      <c r="I1293" s="2"/>
    </row>
    <row r="1294" spans="9:9">
      <c r="I1294" s="2"/>
    </row>
    <row r="1295" spans="9:9">
      <c r="I1295" s="2"/>
    </row>
    <row r="1296" spans="9:9">
      <c r="I1296" s="2"/>
    </row>
    <row r="1297" spans="9:9">
      <c r="I1297" s="2"/>
    </row>
    <row r="1298" spans="9:9">
      <c r="I1298" s="2"/>
    </row>
    <row r="1299" spans="9:9">
      <c r="I1299" s="2"/>
    </row>
    <row r="1300" spans="9:9">
      <c r="I1300" s="2"/>
    </row>
    <row r="1301" spans="9:9">
      <c r="I1301" s="2"/>
    </row>
    <row r="1302" spans="9:9">
      <c r="I1302" s="2"/>
    </row>
    <row r="1303" spans="9:9">
      <c r="I1303" s="2"/>
    </row>
    <row r="1304" spans="9:9">
      <c r="I1304" s="2"/>
    </row>
    <row r="1305" spans="9:9">
      <c r="I1305" s="2"/>
    </row>
    <row r="1306" spans="9:9">
      <c r="I1306" s="2"/>
    </row>
    <row r="1307" spans="9:9">
      <c r="I1307" s="2"/>
    </row>
    <row r="1308" spans="9:9">
      <c r="I1308" s="2"/>
    </row>
    <row r="1309" spans="9:9">
      <c r="I1309" s="2"/>
    </row>
    <row r="1310" spans="9:9">
      <c r="I1310" s="2"/>
    </row>
    <row r="1311" spans="9:9">
      <c r="I1311" s="2"/>
    </row>
    <row r="1312" spans="9:9">
      <c r="I1312" s="2"/>
    </row>
    <row r="1313" spans="9:9">
      <c r="I1313" s="2"/>
    </row>
    <row r="1314" spans="9:9">
      <c r="I1314" s="2"/>
    </row>
    <row r="1315" spans="9:9">
      <c r="I1315" s="2"/>
    </row>
    <row r="1316" spans="9:9">
      <c r="I1316" s="2"/>
    </row>
    <row r="1317" spans="9:9">
      <c r="I1317" s="2"/>
    </row>
    <row r="1318" spans="9:9">
      <c r="I1318" s="2"/>
    </row>
    <row r="1319" spans="9:9">
      <c r="I1319" s="2"/>
    </row>
    <row r="1320" spans="9:9">
      <c r="I1320" s="2"/>
    </row>
    <row r="1321" spans="9:9">
      <c r="I1321" s="2"/>
    </row>
    <row r="1322" spans="9:9">
      <c r="I1322" s="2"/>
    </row>
    <row r="1323" spans="9:9">
      <c r="I1323" s="2"/>
    </row>
    <row r="1324" spans="9:9">
      <c r="I1324" s="2"/>
    </row>
    <row r="1325" spans="9:9">
      <c r="I1325" s="2"/>
    </row>
    <row r="1326" spans="9:9">
      <c r="I1326" s="2"/>
    </row>
    <row r="1327" spans="9:9">
      <c r="I1327" s="2"/>
    </row>
    <row r="1328" spans="9:9">
      <c r="I1328" s="2"/>
    </row>
    <row r="1329" spans="9:9">
      <c r="I1329" s="2"/>
    </row>
    <row r="1330" spans="9:9">
      <c r="I1330" s="2"/>
    </row>
    <row r="1331" spans="9:9">
      <c r="I1331" s="2"/>
    </row>
    <row r="1332" spans="9:9">
      <c r="I1332" s="2"/>
    </row>
    <row r="1333" spans="9:9">
      <c r="I1333" s="2"/>
    </row>
    <row r="1334" spans="9:9">
      <c r="I1334" s="2"/>
    </row>
    <row r="1335" spans="9:9">
      <c r="I1335" s="2"/>
    </row>
    <row r="1336" spans="9:9">
      <c r="I1336" s="2"/>
    </row>
    <row r="1337" spans="9:9">
      <c r="I1337" s="2"/>
    </row>
    <row r="1338" spans="9:9">
      <c r="I1338" s="2"/>
    </row>
    <row r="1339" spans="9:9">
      <c r="I1339" s="2"/>
    </row>
    <row r="1340" spans="9:9">
      <c r="I1340" s="2"/>
    </row>
    <row r="1341" spans="9:9">
      <c r="I1341" s="2"/>
    </row>
    <row r="1342" spans="9:9">
      <c r="I1342" s="2"/>
    </row>
    <row r="1343" spans="9:9">
      <c r="I1343" s="2"/>
    </row>
    <row r="1344" spans="9:9">
      <c r="I1344" s="2"/>
    </row>
    <row r="1345" spans="9:9">
      <c r="I1345" s="2"/>
    </row>
    <row r="1346" spans="9:9">
      <c r="I1346" s="2"/>
    </row>
    <row r="1347" spans="9:9">
      <c r="I1347" s="2"/>
    </row>
    <row r="1348" spans="9:9">
      <c r="I1348" s="2"/>
    </row>
    <row r="1349" spans="9:9">
      <c r="I1349" s="2"/>
    </row>
    <row r="1350" spans="9:9">
      <c r="I1350" s="2"/>
    </row>
    <row r="1351" spans="9:9">
      <c r="I1351" s="2"/>
    </row>
    <row r="1352" spans="9:9">
      <c r="I1352" s="2"/>
    </row>
    <row r="1353" spans="9:9">
      <c r="I1353" s="2"/>
    </row>
    <row r="1354" spans="9:9">
      <c r="I1354" s="2"/>
    </row>
    <row r="1355" spans="9:9">
      <c r="I1355" s="2"/>
    </row>
    <row r="1356" spans="9:9">
      <c r="I1356" s="2"/>
    </row>
    <row r="1357" spans="9:9">
      <c r="I1357" s="2"/>
    </row>
    <row r="1358" spans="9:9">
      <c r="I1358" s="2"/>
    </row>
    <row r="1359" spans="9:9">
      <c r="I1359" s="2"/>
    </row>
    <row r="1360" spans="9:9">
      <c r="I1360" s="2"/>
    </row>
    <row r="1361" spans="9:9">
      <c r="I1361" s="2"/>
    </row>
    <row r="1362" spans="9:9">
      <c r="I1362" s="2"/>
    </row>
    <row r="1363" spans="9:9">
      <c r="I1363" s="2"/>
    </row>
    <row r="1364" spans="9:9">
      <c r="I1364" s="2"/>
    </row>
    <row r="1365" spans="9:9">
      <c r="I1365" s="2"/>
    </row>
    <row r="1366" spans="9:9">
      <c r="I1366" s="2"/>
    </row>
    <row r="1367" spans="9:9">
      <c r="I1367" s="2"/>
    </row>
    <row r="1368" spans="9:9">
      <c r="I1368" s="2"/>
    </row>
    <row r="1369" spans="9:9">
      <c r="I1369" s="2"/>
    </row>
    <row r="1370" spans="9:9">
      <c r="I1370" s="2"/>
    </row>
    <row r="1371" spans="9:9">
      <c r="I1371" s="2"/>
    </row>
    <row r="1372" spans="9:9">
      <c r="I1372" s="2"/>
    </row>
    <row r="1373" spans="9:9">
      <c r="I1373" s="2"/>
    </row>
    <row r="1374" spans="9:9">
      <c r="I1374" s="2"/>
    </row>
    <row r="1375" spans="9:9">
      <c r="I1375" s="2"/>
    </row>
    <row r="1376" spans="9:9">
      <c r="I1376" s="2"/>
    </row>
    <row r="1377" spans="9:9">
      <c r="I1377" s="2"/>
    </row>
    <row r="1378" spans="9:9">
      <c r="I1378" s="2"/>
    </row>
    <row r="1379" spans="9:9">
      <c r="I1379" s="2"/>
    </row>
    <row r="1380" spans="9:9">
      <c r="I1380" s="2"/>
    </row>
    <row r="1381" spans="9:9">
      <c r="I1381" s="2"/>
    </row>
    <row r="1382" spans="9:9">
      <c r="I1382" s="2"/>
    </row>
    <row r="1383" spans="9:9">
      <c r="I1383" s="2"/>
    </row>
    <row r="1384" spans="9:9">
      <c r="I1384" s="2"/>
    </row>
    <row r="1385" spans="9:9">
      <c r="I1385" s="2"/>
    </row>
    <row r="1386" spans="9:9">
      <c r="I1386" s="2"/>
    </row>
    <row r="1387" spans="9:9">
      <c r="I1387" s="2"/>
    </row>
    <row r="1388" spans="9:9">
      <c r="I1388" s="2"/>
    </row>
    <row r="1389" spans="9:9">
      <c r="I1389" s="2"/>
    </row>
    <row r="1390" spans="9:9">
      <c r="I1390" s="2"/>
    </row>
    <row r="1391" spans="9:9">
      <c r="I1391" s="2"/>
    </row>
    <row r="1392" spans="9:9">
      <c r="I1392" s="2"/>
    </row>
    <row r="1393" spans="9:9">
      <c r="I1393" s="2"/>
    </row>
    <row r="1394" spans="9:9">
      <c r="I1394" s="2"/>
    </row>
    <row r="1395" spans="9:9">
      <c r="I1395" s="2"/>
    </row>
    <row r="1396" spans="9:9">
      <c r="I1396" s="2"/>
    </row>
    <row r="1397" spans="9:9">
      <c r="I1397" s="2"/>
    </row>
    <row r="1398" spans="9:9">
      <c r="I1398" s="2"/>
    </row>
    <row r="1399" spans="9:9">
      <c r="I1399" s="2"/>
    </row>
    <row r="1400" spans="9:9">
      <c r="I1400" s="2"/>
    </row>
    <row r="1401" spans="9:9">
      <c r="I1401" s="2"/>
    </row>
    <row r="1402" spans="9:9">
      <c r="I1402" s="2"/>
    </row>
    <row r="1403" spans="9:9">
      <c r="I1403" s="2"/>
    </row>
    <row r="1404" spans="9:9">
      <c r="I1404" s="2"/>
    </row>
    <row r="1405" spans="9:9">
      <c r="I1405" s="2"/>
    </row>
    <row r="1406" spans="9:9">
      <c r="I1406" s="2"/>
    </row>
    <row r="1407" spans="9:9">
      <c r="I1407" s="2"/>
    </row>
    <row r="1408" spans="9:9">
      <c r="I1408" s="2"/>
    </row>
    <row r="1409" spans="9:9">
      <c r="I1409" s="2"/>
    </row>
    <row r="1410" spans="9:9">
      <c r="I1410" s="2"/>
    </row>
    <row r="1411" spans="9:9">
      <c r="I1411" s="2"/>
    </row>
    <row r="1412" spans="9:9">
      <c r="I1412" s="2"/>
    </row>
    <row r="1413" spans="9:9">
      <c r="I1413" s="2"/>
    </row>
    <row r="1414" spans="9:9">
      <c r="I1414" s="2"/>
    </row>
    <row r="1415" spans="9:9">
      <c r="I1415" s="2"/>
    </row>
    <row r="1416" spans="9:9">
      <c r="I1416" s="2"/>
    </row>
    <row r="1417" spans="9:9">
      <c r="I1417" s="2"/>
    </row>
    <row r="1418" spans="9:9">
      <c r="I1418" s="2"/>
    </row>
    <row r="1419" spans="9:9">
      <c r="I1419" s="2"/>
    </row>
    <row r="1420" spans="9:9">
      <c r="I1420" s="2"/>
    </row>
    <row r="1421" spans="9:9">
      <c r="I1421" s="2"/>
    </row>
    <row r="1422" spans="9:9">
      <c r="I1422" s="2"/>
    </row>
    <row r="1423" spans="9:9">
      <c r="I1423" s="2"/>
    </row>
    <row r="1424" spans="9:9">
      <c r="I1424" s="2"/>
    </row>
    <row r="1425" spans="9:9">
      <c r="I1425" s="2"/>
    </row>
    <row r="1426" spans="9:9">
      <c r="I1426" s="2"/>
    </row>
    <row r="1427" spans="9:9">
      <c r="I1427" s="2"/>
    </row>
    <row r="1428" spans="9:9">
      <c r="I1428" s="2"/>
    </row>
    <row r="1429" spans="9:9">
      <c r="I1429" s="2"/>
    </row>
    <row r="1430" spans="9:9">
      <c r="I1430" s="2"/>
    </row>
    <row r="1431" spans="9:9">
      <c r="I1431" s="2"/>
    </row>
    <row r="1432" spans="9:9">
      <c r="I1432" s="2"/>
    </row>
    <row r="1433" spans="9:9">
      <c r="I1433" s="2"/>
    </row>
    <row r="1434" spans="9:9">
      <c r="I1434" s="2"/>
    </row>
    <row r="1435" spans="9:9">
      <c r="I1435" s="2"/>
    </row>
    <row r="1436" spans="9:9">
      <c r="I1436" s="2"/>
    </row>
    <row r="1437" spans="9:9">
      <c r="I1437" s="2"/>
    </row>
    <row r="1438" spans="9:9">
      <c r="I1438" s="2"/>
    </row>
    <row r="1439" spans="9:9">
      <c r="I1439" s="2"/>
    </row>
    <row r="1440" spans="9:9">
      <c r="I1440" s="2"/>
    </row>
    <row r="1441" spans="9:9">
      <c r="I1441" s="2"/>
    </row>
    <row r="1442" spans="9:9">
      <c r="I1442" s="2"/>
    </row>
    <row r="1443" spans="9:9">
      <c r="I1443" s="2"/>
    </row>
    <row r="1444" spans="9:9">
      <c r="I1444" s="2"/>
    </row>
    <row r="1445" spans="9:9">
      <c r="I1445" s="2"/>
    </row>
    <row r="1446" spans="9:9">
      <c r="I1446" s="2"/>
    </row>
    <row r="1447" spans="9:9">
      <c r="I1447" s="2"/>
    </row>
    <row r="1448" spans="9:9">
      <c r="I1448" s="2"/>
    </row>
    <row r="1449" spans="9:9">
      <c r="I1449" s="2"/>
    </row>
    <row r="1450" spans="9:9">
      <c r="I1450" s="2"/>
    </row>
    <row r="1451" spans="9:9">
      <c r="I1451" s="2"/>
    </row>
    <row r="1452" spans="9:9">
      <c r="I1452" s="2"/>
    </row>
    <row r="1453" spans="9:9">
      <c r="I1453" s="2"/>
    </row>
    <row r="1454" spans="9:9">
      <c r="I1454" s="2"/>
    </row>
    <row r="1455" spans="9:9">
      <c r="I1455" s="2"/>
    </row>
    <row r="1456" spans="9:9">
      <c r="I1456" s="2"/>
    </row>
    <row r="1457" spans="9:9">
      <c r="I1457" s="2"/>
    </row>
    <row r="1458" spans="9:9">
      <c r="I1458" s="2"/>
    </row>
    <row r="1459" spans="9:9">
      <c r="I1459" s="2"/>
    </row>
    <row r="1460" spans="9:9">
      <c r="I1460" s="2"/>
    </row>
    <row r="1461" spans="9:9">
      <c r="I1461" s="2"/>
    </row>
    <row r="1462" spans="9:9">
      <c r="I1462" s="2"/>
    </row>
    <row r="1463" spans="9:9">
      <c r="I1463" s="2"/>
    </row>
    <row r="1464" spans="9:9">
      <c r="I1464" s="2"/>
    </row>
    <row r="1465" spans="9:9">
      <c r="I1465" s="2"/>
    </row>
    <row r="1466" spans="9:9">
      <c r="I1466" s="2"/>
    </row>
    <row r="1467" spans="9:9">
      <c r="I1467" s="2"/>
    </row>
    <row r="1468" spans="9:9">
      <c r="I1468" s="2"/>
    </row>
    <row r="1469" spans="9:9">
      <c r="I1469" s="2"/>
    </row>
    <row r="1470" spans="9:9">
      <c r="I1470" s="2"/>
    </row>
    <row r="1471" spans="9:9">
      <c r="I1471" s="2"/>
    </row>
    <row r="1472" spans="9:9">
      <c r="I1472" s="2"/>
    </row>
    <row r="1473" spans="9:9">
      <c r="I1473" s="2"/>
    </row>
    <row r="1474" spans="9:9">
      <c r="I1474" s="2"/>
    </row>
    <row r="1475" spans="9:9">
      <c r="I1475" s="2"/>
    </row>
    <row r="1476" spans="9:9">
      <c r="I1476" s="2"/>
    </row>
    <row r="1477" spans="9:9">
      <c r="I1477" s="2"/>
    </row>
    <row r="1478" spans="9:9">
      <c r="I1478" s="2"/>
    </row>
    <row r="1479" spans="9:9">
      <c r="I1479" s="2"/>
    </row>
    <row r="1480" spans="9:9">
      <c r="I1480" s="2"/>
    </row>
    <row r="1481" spans="9:9">
      <c r="I1481" s="2"/>
    </row>
    <row r="1482" spans="9:9">
      <c r="I1482" s="2"/>
    </row>
    <row r="1483" spans="9:9">
      <c r="I1483" s="2"/>
    </row>
    <row r="1484" spans="9:9">
      <c r="I1484" s="2"/>
    </row>
    <row r="1485" spans="9:9">
      <c r="I1485" s="2"/>
    </row>
    <row r="1486" spans="9:9">
      <c r="I1486" s="2"/>
    </row>
    <row r="1487" spans="9:9">
      <c r="I1487" s="2"/>
    </row>
    <row r="1488" spans="9:9">
      <c r="I1488" s="2"/>
    </row>
    <row r="1489" spans="9:9">
      <c r="I1489" s="2"/>
    </row>
    <row r="1490" spans="9:9">
      <c r="I1490" s="2"/>
    </row>
    <row r="1491" spans="9:9">
      <c r="I1491" s="2"/>
    </row>
    <row r="1492" spans="9:9">
      <c r="I1492" s="2"/>
    </row>
    <row r="1493" spans="9:9">
      <c r="I1493" s="2"/>
    </row>
    <row r="1494" spans="9:9">
      <c r="I1494" s="2"/>
    </row>
    <row r="1495" spans="9:9">
      <c r="I1495" s="2"/>
    </row>
    <row r="1496" spans="9:9">
      <c r="I1496" s="2"/>
    </row>
    <row r="1497" spans="9:9">
      <c r="I1497" s="2"/>
    </row>
    <row r="1498" spans="9:9">
      <c r="I1498" s="2"/>
    </row>
    <row r="1499" spans="9:9">
      <c r="I1499" s="2"/>
    </row>
    <row r="1500" spans="9:9">
      <c r="I1500" s="2"/>
    </row>
    <row r="1501" spans="9:9">
      <c r="I1501" s="2"/>
    </row>
    <row r="1502" spans="9:9">
      <c r="I1502" s="2"/>
    </row>
    <row r="1503" spans="9:9">
      <c r="I1503" s="2"/>
    </row>
    <row r="1504" spans="9:9">
      <c r="I1504" s="2"/>
    </row>
    <row r="1505" spans="9:9">
      <c r="I1505" s="2"/>
    </row>
    <row r="1506" spans="9:9">
      <c r="I1506" s="2"/>
    </row>
    <row r="1507" spans="9:9">
      <c r="I1507" s="2"/>
    </row>
    <row r="1508" spans="9:9">
      <c r="I1508" s="2"/>
    </row>
    <row r="1509" spans="9:9">
      <c r="I1509" s="2"/>
    </row>
    <row r="1510" spans="9:9">
      <c r="I1510" s="2"/>
    </row>
    <row r="1511" spans="9:9">
      <c r="I1511" s="2"/>
    </row>
    <row r="1512" spans="9:9">
      <c r="I1512" s="2"/>
    </row>
    <row r="1513" spans="9:9">
      <c r="I1513" s="2"/>
    </row>
    <row r="1514" spans="9:9">
      <c r="I1514" s="2"/>
    </row>
    <row r="1515" spans="9:9">
      <c r="I1515" s="2"/>
    </row>
    <row r="1516" spans="9:9">
      <c r="I1516" s="2"/>
    </row>
    <row r="1517" spans="9:9">
      <c r="I1517" s="2"/>
    </row>
    <row r="1518" spans="9:9">
      <c r="I1518" s="2"/>
    </row>
    <row r="1519" spans="9:9">
      <c r="I1519" s="2"/>
    </row>
    <row r="1520" spans="9:9">
      <c r="I1520" s="2"/>
    </row>
    <row r="1521" spans="9:9">
      <c r="I1521" s="2"/>
    </row>
    <row r="1522" spans="9:9">
      <c r="I1522" s="2"/>
    </row>
    <row r="1523" spans="9:9">
      <c r="I1523" s="2"/>
    </row>
    <row r="1524" spans="9:9">
      <c r="I1524" s="2"/>
    </row>
    <row r="1525" spans="9:9">
      <c r="I1525" s="2"/>
    </row>
    <row r="1526" spans="9:9">
      <c r="I1526" s="2"/>
    </row>
    <row r="1527" spans="9:9">
      <c r="I1527" s="2"/>
    </row>
    <row r="1528" spans="9:9">
      <c r="I1528" s="2"/>
    </row>
    <row r="1529" spans="9:9">
      <c r="I1529" s="2"/>
    </row>
    <row r="1530" spans="9:9">
      <c r="I1530" s="2"/>
    </row>
    <row r="1531" spans="9:9">
      <c r="I1531" s="2"/>
    </row>
    <row r="1532" spans="9:9">
      <c r="I1532" s="2"/>
    </row>
    <row r="1533" spans="9:9">
      <c r="I1533" s="2"/>
    </row>
    <row r="1534" spans="9:9">
      <c r="I1534" s="2"/>
    </row>
    <row r="1535" spans="9:9">
      <c r="I1535" s="2"/>
    </row>
    <row r="1536" spans="9:9">
      <c r="I1536" s="2"/>
    </row>
    <row r="1537" spans="9:9">
      <c r="I1537" s="2"/>
    </row>
    <row r="1538" spans="9:9">
      <c r="I1538" s="2"/>
    </row>
    <row r="1539" spans="9:9">
      <c r="I1539" s="2"/>
    </row>
    <row r="1540" spans="9:9">
      <c r="I1540" s="2"/>
    </row>
    <row r="1541" spans="9:9">
      <c r="I1541" s="2"/>
    </row>
    <row r="1542" spans="9:9">
      <c r="I1542" s="2"/>
    </row>
    <row r="1543" spans="9:9">
      <c r="I1543" s="2"/>
    </row>
    <row r="1544" spans="9:9">
      <c r="I1544" s="2"/>
    </row>
    <row r="1545" spans="9:9">
      <c r="I1545" s="2"/>
    </row>
    <row r="1546" spans="9:9">
      <c r="I1546" s="2"/>
    </row>
    <row r="1547" spans="9:9">
      <c r="I1547" s="2"/>
    </row>
    <row r="1548" spans="9:9">
      <c r="I1548" s="2"/>
    </row>
    <row r="1549" spans="9:9">
      <c r="I1549" s="2"/>
    </row>
    <row r="1550" spans="9:9">
      <c r="I1550" s="2"/>
    </row>
    <row r="1551" spans="9:9">
      <c r="I1551" s="2"/>
    </row>
    <row r="1552" spans="9:9">
      <c r="I1552" s="2"/>
    </row>
    <row r="1553" spans="9:9">
      <c r="I1553" s="2"/>
    </row>
    <row r="1554" spans="9:9">
      <c r="I1554" s="2"/>
    </row>
    <row r="1555" spans="9:9">
      <c r="I1555" s="2"/>
    </row>
    <row r="1556" spans="9:9">
      <c r="I1556" s="2"/>
    </row>
    <row r="1557" spans="9:9">
      <c r="I1557" s="2"/>
    </row>
    <row r="1558" spans="9:9">
      <c r="I1558" s="2"/>
    </row>
    <row r="1559" spans="9:9">
      <c r="I1559" s="2"/>
    </row>
    <row r="1560" spans="9:9">
      <c r="I1560" s="2"/>
    </row>
    <row r="1561" spans="9:9">
      <c r="I1561" s="2"/>
    </row>
    <row r="1562" spans="9:9">
      <c r="I1562" s="2"/>
    </row>
    <row r="1563" spans="9:9">
      <c r="I1563" s="2"/>
    </row>
    <row r="1564" spans="9:9">
      <c r="I1564" s="2"/>
    </row>
    <row r="1565" spans="9:9">
      <c r="I1565" s="2"/>
    </row>
    <row r="1566" spans="9:9">
      <c r="I1566" s="2"/>
    </row>
    <row r="1567" spans="9:9">
      <c r="I1567" s="2"/>
    </row>
    <row r="1568" spans="9:9">
      <c r="I1568" s="2"/>
    </row>
    <row r="1569" spans="9:9">
      <c r="I1569" s="2"/>
    </row>
    <row r="1570" spans="9:9">
      <c r="I1570" s="2"/>
    </row>
    <row r="1571" spans="9:9">
      <c r="I1571" s="2"/>
    </row>
    <row r="1572" spans="9:9">
      <c r="I1572" s="2"/>
    </row>
    <row r="1573" spans="9:9">
      <c r="I1573" s="2"/>
    </row>
    <row r="1574" spans="9:9">
      <c r="I1574" s="2"/>
    </row>
    <row r="1575" spans="9:9">
      <c r="I1575" s="2"/>
    </row>
    <row r="1576" spans="9:9">
      <c r="I1576" s="2"/>
    </row>
    <row r="1577" spans="9:9">
      <c r="I1577" s="2"/>
    </row>
    <row r="1578" spans="9:9">
      <c r="I1578" s="2"/>
    </row>
    <row r="1579" spans="9:9">
      <c r="I1579" s="2"/>
    </row>
    <row r="1580" spans="9:9">
      <c r="I1580" s="2"/>
    </row>
    <row r="1581" spans="9:9">
      <c r="I1581" s="2"/>
    </row>
    <row r="1582" spans="9:9">
      <c r="I1582" s="2"/>
    </row>
    <row r="1583" spans="9:9">
      <c r="I1583" s="2"/>
    </row>
    <row r="1584" spans="9:9">
      <c r="I1584" s="2"/>
    </row>
    <row r="1585" spans="9:9">
      <c r="I1585" s="2"/>
    </row>
    <row r="1586" spans="9:9">
      <c r="I1586" s="2"/>
    </row>
    <row r="1587" spans="9:9">
      <c r="I1587" s="2"/>
    </row>
    <row r="1588" spans="9:9">
      <c r="I1588" s="2"/>
    </row>
    <row r="1589" spans="9:9">
      <c r="I1589" s="2"/>
    </row>
    <row r="1590" spans="9:9">
      <c r="I1590" s="2"/>
    </row>
    <row r="1591" spans="9:9">
      <c r="I1591" s="2"/>
    </row>
    <row r="1592" spans="9:9">
      <c r="I1592" s="2"/>
    </row>
    <row r="1593" spans="9:9">
      <c r="I1593" s="2"/>
    </row>
    <row r="1594" spans="9:9">
      <c r="I1594" s="2"/>
    </row>
    <row r="1595" spans="9:9">
      <c r="I1595" s="2"/>
    </row>
    <row r="1596" spans="9:9">
      <c r="I1596" s="2"/>
    </row>
    <row r="1597" spans="9:9">
      <c r="I1597" s="2"/>
    </row>
    <row r="1598" spans="9:9">
      <c r="I1598" s="2"/>
    </row>
    <row r="1599" spans="9:9">
      <c r="I1599" s="2"/>
    </row>
    <row r="1600" spans="9:9">
      <c r="I1600" s="2"/>
    </row>
    <row r="1601" spans="9:9">
      <c r="I1601" s="2"/>
    </row>
    <row r="1602" spans="9:9">
      <c r="I1602" s="2"/>
    </row>
    <row r="1603" spans="9:9">
      <c r="I1603" s="2"/>
    </row>
    <row r="1604" spans="9:9">
      <c r="I1604" s="2"/>
    </row>
    <row r="1605" spans="9:9">
      <c r="I1605" s="2"/>
    </row>
    <row r="1606" spans="9:9">
      <c r="I1606" s="2"/>
    </row>
    <row r="1607" spans="9:9">
      <c r="I1607" s="2"/>
    </row>
    <row r="1608" spans="9:9">
      <c r="I1608" s="2"/>
    </row>
    <row r="1609" spans="9:9">
      <c r="I1609" s="2"/>
    </row>
    <row r="1610" spans="9:9">
      <c r="I1610" s="2"/>
    </row>
    <row r="1611" spans="9:9">
      <c r="I1611" s="2"/>
    </row>
    <row r="1612" spans="9:9">
      <c r="I1612" s="2"/>
    </row>
    <row r="1613" spans="9:9">
      <c r="I1613" s="2"/>
    </row>
    <row r="1614" spans="9:9">
      <c r="I1614" s="2"/>
    </row>
    <row r="1615" spans="9:9">
      <c r="I1615" s="2"/>
    </row>
    <row r="1616" spans="9:9">
      <c r="I1616" s="2"/>
    </row>
    <row r="1617" spans="9:9">
      <c r="I1617" s="2"/>
    </row>
    <row r="1618" spans="9:9">
      <c r="I1618" s="2"/>
    </row>
    <row r="1619" spans="9:9">
      <c r="I1619" s="2"/>
    </row>
    <row r="1620" spans="9:9">
      <c r="I1620" s="2"/>
    </row>
    <row r="1621" spans="9:9">
      <c r="I1621" s="2"/>
    </row>
    <row r="1622" spans="9:9">
      <c r="I1622" s="2"/>
    </row>
    <row r="1623" spans="9:9">
      <c r="I1623" s="2"/>
    </row>
    <row r="1624" spans="9:9">
      <c r="I1624" s="2"/>
    </row>
    <row r="1625" spans="9:9">
      <c r="I1625" s="2"/>
    </row>
    <row r="1626" spans="9:9">
      <c r="I1626" s="2"/>
    </row>
    <row r="1627" spans="9:9">
      <c r="I1627" s="2"/>
    </row>
    <row r="1628" spans="9:9">
      <c r="I1628" s="2"/>
    </row>
    <row r="1629" spans="9:9">
      <c r="I1629" s="2"/>
    </row>
    <row r="1630" spans="9:9">
      <c r="I1630" s="2"/>
    </row>
    <row r="1631" spans="9:9">
      <c r="I1631" s="2"/>
    </row>
    <row r="1632" spans="9:9">
      <c r="I1632" s="2"/>
    </row>
    <row r="1633" spans="9:9">
      <c r="I1633" s="2"/>
    </row>
    <row r="1634" spans="9:9">
      <c r="I1634" s="2"/>
    </row>
    <row r="1635" spans="9:9">
      <c r="I1635" s="2"/>
    </row>
    <row r="1636" spans="9:9">
      <c r="I1636" s="2"/>
    </row>
    <row r="1637" spans="9:9">
      <c r="I1637" s="2"/>
    </row>
    <row r="1638" spans="9:9">
      <c r="I1638" s="2"/>
    </row>
    <row r="1639" spans="9:9">
      <c r="I1639" s="2"/>
    </row>
    <row r="1640" spans="9:9">
      <c r="I1640" s="2"/>
    </row>
    <row r="1641" spans="9:9">
      <c r="I1641" s="2"/>
    </row>
    <row r="1642" spans="9:9">
      <c r="I1642" s="2"/>
    </row>
    <row r="1643" spans="9:9">
      <c r="I1643" s="2"/>
    </row>
    <row r="1644" spans="9:9">
      <c r="I1644" s="2"/>
    </row>
    <row r="1645" spans="9:9">
      <c r="I1645" s="2"/>
    </row>
    <row r="1646" spans="9:9">
      <c r="I1646" s="2"/>
    </row>
    <row r="1647" spans="9:9">
      <c r="I1647" s="2"/>
    </row>
    <row r="1648" spans="9:9">
      <c r="I1648" s="2"/>
    </row>
    <row r="1649" spans="9:9">
      <c r="I1649" s="2"/>
    </row>
    <row r="1650" spans="9:9">
      <c r="I1650" s="2"/>
    </row>
    <row r="1651" spans="9:9">
      <c r="I1651" s="2"/>
    </row>
    <row r="1652" spans="9:9">
      <c r="I1652" s="2"/>
    </row>
    <row r="1653" spans="9:9">
      <c r="I1653" s="2"/>
    </row>
    <row r="1654" spans="9:9">
      <c r="I1654" s="2"/>
    </row>
    <row r="1655" spans="9:9">
      <c r="I1655" s="2"/>
    </row>
    <row r="1656" spans="9:9">
      <c r="I1656" s="2"/>
    </row>
    <row r="1657" spans="9:9">
      <c r="I1657" s="2"/>
    </row>
    <row r="1658" spans="9:9">
      <c r="I1658" s="2"/>
    </row>
    <row r="1659" spans="9:9">
      <c r="I1659" s="2"/>
    </row>
    <row r="1660" spans="9:9">
      <c r="I1660" s="2"/>
    </row>
    <row r="1661" spans="9:9">
      <c r="I1661" s="2"/>
    </row>
    <row r="1662" spans="9:9">
      <c r="I1662" s="2"/>
    </row>
    <row r="1663" spans="9:9">
      <c r="I1663" s="2"/>
    </row>
    <row r="1664" spans="9:9">
      <c r="I1664" s="2"/>
    </row>
    <row r="1665" spans="9:9">
      <c r="I1665" s="2"/>
    </row>
    <row r="1666" spans="9:9">
      <c r="I1666" s="2"/>
    </row>
    <row r="1667" spans="9:9">
      <c r="I1667" s="2"/>
    </row>
    <row r="1668" spans="9:9">
      <c r="I1668" s="2"/>
    </row>
    <row r="1669" spans="9:9">
      <c r="I1669" s="2"/>
    </row>
    <row r="1670" spans="9:9">
      <c r="I1670" s="2"/>
    </row>
    <row r="1671" spans="9:9">
      <c r="I1671" s="2"/>
    </row>
    <row r="1672" spans="9:9">
      <c r="I1672" s="2"/>
    </row>
    <row r="1673" spans="9:9">
      <c r="I1673" s="2"/>
    </row>
    <row r="1674" spans="9:9">
      <c r="I1674" s="2"/>
    </row>
    <row r="1675" spans="9:9">
      <c r="I1675" s="2"/>
    </row>
    <row r="1676" spans="9:9">
      <c r="I1676" s="2"/>
    </row>
    <row r="1677" spans="9:9">
      <c r="I1677" s="2"/>
    </row>
    <row r="1678" spans="9:9">
      <c r="I1678" s="2"/>
    </row>
    <row r="1679" spans="9:9">
      <c r="I1679" s="2"/>
    </row>
    <row r="1680" spans="9:9">
      <c r="I1680" s="2"/>
    </row>
    <row r="1681" spans="9:9">
      <c r="I1681" s="2"/>
    </row>
    <row r="1682" spans="9:9">
      <c r="I1682" s="2"/>
    </row>
    <row r="1683" spans="9:9">
      <c r="I1683" s="2"/>
    </row>
    <row r="1684" spans="9:9">
      <c r="I1684" s="2"/>
    </row>
    <row r="1685" spans="9:9">
      <c r="I1685" s="2"/>
    </row>
    <row r="1686" spans="9:9">
      <c r="I1686" s="2"/>
    </row>
    <row r="1687" spans="9:9">
      <c r="I1687" s="2"/>
    </row>
    <row r="1688" spans="9:9">
      <c r="I1688" s="2"/>
    </row>
    <row r="1689" spans="9:9">
      <c r="I1689" s="2"/>
    </row>
    <row r="1690" spans="9:9">
      <c r="I1690" s="2"/>
    </row>
    <row r="1691" spans="9:9">
      <c r="I1691" s="2"/>
    </row>
    <row r="1692" spans="9:9">
      <c r="I1692" s="2"/>
    </row>
    <row r="1693" spans="9:9">
      <c r="I1693" s="2"/>
    </row>
    <row r="1694" spans="9:9">
      <c r="I1694" s="2"/>
    </row>
    <row r="1695" spans="9:9">
      <c r="I1695" s="2"/>
    </row>
    <row r="1696" spans="9:9">
      <c r="I1696" s="2"/>
    </row>
    <row r="1697" spans="9:9">
      <c r="I1697" s="2"/>
    </row>
    <row r="1698" spans="9:9">
      <c r="I1698" s="2"/>
    </row>
    <row r="1699" spans="9:9">
      <c r="I1699" s="2"/>
    </row>
    <row r="1700" spans="9:9">
      <c r="I1700" s="2"/>
    </row>
    <row r="1701" spans="9:9">
      <c r="I1701" s="2"/>
    </row>
    <row r="1702" spans="9:9">
      <c r="I1702" s="2"/>
    </row>
    <row r="1703" spans="9:9">
      <c r="I1703" s="2"/>
    </row>
    <row r="1704" spans="9:9">
      <c r="I1704" s="2"/>
    </row>
    <row r="1705" spans="9:9">
      <c r="I1705" s="2"/>
    </row>
    <row r="1706" spans="9:9">
      <c r="I1706" s="2"/>
    </row>
    <row r="1707" spans="9:9">
      <c r="I1707" s="2"/>
    </row>
    <row r="1708" spans="9:9">
      <c r="I1708" s="2"/>
    </row>
    <row r="1709" spans="9:9">
      <c r="I1709" s="2"/>
    </row>
    <row r="1710" spans="9:9">
      <c r="I1710" s="2"/>
    </row>
    <row r="1711" spans="9:9">
      <c r="I1711" s="2"/>
    </row>
    <row r="1712" spans="9:9">
      <c r="I1712" s="2"/>
    </row>
    <row r="1713" spans="9:9">
      <c r="I1713" s="2"/>
    </row>
    <row r="1714" spans="9:9">
      <c r="I1714" s="2"/>
    </row>
    <row r="1715" spans="9:9">
      <c r="I1715" s="2"/>
    </row>
    <row r="1716" spans="9:9">
      <c r="I1716" s="2"/>
    </row>
    <row r="1717" spans="9:9">
      <c r="I1717" s="2"/>
    </row>
    <row r="1718" spans="9:9">
      <c r="I1718" s="2"/>
    </row>
    <row r="1719" spans="9:9">
      <c r="I1719" s="2"/>
    </row>
    <row r="1720" spans="9:9">
      <c r="I1720" s="2"/>
    </row>
    <row r="1721" spans="9:9">
      <c r="I1721" s="2"/>
    </row>
    <row r="1722" spans="9:9">
      <c r="I1722" s="2"/>
    </row>
    <row r="1723" spans="9:9">
      <c r="I1723" s="2"/>
    </row>
    <row r="1724" spans="9:9">
      <c r="I1724" s="2"/>
    </row>
    <row r="1725" spans="9:9">
      <c r="I1725" s="2"/>
    </row>
    <row r="1726" spans="9:9">
      <c r="I1726" s="2"/>
    </row>
    <row r="1727" spans="9:9">
      <c r="I1727" s="2"/>
    </row>
    <row r="1728" spans="9:9">
      <c r="I1728" s="2"/>
    </row>
    <row r="1729" spans="9:9">
      <c r="I1729" s="2"/>
    </row>
    <row r="1730" spans="9:9">
      <c r="I1730" s="2"/>
    </row>
    <row r="1731" spans="9:9">
      <c r="I1731" s="2"/>
    </row>
    <row r="1732" spans="9:9">
      <c r="I1732" s="2"/>
    </row>
    <row r="1733" spans="9:9">
      <c r="I1733" s="2"/>
    </row>
    <row r="1734" spans="9:9">
      <c r="I1734" s="2"/>
    </row>
    <row r="1735" spans="9:9">
      <c r="I1735" s="2"/>
    </row>
    <row r="1736" spans="9:9">
      <c r="I1736" s="2"/>
    </row>
    <row r="1737" spans="9:9">
      <c r="I1737" s="2"/>
    </row>
    <row r="1738" spans="9:9">
      <c r="I1738" s="2"/>
    </row>
    <row r="1739" spans="9:9">
      <c r="I1739" s="2"/>
    </row>
    <row r="1740" spans="9:9">
      <c r="I1740" s="2"/>
    </row>
    <row r="1741" spans="9:9">
      <c r="I1741" s="2"/>
    </row>
    <row r="1742" spans="9:9">
      <c r="I1742" s="2"/>
    </row>
    <row r="1743" spans="9:9">
      <c r="I1743" s="2"/>
    </row>
    <row r="1744" spans="9:9">
      <c r="I1744" s="2"/>
    </row>
    <row r="1745" spans="9:9">
      <c r="I1745" s="2"/>
    </row>
    <row r="1746" spans="9:9">
      <c r="I1746" s="2"/>
    </row>
    <row r="1747" spans="9:9">
      <c r="I1747" s="2"/>
    </row>
    <row r="1748" spans="9:9">
      <c r="I1748" s="2"/>
    </row>
    <row r="1749" spans="9:9">
      <c r="I1749" s="2"/>
    </row>
    <row r="1750" spans="9:9">
      <c r="I1750" s="2"/>
    </row>
    <row r="1751" spans="9:9">
      <c r="I1751" s="2"/>
    </row>
    <row r="1752" spans="9:9">
      <c r="I1752" s="2"/>
    </row>
    <row r="1753" spans="9:9">
      <c r="I1753" s="2"/>
    </row>
    <row r="1754" spans="9:9">
      <c r="I1754" s="2"/>
    </row>
    <row r="1755" spans="9:9">
      <c r="I1755" s="2"/>
    </row>
    <row r="1756" spans="9:9">
      <c r="I1756" s="2"/>
    </row>
    <row r="1757" spans="9:9">
      <c r="I1757" s="2"/>
    </row>
    <row r="1758" spans="9:9">
      <c r="I1758" s="2"/>
    </row>
    <row r="1759" spans="9:9">
      <c r="I1759" s="2"/>
    </row>
    <row r="1760" spans="9:9">
      <c r="I1760" s="2"/>
    </row>
    <row r="1761" spans="9:9">
      <c r="I1761" s="2"/>
    </row>
    <row r="1762" spans="9:9">
      <c r="I1762" s="2"/>
    </row>
    <row r="1763" spans="9:9">
      <c r="I1763" s="2"/>
    </row>
    <row r="1764" spans="9:9">
      <c r="I1764" s="2"/>
    </row>
    <row r="1765" spans="9:9">
      <c r="I1765" s="2"/>
    </row>
    <row r="1766" spans="9:9">
      <c r="I1766" s="2"/>
    </row>
    <row r="1767" spans="9:9">
      <c r="I1767" s="2"/>
    </row>
    <row r="1768" spans="9:9">
      <c r="I1768" s="2"/>
    </row>
    <row r="1769" spans="9:9">
      <c r="I1769" s="2"/>
    </row>
    <row r="1770" spans="9:9">
      <c r="I1770" s="2"/>
    </row>
    <row r="1771" spans="9:9">
      <c r="I1771" s="2"/>
    </row>
    <row r="1772" spans="9:9">
      <c r="I1772" s="2"/>
    </row>
    <row r="1773" spans="9:9">
      <c r="I1773" s="2"/>
    </row>
    <row r="1774" spans="9:9">
      <c r="I1774" s="2"/>
    </row>
    <row r="1775" spans="9:9">
      <c r="I1775" s="2"/>
    </row>
    <row r="1776" spans="9:9">
      <c r="I1776" s="2"/>
    </row>
    <row r="1777" spans="9:9">
      <c r="I1777" s="2"/>
    </row>
    <row r="1778" spans="9:9">
      <c r="I1778" s="2"/>
    </row>
    <row r="1779" spans="9:9">
      <c r="I1779" s="2"/>
    </row>
    <row r="1780" spans="9:9">
      <c r="I1780" s="2"/>
    </row>
    <row r="1781" spans="9:9">
      <c r="I1781" s="2"/>
    </row>
    <row r="1782" spans="9:9">
      <c r="I1782" s="2"/>
    </row>
    <row r="1783" spans="9:9">
      <c r="I1783" s="2"/>
    </row>
    <row r="1784" spans="9:9">
      <c r="I1784" s="2"/>
    </row>
    <row r="1785" spans="9:9">
      <c r="I1785" s="2"/>
    </row>
    <row r="1786" spans="9:9">
      <c r="I1786" s="2"/>
    </row>
    <row r="1787" spans="9:9">
      <c r="I1787" s="2"/>
    </row>
    <row r="1788" spans="9:9">
      <c r="I1788" s="2"/>
    </row>
    <row r="1789" spans="9:9">
      <c r="I1789" s="2"/>
    </row>
    <row r="1790" spans="9:9">
      <c r="I1790" s="2"/>
    </row>
    <row r="1791" spans="9:9">
      <c r="I1791" s="2"/>
    </row>
    <row r="1792" spans="9:9">
      <c r="I1792" s="2"/>
    </row>
    <row r="1793" spans="9:9">
      <c r="I1793" s="2"/>
    </row>
    <row r="1794" spans="9:9">
      <c r="I1794" s="2"/>
    </row>
    <row r="1795" spans="9:9">
      <c r="I1795" s="2"/>
    </row>
    <row r="1796" spans="9:9">
      <c r="I1796" s="2"/>
    </row>
    <row r="1797" spans="9:9">
      <c r="I1797" s="2"/>
    </row>
    <row r="1798" spans="9:9">
      <c r="I1798" s="2"/>
    </row>
    <row r="1799" spans="9:9">
      <c r="I1799" s="2"/>
    </row>
    <row r="1800" spans="9:9">
      <c r="I1800" s="2"/>
    </row>
    <row r="1801" spans="9:9">
      <c r="I1801" s="2"/>
    </row>
    <row r="1802" spans="9:9">
      <c r="I1802" s="2"/>
    </row>
    <row r="1803" spans="9:9">
      <c r="I1803" s="2"/>
    </row>
    <row r="1804" spans="9:9">
      <c r="I1804" s="2"/>
    </row>
    <row r="1805" spans="9:9">
      <c r="I1805" s="2"/>
    </row>
    <row r="1806" spans="9:9">
      <c r="I1806" s="2"/>
    </row>
    <row r="1807" spans="9:9">
      <c r="I1807" s="2"/>
    </row>
    <row r="1808" spans="9:9">
      <c r="I1808" s="2"/>
    </row>
    <row r="1809" spans="9:9">
      <c r="I1809" s="2"/>
    </row>
    <row r="1810" spans="9:9">
      <c r="I1810" s="2"/>
    </row>
    <row r="1811" spans="9:9">
      <c r="I1811" s="2"/>
    </row>
    <row r="1812" spans="9:9">
      <c r="I1812" s="2"/>
    </row>
    <row r="1813" spans="9:9">
      <c r="I1813" s="2"/>
    </row>
    <row r="1814" spans="9:9">
      <c r="I1814" s="2"/>
    </row>
    <row r="1815" spans="9:9">
      <c r="I1815" s="2"/>
    </row>
    <row r="1816" spans="9:9">
      <c r="I1816" s="2"/>
    </row>
    <row r="1817" spans="9:9">
      <c r="I1817" s="2"/>
    </row>
    <row r="1818" spans="9:9">
      <c r="I1818" s="2"/>
    </row>
    <row r="1819" spans="9:9">
      <c r="I1819" s="2"/>
    </row>
    <row r="1820" spans="9:9">
      <c r="I1820" s="2"/>
    </row>
    <row r="1821" spans="9:9">
      <c r="I1821" s="2"/>
    </row>
    <row r="1822" spans="9:9">
      <c r="I1822" s="2"/>
    </row>
    <row r="1823" spans="9:9">
      <c r="I1823" s="2"/>
    </row>
    <row r="1824" spans="9:9">
      <c r="I1824" s="2"/>
    </row>
    <row r="1825" spans="9:9">
      <c r="I1825" s="2"/>
    </row>
    <row r="1826" spans="9:9">
      <c r="I1826" s="2"/>
    </row>
    <row r="1827" spans="9:9">
      <c r="I1827" s="2"/>
    </row>
    <row r="1828" spans="9:9">
      <c r="I1828" s="2"/>
    </row>
    <row r="1829" spans="9:9">
      <c r="I1829" s="2"/>
    </row>
    <row r="1830" spans="9:9">
      <c r="I1830" s="2"/>
    </row>
    <row r="1831" spans="9:9">
      <c r="I1831" s="2"/>
    </row>
    <row r="1832" spans="9:9">
      <c r="I1832" s="2"/>
    </row>
    <row r="1833" spans="9:9">
      <c r="I1833" s="2"/>
    </row>
    <row r="1834" spans="9:9">
      <c r="I1834" s="2"/>
    </row>
    <row r="1835" spans="9:9">
      <c r="I1835" s="2"/>
    </row>
    <row r="1836" spans="9:9">
      <c r="I1836" s="2"/>
    </row>
    <row r="1837" spans="9:9">
      <c r="I1837" s="2"/>
    </row>
    <row r="1838" spans="9:9">
      <c r="I1838" s="2"/>
    </row>
    <row r="1839" spans="9:9">
      <c r="I1839" s="2"/>
    </row>
    <row r="1840" spans="9:9">
      <c r="I1840" s="2"/>
    </row>
    <row r="1841" spans="9:9">
      <c r="I1841" s="2"/>
    </row>
    <row r="1842" spans="9:9">
      <c r="I1842" s="2"/>
    </row>
    <row r="1843" spans="9:9">
      <c r="I1843" s="2"/>
    </row>
    <row r="1844" spans="9:9">
      <c r="I1844" s="2"/>
    </row>
    <row r="1845" spans="9:9">
      <c r="I1845" s="2"/>
    </row>
    <row r="1846" spans="9:9">
      <c r="I1846" s="2"/>
    </row>
    <row r="1847" spans="9:9">
      <c r="I1847" s="2"/>
    </row>
    <row r="1848" spans="9:9">
      <c r="I1848" s="2"/>
    </row>
    <row r="1849" spans="9:9">
      <c r="I1849" s="2"/>
    </row>
    <row r="1850" spans="9:9">
      <c r="I1850" s="2"/>
    </row>
    <row r="1851" spans="9:9">
      <c r="I1851" s="2"/>
    </row>
    <row r="1852" spans="9:9">
      <c r="I1852" s="2"/>
    </row>
    <row r="1853" spans="9:9">
      <c r="I1853" s="2"/>
    </row>
    <row r="1854" spans="9:9">
      <c r="I1854" s="2"/>
    </row>
    <row r="1855" spans="9:9">
      <c r="I1855" s="2"/>
    </row>
    <row r="1856" spans="9:9">
      <c r="I1856" s="2"/>
    </row>
    <row r="1857" spans="9:9">
      <c r="I1857" s="2"/>
    </row>
    <row r="1858" spans="9:9">
      <c r="I1858" s="2"/>
    </row>
    <row r="1859" spans="9:9">
      <c r="I1859" s="2"/>
    </row>
    <row r="1860" spans="9:9">
      <c r="I1860" s="2"/>
    </row>
    <row r="1861" spans="9:9">
      <c r="I1861" s="2"/>
    </row>
    <row r="1862" spans="9:9">
      <c r="I1862" s="2"/>
    </row>
    <row r="1863" spans="9:9">
      <c r="I1863" s="2"/>
    </row>
    <row r="1864" spans="9:9">
      <c r="I1864" s="2"/>
    </row>
    <row r="1865" spans="9:9">
      <c r="I1865" s="2"/>
    </row>
    <row r="1866" spans="9:9">
      <c r="I1866" s="2"/>
    </row>
    <row r="1867" spans="9:9">
      <c r="I1867" s="2"/>
    </row>
    <row r="1868" spans="9:9">
      <c r="I1868" s="2"/>
    </row>
    <row r="1869" spans="9:9">
      <c r="I1869" s="2"/>
    </row>
    <row r="1870" spans="9:9">
      <c r="I1870" s="2"/>
    </row>
    <row r="1871" spans="9:9">
      <c r="I1871" s="2"/>
    </row>
    <row r="1872" spans="9:9">
      <c r="I1872" s="2"/>
    </row>
    <row r="1873" spans="9:9">
      <c r="I1873" s="2"/>
    </row>
    <row r="1874" spans="9:9">
      <c r="I1874" s="2"/>
    </row>
    <row r="1875" spans="9:9">
      <c r="I1875" s="2"/>
    </row>
    <row r="1876" spans="9:9">
      <c r="I1876" s="2"/>
    </row>
    <row r="1877" spans="9:9">
      <c r="I1877" s="2"/>
    </row>
    <row r="1878" spans="9:9">
      <c r="I1878" s="2"/>
    </row>
    <row r="1879" spans="9:9">
      <c r="I1879" s="2"/>
    </row>
    <row r="1880" spans="9:9">
      <c r="I1880" s="2"/>
    </row>
    <row r="1881" spans="9:9">
      <c r="I1881" s="2"/>
    </row>
    <row r="1882" spans="9:9">
      <c r="I1882" s="2"/>
    </row>
    <row r="1883" spans="9:9">
      <c r="I1883" s="2"/>
    </row>
    <row r="1884" spans="9:9">
      <c r="I1884" s="2"/>
    </row>
    <row r="1885" spans="9:9">
      <c r="I1885" s="2"/>
    </row>
    <row r="1886" spans="9:9">
      <c r="I1886" s="2"/>
    </row>
    <row r="1887" spans="9:9">
      <c r="I1887" s="2"/>
    </row>
    <row r="1888" spans="9:9">
      <c r="I1888" s="2"/>
    </row>
    <row r="1889" spans="9:9">
      <c r="I1889" s="2"/>
    </row>
    <row r="1890" spans="9:9">
      <c r="I1890" s="2"/>
    </row>
    <row r="1891" spans="9:9">
      <c r="I1891" s="2"/>
    </row>
    <row r="1892" spans="9:9">
      <c r="I1892" s="2"/>
    </row>
    <row r="1893" spans="9:9">
      <c r="I1893" s="2"/>
    </row>
    <row r="1894" spans="9:9">
      <c r="I1894" s="2"/>
    </row>
    <row r="1895" spans="9:9">
      <c r="I1895" s="2"/>
    </row>
    <row r="1896" spans="9:9">
      <c r="I1896" s="2"/>
    </row>
    <row r="1897" spans="9:9">
      <c r="I1897" s="2"/>
    </row>
    <row r="1898" spans="9:9">
      <c r="I1898" s="2"/>
    </row>
    <row r="1899" spans="9:9">
      <c r="I1899" s="2"/>
    </row>
    <row r="1900" spans="9:9">
      <c r="I1900" s="2"/>
    </row>
    <row r="1901" spans="9:9">
      <c r="I1901" s="2"/>
    </row>
    <row r="1902" spans="9:9">
      <c r="I1902" s="2"/>
    </row>
    <row r="1903" spans="9:9">
      <c r="I1903" s="2"/>
    </row>
    <row r="1904" spans="9:9">
      <c r="I1904" s="2"/>
    </row>
    <row r="1905" spans="9:9">
      <c r="I1905" s="2"/>
    </row>
    <row r="1906" spans="9:9">
      <c r="I1906" s="2"/>
    </row>
    <row r="1907" spans="9:9">
      <c r="I1907" s="2"/>
    </row>
    <row r="1908" spans="9:9">
      <c r="I1908" s="2"/>
    </row>
    <row r="1909" spans="9:9">
      <c r="I1909" s="2"/>
    </row>
    <row r="1910" spans="9:9">
      <c r="I1910" s="2"/>
    </row>
    <row r="1911" spans="9:9">
      <c r="I1911" s="2"/>
    </row>
    <row r="1912" spans="9:9">
      <c r="I1912" s="2"/>
    </row>
    <row r="1913" spans="9:9">
      <c r="I1913" s="2"/>
    </row>
    <row r="1914" spans="9:9">
      <c r="I1914" s="2"/>
    </row>
    <row r="1915" spans="9:9">
      <c r="I1915" s="2"/>
    </row>
    <row r="1916" spans="9:9">
      <c r="I1916" s="2"/>
    </row>
    <row r="1917" spans="9:9">
      <c r="I1917" s="2"/>
    </row>
    <row r="1918" spans="9:9">
      <c r="I1918" s="2"/>
    </row>
    <row r="1919" spans="9:9">
      <c r="I1919" s="2"/>
    </row>
    <row r="1920" spans="9:9">
      <c r="I1920" s="2"/>
    </row>
    <row r="1921" spans="9:9">
      <c r="I1921" s="2"/>
    </row>
    <row r="1922" spans="9:9">
      <c r="I1922" s="2"/>
    </row>
    <row r="1923" spans="9:9">
      <c r="I1923" s="2"/>
    </row>
    <row r="1924" spans="9:9">
      <c r="I1924" s="2"/>
    </row>
    <row r="1925" spans="9:9">
      <c r="I1925" s="2"/>
    </row>
    <row r="1926" spans="9:9">
      <c r="I1926" s="2"/>
    </row>
    <row r="1927" spans="9:9">
      <c r="I1927" s="2"/>
    </row>
    <row r="1928" spans="9:9">
      <c r="I1928" s="2"/>
    </row>
    <row r="1929" spans="9:9">
      <c r="I1929" s="2"/>
    </row>
    <row r="1930" spans="9:9">
      <c r="I1930" s="2"/>
    </row>
    <row r="1931" spans="9:9">
      <c r="I1931" s="2"/>
    </row>
    <row r="1932" spans="9:9">
      <c r="I1932" s="2"/>
    </row>
    <row r="1933" spans="9:9">
      <c r="I1933" s="2"/>
    </row>
    <row r="1934" spans="9:9">
      <c r="I1934" s="2"/>
    </row>
    <row r="1935" spans="9:9">
      <c r="I1935" s="2"/>
    </row>
    <row r="1936" spans="9:9">
      <c r="I1936" s="2"/>
    </row>
    <row r="1937" spans="9:9">
      <c r="I1937" s="2"/>
    </row>
    <row r="1938" spans="9:9">
      <c r="I1938" s="2"/>
    </row>
    <row r="1939" spans="9:9">
      <c r="I1939" s="2"/>
    </row>
    <row r="1940" spans="9:9">
      <c r="I1940" s="2"/>
    </row>
    <row r="1941" spans="9:9">
      <c r="I1941" s="2"/>
    </row>
    <row r="1942" spans="9:9">
      <c r="I1942" s="2"/>
    </row>
    <row r="1943" spans="9:9">
      <c r="I1943" s="2"/>
    </row>
    <row r="1944" spans="9:9">
      <c r="I1944" s="2"/>
    </row>
    <row r="1945" spans="9:9">
      <c r="I1945" s="2"/>
    </row>
    <row r="1946" spans="9:9">
      <c r="I1946" s="2"/>
    </row>
    <row r="1947" spans="9:9">
      <c r="I1947" s="2"/>
    </row>
    <row r="1948" spans="9:9">
      <c r="I1948" s="2"/>
    </row>
    <row r="1949" spans="9:9">
      <c r="I1949" s="2"/>
    </row>
    <row r="1950" spans="9:9">
      <c r="I1950" s="2"/>
    </row>
    <row r="1951" spans="9:9">
      <c r="I1951" s="2"/>
    </row>
    <row r="1952" spans="9:9">
      <c r="I1952" s="2"/>
    </row>
    <row r="1953" spans="9:9">
      <c r="I1953" s="2"/>
    </row>
    <row r="1954" spans="9:9">
      <c r="I1954" s="2"/>
    </row>
    <row r="1955" spans="9:9">
      <c r="I1955" s="2"/>
    </row>
    <row r="1956" spans="9:9">
      <c r="I1956" s="2"/>
    </row>
    <row r="1957" spans="9:9">
      <c r="I1957" s="2"/>
    </row>
    <row r="1958" spans="9:9">
      <c r="I1958" s="2"/>
    </row>
    <row r="1959" spans="9:9">
      <c r="I1959" s="2"/>
    </row>
    <row r="1960" spans="9:9">
      <c r="I1960" s="2"/>
    </row>
    <row r="1961" spans="9:9">
      <c r="I1961" s="2"/>
    </row>
    <row r="1962" spans="9:9">
      <c r="I1962" s="2"/>
    </row>
    <row r="1963" spans="9:9">
      <c r="I1963" s="2"/>
    </row>
    <row r="1964" spans="9:9">
      <c r="I1964" s="2"/>
    </row>
    <row r="1965" spans="9:9">
      <c r="I1965" s="2"/>
    </row>
    <row r="1966" spans="9:9">
      <c r="I1966" s="2"/>
    </row>
    <row r="1967" spans="9:9">
      <c r="I1967" s="2"/>
    </row>
    <row r="1968" spans="9:9">
      <c r="I1968" s="2"/>
    </row>
    <row r="1969" spans="9:9">
      <c r="I1969" s="2"/>
    </row>
    <row r="1970" spans="9:9">
      <c r="I1970" s="2"/>
    </row>
    <row r="1971" spans="9:9">
      <c r="I1971" s="2"/>
    </row>
    <row r="1972" spans="9:9">
      <c r="I1972" s="2"/>
    </row>
    <row r="1973" spans="9:9">
      <c r="I1973" s="2"/>
    </row>
    <row r="1974" spans="9:9">
      <c r="I1974" s="2"/>
    </row>
    <row r="1975" spans="9:9">
      <c r="I1975" s="2"/>
    </row>
    <row r="1976" spans="9:9">
      <c r="I1976" s="2"/>
    </row>
    <row r="1977" spans="9:9">
      <c r="I1977" s="2"/>
    </row>
    <row r="1978" spans="9:9">
      <c r="I1978" s="2"/>
    </row>
    <row r="1979" spans="9:9">
      <c r="I1979" s="2"/>
    </row>
    <row r="1980" spans="9:9">
      <c r="I1980" s="2"/>
    </row>
    <row r="1981" spans="9:9">
      <c r="I1981" s="2"/>
    </row>
    <row r="1982" spans="9:9">
      <c r="I1982" s="2"/>
    </row>
    <row r="1983" spans="9:9">
      <c r="I1983" s="2"/>
    </row>
    <row r="1984" spans="9:9">
      <c r="I1984" s="2"/>
    </row>
    <row r="1985" spans="9:9">
      <c r="I1985" s="2"/>
    </row>
    <row r="1986" spans="9:9">
      <c r="I1986" s="2"/>
    </row>
    <row r="1987" spans="9:9">
      <c r="I1987" s="2"/>
    </row>
    <row r="1988" spans="9:9">
      <c r="I1988" s="2"/>
    </row>
    <row r="1989" spans="9:9">
      <c r="I1989" s="2"/>
    </row>
    <row r="1990" spans="9:9">
      <c r="I1990" s="2"/>
    </row>
    <row r="1991" spans="9:9">
      <c r="I1991" s="2"/>
    </row>
    <row r="1992" spans="9:9">
      <c r="I1992" s="2"/>
    </row>
    <row r="1993" spans="9:9">
      <c r="I1993" s="2"/>
    </row>
    <row r="1994" spans="9:9">
      <c r="I1994" s="2"/>
    </row>
    <row r="1995" spans="9:9">
      <c r="I1995" s="2"/>
    </row>
    <row r="1996" spans="9:9">
      <c r="I1996" s="2"/>
    </row>
    <row r="1997" spans="9:9">
      <c r="I1997" s="2"/>
    </row>
    <row r="1998" spans="9:9">
      <c r="I1998" s="2"/>
    </row>
    <row r="1999" spans="9:9">
      <c r="I1999" s="2"/>
    </row>
    <row r="2000" spans="9:9">
      <c r="I2000" s="2"/>
    </row>
    <row r="2001" spans="9:9">
      <c r="I2001" s="2"/>
    </row>
    <row r="2002" spans="9:9">
      <c r="I2002" s="2"/>
    </row>
    <row r="2003" spans="9:9">
      <c r="I2003" s="2"/>
    </row>
    <row r="2004" spans="9:9">
      <c r="I2004" s="2"/>
    </row>
    <row r="2005" spans="9:9">
      <c r="I2005" s="2"/>
    </row>
    <row r="2006" spans="9:9">
      <c r="I2006" s="2"/>
    </row>
    <row r="2007" spans="9:9">
      <c r="I2007" s="2"/>
    </row>
    <row r="2008" spans="9:9">
      <c r="I2008" s="2"/>
    </row>
    <row r="2009" spans="9:9">
      <c r="I2009" s="2"/>
    </row>
    <row r="2010" spans="9:9">
      <c r="I2010" s="2"/>
    </row>
    <row r="2011" spans="9:9">
      <c r="I2011" s="2"/>
    </row>
    <row r="2012" spans="9:9">
      <c r="I2012" s="2"/>
    </row>
    <row r="2013" spans="9:9">
      <c r="I2013" s="2"/>
    </row>
    <row r="2014" spans="9:9">
      <c r="I2014" s="2"/>
    </row>
    <row r="2015" spans="9:9">
      <c r="I2015" s="2"/>
    </row>
    <row r="2016" spans="9:9">
      <c r="I2016" s="2"/>
    </row>
    <row r="2017" spans="9:9">
      <c r="I2017" s="2"/>
    </row>
    <row r="2018" spans="9:9">
      <c r="I2018" s="2"/>
    </row>
    <row r="2019" spans="9:9">
      <c r="I2019" s="2"/>
    </row>
    <row r="2020" spans="9:9">
      <c r="I2020" s="2"/>
    </row>
    <row r="2021" spans="9:9">
      <c r="I2021" s="2"/>
    </row>
    <row r="2022" spans="9:9">
      <c r="I2022" s="2"/>
    </row>
    <row r="2023" spans="9:9">
      <c r="I2023" s="2"/>
    </row>
    <row r="2024" spans="9:9">
      <c r="I2024" s="2"/>
    </row>
    <row r="2025" spans="9:9">
      <c r="I2025" s="2"/>
    </row>
    <row r="2026" spans="9:9">
      <c r="I2026" s="2"/>
    </row>
    <row r="2027" spans="9:9">
      <c r="I2027" s="2"/>
    </row>
    <row r="2028" spans="9:9">
      <c r="I2028" s="2"/>
    </row>
    <row r="2029" spans="9:9">
      <c r="I2029" s="2"/>
    </row>
    <row r="2030" spans="9:9">
      <c r="I2030" s="2"/>
    </row>
    <row r="2031" spans="9:9">
      <c r="I2031" s="2"/>
    </row>
    <row r="2032" spans="9:9">
      <c r="I2032" s="2"/>
    </row>
    <row r="2033" spans="9:9">
      <c r="I2033" s="2"/>
    </row>
    <row r="2034" spans="9:9">
      <c r="I2034" s="2"/>
    </row>
    <row r="2035" spans="9:9">
      <c r="I2035" s="2"/>
    </row>
    <row r="2036" spans="9:9">
      <c r="I2036" s="2"/>
    </row>
    <row r="2037" spans="9:9">
      <c r="I2037" s="2"/>
    </row>
    <row r="2038" spans="9:9">
      <c r="I2038" s="2"/>
    </row>
    <row r="2039" spans="9:9">
      <c r="I2039" s="2"/>
    </row>
    <row r="2040" spans="9:9">
      <c r="I2040" s="2"/>
    </row>
    <row r="2041" spans="9:9">
      <c r="I2041" s="2"/>
    </row>
    <row r="2042" spans="9:9">
      <c r="I2042" s="2"/>
    </row>
    <row r="2043" spans="9:9">
      <c r="I2043" s="2"/>
    </row>
    <row r="2044" spans="9:9">
      <c r="I2044" s="2"/>
    </row>
    <row r="2045" spans="9:9">
      <c r="I2045" s="2"/>
    </row>
    <row r="2046" spans="9:9">
      <c r="I2046" s="2"/>
    </row>
    <row r="2047" spans="9:9">
      <c r="I2047" s="2"/>
    </row>
    <row r="2048" spans="9:9">
      <c r="I2048" s="2"/>
    </row>
    <row r="2049" spans="9:9">
      <c r="I2049" s="2"/>
    </row>
    <row r="2050" spans="9:9">
      <c r="I2050" s="2"/>
    </row>
    <row r="2051" spans="9:9">
      <c r="I2051" s="2"/>
    </row>
    <row r="2052" spans="9:9">
      <c r="I2052" s="2"/>
    </row>
    <row r="2053" spans="9:9">
      <c r="I2053" s="2"/>
    </row>
    <row r="2054" spans="9:9">
      <c r="I2054" s="2"/>
    </row>
    <row r="2055" spans="9:9">
      <c r="I2055" s="2"/>
    </row>
    <row r="2056" spans="9:9">
      <c r="I2056" s="2"/>
    </row>
    <row r="2057" spans="9:9">
      <c r="I2057" s="2"/>
    </row>
    <row r="2058" spans="9:9">
      <c r="I2058" s="2"/>
    </row>
    <row r="2059" spans="9:9">
      <c r="I2059" s="2"/>
    </row>
    <row r="2060" spans="9:9">
      <c r="I2060" s="2"/>
    </row>
    <row r="2061" spans="9:9">
      <c r="I2061" s="2"/>
    </row>
    <row r="2062" spans="9:9">
      <c r="I2062" s="2"/>
    </row>
    <row r="2063" spans="9:9">
      <c r="I2063" s="2"/>
    </row>
    <row r="2064" spans="9:9">
      <c r="I2064" s="2"/>
    </row>
    <row r="2065" spans="9:9">
      <c r="I2065" s="2"/>
    </row>
    <row r="2066" spans="9:9">
      <c r="I2066" s="2"/>
    </row>
    <row r="2067" spans="9:9">
      <c r="I2067" s="2"/>
    </row>
    <row r="2068" spans="9:9">
      <c r="I2068" s="2"/>
    </row>
    <row r="2069" spans="9:9">
      <c r="I2069" s="2"/>
    </row>
    <row r="2070" spans="9:9">
      <c r="I2070" s="2"/>
    </row>
    <row r="2071" spans="9:9">
      <c r="I2071" s="2"/>
    </row>
    <row r="2072" spans="9:9">
      <c r="I2072" s="2"/>
    </row>
    <row r="2073" spans="9:9">
      <c r="I2073" s="2"/>
    </row>
    <row r="2074" spans="9:9">
      <c r="I2074" s="2"/>
    </row>
    <row r="2075" spans="9:9">
      <c r="I2075" s="2"/>
    </row>
    <row r="2076" spans="9:9">
      <c r="I2076" s="2"/>
    </row>
    <row r="2077" spans="9:9">
      <c r="I2077" s="2"/>
    </row>
    <row r="2078" spans="9:9">
      <c r="I2078" s="2"/>
    </row>
    <row r="2079" spans="9:9">
      <c r="I2079" s="2"/>
    </row>
    <row r="2080" spans="9:9">
      <c r="I2080" s="2"/>
    </row>
    <row r="2081" spans="9:9">
      <c r="I2081" s="2"/>
    </row>
    <row r="2082" spans="9:9">
      <c r="I2082" s="2"/>
    </row>
    <row r="2083" spans="9:9">
      <c r="I2083" s="2"/>
    </row>
    <row r="2084" spans="9:9">
      <c r="I2084" s="2"/>
    </row>
    <row r="2085" spans="9:9">
      <c r="I2085" s="2"/>
    </row>
    <row r="2086" spans="9:9">
      <c r="I2086" s="2"/>
    </row>
    <row r="2087" spans="9:9">
      <c r="I2087" s="2"/>
    </row>
    <row r="2088" spans="9:9">
      <c r="I2088" s="2"/>
    </row>
    <row r="2089" spans="9:9">
      <c r="I2089" s="2"/>
    </row>
    <row r="2090" spans="9:9">
      <c r="I2090" s="2"/>
    </row>
    <row r="2091" spans="9:9">
      <c r="I2091" s="2"/>
    </row>
    <row r="2092" spans="9:9">
      <c r="I2092" s="2"/>
    </row>
    <row r="2093" spans="9:9">
      <c r="I2093" s="2"/>
    </row>
    <row r="2094" spans="9:9">
      <c r="I2094" s="2"/>
    </row>
    <row r="2095" spans="9:9">
      <c r="I2095" s="2"/>
    </row>
    <row r="2096" spans="9:9">
      <c r="I2096" s="2"/>
    </row>
    <row r="2097" spans="9:9">
      <c r="I2097" s="2"/>
    </row>
    <row r="2098" spans="9:9">
      <c r="I2098" s="2"/>
    </row>
    <row r="2099" spans="9:9">
      <c r="I2099" s="2"/>
    </row>
    <row r="2100" spans="9:9">
      <c r="I2100" s="2"/>
    </row>
    <row r="2101" spans="9:9">
      <c r="I2101" s="2"/>
    </row>
    <row r="2102" spans="9:9">
      <c r="I2102" s="2"/>
    </row>
    <row r="2103" spans="9:9">
      <c r="I2103" s="2"/>
    </row>
    <row r="2104" spans="9:9">
      <c r="I2104" s="2"/>
    </row>
    <row r="2105" spans="9:9">
      <c r="I2105" s="2"/>
    </row>
    <row r="2106" spans="9:9">
      <c r="I2106" s="2"/>
    </row>
    <row r="2107" spans="9:9">
      <c r="I2107" s="2"/>
    </row>
    <row r="2108" spans="9:9">
      <c r="I2108" s="2"/>
    </row>
    <row r="2109" spans="9:9">
      <c r="I2109" s="2"/>
    </row>
    <row r="2110" spans="9:9">
      <c r="I2110" s="2"/>
    </row>
    <row r="2111" spans="9:9">
      <c r="I2111" s="2"/>
    </row>
    <row r="2112" spans="9:9">
      <c r="I2112" s="2"/>
    </row>
    <row r="2113" spans="9:9">
      <c r="I2113" s="2"/>
    </row>
    <row r="2114" spans="9:9">
      <c r="I2114" s="2"/>
    </row>
    <row r="2115" spans="9:9">
      <c r="I2115" s="2"/>
    </row>
    <row r="2116" spans="9:9">
      <c r="I2116" s="2"/>
    </row>
    <row r="2117" spans="9:9">
      <c r="I2117" s="2"/>
    </row>
    <row r="2118" spans="9:9">
      <c r="I2118" s="2"/>
    </row>
    <row r="2119" spans="9:9">
      <c r="I2119" s="2"/>
    </row>
    <row r="2120" spans="9:9">
      <c r="I2120" s="2"/>
    </row>
    <row r="2121" spans="9:9">
      <c r="I2121" s="2"/>
    </row>
    <row r="2122" spans="9:9">
      <c r="I2122" s="2"/>
    </row>
    <row r="2123" spans="9:9">
      <c r="I2123" s="2"/>
    </row>
    <row r="2124" spans="9:9">
      <c r="I2124" s="2"/>
    </row>
    <row r="2125" spans="9:9">
      <c r="I2125" s="2"/>
    </row>
    <row r="2126" spans="9:9">
      <c r="I2126" s="2"/>
    </row>
    <row r="2127" spans="9:9">
      <c r="I2127" s="2"/>
    </row>
    <row r="2128" spans="9:9">
      <c r="I2128" s="2"/>
    </row>
    <row r="2129" spans="9:9">
      <c r="I2129" s="2"/>
    </row>
    <row r="2130" spans="9:9">
      <c r="I2130" s="2"/>
    </row>
    <row r="2131" spans="9:9">
      <c r="I2131" s="2"/>
    </row>
    <row r="2132" spans="9:9">
      <c r="I2132" s="2"/>
    </row>
    <row r="2133" spans="9:9">
      <c r="I2133" s="2"/>
    </row>
    <row r="2134" spans="9:9">
      <c r="I2134" s="2"/>
    </row>
    <row r="2135" spans="9:9">
      <c r="I2135" s="2"/>
    </row>
    <row r="2136" spans="9:9">
      <c r="I2136" s="2"/>
    </row>
    <row r="2137" spans="9:9">
      <c r="I2137" s="2"/>
    </row>
    <row r="2138" spans="9:9">
      <c r="I2138" s="2"/>
    </row>
    <row r="2139" spans="9:9">
      <c r="I2139" s="2"/>
    </row>
    <row r="2140" spans="9:9">
      <c r="I2140" s="2"/>
    </row>
    <row r="2141" spans="9:9">
      <c r="I2141" s="2"/>
    </row>
    <row r="2142" spans="9:9">
      <c r="I2142" s="2"/>
    </row>
    <row r="2143" spans="9:9">
      <c r="I2143" s="2"/>
    </row>
    <row r="2144" spans="9:9">
      <c r="I2144" s="2"/>
    </row>
    <row r="2145" spans="9:9">
      <c r="I2145" s="2"/>
    </row>
    <row r="2146" spans="9:9">
      <c r="I2146" s="2"/>
    </row>
    <row r="2147" spans="9:9">
      <c r="I2147" s="2"/>
    </row>
    <row r="2148" spans="9:9">
      <c r="I2148" s="2"/>
    </row>
    <row r="2149" spans="9:9">
      <c r="I2149" s="2"/>
    </row>
    <row r="2150" spans="9:9">
      <c r="I2150" s="2"/>
    </row>
    <row r="2151" spans="9:9">
      <c r="I2151" s="2"/>
    </row>
    <row r="2152" spans="9:9">
      <c r="I2152" s="2"/>
    </row>
    <row r="2153" spans="9:9">
      <c r="I2153" s="2"/>
    </row>
    <row r="2154" spans="9:9">
      <c r="I2154" s="2"/>
    </row>
    <row r="2155" spans="9:9">
      <c r="I2155" s="2"/>
    </row>
    <row r="2156" spans="9:9">
      <c r="I2156" s="2"/>
    </row>
    <row r="2157" spans="9:9">
      <c r="I2157" s="2"/>
    </row>
    <row r="2158" spans="9:9">
      <c r="I2158" s="2"/>
    </row>
    <row r="2159" spans="9:9">
      <c r="I2159" s="2"/>
    </row>
    <row r="2160" spans="9:9">
      <c r="I2160" s="2"/>
    </row>
    <row r="2161" spans="9:9">
      <c r="I2161" s="2"/>
    </row>
    <row r="2162" spans="9:9">
      <c r="I2162" s="2"/>
    </row>
    <row r="2163" spans="9:9">
      <c r="I2163" s="2"/>
    </row>
    <row r="2164" spans="9:9">
      <c r="I2164" s="2"/>
    </row>
    <row r="2165" spans="9:9">
      <c r="I2165" s="2"/>
    </row>
    <row r="2166" spans="9:9">
      <c r="I2166" s="2"/>
    </row>
    <row r="2167" spans="9:9">
      <c r="I2167" s="2"/>
    </row>
    <row r="2168" spans="9:9">
      <c r="I2168" s="2"/>
    </row>
    <row r="2169" spans="9:9">
      <c r="I2169" s="2"/>
    </row>
    <row r="2170" spans="9:9">
      <c r="I2170" s="2"/>
    </row>
    <row r="2171" spans="9:9">
      <c r="I2171" s="2"/>
    </row>
    <row r="2172" spans="9:9">
      <c r="I2172" s="2"/>
    </row>
    <row r="2173" spans="9:9">
      <c r="I2173" s="2"/>
    </row>
    <row r="2174" spans="9:9">
      <c r="I2174" s="2"/>
    </row>
    <row r="2175" spans="9:9">
      <c r="I2175" s="2"/>
    </row>
    <row r="2176" spans="9:9">
      <c r="I2176" s="2"/>
    </row>
    <row r="2177" spans="9:9">
      <c r="I2177" s="2"/>
    </row>
    <row r="2178" spans="9:9">
      <c r="I2178" s="2"/>
    </row>
    <row r="2179" spans="9:9">
      <c r="I2179" s="2"/>
    </row>
    <row r="2180" spans="9:9">
      <c r="I2180" s="2"/>
    </row>
    <row r="2181" spans="9:9">
      <c r="I2181" s="2"/>
    </row>
    <row r="2182" spans="9:9">
      <c r="I2182" s="2"/>
    </row>
    <row r="2183" spans="9:9">
      <c r="I2183" s="2"/>
    </row>
    <row r="2184" spans="9:9">
      <c r="I2184" s="2"/>
    </row>
    <row r="2185" spans="9:9">
      <c r="I2185" s="2"/>
    </row>
    <row r="2186" spans="9:9">
      <c r="I2186" s="2"/>
    </row>
    <row r="2187" spans="9:9">
      <c r="I2187" s="2"/>
    </row>
    <row r="2188" spans="9:9">
      <c r="I2188" s="2"/>
    </row>
    <row r="2189" spans="9:9">
      <c r="I2189" s="2"/>
    </row>
    <row r="2190" spans="9:9">
      <c r="I2190" s="2"/>
    </row>
    <row r="2191" spans="9:9">
      <c r="I2191" s="2"/>
    </row>
    <row r="2192" spans="9:9">
      <c r="I2192" s="2"/>
    </row>
    <row r="2193" spans="9:9">
      <c r="I2193" s="2"/>
    </row>
    <row r="2194" spans="9:9">
      <c r="I2194" s="2"/>
    </row>
    <row r="2195" spans="9:9">
      <c r="I2195" s="2"/>
    </row>
    <row r="2196" spans="9:9">
      <c r="I2196" s="2"/>
    </row>
    <row r="2197" spans="9:9">
      <c r="I2197" s="2"/>
    </row>
    <row r="2198" spans="9:9">
      <c r="I2198" s="2"/>
    </row>
    <row r="2199" spans="9:9">
      <c r="I2199" s="2"/>
    </row>
    <row r="2200" spans="9:9">
      <c r="I2200" s="2"/>
    </row>
    <row r="2201" spans="9:9">
      <c r="I2201" s="2"/>
    </row>
    <row r="2202" spans="9:9">
      <c r="I2202" s="2"/>
    </row>
    <row r="2203" spans="9:9">
      <c r="I2203" s="2"/>
    </row>
    <row r="2204" spans="9:9">
      <c r="I2204" s="2"/>
    </row>
    <row r="2205" spans="9:9">
      <c r="I2205" s="2"/>
    </row>
    <row r="2206" spans="9:9">
      <c r="I2206" s="2"/>
    </row>
    <row r="2207" spans="9:9">
      <c r="I2207" s="2"/>
    </row>
    <row r="2208" spans="9:9">
      <c r="I2208" s="2"/>
    </row>
    <row r="2209" spans="9:9">
      <c r="I2209" s="2"/>
    </row>
    <row r="2210" spans="9:9">
      <c r="I2210" s="2"/>
    </row>
    <row r="2211" spans="9:9">
      <c r="I2211" s="2"/>
    </row>
    <row r="2212" spans="9:9">
      <c r="I2212" s="2"/>
    </row>
    <row r="2213" spans="9:9">
      <c r="I2213" s="2"/>
    </row>
    <row r="2214" spans="9:9">
      <c r="I2214" s="2"/>
    </row>
    <row r="2215" spans="9:9">
      <c r="I2215" s="2"/>
    </row>
    <row r="2216" spans="9:9">
      <c r="I2216" s="2"/>
    </row>
    <row r="2217" spans="9:9">
      <c r="I2217" s="2"/>
    </row>
    <row r="2218" spans="9:9">
      <c r="I2218" s="2"/>
    </row>
    <row r="2219" spans="9:9">
      <c r="I2219" s="2"/>
    </row>
    <row r="2220" spans="9:9">
      <c r="I2220" s="2"/>
    </row>
    <row r="2221" spans="9:9">
      <c r="I2221" s="2"/>
    </row>
    <row r="2222" spans="9:9">
      <c r="I2222" s="2"/>
    </row>
    <row r="2223" spans="9:9">
      <c r="I2223" s="2"/>
    </row>
    <row r="2224" spans="9:9">
      <c r="I2224" s="2"/>
    </row>
    <row r="2225" spans="9:9">
      <c r="I2225" s="2"/>
    </row>
    <row r="2226" spans="9:9">
      <c r="I2226" s="2"/>
    </row>
    <row r="2227" spans="9:9">
      <c r="I2227" s="2"/>
    </row>
    <row r="2228" spans="9:9">
      <c r="I2228" s="2"/>
    </row>
    <row r="2229" spans="9:9">
      <c r="I2229" s="2"/>
    </row>
    <row r="2230" spans="9:9">
      <c r="I2230" s="2"/>
    </row>
    <row r="2231" spans="9:9">
      <c r="I2231" s="2"/>
    </row>
    <row r="2232" spans="9:9">
      <c r="I2232" s="2"/>
    </row>
    <row r="2233" spans="9:9">
      <c r="I2233" s="2"/>
    </row>
    <row r="2234" spans="9:9">
      <c r="I2234" s="2"/>
    </row>
    <row r="2235" spans="9:9">
      <c r="I2235" s="2"/>
    </row>
    <row r="2236" spans="9:9">
      <c r="I2236" s="2"/>
    </row>
    <row r="2237" spans="9:9">
      <c r="I2237" s="2"/>
    </row>
    <row r="2238" spans="9:9">
      <c r="I2238" s="2"/>
    </row>
    <row r="2239" spans="9:9">
      <c r="I2239" s="2"/>
    </row>
    <row r="2240" spans="9:9">
      <c r="I2240" s="2"/>
    </row>
    <row r="2241" spans="9:9">
      <c r="I224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42" spans="9:9">
      <c r="I224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43" spans="9:9">
      <c r="I224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44" spans="9:9">
      <c r="I224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45" spans="9:9">
      <c r="I224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46" spans="9:9">
      <c r="I224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47" spans="9:9">
      <c r="I224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48" spans="9:9">
      <c r="I224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49" spans="9:9">
      <c r="I224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50" spans="9:9">
      <c r="I225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51" spans="9:9">
      <c r="I225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52" spans="9:9">
      <c r="I225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53" spans="9:9">
      <c r="I225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54" spans="9:9">
      <c r="I225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55" spans="9:9">
      <c r="I225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56" spans="9:9">
      <c r="I225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57" spans="9:9">
      <c r="I225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58" spans="9:9">
      <c r="I225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59" spans="9:9">
      <c r="I225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60" spans="9:9">
      <c r="I226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61" spans="9:9">
      <c r="I226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62" spans="9:9">
      <c r="I226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63" spans="9:9">
      <c r="I226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64" spans="9:9">
      <c r="I226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65" spans="9:9">
      <c r="I226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66" spans="9:9">
      <c r="I226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67" spans="9:9">
      <c r="I226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68" spans="9:9">
      <c r="I226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69" spans="9:9">
      <c r="I226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70" spans="9:9">
      <c r="I227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71" spans="9:9">
      <c r="I227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72" spans="9:9">
      <c r="I227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73" spans="9:9">
      <c r="I227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74" spans="9:9">
      <c r="I227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75" spans="9:9">
      <c r="I227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76" spans="9:9">
      <c r="I227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77" spans="9:9">
      <c r="I227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78" spans="9:9">
      <c r="I227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79" spans="9:9">
      <c r="I227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80" spans="9:9">
      <c r="I228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81" spans="9:9">
      <c r="I228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82" spans="9:9">
      <c r="I228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83" spans="9:9">
      <c r="I228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84" spans="9:9">
      <c r="I228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85" spans="9:9">
      <c r="I228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86" spans="9:9">
      <c r="I228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87" spans="9:9">
      <c r="I228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88" spans="9:9">
      <c r="I228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89" spans="9:9">
      <c r="I228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90" spans="9:9">
      <c r="I229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91" spans="9:9">
      <c r="I229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92" spans="9:9">
      <c r="I229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93" spans="9:9">
      <c r="I229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94" spans="9:9">
      <c r="I229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95" spans="9:9">
      <c r="I229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96" spans="9:9">
      <c r="I229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97" spans="9:9">
      <c r="I229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98" spans="9:9">
      <c r="I229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99" spans="9:9">
      <c r="I229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00" spans="9:9">
      <c r="I230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01" spans="9:9">
      <c r="I230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02" spans="9:9">
      <c r="I230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03" spans="9:9">
      <c r="I230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04" spans="9:9">
      <c r="I230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05" spans="9:9">
      <c r="I230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06" spans="9:9">
      <c r="I230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07" spans="9:9">
      <c r="I230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08" spans="9:9">
      <c r="I230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09" spans="9:9">
      <c r="I230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10" spans="9:9">
      <c r="I231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11" spans="9:9">
      <c r="I231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12" spans="9:9">
      <c r="I231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13" spans="9:9">
      <c r="I231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14" spans="9:9">
      <c r="I231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15" spans="9:9">
      <c r="I231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16" spans="9:9">
      <c r="I231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17" spans="9:9">
      <c r="I231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18" spans="9:9">
      <c r="I231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19" spans="9:9">
      <c r="I231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20" spans="9:9">
      <c r="I232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21" spans="9:9">
      <c r="I232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22" spans="9:9">
      <c r="I232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23" spans="9:9">
      <c r="I232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24" spans="9:9">
      <c r="I232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25" spans="9:9">
      <c r="I232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26" spans="9:9">
      <c r="I232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27" spans="9:9">
      <c r="I232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28" spans="9:9">
      <c r="I232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29" spans="9:9">
      <c r="I232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30" spans="9:9">
      <c r="I233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31" spans="9:9">
      <c r="I233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32" spans="9:9">
      <c r="I233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33" spans="9:9">
      <c r="I233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34" spans="9:9">
      <c r="I233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35" spans="9:9">
      <c r="I233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36" spans="9:9">
      <c r="I233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37" spans="9:9">
      <c r="I233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38" spans="9:9">
      <c r="I233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39" spans="9:9">
      <c r="I233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40" spans="9:9">
      <c r="I234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41" spans="9:9">
      <c r="I234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42" spans="9:9">
      <c r="I234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43" spans="9:9">
      <c r="I234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44" spans="9:9">
      <c r="I234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45" spans="9:9">
      <c r="I234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46" spans="9:9">
      <c r="I234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47" spans="9:9">
      <c r="I234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48" spans="9:9">
      <c r="I234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49" spans="9:9">
      <c r="I234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50" spans="9:9">
      <c r="I235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51" spans="9:9">
      <c r="I235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52" spans="9:9">
      <c r="I235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53" spans="9:9">
      <c r="I235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54" spans="9:9">
      <c r="I235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55" spans="9:9">
      <c r="I235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56" spans="9:9">
      <c r="I235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57" spans="9:9">
      <c r="I235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58" spans="9:9">
      <c r="I235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59" spans="9:9">
      <c r="I235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60" spans="9:9">
      <c r="I236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61" spans="9:9">
      <c r="I236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62" spans="9:9">
      <c r="I236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63" spans="9:9">
      <c r="I236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64" spans="9:9">
      <c r="I236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65" spans="9:9">
      <c r="I236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66" spans="9:9">
      <c r="I236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67" spans="9:9">
      <c r="I236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68" spans="9:9">
      <c r="I236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69" spans="9:9">
      <c r="I236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70" spans="9:9">
      <c r="I237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71" spans="9:9">
      <c r="I237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72" spans="9:9">
      <c r="I237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73" spans="9:9">
      <c r="I237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74" spans="9:9">
      <c r="I237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75" spans="9:9">
      <c r="I237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76" spans="9:9">
      <c r="I237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77" spans="9:9">
      <c r="I237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78" spans="9:9">
      <c r="I237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79" spans="9:9">
      <c r="I237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80" spans="9:9">
      <c r="I238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81" spans="9:9">
      <c r="I238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82" spans="9:9">
      <c r="I238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83" spans="9:9">
      <c r="I238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84" spans="9:9">
      <c r="I238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85" spans="9:9">
      <c r="I238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86" spans="9:9">
      <c r="I238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87" spans="9:9">
      <c r="I238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88" spans="9:9">
      <c r="I238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89" spans="9:9">
      <c r="I238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90" spans="9:9">
      <c r="I239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91" spans="9:9">
      <c r="I239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92" spans="9:9">
      <c r="I239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93" spans="9:9">
      <c r="I239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94" spans="9:9">
      <c r="I239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95" spans="9:9">
      <c r="I239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96" spans="9:9">
      <c r="I239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97" spans="9:9">
      <c r="I239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98" spans="9:9">
      <c r="I239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99" spans="9:9">
      <c r="I239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00" spans="9:9">
      <c r="I240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01" spans="9:9">
      <c r="I240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02" spans="9:9">
      <c r="I240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03" spans="9:9">
      <c r="I240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04" spans="9:9">
      <c r="I240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05" spans="9:9">
      <c r="I240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06" spans="9:9">
      <c r="I240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07" spans="9:9">
      <c r="I240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08" spans="9:9">
      <c r="I240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09" spans="9:9">
      <c r="I240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10" spans="9:9">
      <c r="I241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11" spans="9:9">
      <c r="I241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12" spans="9:9">
      <c r="I241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13" spans="9:9">
      <c r="I241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14" spans="9:9">
      <c r="I241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15" spans="9:9">
      <c r="I241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16" spans="9:9">
      <c r="I241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17" spans="9:9">
      <c r="I241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18" spans="9:9">
      <c r="I241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19" spans="9:9">
      <c r="I241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20" spans="9:9">
      <c r="I242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21" spans="9:9">
      <c r="I242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22" spans="9:9">
      <c r="I242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23" spans="9:9">
      <c r="I242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24" spans="9:9">
      <c r="I242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25" spans="9:9">
      <c r="I242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26" spans="9:9">
      <c r="I242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27" spans="9:9">
      <c r="I242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28" spans="9:9">
      <c r="I242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29" spans="9:9">
      <c r="I242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30" spans="9:9">
      <c r="I243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31" spans="9:9">
      <c r="I243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32" spans="9:9">
      <c r="I243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33" spans="9:9">
      <c r="I243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34" spans="9:9">
      <c r="I243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35" spans="9:9">
      <c r="I243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36" spans="9:9">
      <c r="I243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37" spans="9:9">
      <c r="I243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38" spans="9:9">
      <c r="I243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39" spans="9:9">
      <c r="I243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40" spans="9:9">
      <c r="I244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41" spans="9:9">
      <c r="I244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42" spans="9:9">
      <c r="I244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43" spans="9:9">
      <c r="I244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44" spans="9:9">
      <c r="I244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45" spans="9:9">
      <c r="I244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46" spans="9:9">
      <c r="I244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47" spans="9:9">
      <c r="I244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48" spans="9:9">
      <c r="I244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49" spans="9:9">
      <c r="I244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50" spans="9:9">
      <c r="I245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51" spans="9:9">
      <c r="I245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52" spans="9:9">
      <c r="I245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53" spans="9:9">
      <c r="I245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54" spans="9:9">
      <c r="I245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55" spans="9:9">
      <c r="I245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56" spans="9:9">
      <c r="I245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57" spans="9:9">
      <c r="I245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58" spans="9:9">
      <c r="I245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59" spans="9:9">
      <c r="I245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60" spans="9:9">
      <c r="I246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61" spans="9:9">
      <c r="I246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62" spans="9:9">
      <c r="I246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63" spans="9:9">
      <c r="I246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64" spans="9:9">
      <c r="I246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65" spans="9:9">
      <c r="I246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66" spans="9:9">
      <c r="I246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67" spans="9:9">
      <c r="I246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68" spans="9:9">
      <c r="I246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69" spans="9:9">
      <c r="I246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70" spans="9:9">
      <c r="I247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71" spans="9:9">
      <c r="I247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72" spans="9:9">
      <c r="I247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73" spans="9:9">
      <c r="I247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74" spans="9:9">
      <c r="I247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75" spans="9:9">
      <c r="I247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76" spans="9:9">
      <c r="I247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77" spans="9:9">
      <c r="I247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78" spans="9:9">
      <c r="I247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79" spans="9:9">
      <c r="I247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80" spans="9:9">
      <c r="I248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81" spans="9:9">
      <c r="I248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82" spans="9:9">
      <c r="I248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83" spans="9:9">
      <c r="I248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84" spans="9:9">
      <c r="I248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85" spans="9:9">
      <c r="I248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86" spans="9:9">
      <c r="I248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87" spans="9:9">
      <c r="I248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88" spans="9:9">
      <c r="I248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89" spans="9:9">
      <c r="I248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90" spans="9:9">
      <c r="I249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91" spans="9:9">
      <c r="I249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92" spans="9:9">
      <c r="I249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93" spans="9:9">
      <c r="I249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94" spans="9:9">
      <c r="I249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95" spans="9:9">
      <c r="I249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96" spans="9:9">
      <c r="I249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97" spans="9:9">
      <c r="I249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98" spans="9:9">
      <c r="I249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99" spans="9:9">
      <c r="I249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00" spans="9:9">
      <c r="I250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01" spans="9:9">
      <c r="I250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02" spans="9:9">
      <c r="I250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03" spans="9:9">
      <c r="I250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04" spans="9:9">
      <c r="I250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05" spans="9:9">
      <c r="I250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06" spans="9:9">
      <c r="I250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07" spans="9:9">
      <c r="I250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08" spans="9:9">
      <c r="I250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09" spans="9:9">
      <c r="I250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10" spans="9:9">
      <c r="I251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11" spans="9:9">
      <c r="I251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12" spans="9:9">
      <c r="I251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13" spans="9:9">
      <c r="I251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14" spans="9:9">
      <c r="I251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15" spans="9:9">
      <c r="I251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16" spans="9:9">
      <c r="I251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17" spans="9:9">
      <c r="I251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18" spans="9:9">
      <c r="I251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19" spans="9:9">
      <c r="I251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20" spans="9:9">
      <c r="I252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21" spans="9:9">
      <c r="I252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22" spans="9:9">
      <c r="I252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23" spans="9:9">
      <c r="I252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24" spans="9:9">
      <c r="I252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25" spans="9:9">
      <c r="I252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26" spans="9:9">
      <c r="I252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27" spans="9:9">
      <c r="I252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28" spans="9:9">
      <c r="I252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29" spans="9:9">
      <c r="I252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30" spans="9:9">
      <c r="I253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31" spans="9:9">
      <c r="I253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32" spans="9:9">
      <c r="I253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33" spans="9:9">
      <c r="I253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34" spans="9:9">
      <c r="I253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35" spans="9:9">
      <c r="I253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36" spans="9:9">
      <c r="I253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37" spans="9:9">
      <c r="I253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38" spans="9:9">
      <c r="I253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39" spans="9:9">
      <c r="I253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40" spans="9:9">
      <c r="I254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41" spans="9:9">
      <c r="I254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42" spans="9:9">
      <c r="I254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43" spans="9:9">
      <c r="I254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44" spans="9:9">
      <c r="I254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45" spans="9:9">
      <c r="I254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46" spans="9:9">
      <c r="I254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47" spans="9:9">
      <c r="I254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48" spans="9:9">
      <c r="I254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49" spans="9:9">
      <c r="I254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50" spans="9:9">
      <c r="I255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51" spans="9:9">
      <c r="I255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52" spans="9:9">
      <c r="I255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53" spans="9:9">
      <c r="I255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54" spans="9:9">
      <c r="I255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55" spans="9:9">
      <c r="I255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56" spans="9:9">
      <c r="I255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57" spans="9:9">
      <c r="I255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58" spans="9:9">
      <c r="I255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59" spans="9:9">
      <c r="I255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60" spans="9:9">
      <c r="I256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61" spans="9:9">
      <c r="I256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62" spans="9:9">
      <c r="I256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63" spans="9:9">
      <c r="I256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64" spans="9:9">
      <c r="I256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65" spans="9:9">
      <c r="I256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66" spans="9:9">
      <c r="I256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67" spans="9:9">
      <c r="I256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68" spans="9:9">
      <c r="I256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69" spans="9:9">
      <c r="I256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70" spans="9:9">
      <c r="I257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71" spans="9:9">
      <c r="I257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72" spans="9:9">
      <c r="I257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73" spans="9:9">
      <c r="I257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74" spans="9:9">
      <c r="I257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75" spans="9:9">
      <c r="I257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76" spans="9:9">
      <c r="I257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77" spans="9:9">
      <c r="I257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78" spans="9:9">
      <c r="I257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79" spans="9:9">
      <c r="I257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80" spans="9:9">
      <c r="I258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81" spans="9:9">
      <c r="I258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82" spans="9:9">
      <c r="I258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83" spans="9:9">
      <c r="I258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84" spans="9:9">
      <c r="I258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85" spans="9:9">
      <c r="I258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86" spans="9:9">
      <c r="I258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87" spans="9:9">
      <c r="I258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88" spans="9:9">
      <c r="I258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89" spans="9:9">
      <c r="I258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90" spans="9:9">
      <c r="I259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91" spans="9:9">
      <c r="I259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92" spans="9:9">
      <c r="I259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93" spans="9:9">
      <c r="I259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94" spans="9:9">
      <c r="I259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95" spans="9:9">
      <c r="I259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96" spans="9:9">
      <c r="I259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97" spans="9:9">
      <c r="I259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98" spans="9:9">
      <c r="I259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99" spans="9:9">
      <c r="I259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00" spans="9:9">
      <c r="I260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01" spans="9:9">
      <c r="I260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02" spans="9:9">
      <c r="I260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03" spans="9:9">
      <c r="I260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04" spans="9:9">
      <c r="I260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05" spans="9:9">
      <c r="I260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06" spans="9:9">
      <c r="I260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07" spans="9:9">
      <c r="I260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08" spans="9:9">
      <c r="I260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09" spans="9:9">
      <c r="I260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10" spans="9:9">
      <c r="I261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11" spans="9:9">
      <c r="I261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12" spans="9:9">
      <c r="I261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13" spans="9:9">
      <c r="I261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14" spans="9:9">
      <c r="I261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15" spans="9:9">
      <c r="I261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16" spans="9:9">
      <c r="I261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17" spans="9:9">
      <c r="I261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18" spans="9:9">
      <c r="I261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19" spans="9:9">
      <c r="I261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20" spans="9:9">
      <c r="I262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21" spans="9:9">
      <c r="I262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22" spans="9:9">
      <c r="I262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23" spans="9:9">
      <c r="I262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24" spans="9:9">
      <c r="I262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25" spans="9:9">
      <c r="I262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26" spans="9:9">
      <c r="I262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27" spans="9:9">
      <c r="I262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28" spans="9:9">
      <c r="I262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29" spans="9:9">
      <c r="I262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30" spans="9:9">
      <c r="I263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31" spans="9:9">
      <c r="I263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32" spans="9:9">
      <c r="I263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33" spans="9:9">
      <c r="I263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34" spans="9:9">
      <c r="I263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35" spans="9:9">
      <c r="I263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36" spans="9:9">
      <c r="I263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37" spans="9:9">
      <c r="I263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38" spans="9:9">
      <c r="I263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39" spans="9:9">
      <c r="I263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40" spans="9:9">
      <c r="I264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41" spans="9:9">
      <c r="I264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EXPORT.C</vt:lpstr>
      <vt:lpstr>CRLF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 Mostert</dc:creator>
  <cp:lastModifiedBy>Jaco Mostert</cp:lastModifiedBy>
  <dcterms:created xsi:type="dcterms:W3CDTF">2020-01-07T21:12:33Z</dcterms:created>
  <dcterms:modified xsi:type="dcterms:W3CDTF">2024-07-25T23:00:23Z</dcterms:modified>
</cp:coreProperties>
</file>