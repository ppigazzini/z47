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9235BF38-6096-9F43-A6AE-D682AD60D3BF}" xr6:coauthVersionLast="47" xr6:coauthVersionMax="47" xr10:uidLastSave="{00000000-0000-0000-0000-000000000000}"/>
  <bookViews>
    <workbookView xWindow="0" yWindow="500" windowWidth="32700" windowHeight="20500" tabRatio="500" xr2:uid="{00000000-000D-0000-FFFF-FFFF00000000}"/>
  </bookViews>
  <sheets>
    <sheet name="Sheet2" sheetId="22" r:id="rId1"/>
    <sheet name="EXPORT.C" sheetId="4" r:id="rId2"/>
  </sheets>
  <definedNames>
    <definedName name="_xlnm._FilterDatabase" localSheetId="0" hidden="1">Sheet2!$B$4:$J$24</definedName>
    <definedName name="CRLF">Sheet2!$B$1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0" i="4" l="1"/>
  <c r="C89" i="4"/>
  <c r="C88" i="4"/>
  <c r="C87" i="4"/>
  <c r="C86" i="4"/>
  <c r="C85" i="4"/>
  <c r="C84" i="4"/>
  <c r="D84" i="4" s="1"/>
  <c r="C83" i="4"/>
  <c r="C82" i="4"/>
  <c r="C81" i="4"/>
  <c r="C80" i="4"/>
  <c r="D80" i="4" s="1"/>
  <c r="C79" i="4"/>
  <c r="C78" i="4"/>
  <c r="C77" i="4"/>
  <c r="C76" i="4"/>
  <c r="C75" i="4"/>
  <c r="C74" i="4"/>
  <c r="C73" i="4"/>
  <c r="C72" i="4"/>
  <c r="D72" i="4" s="1"/>
  <c r="C71" i="4"/>
  <c r="C70" i="4"/>
  <c r="C69" i="4"/>
  <c r="C68" i="4"/>
  <c r="D68" i="4" s="1"/>
  <c r="C67" i="4"/>
  <c r="C66" i="4"/>
  <c r="C65" i="4"/>
  <c r="C64" i="4"/>
  <c r="C63" i="4"/>
  <c r="C62" i="4"/>
  <c r="C61" i="4"/>
  <c r="C60" i="4"/>
  <c r="D60" i="4" s="1"/>
  <c r="C59" i="4"/>
  <c r="C58" i="4"/>
  <c r="D58" i="4" s="1"/>
  <c r="C57" i="4"/>
  <c r="D57" i="4" s="1"/>
  <c r="C56" i="4"/>
  <c r="D56" i="4" s="1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D43" i="4" s="1"/>
  <c r="C42" i="4"/>
  <c r="C41" i="4"/>
  <c r="C40" i="4"/>
  <c r="C39" i="4"/>
  <c r="C38" i="4"/>
  <c r="C37" i="4"/>
  <c r="C36" i="4"/>
  <c r="C35" i="4"/>
  <c r="C34" i="4"/>
  <c r="C33" i="4"/>
  <c r="C32" i="4"/>
  <c r="D32" i="4" s="1"/>
  <c r="C31" i="4"/>
  <c r="C30" i="4"/>
  <c r="C29" i="4"/>
  <c r="C28" i="4"/>
  <c r="C27" i="4"/>
  <c r="C26" i="4"/>
  <c r="C25" i="4"/>
  <c r="C24" i="4"/>
  <c r="C23" i="4"/>
  <c r="C22" i="4"/>
  <c r="D22" i="4" s="1"/>
  <c r="C21" i="4"/>
  <c r="C20" i="4"/>
  <c r="D20" i="4" s="1"/>
  <c r="C19" i="4"/>
  <c r="C18" i="4"/>
  <c r="C17" i="4"/>
  <c r="C16" i="4"/>
  <c r="C15" i="4"/>
  <c r="C14" i="4"/>
  <c r="C13" i="4"/>
  <c r="C12" i="4"/>
  <c r="D12" i="4" s="1"/>
  <c r="C11" i="4"/>
  <c r="C10" i="4"/>
  <c r="C9" i="4"/>
  <c r="D9" i="4" s="1"/>
  <c r="C8" i="4"/>
  <c r="C7" i="4"/>
  <c r="D7" i="4" s="1"/>
  <c r="H7" i="4" s="1"/>
  <c r="C6" i="4"/>
  <c r="C5" i="4"/>
  <c r="H66" i="22"/>
  <c r="G66" i="22"/>
  <c r="F66" i="22"/>
  <c r="E66" i="22"/>
  <c r="C66" i="22"/>
  <c r="B66" i="22"/>
  <c r="A66" i="22"/>
  <c r="H65" i="22"/>
  <c r="G65" i="22"/>
  <c r="F65" i="22"/>
  <c r="F65" i="4" s="1"/>
  <c r="E65" i="22"/>
  <c r="E65" i="4" s="1"/>
  <c r="C65" i="22"/>
  <c r="B65" i="22"/>
  <c r="A65" i="22"/>
  <c r="H64" i="22"/>
  <c r="G64" i="22"/>
  <c r="F64" i="22"/>
  <c r="E64" i="22"/>
  <c r="C64" i="22"/>
  <c r="B64" i="22"/>
  <c r="A64" i="22"/>
  <c r="H63" i="22"/>
  <c r="G63" i="22"/>
  <c r="F63" i="22"/>
  <c r="E63" i="22"/>
  <c r="E63" i="4" s="1"/>
  <c r="C63" i="22"/>
  <c r="B63" i="4" s="1"/>
  <c r="B63" i="22"/>
  <c r="A63" i="4" s="1"/>
  <c r="A63" i="22"/>
  <c r="H62" i="22"/>
  <c r="G62" i="22"/>
  <c r="G62" i="4" s="1"/>
  <c r="F62" i="22"/>
  <c r="F62" i="4" s="1"/>
  <c r="E62" i="22"/>
  <c r="E62" i="4" s="1"/>
  <c r="C62" i="22"/>
  <c r="B62" i="22"/>
  <c r="A62" i="22"/>
  <c r="H61" i="22"/>
  <c r="G61" i="22"/>
  <c r="F61" i="22"/>
  <c r="F61" i="4" s="1"/>
  <c r="E61" i="22"/>
  <c r="E61" i="4" s="1"/>
  <c r="D61" i="4"/>
  <c r="C61" i="22"/>
  <c r="B61" i="4" s="1"/>
  <c r="B61" i="22"/>
  <c r="A61" i="4" s="1"/>
  <c r="H61" i="4" s="1"/>
  <c r="A61" i="22"/>
  <c r="H60" i="22"/>
  <c r="G60" i="22"/>
  <c r="F60" i="22"/>
  <c r="E60" i="22"/>
  <c r="C60" i="22"/>
  <c r="B60" i="22"/>
  <c r="A60" i="4" s="1"/>
  <c r="A60" i="22"/>
  <c r="H59" i="22"/>
  <c r="G59" i="22"/>
  <c r="F59" i="22"/>
  <c r="E59" i="22"/>
  <c r="E59" i="4" s="1"/>
  <c r="C59" i="22"/>
  <c r="B59" i="22"/>
  <c r="A59" i="22"/>
  <c r="H58" i="22"/>
  <c r="G58" i="22"/>
  <c r="G58" i="4" s="1"/>
  <c r="F58" i="22"/>
  <c r="F58" i="4" s="1"/>
  <c r="E58" i="22"/>
  <c r="E58" i="4" s="1"/>
  <c r="C58" i="22"/>
  <c r="B58" i="4" s="1"/>
  <c r="B58" i="22"/>
  <c r="A58" i="4" s="1"/>
  <c r="A58" i="22"/>
  <c r="H57" i="22"/>
  <c r="G57" i="22"/>
  <c r="F57" i="22"/>
  <c r="E57" i="22"/>
  <c r="C57" i="22"/>
  <c r="B57" i="4" s="1"/>
  <c r="B57" i="22"/>
  <c r="A57" i="4" s="1"/>
  <c r="A57" i="22"/>
  <c r="H56" i="22"/>
  <c r="G56" i="22"/>
  <c r="G56" i="4" s="1"/>
  <c r="F56" i="22"/>
  <c r="F56" i="4" s="1"/>
  <c r="E56" i="22"/>
  <c r="E56" i="4" s="1"/>
  <c r="C56" i="22"/>
  <c r="B56" i="22"/>
  <c r="A56" i="22"/>
  <c r="H55" i="22"/>
  <c r="G55" i="22"/>
  <c r="F55" i="22"/>
  <c r="E55" i="22"/>
  <c r="C55" i="22"/>
  <c r="B55" i="4" s="1"/>
  <c r="B55" i="22"/>
  <c r="A55" i="22"/>
  <c r="H54" i="22"/>
  <c r="G54" i="22"/>
  <c r="F54" i="22"/>
  <c r="E54" i="22"/>
  <c r="C54" i="22"/>
  <c r="B54" i="22"/>
  <c r="A54" i="22"/>
  <c r="H53" i="22"/>
  <c r="G53" i="22"/>
  <c r="G53" i="4" s="1"/>
  <c r="F53" i="22"/>
  <c r="F53" i="4" s="1"/>
  <c r="E53" i="22"/>
  <c r="E53" i="4" s="1"/>
  <c r="C53" i="22"/>
  <c r="B53" i="22"/>
  <c r="A53" i="22"/>
  <c r="H52" i="22"/>
  <c r="G52" i="22"/>
  <c r="G52" i="4" s="1"/>
  <c r="F52" i="22"/>
  <c r="F52" i="4" s="1"/>
  <c r="E52" i="22"/>
  <c r="E52" i="4" s="1"/>
  <c r="D52" i="4"/>
  <c r="C52" i="22"/>
  <c r="B52" i="4" s="1"/>
  <c r="B52" i="22"/>
  <c r="A52" i="4" s="1"/>
  <c r="A52" i="22"/>
  <c r="H51" i="22"/>
  <c r="G51" i="22"/>
  <c r="F51" i="22"/>
  <c r="E51" i="22"/>
  <c r="C51" i="22"/>
  <c r="B51" i="22"/>
  <c r="A51" i="4" s="1"/>
  <c r="A51" i="22"/>
  <c r="H50" i="22"/>
  <c r="G50" i="22"/>
  <c r="G50" i="4" s="1"/>
  <c r="F50" i="22"/>
  <c r="F50" i="4" s="1"/>
  <c r="E50" i="22"/>
  <c r="E50" i="4" s="1"/>
  <c r="C50" i="22"/>
  <c r="B50" i="22"/>
  <c r="A50" i="22"/>
  <c r="H49" i="22"/>
  <c r="G49" i="22"/>
  <c r="F49" i="22"/>
  <c r="E49" i="22"/>
  <c r="C49" i="22"/>
  <c r="B49" i="22"/>
  <c r="A49" i="4" s="1"/>
  <c r="H49" i="4" s="1"/>
  <c r="A49" i="22"/>
  <c r="H48" i="22"/>
  <c r="G48" i="22"/>
  <c r="F48" i="22"/>
  <c r="E48" i="22"/>
  <c r="C48" i="22"/>
  <c r="B48" i="22"/>
  <c r="A48" i="4" s="1"/>
  <c r="A48" i="22"/>
  <c r="H47" i="22"/>
  <c r="G47" i="22"/>
  <c r="G47" i="4" s="1"/>
  <c r="F47" i="22"/>
  <c r="F47" i="4" s="1"/>
  <c r="E47" i="22"/>
  <c r="E47" i="4" s="1"/>
  <c r="C47" i="22"/>
  <c r="B47" i="22"/>
  <c r="A47" i="22"/>
  <c r="H46" i="22"/>
  <c r="G46" i="22"/>
  <c r="G46" i="4" s="1"/>
  <c r="F46" i="22"/>
  <c r="F46" i="4" s="1"/>
  <c r="E46" i="22"/>
  <c r="E46" i="4" s="1"/>
  <c r="D46" i="4"/>
  <c r="C46" i="22"/>
  <c r="B46" i="4" s="1"/>
  <c r="B46" i="22"/>
  <c r="A46" i="22"/>
  <c r="H45" i="22"/>
  <c r="G45" i="22"/>
  <c r="F45" i="22"/>
  <c r="E45" i="22"/>
  <c r="C45" i="22"/>
  <c r="B45" i="22"/>
  <c r="A45" i="22"/>
  <c r="H44" i="22"/>
  <c r="G44" i="22"/>
  <c r="F44" i="22"/>
  <c r="F44" i="4" s="1"/>
  <c r="E44" i="22"/>
  <c r="E44" i="4" s="1"/>
  <c r="C44" i="22"/>
  <c r="B44" i="22"/>
  <c r="A44" i="22"/>
  <c r="H43" i="22"/>
  <c r="G43" i="22"/>
  <c r="G43" i="4" s="1"/>
  <c r="F43" i="22"/>
  <c r="F43" i="4" s="1"/>
  <c r="E43" i="22"/>
  <c r="E43" i="4" s="1"/>
  <c r="C43" i="22"/>
  <c r="B43" i="4" s="1"/>
  <c r="B43" i="22"/>
  <c r="A43" i="4" s="1"/>
  <c r="A43" i="22"/>
  <c r="H42" i="22"/>
  <c r="G42" i="22"/>
  <c r="F42" i="22"/>
  <c r="E42" i="22"/>
  <c r="C42" i="22"/>
  <c r="B42" i="4" s="1"/>
  <c r="B42" i="22"/>
  <c r="A42" i="4" s="1"/>
  <c r="A42" i="22"/>
  <c r="H41" i="22"/>
  <c r="G41" i="22"/>
  <c r="G41" i="4" s="1"/>
  <c r="F41" i="22"/>
  <c r="F41" i="4" s="1"/>
  <c r="E41" i="22"/>
  <c r="E41" i="4" s="1"/>
  <c r="C41" i="22"/>
  <c r="B41" i="22"/>
  <c r="A41" i="22"/>
  <c r="H40" i="22"/>
  <c r="G40" i="22"/>
  <c r="F40" i="22"/>
  <c r="E40" i="22"/>
  <c r="D40" i="4"/>
  <c r="C40" i="22"/>
  <c r="B40" i="4" s="1"/>
  <c r="B40" i="22"/>
  <c r="A40" i="4" s="1"/>
  <c r="A40" i="22"/>
  <c r="H39" i="22"/>
  <c r="G39" i="22"/>
  <c r="F39" i="22"/>
  <c r="E39" i="22"/>
  <c r="C39" i="22"/>
  <c r="B39" i="22"/>
  <c r="A39" i="22"/>
  <c r="H38" i="22"/>
  <c r="G38" i="22"/>
  <c r="F38" i="22"/>
  <c r="E38" i="22"/>
  <c r="C38" i="22"/>
  <c r="B38" i="22"/>
  <c r="A38" i="22"/>
  <c r="H37" i="22"/>
  <c r="G37" i="22"/>
  <c r="G37" i="4" s="1"/>
  <c r="F37" i="22"/>
  <c r="F37" i="4" s="1"/>
  <c r="E37" i="22"/>
  <c r="E37" i="4" s="1"/>
  <c r="D37" i="4"/>
  <c r="C37" i="22"/>
  <c r="B37" i="4" s="1"/>
  <c r="B37" i="22"/>
  <c r="A37" i="4" s="1"/>
  <c r="A37" i="22"/>
  <c r="A44" i="4"/>
  <c r="B34" i="22"/>
  <c r="B11" i="22"/>
  <c r="B32" i="22"/>
  <c r="B33" i="22"/>
  <c r="A33" i="4" s="1"/>
  <c r="B31" i="22"/>
  <c r="B30" i="22"/>
  <c r="A30" i="4" s="1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36" i="4"/>
  <c r="H35" i="4"/>
  <c r="G90" i="4"/>
  <c r="F90" i="4"/>
  <c r="E90" i="4"/>
  <c r="D90" i="4"/>
  <c r="B90" i="4"/>
  <c r="A90" i="4"/>
  <c r="G89" i="4"/>
  <c r="F89" i="4"/>
  <c r="E89" i="4"/>
  <c r="D89" i="4"/>
  <c r="B89" i="4"/>
  <c r="A89" i="4"/>
  <c r="G88" i="4"/>
  <c r="F88" i="4"/>
  <c r="E88" i="4"/>
  <c r="D88" i="4"/>
  <c r="B88" i="4"/>
  <c r="A88" i="4"/>
  <c r="G87" i="4"/>
  <c r="F87" i="4"/>
  <c r="E87" i="4"/>
  <c r="D87" i="4"/>
  <c r="B87" i="4"/>
  <c r="A87" i="4"/>
  <c r="G86" i="4"/>
  <c r="F86" i="4"/>
  <c r="E86" i="4"/>
  <c r="D86" i="4"/>
  <c r="B86" i="4"/>
  <c r="A86" i="4"/>
  <c r="G85" i="4"/>
  <c r="F85" i="4"/>
  <c r="E85" i="4"/>
  <c r="D85" i="4"/>
  <c r="B85" i="4"/>
  <c r="A85" i="4"/>
  <c r="G84" i="4"/>
  <c r="F84" i="4"/>
  <c r="E84" i="4"/>
  <c r="B84" i="4"/>
  <c r="A84" i="4"/>
  <c r="G83" i="4"/>
  <c r="F83" i="4"/>
  <c r="E83" i="4"/>
  <c r="D83" i="4"/>
  <c r="B83" i="4"/>
  <c r="A83" i="4"/>
  <c r="G82" i="4"/>
  <c r="F82" i="4"/>
  <c r="E82" i="4"/>
  <c r="D82" i="4"/>
  <c r="B82" i="4"/>
  <c r="A82" i="4"/>
  <c r="G81" i="4"/>
  <c r="F81" i="4"/>
  <c r="E81" i="4"/>
  <c r="D81" i="4"/>
  <c r="B81" i="4"/>
  <c r="A81" i="4"/>
  <c r="G80" i="4"/>
  <c r="F80" i="4"/>
  <c r="E80" i="4"/>
  <c r="B80" i="4"/>
  <c r="A80" i="4"/>
  <c r="G79" i="4"/>
  <c r="F79" i="4"/>
  <c r="E79" i="4"/>
  <c r="D79" i="4"/>
  <c r="B79" i="4"/>
  <c r="A79" i="4"/>
  <c r="G78" i="4"/>
  <c r="F78" i="4"/>
  <c r="E78" i="4"/>
  <c r="D78" i="4"/>
  <c r="B78" i="4"/>
  <c r="A78" i="4"/>
  <c r="G77" i="4"/>
  <c r="F77" i="4"/>
  <c r="E77" i="4"/>
  <c r="D77" i="4"/>
  <c r="B77" i="4"/>
  <c r="A77" i="4"/>
  <c r="G76" i="4"/>
  <c r="F76" i="4"/>
  <c r="E76" i="4"/>
  <c r="D76" i="4"/>
  <c r="B76" i="4"/>
  <c r="A76" i="4"/>
  <c r="G75" i="4"/>
  <c r="F75" i="4"/>
  <c r="E75" i="4"/>
  <c r="D75" i="4"/>
  <c r="B75" i="4"/>
  <c r="A75" i="4"/>
  <c r="G74" i="4"/>
  <c r="F74" i="4"/>
  <c r="E74" i="4"/>
  <c r="D74" i="4"/>
  <c r="B74" i="4"/>
  <c r="A74" i="4"/>
  <c r="G73" i="4"/>
  <c r="F73" i="4"/>
  <c r="E73" i="4"/>
  <c r="D73" i="4"/>
  <c r="B73" i="4"/>
  <c r="A73" i="4"/>
  <c r="G72" i="4"/>
  <c r="F72" i="4"/>
  <c r="E72" i="4"/>
  <c r="B72" i="4"/>
  <c r="A72" i="4"/>
  <c r="G71" i="4"/>
  <c r="F71" i="4"/>
  <c r="E71" i="4"/>
  <c r="D71" i="4"/>
  <c r="B71" i="4"/>
  <c r="A71" i="4"/>
  <c r="G70" i="4"/>
  <c r="F70" i="4"/>
  <c r="E70" i="4"/>
  <c r="D70" i="4"/>
  <c r="B70" i="4"/>
  <c r="A70" i="4"/>
  <c r="G69" i="4"/>
  <c r="F69" i="4"/>
  <c r="E69" i="4"/>
  <c r="D69" i="4"/>
  <c r="B69" i="4"/>
  <c r="A69" i="4"/>
  <c r="G68" i="4"/>
  <c r="F68" i="4"/>
  <c r="E68" i="4"/>
  <c r="B68" i="4"/>
  <c r="A68" i="4"/>
  <c r="G67" i="4"/>
  <c r="F67" i="4"/>
  <c r="E67" i="4"/>
  <c r="D67" i="4"/>
  <c r="B67" i="4"/>
  <c r="A67" i="4"/>
  <c r="G66" i="4"/>
  <c r="F66" i="4"/>
  <c r="E66" i="4"/>
  <c r="D66" i="4"/>
  <c r="B66" i="4"/>
  <c r="A66" i="4"/>
  <c r="H66" i="4" s="1"/>
  <c r="G65" i="4"/>
  <c r="D65" i="4"/>
  <c r="B65" i="4"/>
  <c r="A65" i="4"/>
  <c r="G64" i="4"/>
  <c r="F64" i="4"/>
  <c r="E64" i="4"/>
  <c r="D64" i="4"/>
  <c r="B64" i="4"/>
  <c r="A64" i="4"/>
  <c r="H64" i="4" s="1"/>
  <c r="G63" i="4"/>
  <c r="F63" i="4"/>
  <c r="D63" i="4"/>
  <c r="D62" i="4"/>
  <c r="B62" i="4"/>
  <c r="A62" i="4"/>
  <c r="G61" i="4"/>
  <c r="G60" i="4"/>
  <c r="F60" i="4"/>
  <c r="E60" i="4"/>
  <c r="B60" i="4"/>
  <c r="G59" i="4"/>
  <c r="F59" i="4"/>
  <c r="D59" i="4"/>
  <c r="B59" i="4"/>
  <c r="A59" i="4"/>
  <c r="G57" i="4"/>
  <c r="F57" i="4"/>
  <c r="E57" i="4"/>
  <c r="B56" i="4"/>
  <c r="G55" i="4"/>
  <c r="F55" i="4"/>
  <c r="E55" i="4"/>
  <c r="D55" i="4"/>
  <c r="G54" i="4"/>
  <c r="F54" i="4"/>
  <c r="E54" i="4"/>
  <c r="D54" i="4"/>
  <c r="B54" i="4"/>
  <c r="A54" i="4"/>
  <c r="D53" i="4"/>
  <c r="B53" i="4"/>
  <c r="A53" i="4"/>
  <c r="G51" i="4"/>
  <c r="F51" i="4"/>
  <c r="E51" i="4"/>
  <c r="D51" i="4"/>
  <c r="B51" i="4"/>
  <c r="D50" i="4"/>
  <c r="B50" i="4"/>
  <c r="A50" i="4"/>
  <c r="G49" i="4"/>
  <c r="F49" i="4"/>
  <c r="E49" i="4"/>
  <c r="D49" i="4"/>
  <c r="B49" i="4"/>
  <c r="G48" i="4"/>
  <c r="F48" i="4"/>
  <c r="E48" i="4"/>
  <c r="D48" i="4"/>
  <c r="B48" i="4"/>
  <c r="D47" i="4"/>
  <c r="B47" i="4"/>
  <c r="A47" i="4"/>
  <c r="G45" i="4"/>
  <c r="F45" i="4"/>
  <c r="E45" i="4"/>
  <c r="D45" i="4"/>
  <c r="B45" i="4"/>
  <c r="A45" i="4"/>
  <c r="G44" i="4"/>
  <c r="D44" i="4"/>
  <c r="B44" i="4"/>
  <c r="G42" i="4"/>
  <c r="F42" i="4"/>
  <c r="E42" i="4"/>
  <c r="D42" i="4"/>
  <c r="D41" i="4"/>
  <c r="B41" i="4"/>
  <c r="A41" i="4"/>
  <c r="G40" i="4"/>
  <c r="F40" i="4"/>
  <c r="E40" i="4"/>
  <c r="G39" i="4"/>
  <c r="F39" i="4"/>
  <c r="E39" i="4"/>
  <c r="D39" i="4"/>
  <c r="B39" i="4"/>
  <c r="A39" i="4"/>
  <c r="G38" i="4"/>
  <c r="F38" i="4"/>
  <c r="E38" i="4"/>
  <c r="D38" i="4"/>
  <c r="B38" i="4"/>
  <c r="A38" i="4"/>
  <c r="G36" i="4"/>
  <c r="F36" i="4"/>
  <c r="E36" i="4"/>
  <c r="D36" i="4"/>
  <c r="B36" i="4"/>
  <c r="A36" i="4"/>
  <c r="G35" i="4"/>
  <c r="F35" i="4"/>
  <c r="E35" i="4"/>
  <c r="D35" i="4"/>
  <c r="B35" i="4"/>
  <c r="A35" i="4"/>
  <c r="G34" i="4"/>
  <c r="F34" i="4"/>
  <c r="E34" i="4"/>
  <c r="D34" i="4"/>
  <c r="B34" i="4"/>
  <c r="A34" i="4"/>
  <c r="G33" i="4"/>
  <c r="F33" i="4"/>
  <c r="E33" i="4"/>
  <c r="D33" i="4"/>
  <c r="B33" i="4"/>
  <c r="G32" i="4"/>
  <c r="F32" i="4"/>
  <c r="E32" i="4"/>
  <c r="B32" i="4"/>
  <c r="A32" i="4"/>
  <c r="G31" i="4"/>
  <c r="F31" i="4"/>
  <c r="E31" i="4"/>
  <c r="D31" i="4"/>
  <c r="B31" i="4"/>
  <c r="G30" i="4"/>
  <c r="F30" i="4"/>
  <c r="E30" i="4"/>
  <c r="D30" i="4"/>
  <c r="B30" i="4"/>
  <c r="G29" i="4"/>
  <c r="F29" i="4"/>
  <c r="E29" i="4"/>
  <c r="D29" i="4"/>
  <c r="B29" i="4"/>
  <c r="G28" i="4"/>
  <c r="F28" i="4"/>
  <c r="E28" i="4"/>
  <c r="D28" i="4"/>
  <c r="B28" i="4"/>
  <c r="G27" i="4"/>
  <c r="F27" i="4"/>
  <c r="E27" i="4"/>
  <c r="D27" i="4"/>
  <c r="B27" i="4"/>
  <c r="A27" i="4"/>
  <c r="G26" i="4"/>
  <c r="F26" i="4"/>
  <c r="E26" i="4"/>
  <c r="D26" i="4"/>
  <c r="B26" i="4"/>
  <c r="G25" i="4"/>
  <c r="F25" i="4"/>
  <c r="E25" i="4"/>
  <c r="D25" i="4"/>
  <c r="B25" i="4"/>
  <c r="G24" i="4"/>
  <c r="F24" i="4"/>
  <c r="E24" i="4"/>
  <c r="D24" i="4"/>
  <c r="B24" i="4"/>
  <c r="G23" i="4"/>
  <c r="F23" i="4"/>
  <c r="E23" i="4"/>
  <c r="D23" i="4"/>
  <c r="B23" i="4"/>
  <c r="G22" i="4"/>
  <c r="F22" i="4"/>
  <c r="E22" i="4"/>
  <c r="B22" i="4"/>
  <c r="G21" i="4"/>
  <c r="F21" i="4"/>
  <c r="E21" i="4"/>
  <c r="D21" i="4"/>
  <c r="B21" i="4"/>
  <c r="G20" i="4"/>
  <c r="F20" i="4"/>
  <c r="E20" i="4"/>
  <c r="B20" i="4"/>
  <c r="G19" i="4"/>
  <c r="F19" i="4"/>
  <c r="E19" i="4"/>
  <c r="D19" i="4"/>
  <c r="H19" i="4" s="1"/>
  <c r="B19" i="4"/>
  <c r="A19" i="4"/>
  <c r="G18" i="4"/>
  <c r="F18" i="4"/>
  <c r="E18" i="4"/>
  <c r="D18" i="4"/>
  <c r="B18" i="4"/>
  <c r="A18" i="4"/>
  <c r="G17" i="4"/>
  <c r="F17" i="4"/>
  <c r="E17" i="4"/>
  <c r="D17" i="4"/>
  <c r="B17" i="4"/>
  <c r="A17" i="4"/>
  <c r="G16" i="4"/>
  <c r="F16" i="4"/>
  <c r="E16" i="4"/>
  <c r="D16" i="4"/>
  <c r="B16" i="4"/>
  <c r="A16" i="4"/>
  <c r="G15" i="4"/>
  <c r="F15" i="4"/>
  <c r="E15" i="4"/>
  <c r="D15" i="4"/>
  <c r="B15" i="4"/>
  <c r="A15" i="4"/>
  <c r="G14" i="4"/>
  <c r="F14" i="4"/>
  <c r="E14" i="4"/>
  <c r="D14" i="4"/>
  <c r="B14" i="4"/>
  <c r="G13" i="4"/>
  <c r="F13" i="4"/>
  <c r="E13" i="4"/>
  <c r="D13" i="4"/>
  <c r="B13" i="4"/>
  <c r="A13" i="4"/>
  <c r="G12" i="4"/>
  <c r="F12" i="4"/>
  <c r="E12" i="4"/>
  <c r="B12" i="4"/>
  <c r="G11" i="4"/>
  <c r="F11" i="4"/>
  <c r="E11" i="4"/>
  <c r="D11" i="4"/>
  <c r="B11" i="4"/>
  <c r="A11" i="4"/>
  <c r="H11" i="4" s="1"/>
  <c r="G10" i="4"/>
  <c r="F10" i="4"/>
  <c r="E10" i="4"/>
  <c r="D10" i="4"/>
  <c r="B10" i="4"/>
  <c r="G9" i="4"/>
  <c r="F9" i="4"/>
  <c r="E9" i="4"/>
  <c r="B9" i="4"/>
  <c r="A9" i="4"/>
  <c r="G8" i="4"/>
  <c r="F8" i="4"/>
  <c r="E8" i="4"/>
  <c r="D8" i="4"/>
  <c r="B8" i="4"/>
  <c r="A8" i="4"/>
  <c r="G7" i="4"/>
  <c r="F7" i="4"/>
  <c r="E7" i="4"/>
  <c r="B7" i="4"/>
  <c r="A7" i="4"/>
  <c r="G6" i="4"/>
  <c r="F6" i="4"/>
  <c r="E6" i="4"/>
  <c r="D6" i="4"/>
  <c r="B6" i="4"/>
  <c r="B29" i="22"/>
  <c r="B28" i="22"/>
  <c r="B27" i="22"/>
  <c r="B12" i="22"/>
  <c r="A12" i="4" s="1"/>
  <c r="B26" i="22"/>
  <c r="A26" i="4" s="1"/>
  <c r="B24" i="22"/>
  <c r="B22" i="22"/>
  <c r="B20" i="22"/>
  <c r="B18" i="22"/>
  <c r="B17" i="22"/>
  <c r="H17" i="4" s="1"/>
  <c r="B16" i="22"/>
  <c r="B10" i="22"/>
  <c r="A10" i="4" s="1"/>
  <c r="B6" i="22"/>
  <c r="A6" i="4" s="1"/>
  <c r="B5" i="22"/>
  <c r="B9" i="22"/>
  <c r="B15" i="22"/>
  <c r="B14" i="22"/>
  <c r="A14" i="4" s="1"/>
  <c r="B25" i="22"/>
  <c r="A25" i="4" s="1"/>
  <c r="B23" i="22"/>
  <c r="A23" i="4" s="1"/>
  <c r="B21" i="22"/>
  <c r="B19" i="22"/>
  <c r="B13" i="22"/>
  <c r="H13" i="4" s="1"/>
  <c r="B8" i="22"/>
  <c r="B7" i="22"/>
  <c r="H2" i="4"/>
  <c r="G5" i="4"/>
  <c r="F5" i="4"/>
  <c r="E5" i="4"/>
  <c r="D5" i="4"/>
  <c r="B5" i="4"/>
  <c r="H10" i="4" l="1"/>
  <c r="H9" i="4"/>
  <c r="H43" i="4"/>
  <c r="H58" i="4"/>
  <c r="H37" i="4"/>
  <c r="H6" i="4"/>
  <c r="H16" i="4"/>
  <c r="H8" i="4"/>
  <c r="H34" i="4"/>
  <c r="H15" i="4"/>
  <c r="H32" i="4"/>
  <c r="H27" i="4"/>
  <c r="H51" i="4"/>
  <c r="H63" i="4"/>
  <c r="H39" i="4"/>
  <c r="H45" i="4"/>
  <c r="H59" i="4"/>
  <c r="H41" i="4"/>
  <c r="H65" i="4"/>
  <c r="H50" i="4"/>
  <c r="H62" i="4"/>
  <c r="H53" i="4"/>
  <c r="H52" i="4"/>
  <c r="H54" i="4"/>
  <c r="H38" i="4"/>
  <c r="H42" i="4"/>
  <c r="H47" i="4"/>
  <c r="H40" i="4"/>
  <c r="H57" i="4"/>
  <c r="A55" i="4"/>
  <c r="H55" i="4" s="1"/>
  <c r="H60" i="4"/>
  <c r="H44" i="4"/>
  <c r="H48" i="4"/>
  <c r="A56" i="4"/>
  <c r="H56" i="4" s="1"/>
  <c r="A46" i="4"/>
  <c r="H46" i="4" s="1"/>
  <c r="H21" i="4"/>
  <c r="H26" i="4"/>
  <c r="H12" i="4"/>
  <c r="A20" i="4"/>
  <c r="H20" i="4" s="1"/>
  <c r="A22" i="4"/>
  <c r="H22" i="4" s="1"/>
  <c r="A24" i="4"/>
  <c r="H24" i="4" s="1"/>
  <c r="A28" i="4"/>
  <c r="H28" i="4" s="1"/>
  <c r="H14" i="4"/>
  <c r="A21" i="4"/>
  <c r="H23" i="4"/>
  <c r="H25" i="4"/>
  <c r="A29" i="4"/>
  <c r="H18" i="4"/>
  <c r="H33" i="4"/>
  <c r="H29" i="4"/>
  <c r="A31" i="4"/>
  <c r="H31" i="4" s="1"/>
  <c r="H30" i="4"/>
  <c r="A5" i="4"/>
  <c r="H5" i="4" s="1"/>
  <c r="H2247" i="4" l="1"/>
  <c r="H2246" i="4"/>
  <c r="H2245" i="4"/>
  <c r="H2244" i="4"/>
  <c r="H2243" i="4"/>
  <c r="H2242" i="4"/>
  <c r="H2241" i="4"/>
  <c r="H2641" i="4" l="1"/>
  <c r="H2640" i="4"/>
  <c r="H2639" i="4"/>
  <c r="H2638" i="4"/>
  <c r="H2637" i="4"/>
  <c r="H2636" i="4"/>
  <c r="H2635" i="4"/>
  <c r="H2634" i="4"/>
  <c r="H2633" i="4"/>
  <c r="H2632" i="4"/>
  <c r="H2631" i="4"/>
  <c r="H2630" i="4"/>
  <c r="H2629" i="4"/>
  <c r="H2628" i="4"/>
  <c r="H2627" i="4"/>
  <c r="H2626" i="4"/>
  <c r="H2625" i="4"/>
  <c r="H2624" i="4"/>
  <c r="H2623" i="4"/>
  <c r="H2622" i="4"/>
  <c r="H2621" i="4"/>
  <c r="H2620" i="4"/>
  <c r="H2619" i="4"/>
  <c r="H2618" i="4"/>
  <c r="H2617" i="4"/>
  <c r="H2616" i="4"/>
  <c r="H2615" i="4"/>
  <c r="H2614" i="4"/>
  <c r="H2613" i="4"/>
  <c r="H2612" i="4"/>
  <c r="H2611" i="4"/>
  <c r="H2610" i="4"/>
  <c r="H2609" i="4"/>
  <c r="H2608" i="4"/>
  <c r="H2607" i="4"/>
  <c r="H2606" i="4"/>
  <c r="H2605" i="4"/>
  <c r="H2604" i="4"/>
  <c r="H2603" i="4"/>
  <c r="H2602" i="4"/>
  <c r="H2601" i="4"/>
  <c r="H2600" i="4"/>
  <c r="H2599" i="4"/>
  <c r="H2598" i="4"/>
  <c r="H2597" i="4"/>
  <c r="H2596" i="4"/>
  <c r="H2595" i="4"/>
  <c r="H2594" i="4"/>
  <c r="H2593" i="4"/>
  <c r="H2592" i="4"/>
  <c r="H2591" i="4"/>
  <c r="H2590" i="4"/>
  <c r="H2589" i="4"/>
  <c r="H2588" i="4"/>
  <c r="H2587" i="4"/>
  <c r="H2586" i="4"/>
  <c r="H2585" i="4"/>
  <c r="H2584" i="4"/>
  <c r="H2583" i="4"/>
  <c r="H2582" i="4"/>
  <c r="H2581" i="4"/>
  <c r="H2580" i="4"/>
  <c r="H2579" i="4"/>
  <c r="H2578" i="4"/>
  <c r="H2577" i="4"/>
  <c r="H2576" i="4"/>
  <c r="H2575" i="4"/>
  <c r="H2574" i="4"/>
  <c r="H2573" i="4"/>
  <c r="H2572" i="4"/>
  <c r="H2571" i="4"/>
  <c r="H2570" i="4"/>
  <c r="H2569" i="4"/>
  <c r="H2568" i="4"/>
  <c r="H2567" i="4"/>
  <c r="H2566" i="4"/>
  <c r="H2565" i="4"/>
  <c r="H2564" i="4"/>
  <c r="H2563" i="4"/>
  <c r="H2562" i="4"/>
  <c r="H2561" i="4"/>
  <c r="H2560" i="4"/>
  <c r="H2559" i="4"/>
  <c r="H2558" i="4"/>
  <c r="H2557" i="4"/>
  <c r="H2556" i="4"/>
  <c r="H2555" i="4"/>
  <c r="H2554" i="4"/>
  <c r="H2553" i="4"/>
  <c r="H2552" i="4"/>
  <c r="H2551" i="4"/>
  <c r="H2550" i="4"/>
  <c r="H2549" i="4"/>
  <c r="H2548" i="4"/>
  <c r="H2547" i="4"/>
  <c r="H2546" i="4"/>
  <c r="H2545" i="4"/>
  <c r="H2544" i="4"/>
  <c r="H2543" i="4"/>
  <c r="H2542" i="4"/>
  <c r="H2541" i="4"/>
  <c r="H2540" i="4"/>
  <c r="H2539" i="4"/>
  <c r="H2538" i="4"/>
  <c r="H2537" i="4"/>
  <c r="H2536" i="4"/>
  <c r="H2535" i="4"/>
  <c r="H2534" i="4"/>
  <c r="H2533" i="4"/>
  <c r="H2532" i="4"/>
  <c r="H2531" i="4"/>
  <c r="H2530" i="4"/>
  <c r="H2529" i="4"/>
  <c r="H2528" i="4"/>
  <c r="H2527" i="4"/>
  <c r="H2526" i="4"/>
  <c r="H2525" i="4"/>
  <c r="H2524" i="4"/>
  <c r="H2523" i="4"/>
  <c r="H2522" i="4"/>
  <c r="H2521" i="4"/>
  <c r="H2520" i="4"/>
  <c r="H2519" i="4"/>
  <c r="H2518" i="4"/>
  <c r="H2517" i="4"/>
  <c r="H2516" i="4"/>
  <c r="H2515" i="4"/>
  <c r="H2514" i="4"/>
  <c r="H2513" i="4"/>
  <c r="H2512" i="4"/>
  <c r="H2511" i="4"/>
  <c r="H2510" i="4"/>
  <c r="H2509" i="4"/>
  <c r="H2508" i="4"/>
  <c r="H2507" i="4"/>
  <c r="H2506" i="4"/>
  <c r="H2505" i="4"/>
  <c r="H2504" i="4"/>
  <c r="H2503" i="4"/>
  <c r="H2502" i="4"/>
  <c r="H2501" i="4"/>
  <c r="H2500" i="4"/>
  <c r="H2499" i="4"/>
  <c r="H2498" i="4"/>
  <c r="H2497" i="4"/>
  <c r="H2496" i="4"/>
  <c r="H2495" i="4"/>
  <c r="H2494" i="4"/>
  <c r="H2493" i="4"/>
  <c r="H2492" i="4"/>
  <c r="H2491" i="4"/>
  <c r="H2490" i="4"/>
  <c r="H2489" i="4"/>
  <c r="H2488" i="4"/>
  <c r="H2487" i="4"/>
  <c r="H2486" i="4"/>
  <c r="H2485" i="4"/>
  <c r="H2484" i="4"/>
  <c r="H2483" i="4"/>
  <c r="H2482" i="4"/>
  <c r="H2481" i="4"/>
  <c r="H2480" i="4"/>
  <c r="H2479" i="4"/>
  <c r="H2478" i="4"/>
  <c r="H2477" i="4"/>
  <c r="H2476" i="4"/>
  <c r="H2475" i="4"/>
  <c r="H2474" i="4"/>
  <c r="H2473" i="4"/>
  <c r="H2472" i="4"/>
  <c r="H2471" i="4"/>
  <c r="H2470" i="4"/>
  <c r="H2469" i="4"/>
  <c r="H2468" i="4"/>
  <c r="H2467" i="4"/>
  <c r="H2466" i="4"/>
  <c r="H2465" i="4"/>
  <c r="H2464" i="4"/>
  <c r="H2463" i="4"/>
  <c r="H2462" i="4"/>
  <c r="H2461" i="4"/>
  <c r="H2460" i="4"/>
  <c r="H2459" i="4"/>
  <c r="H2458" i="4"/>
  <c r="H2457" i="4"/>
  <c r="H2456" i="4"/>
  <c r="H2455" i="4"/>
  <c r="H2454" i="4"/>
  <c r="H2453" i="4"/>
  <c r="H2452" i="4"/>
  <c r="H2451" i="4"/>
  <c r="H2450" i="4"/>
  <c r="H2449" i="4"/>
  <c r="H2448" i="4"/>
  <c r="H2447" i="4"/>
  <c r="H2446" i="4"/>
  <c r="H2445" i="4"/>
  <c r="H2444" i="4"/>
  <c r="H2443" i="4"/>
  <c r="H2442" i="4"/>
  <c r="H2441" i="4"/>
  <c r="H2440" i="4"/>
  <c r="H2439" i="4"/>
  <c r="H2438" i="4"/>
  <c r="H2437" i="4"/>
  <c r="H2436" i="4"/>
  <c r="H2435" i="4"/>
  <c r="H2434" i="4"/>
  <c r="H2433" i="4"/>
  <c r="H2432" i="4"/>
  <c r="H2431" i="4"/>
  <c r="H2430" i="4"/>
  <c r="H2429" i="4"/>
  <c r="H2428" i="4"/>
  <c r="H2427" i="4"/>
  <c r="H2426" i="4"/>
  <c r="H2425" i="4"/>
  <c r="H2424" i="4"/>
  <c r="H2423" i="4"/>
  <c r="H2422" i="4"/>
  <c r="H2421" i="4"/>
  <c r="H2420" i="4"/>
  <c r="H2419" i="4"/>
  <c r="H2418" i="4"/>
  <c r="H2417" i="4"/>
  <c r="H2416" i="4"/>
  <c r="H2415" i="4"/>
  <c r="H2414" i="4"/>
  <c r="H2413" i="4"/>
  <c r="H2412" i="4"/>
  <c r="H2411" i="4"/>
  <c r="H2410" i="4"/>
  <c r="H2409" i="4"/>
  <c r="H2408" i="4"/>
  <c r="H2407" i="4"/>
  <c r="H2406" i="4"/>
  <c r="H2405" i="4"/>
  <c r="H2404" i="4"/>
  <c r="H2403" i="4"/>
  <c r="H2402" i="4"/>
  <c r="H2401" i="4"/>
  <c r="H2400" i="4"/>
  <c r="H2399" i="4"/>
  <c r="H2398" i="4"/>
  <c r="H2397" i="4"/>
  <c r="H2396" i="4"/>
  <c r="H2395" i="4"/>
  <c r="H2394" i="4"/>
  <c r="H2393" i="4"/>
  <c r="H2392" i="4"/>
  <c r="H2391" i="4"/>
  <c r="H2390" i="4"/>
  <c r="H2389" i="4"/>
  <c r="H2388" i="4"/>
  <c r="H2387" i="4"/>
  <c r="H2386" i="4"/>
  <c r="H2385" i="4"/>
  <c r="H2384" i="4"/>
  <c r="H2383" i="4"/>
  <c r="H2382" i="4"/>
  <c r="H2381" i="4"/>
  <c r="H2380" i="4"/>
  <c r="H2379" i="4"/>
  <c r="H2378" i="4"/>
  <c r="H2377" i="4"/>
  <c r="H2376" i="4"/>
  <c r="H2375" i="4"/>
  <c r="H2374" i="4"/>
  <c r="H2373" i="4"/>
  <c r="H2372" i="4"/>
  <c r="H2371" i="4"/>
  <c r="H2370" i="4"/>
  <c r="H2369" i="4"/>
  <c r="H2368" i="4"/>
  <c r="H2367" i="4"/>
  <c r="H2366" i="4"/>
  <c r="H2365" i="4"/>
  <c r="H2364" i="4"/>
  <c r="H2363" i="4"/>
  <c r="H2362" i="4"/>
  <c r="H2361" i="4"/>
  <c r="H2360" i="4"/>
  <c r="H2359" i="4"/>
  <c r="H2358" i="4"/>
  <c r="H2357" i="4"/>
  <c r="H2356" i="4"/>
  <c r="H2355" i="4"/>
  <c r="H2354" i="4"/>
  <c r="H2353" i="4"/>
  <c r="H2352" i="4"/>
  <c r="H2351" i="4"/>
  <c r="H2350" i="4"/>
  <c r="H2349" i="4"/>
  <c r="H2348" i="4"/>
  <c r="H2347" i="4"/>
  <c r="H2346" i="4"/>
  <c r="H2345" i="4"/>
  <c r="H2344" i="4"/>
  <c r="H2343" i="4"/>
  <c r="H2342" i="4"/>
  <c r="H2341" i="4"/>
  <c r="H2340" i="4"/>
  <c r="H2339" i="4"/>
  <c r="H2338" i="4"/>
  <c r="H2337" i="4"/>
  <c r="H2336" i="4"/>
  <c r="H2335" i="4"/>
  <c r="H2334" i="4"/>
  <c r="H2333" i="4"/>
  <c r="H2332" i="4"/>
  <c r="H2331" i="4"/>
  <c r="H2330" i="4"/>
  <c r="H2329" i="4"/>
  <c r="H2328" i="4"/>
  <c r="H2327" i="4"/>
  <c r="H2326" i="4"/>
  <c r="H2325" i="4"/>
  <c r="H2324" i="4"/>
  <c r="H2323" i="4"/>
  <c r="H2322" i="4"/>
  <c r="H2321" i="4"/>
  <c r="H2320" i="4"/>
  <c r="H2319" i="4"/>
  <c r="H2318" i="4"/>
  <c r="H2317" i="4"/>
  <c r="H2316" i="4"/>
  <c r="H2315" i="4"/>
  <c r="H2314" i="4"/>
  <c r="H2313" i="4"/>
  <c r="H2312" i="4"/>
  <c r="H2311" i="4"/>
  <c r="H2310" i="4"/>
  <c r="H2309" i="4"/>
  <c r="H2308" i="4"/>
  <c r="H2307" i="4"/>
  <c r="H2306" i="4"/>
  <c r="H2305" i="4"/>
  <c r="H2304" i="4"/>
  <c r="H2303" i="4"/>
  <c r="H2302" i="4"/>
  <c r="H2301" i="4"/>
  <c r="H2300" i="4"/>
  <c r="H2299" i="4"/>
  <c r="H2298" i="4"/>
  <c r="H2297" i="4"/>
  <c r="H2296" i="4"/>
  <c r="H2295" i="4"/>
  <c r="H2294" i="4"/>
  <c r="H2293" i="4"/>
  <c r="H2292" i="4"/>
  <c r="H2291" i="4"/>
  <c r="H2290" i="4"/>
  <c r="H2289" i="4"/>
  <c r="H2288" i="4"/>
  <c r="H2287" i="4"/>
  <c r="H2286" i="4"/>
  <c r="H2285" i="4"/>
  <c r="H2284" i="4"/>
  <c r="H2283" i="4"/>
  <c r="H2282" i="4"/>
  <c r="H2281" i="4"/>
  <c r="H2280" i="4"/>
  <c r="H2279" i="4"/>
  <c r="H2278" i="4"/>
  <c r="H2277" i="4"/>
  <c r="H2276" i="4"/>
  <c r="H2275" i="4"/>
  <c r="H2274" i="4"/>
  <c r="H2273" i="4"/>
  <c r="H2272" i="4"/>
  <c r="H2271" i="4"/>
  <c r="H2270" i="4"/>
  <c r="H2269" i="4"/>
  <c r="H2268" i="4"/>
  <c r="H2267" i="4"/>
  <c r="H2266" i="4"/>
  <c r="H2265" i="4"/>
  <c r="H2264" i="4"/>
  <c r="H2263" i="4"/>
  <c r="H2262" i="4"/>
  <c r="H2261" i="4"/>
  <c r="H2260" i="4"/>
  <c r="H2259" i="4"/>
  <c r="H2258" i="4"/>
  <c r="H2257" i="4"/>
  <c r="H2256" i="4"/>
  <c r="H2255" i="4"/>
  <c r="H2254" i="4"/>
  <c r="H2253" i="4"/>
  <c r="H2252" i="4"/>
  <c r="H2251" i="4"/>
  <c r="H2250" i="4"/>
  <c r="H2249" i="4"/>
  <c r="H224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s.h" type="6" refreshedVersion="0" background="1" saveData="1">
    <textPr fileType="mac" sourceFile="Macintosh HD:Users:jacomostert:Documents:WP43S:gitlab:wp43s:src:wp43s:items.h" delimited="0" decimal="," thousands=" " tab="0" space="1" consecutive="1">
      <textFields count="5">
        <textField/>
        <textField position="7"/>
        <textField position="8"/>
        <textField position="38"/>
        <textField position="42"/>
      </textFields>
    </textPr>
  </connection>
</connections>
</file>

<file path=xl/sharedStrings.xml><?xml version="1.0" encoding="utf-8"?>
<sst xmlns="http://schemas.openxmlformats.org/spreadsheetml/2006/main" count="219" uniqueCount="101">
  <si>
    <t>ITM_DRG</t>
  </si>
  <si>
    <t>Comment</t>
  </si>
  <si>
    <t>if(shortCutCommand(w, event_keyval, 61, allowCondition, exitIfNim, 9999, "", CM_NORMAL, ITM_DRG ))        {return true;} else        //nn = comm</t>
  </si>
  <si>
    <t>PC Key Code</t>
  </si>
  <si>
    <t>CM_NORMAL</t>
  </si>
  <si>
    <t>Calculator Mode</t>
  </si>
  <si>
    <t>Function to run</t>
  </si>
  <si>
    <t>Exit If NIM</t>
  </si>
  <si>
    <t>ExitIfNim</t>
  </si>
  <si>
    <t>ITM_1ONX</t>
  </si>
  <si>
    <t>ITM_SQUAREROOTX</t>
  </si>
  <si>
    <t>C47</t>
  </si>
  <si>
    <t>Calculator</t>
  </si>
  <si>
    <t>PC Keyboard codes:</t>
  </si>
  <si>
    <t>https://docs.oracle.com/cd/E67482_01/oscar/pdf/45/OnlineHelp_45/helpOnPS2keyCodes.html</t>
  </si>
  <si>
    <t>ITM_SIGMAPLUS</t>
  </si>
  <si>
    <t>ITM_cos</t>
  </si>
  <si>
    <t>ITM_LN</t>
  </si>
  <si>
    <t>ITM_LOG10</t>
  </si>
  <si>
    <t>ITM_SQUARE</t>
  </si>
  <si>
    <t>ITM_sin</t>
  </si>
  <si>
    <t>ITM_tan</t>
  </si>
  <si>
    <t>ITM_XexY</t>
  </si>
  <si>
    <t>ITM_XEQ</t>
  </si>
  <si>
    <t>ITM_YX</t>
  </si>
  <si>
    <t>[=]&gt;D,R,G</t>
  </si>
  <si>
    <t>[a]ccumulate</t>
  </si>
  <si>
    <t>[c]osine</t>
  </si>
  <si>
    <t>[l]n</t>
  </si>
  <si>
    <t>l[o]g</t>
  </si>
  <si>
    <t>s[q]rt</t>
  </si>
  <si>
    <t>[s]ine</t>
  </si>
  <si>
    <t>[t]angent</t>
  </si>
  <si>
    <t>in[v]erse</t>
  </si>
  <si>
    <t>s[w]ap</t>
  </si>
  <si>
    <t>[x]eq</t>
  </si>
  <si>
    <t>[y]^x</t>
  </si>
  <si>
    <t>=</t>
  </si>
  <si>
    <t>a</t>
  </si>
  <si>
    <t>c</t>
  </si>
  <si>
    <t>l</t>
  </si>
  <si>
    <t>o</t>
  </si>
  <si>
    <t>p</t>
  </si>
  <si>
    <t>q</t>
  </si>
  <si>
    <t>s</t>
  </si>
  <si>
    <t>t</t>
  </si>
  <si>
    <t>v</t>
  </si>
  <si>
    <t>w</t>
  </si>
  <si>
    <t>x</t>
  </si>
  <si>
    <t>y</t>
  </si>
  <si>
    <t>R47</t>
  </si>
  <si>
    <t>ITM_arccos</t>
  </si>
  <si>
    <t>ITM_arcsin</t>
  </si>
  <si>
    <t>ITM_arctan</t>
  </si>
  <si>
    <t>arc[C]osine</t>
  </si>
  <si>
    <t>arc[S]ine</t>
  </si>
  <si>
    <t>arc[T]angent</t>
  </si>
  <si>
    <t>C</t>
  </si>
  <si>
    <t>S</t>
  </si>
  <si>
    <t>T</t>
  </si>
  <si>
    <t>L</t>
  </si>
  <si>
    <t>ITM_EXP</t>
  </si>
  <si>
    <t>O</t>
  </si>
  <si>
    <t>ITM_10x</t>
  </si>
  <si>
    <t>anti[L]n e^x</t>
  </si>
  <si>
    <t>antil(O)g 10^x</t>
  </si>
  <si>
    <t>P</t>
  </si>
  <si>
    <t>Q</t>
  </si>
  <si>
    <t>sqrt (inverse [P]ower)</t>
  </si>
  <si>
    <r>
      <t>[p]ower</t>
    </r>
    <r>
      <rPr>
        <sz val="12"/>
        <color rgb="FFFF0000"/>
        <rFont val="Calibri (Body)"/>
      </rPr>
      <t xml:space="preserve"> (Square)</t>
    </r>
  </si>
  <si>
    <r>
      <t>power</t>
    </r>
    <r>
      <rPr>
        <sz val="12"/>
        <color rgb="FFFF0000"/>
        <rFont val="Calibri (Body)"/>
      </rPr>
      <t xml:space="preserve"> (s[Q]uare)</t>
    </r>
  </si>
  <si>
    <t>Y</t>
  </si>
  <si>
    <t>ITM_XTHROOT</t>
  </si>
  <si>
    <t>xth root of [Y]</t>
  </si>
  <si>
    <t>X</t>
  </si>
  <si>
    <t>comple[X]</t>
  </si>
  <si>
    <t>r</t>
  </si>
  <si>
    <t>ITM_toREC2</t>
  </si>
  <si>
    <t>-&gt;[r]ect</t>
  </si>
  <si>
    <t>R</t>
  </si>
  <si>
    <t>ITM_toPOL2</t>
  </si>
  <si>
    <t>-&gt;pola[R]</t>
  </si>
  <si>
    <t>M</t>
  </si>
  <si>
    <t>-MNU_MODE</t>
  </si>
  <si>
    <t>[M]ODE</t>
  </si>
  <si>
    <t>D</t>
  </si>
  <si>
    <t>-MNU_DISP</t>
  </si>
  <si>
    <t>[D]ISP</t>
  </si>
  <si>
    <t>-MNU_STK</t>
  </si>
  <si>
    <t>m</t>
  </si>
  <si>
    <t>-MNU_TRG_C47</t>
  </si>
  <si>
    <t>TRG</t>
  </si>
  <si>
    <t>n</t>
  </si>
  <si>
    <t>ITM_CHS</t>
  </si>
  <si>
    <t>CHS [n]egative</t>
  </si>
  <si>
    <t>d</t>
  </si>
  <si>
    <t>EXP</t>
  </si>
  <si>
    <t>-MNU_EXP</t>
  </si>
  <si>
    <t>k</t>
  </si>
  <si>
    <t>ST[k]</t>
  </si>
  <si>
    <t>KEY_COMPLEX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</si>
</sst>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Menlo Regular"/>
    </font>
    <font>
      <sz val="8"/>
      <color theme="5"/>
      <name val="Menlo Regula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37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0" borderId="0" xfId="437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</cellXfs>
  <cellStyles count="437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4" builtinId="9" hidden="1"/>
    <cellStyle name="Followed Hyperlink" xfId="3036" builtinId="9" hidden="1"/>
    <cellStyle name="Followed Hyperlink" xfId="3038" builtinId="9" hidden="1"/>
    <cellStyle name="Followed Hyperlink" xfId="3040" builtinId="9" hidden="1"/>
    <cellStyle name="Followed Hyperlink" xfId="3042" builtinId="9" hidden="1"/>
    <cellStyle name="Followed Hyperlink" xfId="3044" builtinId="9" hidden="1"/>
    <cellStyle name="Followed Hyperlink" xfId="3046" builtinId="9" hidden="1"/>
    <cellStyle name="Followed Hyperlink" xfId="3048" builtinId="9" hidden="1"/>
    <cellStyle name="Followed Hyperlink" xfId="3050" builtinId="9" hidden="1"/>
    <cellStyle name="Followed Hyperlink" xfId="3052" builtinId="9" hidden="1"/>
    <cellStyle name="Followed Hyperlink" xfId="3054" builtinId="9" hidden="1"/>
    <cellStyle name="Followed Hyperlink" xfId="3056" builtinId="9" hidden="1"/>
    <cellStyle name="Followed Hyperlink" xfId="3058" builtinId="9" hidden="1"/>
    <cellStyle name="Followed Hyperlink" xfId="3060" builtinId="9" hidden="1"/>
    <cellStyle name="Followed Hyperlink" xfId="3062" builtinId="9" hidden="1"/>
    <cellStyle name="Followed Hyperlink" xfId="3064" builtinId="9" hidden="1"/>
    <cellStyle name="Followed Hyperlink" xfId="3066" builtinId="9" hidden="1"/>
    <cellStyle name="Followed Hyperlink" xfId="3068" builtinId="9" hidden="1"/>
    <cellStyle name="Followed Hyperlink" xfId="3070" builtinId="9" hidden="1"/>
    <cellStyle name="Followed Hyperlink" xfId="3072" builtinId="9" hidden="1"/>
    <cellStyle name="Followed Hyperlink" xfId="3074" builtinId="9" hidden="1"/>
    <cellStyle name="Followed Hyperlink" xfId="3076" builtinId="9" hidden="1"/>
    <cellStyle name="Followed Hyperlink" xfId="3078" builtinId="9" hidden="1"/>
    <cellStyle name="Followed Hyperlink" xfId="3080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2" builtinId="9" hidden="1"/>
    <cellStyle name="Followed Hyperlink" xfId="3094" builtinId="9" hidden="1"/>
    <cellStyle name="Followed Hyperlink" xfId="3096" builtinId="9" hidden="1"/>
    <cellStyle name="Followed Hyperlink" xfId="3098" builtinId="9" hidden="1"/>
    <cellStyle name="Followed Hyperlink" xfId="3100" builtinId="9" hidden="1"/>
    <cellStyle name="Followed Hyperlink" xfId="3102" builtinId="9" hidden="1"/>
    <cellStyle name="Followed Hyperlink" xfId="3104" builtinId="9" hidden="1"/>
    <cellStyle name="Followed Hyperlink" xfId="3106" builtinId="9" hidden="1"/>
    <cellStyle name="Followed Hyperlink" xfId="3108" builtinId="9" hidden="1"/>
    <cellStyle name="Followed Hyperlink" xfId="3110" builtinId="9" hidden="1"/>
    <cellStyle name="Followed Hyperlink" xfId="3112" builtinId="9" hidden="1"/>
    <cellStyle name="Followed Hyperlink" xfId="3114" builtinId="9" hidden="1"/>
    <cellStyle name="Followed Hyperlink" xfId="3116" builtinId="9" hidden="1"/>
    <cellStyle name="Followed Hyperlink" xfId="3118" builtinId="9" hidden="1"/>
    <cellStyle name="Followed Hyperlink" xfId="3120" builtinId="9" hidden="1"/>
    <cellStyle name="Followed Hyperlink" xfId="3122" builtinId="9" hidden="1"/>
    <cellStyle name="Followed Hyperlink" xfId="3124" builtinId="9" hidden="1"/>
    <cellStyle name="Followed Hyperlink" xfId="3126" builtinId="9" hidden="1"/>
    <cellStyle name="Followed Hyperlink" xfId="3128" builtinId="9" hidden="1"/>
    <cellStyle name="Followed Hyperlink" xfId="3130" builtinId="9" hidden="1"/>
    <cellStyle name="Followed Hyperlink" xfId="3132" builtinId="9" hidden="1"/>
    <cellStyle name="Followed Hyperlink" xfId="3134" builtinId="9" hidden="1"/>
    <cellStyle name="Followed Hyperlink" xfId="3136" builtinId="9" hidden="1"/>
    <cellStyle name="Followed Hyperlink" xfId="3138" builtinId="9" hidden="1"/>
    <cellStyle name="Followed Hyperlink" xfId="3140" builtinId="9" hidden="1"/>
    <cellStyle name="Followed Hyperlink" xfId="3142" builtinId="9" hidden="1"/>
    <cellStyle name="Followed Hyperlink" xfId="3144" builtinId="9" hidden="1"/>
    <cellStyle name="Followed Hyperlink" xfId="3146" builtinId="9" hidden="1"/>
    <cellStyle name="Followed Hyperlink" xfId="3148" builtinId="9" hidden="1"/>
    <cellStyle name="Followed Hyperlink" xfId="3150" builtinId="9" hidden="1"/>
    <cellStyle name="Followed Hyperlink" xfId="3152" builtinId="9" hidden="1"/>
    <cellStyle name="Followed Hyperlink" xfId="3154" builtinId="9" hidden="1"/>
    <cellStyle name="Followed Hyperlink" xfId="3156" builtinId="9" hidden="1"/>
    <cellStyle name="Followed Hyperlink" xfId="3158" builtinId="9" hidden="1"/>
    <cellStyle name="Followed Hyperlink" xfId="3160" builtinId="9" hidden="1"/>
    <cellStyle name="Followed Hyperlink" xfId="3162" builtinId="9" hidden="1"/>
    <cellStyle name="Followed Hyperlink" xfId="3164" builtinId="9" hidden="1"/>
    <cellStyle name="Followed Hyperlink" xfId="3166" builtinId="9" hidden="1"/>
    <cellStyle name="Followed Hyperlink" xfId="3168" builtinId="9" hidden="1"/>
    <cellStyle name="Followed Hyperlink" xfId="3170" builtinId="9" hidden="1"/>
    <cellStyle name="Followed Hyperlink" xfId="3172" builtinId="9" hidden="1"/>
    <cellStyle name="Followed Hyperlink" xfId="3174" builtinId="9" hidden="1"/>
    <cellStyle name="Followed Hyperlink" xfId="3176" builtinId="9" hidden="1"/>
    <cellStyle name="Followed Hyperlink" xfId="3178" builtinId="9" hidden="1"/>
    <cellStyle name="Followed Hyperlink" xfId="3180" builtinId="9" hidden="1"/>
    <cellStyle name="Followed Hyperlink" xfId="3182" builtinId="9" hidden="1"/>
    <cellStyle name="Followed Hyperlink" xfId="3184" builtinId="9" hidden="1"/>
    <cellStyle name="Followed Hyperlink" xfId="3186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198" builtinId="9" hidden="1"/>
    <cellStyle name="Followed Hyperlink" xfId="3200" builtinId="9" hidden="1"/>
    <cellStyle name="Followed Hyperlink" xfId="3202" builtinId="9" hidden="1"/>
    <cellStyle name="Followed Hyperlink" xfId="3204" builtinId="9" hidden="1"/>
    <cellStyle name="Followed Hyperlink" xfId="3206" builtinId="9" hidden="1"/>
    <cellStyle name="Followed Hyperlink" xfId="3208" builtinId="9" hidden="1"/>
    <cellStyle name="Followed Hyperlink" xfId="3210" builtinId="9" hidden="1"/>
    <cellStyle name="Followed Hyperlink" xfId="3212" builtinId="9" hidden="1"/>
    <cellStyle name="Followed Hyperlink" xfId="3214" builtinId="9" hidden="1"/>
    <cellStyle name="Followed Hyperlink" xfId="3216" builtinId="9" hidden="1"/>
    <cellStyle name="Followed Hyperlink" xfId="3218" builtinId="9" hidden="1"/>
    <cellStyle name="Followed Hyperlink" xfId="3220" builtinId="9" hidden="1"/>
    <cellStyle name="Followed Hyperlink" xfId="3222" builtinId="9" hidden="1"/>
    <cellStyle name="Followed Hyperlink" xfId="3224" builtinId="9" hidden="1"/>
    <cellStyle name="Followed Hyperlink" xfId="3226" builtinId="9" hidden="1"/>
    <cellStyle name="Followed Hyperlink" xfId="3228" builtinId="9" hidden="1"/>
    <cellStyle name="Followed Hyperlink" xfId="3230" builtinId="9" hidden="1"/>
    <cellStyle name="Followed Hyperlink" xfId="3232" builtinId="9" hidden="1"/>
    <cellStyle name="Followed Hyperlink" xfId="3234" builtinId="9" hidden="1"/>
    <cellStyle name="Followed Hyperlink" xfId="3236" builtinId="9" hidden="1"/>
    <cellStyle name="Followed Hyperlink" xfId="3238" builtinId="9" hidden="1"/>
    <cellStyle name="Followed Hyperlink" xfId="3240" builtinId="9" hidden="1"/>
    <cellStyle name="Followed Hyperlink" xfId="3242" builtinId="9" hidden="1"/>
    <cellStyle name="Followed Hyperlink" xfId="3244" builtinId="9" hidden="1"/>
    <cellStyle name="Followed Hyperlink" xfId="3246" builtinId="9" hidden="1"/>
    <cellStyle name="Followed Hyperlink" xfId="3248" builtinId="9" hidden="1"/>
    <cellStyle name="Followed Hyperlink" xfId="3250" builtinId="9" hidden="1"/>
    <cellStyle name="Followed Hyperlink" xfId="3252" builtinId="9" hidden="1"/>
    <cellStyle name="Followed Hyperlink" xfId="3254" builtinId="9" hidden="1"/>
    <cellStyle name="Followed Hyperlink" xfId="3256" builtinId="9" hidden="1"/>
    <cellStyle name="Followed Hyperlink" xfId="3258" builtinId="9" hidden="1"/>
    <cellStyle name="Followed Hyperlink" xfId="3260" builtinId="9" hidden="1"/>
    <cellStyle name="Followed Hyperlink" xfId="3262" builtinId="9" hidden="1"/>
    <cellStyle name="Followed Hyperlink" xfId="3264" builtinId="9" hidden="1"/>
    <cellStyle name="Followed Hyperlink" xfId="3266" builtinId="9" hidden="1"/>
    <cellStyle name="Followed Hyperlink" xfId="3268" builtinId="9" hidden="1"/>
    <cellStyle name="Followed Hyperlink" xfId="3270" builtinId="9" hidden="1"/>
    <cellStyle name="Followed Hyperlink" xfId="3272" builtinId="9" hidden="1"/>
    <cellStyle name="Followed Hyperlink" xfId="3274" builtinId="9" hidden="1"/>
    <cellStyle name="Followed Hyperlink" xfId="3276" builtinId="9" hidden="1"/>
    <cellStyle name="Followed Hyperlink" xfId="3278" builtinId="9" hidden="1"/>
    <cellStyle name="Followed Hyperlink" xfId="3280" builtinId="9" hidden="1"/>
    <cellStyle name="Followed Hyperlink" xfId="3282" builtinId="9" hidden="1"/>
    <cellStyle name="Followed Hyperlink" xfId="3284" builtinId="9" hidden="1"/>
    <cellStyle name="Followed Hyperlink" xfId="3286" builtinId="9" hidden="1"/>
    <cellStyle name="Followed Hyperlink" xfId="3288" builtinId="9" hidden="1"/>
    <cellStyle name="Followed Hyperlink" xfId="3290" builtinId="9" hidden="1"/>
    <cellStyle name="Followed Hyperlink" xfId="3292" builtinId="9" hidden="1"/>
    <cellStyle name="Followed Hyperlink" xfId="3294" builtinId="9" hidden="1"/>
    <cellStyle name="Followed Hyperlink" xfId="3296" builtinId="9" hidden="1"/>
    <cellStyle name="Followed Hyperlink" xfId="3298" builtinId="9" hidden="1"/>
    <cellStyle name="Followed Hyperlink" xfId="3300" builtinId="9" hidden="1"/>
    <cellStyle name="Followed Hyperlink" xfId="3302" builtinId="9" hidden="1"/>
    <cellStyle name="Followed Hyperlink" xfId="3304" builtinId="9" hidden="1"/>
    <cellStyle name="Followed Hyperlink" xfId="3306" builtinId="9" hidden="1"/>
    <cellStyle name="Followed Hyperlink" xfId="3308" builtinId="9" hidden="1"/>
    <cellStyle name="Followed Hyperlink" xfId="3310" builtinId="9" hidden="1"/>
    <cellStyle name="Followed Hyperlink" xfId="3312" builtinId="9" hidden="1"/>
    <cellStyle name="Followed Hyperlink" xfId="3314" builtinId="9" hidden="1"/>
    <cellStyle name="Followed Hyperlink" xfId="3316" builtinId="9" hidden="1"/>
    <cellStyle name="Followed Hyperlink" xfId="3318" builtinId="9" hidden="1"/>
    <cellStyle name="Followed Hyperlink" xfId="3320" builtinId="9" hidden="1"/>
    <cellStyle name="Followed Hyperlink" xfId="3322" builtinId="9" hidden="1"/>
    <cellStyle name="Followed Hyperlink" xfId="3324" builtinId="9" hidden="1"/>
    <cellStyle name="Followed Hyperlink" xfId="3326" builtinId="9" hidden="1"/>
    <cellStyle name="Followed Hyperlink" xfId="3328" builtinId="9" hidden="1"/>
    <cellStyle name="Followed Hyperlink" xfId="3330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6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72" builtinId="9" hidden="1"/>
    <cellStyle name="Followed Hyperlink" xfId="3374" builtinId="9" hidden="1"/>
    <cellStyle name="Followed Hyperlink" xfId="3376" builtinId="9" hidden="1"/>
    <cellStyle name="Followed Hyperlink" xfId="3378" builtinId="9" hidden="1"/>
    <cellStyle name="Followed Hyperlink" xfId="3380" builtinId="9" hidden="1"/>
    <cellStyle name="Followed Hyperlink" xfId="3382" builtinId="9" hidden="1"/>
    <cellStyle name="Followed Hyperlink" xfId="3384" builtinId="9" hidden="1"/>
    <cellStyle name="Followed Hyperlink" xfId="3386" builtinId="9" hidden="1"/>
    <cellStyle name="Followed Hyperlink" xfId="3388" builtinId="9" hidden="1"/>
    <cellStyle name="Followed Hyperlink" xfId="3390" builtinId="9" hidden="1"/>
    <cellStyle name="Followed Hyperlink" xfId="3392" builtinId="9" hidden="1"/>
    <cellStyle name="Followed Hyperlink" xfId="3394" builtinId="9" hidden="1"/>
    <cellStyle name="Followed Hyperlink" xfId="3396" builtinId="9" hidden="1"/>
    <cellStyle name="Followed Hyperlink" xfId="3398" builtinId="9" hidden="1"/>
    <cellStyle name="Followed Hyperlink" xfId="3400" builtinId="9" hidden="1"/>
    <cellStyle name="Followed Hyperlink" xfId="3402" builtinId="9" hidden="1"/>
    <cellStyle name="Followed Hyperlink" xfId="3404" builtinId="9" hidden="1"/>
    <cellStyle name="Followed Hyperlink" xfId="3406" builtinId="9" hidden="1"/>
    <cellStyle name="Followed Hyperlink" xfId="3408" builtinId="9" hidden="1"/>
    <cellStyle name="Followed Hyperlink" xfId="3410" builtinId="9" hidden="1"/>
    <cellStyle name="Followed Hyperlink" xfId="3412" builtinId="9" hidden="1"/>
    <cellStyle name="Followed Hyperlink" xfId="3414" builtinId="9" hidden="1"/>
    <cellStyle name="Followed Hyperlink" xfId="3416" builtinId="9" hidden="1"/>
    <cellStyle name="Followed Hyperlink" xfId="3418" builtinId="9" hidden="1"/>
    <cellStyle name="Followed Hyperlink" xfId="3420" builtinId="9" hidden="1"/>
    <cellStyle name="Followed Hyperlink" xfId="3422" builtinId="9" hidden="1"/>
    <cellStyle name="Followed Hyperlink" xfId="3424" builtinId="9" hidden="1"/>
    <cellStyle name="Followed Hyperlink" xfId="3426" builtinId="9" hidden="1"/>
    <cellStyle name="Followed Hyperlink" xfId="3428" builtinId="9" hidden="1"/>
    <cellStyle name="Followed Hyperlink" xfId="3430" builtinId="9" hidden="1"/>
    <cellStyle name="Followed Hyperlink" xfId="3432" builtinId="9" hidden="1"/>
    <cellStyle name="Followed Hyperlink" xfId="3434" builtinId="9" hidden="1"/>
    <cellStyle name="Followed Hyperlink" xfId="3436" builtinId="9" hidden="1"/>
    <cellStyle name="Followed Hyperlink" xfId="3438" builtinId="9" hidden="1"/>
    <cellStyle name="Followed Hyperlink" xfId="3440" builtinId="9" hidden="1"/>
    <cellStyle name="Followed Hyperlink" xfId="3442" builtinId="9" hidden="1"/>
    <cellStyle name="Followed Hyperlink" xfId="3444" builtinId="9" hidden="1"/>
    <cellStyle name="Followed Hyperlink" xfId="3446" builtinId="9" hidden="1"/>
    <cellStyle name="Followed Hyperlink" xfId="3448" builtinId="9" hidden="1"/>
    <cellStyle name="Followed Hyperlink" xfId="3450" builtinId="9" hidden="1"/>
    <cellStyle name="Followed Hyperlink" xfId="3452" builtinId="9" hidden="1"/>
    <cellStyle name="Followed Hyperlink" xfId="3454" builtinId="9" hidden="1"/>
    <cellStyle name="Followed Hyperlink" xfId="3456" builtinId="9" hidden="1"/>
    <cellStyle name="Followed Hyperlink" xfId="3458" builtinId="9" hidden="1"/>
    <cellStyle name="Followed Hyperlink" xfId="3460" builtinId="9" hidden="1"/>
    <cellStyle name="Followed Hyperlink" xfId="3462" builtinId="9" hidden="1"/>
    <cellStyle name="Followed Hyperlink" xfId="3464" builtinId="9" hidden="1"/>
    <cellStyle name="Followed Hyperlink" xfId="3466" builtinId="9" hidden="1"/>
    <cellStyle name="Followed Hyperlink" xfId="3468" builtinId="9" hidden="1"/>
    <cellStyle name="Followed Hyperlink" xfId="3470" builtinId="9" hidden="1"/>
    <cellStyle name="Followed Hyperlink" xfId="3472" builtinId="9" hidden="1"/>
    <cellStyle name="Followed Hyperlink" xfId="3474" builtinId="9" hidden="1"/>
    <cellStyle name="Followed Hyperlink" xfId="3476" builtinId="9" hidden="1"/>
    <cellStyle name="Followed Hyperlink" xfId="3478" builtinId="9" hidden="1"/>
    <cellStyle name="Followed Hyperlink" xfId="3480" builtinId="9" hidden="1"/>
    <cellStyle name="Followed Hyperlink" xfId="3482" builtinId="9" hidden="1"/>
    <cellStyle name="Followed Hyperlink" xfId="3484" builtinId="9" hidden="1"/>
    <cellStyle name="Followed Hyperlink" xfId="3486" builtinId="9" hidden="1"/>
    <cellStyle name="Followed Hyperlink" xfId="3488" builtinId="9" hidden="1"/>
    <cellStyle name="Followed Hyperlink" xfId="3490" builtinId="9" hidden="1"/>
    <cellStyle name="Followed Hyperlink" xfId="3492" builtinId="9" hidden="1"/>
    <cellStyle name="Followed Hyperlink" xfId="3494" builtinId="9" hidden="1"/>
    <cellStyle name="Followed Hyperlink" xfId="3496" builtinId="9" hidden="1"/>
    <cellStyle name="Followed Hyperlink" xfId="3498" builtinId="9" hidden="1"/>
    <cellStyle name="Followed Hyperlink" xfId="3500" builtinId="9" hidden="1"/>
    <cellStyle name="Followed Hyperlink" xfId="3502" builtinId="9" hidden="1"/>
    <cellStyle name="Followed Hyperlink" xfId="3504" builtinId="9" hidden="1"/>
    <cellStyle name="Followed Hyperlink" xfId="3506" builtinId="9" hidden="1"/>
    <cellStyle name="Followed Hyperlink" xfId="3508" builtinId="9" hidden="1"/>
    <cellStyle name="Followed Hyperlink" xfId="3510" builtinId="9" hidden="1"/>
    <cellStyle name="Followed Hyperlink" xfId="3512" builtinId="9" hidden="1"/>
    <cellStyle name="Followed Hyperlink" xfId="3514" builtinId="9" hidden="1"/>
    <cellStyle name="Followed Hyperlink" xfId="3516" builtinId="9" hidden="1"/>
    <cellStyle name="Followed Hyperlink" xfId="3518" builtinId="9" hidden="1"/>
    <cellStyle name="Followed Hyperlink" xfId="3520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Followed Hyperlink" xfId="3748" builtinId="9" hidden="1"/>
    <cellStyle name="Followed Hyperlink" xfId="3750" builtinId="9" hidden="1"/>
    <cellStyle name="Followed Hyperlink" xfId="3752" builtinId="9" hidden="1"/>
    <cellStyle name="Followed Hyperlink" xfId="3754" builtinId="9" hidden="1"/>
    <cellStyle name="Followed Hyperlink" xfId="3756" builtinId="9" hidden="1"/>
    <cellStyle name="Followed Hyperlink" xfId="3758" builtinId="9" hidden="1"/>
    <cellStyle name="Followed Hyperlink" xfId="3760" builtinId="9" hidden="1"/>
    <cellStyle name="Followed Hyperlink" xfId="3762" builtinId="9" hidden="1"/>
    <cellStyle name="Followed Hyperlink" xfId="3764" builtinId="9" hidden="1"/>
    <cellStyle name="Followed Hyperlink" xfId="3766" builtinId="9" hidden="1"/>
    <cellStyle name="Followed Hyperlink" xfId="3768" builtinId="9" hidden="1"/>
    <cellStyle name="Followed Hyperlink" xfId="3770" builtinId="9" hidden="1"/>
    <cellStyle name="Followed Hyperlink" xfId="3772" builtinId="9" hidden="1"/>
    <cellStyle name="Followed Hyperlink" xfId="3774" builtinId="9" hidden="1"/>
    <cellStyle name="Followed Hyperlink" xfId="3776" builtinId="9" hidden="1"/>
    <cellStyle name="Followed Hyperlink" xfId="3778" builtinId="9" hidden="1"/>
    <cellStyle name="Followed Hyperlink" xfId="3780" builtinId="9" hidden="1"/>
    <cellStyle name="Followed Hyperlink" xfId="3782" builtinId="9" hidden="1"/>
    <cellStyle name="Followed Hyperlink" xfId="3784" builtinId="9" hidden="1"/>
    <cellStyle name="Followed Hyperlink" xfId="3786" builtinId="9" hidden="1"/>
    <cellStyle name="Followed Hyperlink" xfId="3788" builtinId="9" hidden="1"/>
    <cellStyle name="Followed Hyperlink" xfId="3790" builtinId="9" hidden="1"/>
    <cellStyle name="Followed Hyperlink" xfId="3792" builtinId="9" hidden="1"/>
    <cellStyle name="Followed Hyperlink" xfId="3794" builtinId="9" hidden="1"/>
    <cellStyle name="Followed Hyperlink" xfId="3796" builtinId="9" hidden="1"/>
    <cellStyle name="Followed Hyperlink" xfId="3798" builtinId="9" hidden="1"/>
    <cellStyle name="Followed Hyperlink" xfId="3800" builtinId="9" hidden="1"/>
    <cellStyle name="Followed Hyperlink" xfId="3802" builtinId="9" hidden="1"/>
    <cellStyle name="Followed Hyperlink" xfId="3804" builtinId="9" hidden="1"/>
    <cellStyle name="Followed Hyperlink" xfId="3806" builtinId="9" hidden="1"/>
    <cellStyle name="Followed Hyperlink" xfId="3808" builtinId="9" hidden="1"/>
    <cellStyle name="Followed Hyperlink" xfId="3810" builtinId="9" hidden="1"/>
    <cellStyle name="Followed Hyperlink" xfId="3812" builtinId="9" hidden="1"/>
    <cellStyle name="Followed Hyperlink" xfId="3814" builtinId="9" hidden="1"/>
    <cellStyle name="Followed Hyperlink" xfId="3816" builtinId="9" hidden="1"/>
    <cellStyle name="Followed Hyperlink" xfId="3818" builtinId="9" hidden="1"/>
    <cellStyle name="Followed Hyperlink" xfId="3820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862" builtinId="9" hidden="1"/>
    <cellStyle name="Followed Hyperlink" xfId="3864" builtinId="9" hidden="1"/>
    <cellStyle name="Followed Hyperlink" xfId="3866" builtinId="9" hidden="1"/>
    <cellStyle name="Followed Hyperlink" xfId="3868" builtinId="9" hidden="1"/>
    <cellStyle name="Followed Hyperlink" xfId="3870" builtinId="9" hidden="1"/>
    <cellStyle name="Followed Hyperlink" xfId="3872" builtinId="9" hidden="1"/>
    <cellStyle name="Followed Hyperlink" xfId="3874" builtinId="9" hidden="1"/>
    <cellStyle name="Followed Hyperlink" xfId="3876" builtinId="9" hidden="1"/>
    <cellStyle name="Followed Hyperlink" xfId="3878" builtinId="9" hidden="1"/>
    <cellStyle name="Followed Hyperlink" xfId="3880" builtinId="9" hidden="1"/>
    <cellStyle name="Followed Hyperlink" xfId="3882" builtinId="9" hidden="1"/>
    <cellStyle name="Followed Hyperlink" xfId="3884" builtinId="9" hidden="1"/>
    <cellStyle name="Followed Hyperlink" xfId="3886" builtinId="9" hidden="1"/>
    <cellStyle name="Followed Hyperlink" xfId="3888" builtinId="9" hidden="1"/>
    <cellStyle name="Followed Hyperlink" xfId="3890" builtinId="9" hidden="1"/>
    <cellStyle name="Followed Hyperlink" xfId="3892" builtinId="9" hidden="1"/>
    <cellStyle name="Followed Hyperlink" xfId="3894" builtinId="9" hidden="1"/>
    <cellStyle name="Followed Hyperlink" xfId="3896" builtinId="9" hidden="1"/>
    <cellStyle name="Followed Hyperlink" xfId="3898" builtinId="9" hidden="1"/>
    <cellStyle name="Followed Hyperlink" xfId="3900" builtinId="9" hidden="1"/>
    <cellStyle name="Followed Hyperlink" xfId="3902" builtinId="9" hidden="1"/>
    <cellStyle name="Followed Hyperlink" xfId="3904" builtinId="9" hidden="1"/>
    <cellStyle name="Followed Hyperlink" xfId="3906" builtinId="9" hidden="1"/>
    <cellStyle name="Followed Hyperlink" xfId="3908" builtinId="9" hidden="1"/>
    <cellStyle name="Followed Hyperlink" xfId="3910" builtinId="9" hidden="1"/>
    <cellStyle name="Followed Hyperlink" xfId="3912" builtinId="9" hidden="1"/>
    <cellStyle name="Followed Hyperlink" xfId="3914" builtinId="9" hidden="1"/>
    <cellStyle name="Followed Hyperlink" xfId="3916" builtinId="9" hidden="1"/>
    <cellStyle name="Followed Hyperlink" xfId="3918" builtinId="9" hidden="1"/>
    <cellStyle name="Followed Hyperlink" xfId="3920" builtinId="9" hidden="1"/>
    <cellStyle name="Followed Hyperlink" xfId="3922" builtinId="9" hidden="1"/>
    <cellStyle name="Followed Hyperlink" xfId="3924" builtinId="9" hidden="1"/>
    <cellStyle name="Followed Hyperlink" xfId="3926" builtinId="9" hidden="1"/>
    <cellStyle name="Followed Hyperlink" xfId="3928" builtinId="9" hidden="1"/>
    <cellStyle name="Followed Hyperlink" xfId="3930" builtinId="9" hidden="1"/>
    <cellStyle name="Followed Hyperlink" xfId="3932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52" builtinId="9" hidden="1"/>
    <cellStyle name="Followed Hyperlink" xfId="3954" builtinId="9" hidden="1"/>
    <cellStyle name="Followed Hyperlink" xfId="3956" builtinId="9" hidden="1"/>
    <cellStyle name="Followed Hyperlink" xfId="3958" builtinId="9" hidden="1"/>
    <cellStyle name="Followed Hyperlink" xfId="3960" builtinId="9" hidden="1"/>
    <cellStyle name="Followed Hyperlink" xfId="3962" builtinId="9" hidden="1"/>
    <cellStyle name="Followed Hyperlink" xfId="3964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06" builtinId="9" hidden="1"/>
    <cellStyle name="Followed Hyperlink" xfId="4008" builtinId="9" hidden="1"/>
    <cellStyle name="Followed Hyperlink" xfId="4010" builtinId="9" hidden="1"/>
    <cellStyle name="Followed Hyperlink" xfId="4012" builtinId="9" hidden="1"/>
    <cellStyle name="Followed Hyperlink" xfId="4014" builtinId="9" hidden="1"/>
    <cellStyle name="Followed Hyperlink" xfId="4016" builtinId="9" hidden="1"/>
    <cellStyle name="Followed Hyperlink" xfId="4018" builtinId="9" hidden="1"/>
    <cellStyle name="Followed Hyperlink" xfId="4020" builtinId="9" hidden="1"/>
    <cellStyle name="Followed Hyperlink" xfId="4022" builtinId="9" hidden="1"/>
    <cellStyle name="Followed Hyperlink" xfId="4024" builtinId="9" hidden="1"/>
    <cellStyle name="Followed Hyperlink" xfId="4026" builtinId="9" hidden="1"/>
    <cellStyle name="Followed Hyperlink" xfId="4028" builtinId="9" hidden="1"/>
    <cellStyle name="Followed Hyperlink" xfId="4030" builtinId="9" hidden="1"/>
    <cellStyle name="Followed Hyperlink" xfId="4032" builtinId="9" hidden="1"/>
    <cellStyle name="Followed Hyperlink" xfId="4034" builtinId="9" hidden="1"/>
    <cellStyle name="Followed Hyperlink" xfId="4036" builtinId="9" hidden="1"/>
    <cellStyle name="Followed Hyperlink" xfId="4038" builtinId="9" hidden="1"/>
    <cellStyle name="Followed Hyperlink" xfId="4040" builtinId="9" hidden="1"/>
    <cellStyle name="Followed Hyperlink" xfId="4042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26" builtinId="9" hidden="1"/>
    <cellStyle name="Followed Hyperlink" xfId="4128" builtinId="9" hidden="1"/>
    <cellStyle name="Followed Hyperlink" xfId="4130" builtinId="9" hidden="1"/>
    <cellStyle name="Followed Hyperlink" xfId="4132" builtinId="9" hidden="1"/>
    <cellStyle name="Followed Hyperlink" xfId="4134" builtinId="9" hidden="1"/>
    <cellStyle name="Followed Hyperlink" xfId="4136" builtinId="9" hidden="1"/>
    <cellStyle name="Followed Hyperlink" xfId="4138" builtinId="9" hidden="1"/>
    <cellStyle name="Followed Hyperlink" xfId="4140" builtinId="9" hidden="1"/>
    <cellStyle name="Followed Hyperlink" xfId="4142" builtinId="9" hidden="1"/>
    <cellStyle name="Followed Hyperlink" xfId="4144" builtinId="9" hidden="1"/>
    <cellStyle name="Followed Hyperlink" xfId="4146" builtinId="9" hidden="1"/>
    <cellStyle name="Followed Hyperlink" xfId="4148" builtinId="9" hidden="1"/>
    <cellStyle name="Followed Hyperlink" xfId="4150" builtinId="9" hidden="1"/>
    <cellStyle name="Followed Hyperlink" xfId="4152" builtinId="9" hidden="1"/>
    <cellStyle name="Followed Hyperlink" xfId="4154" builtinId="9" hidden="1"/>
    <cellStyle name="Followed Hyperlink" xfId="4156" builtinId="9" hidden="1"/>
    <cellStyle name="Followed Hyperlink" xfId="4158" builtinId="9" hidden="1"/>
    <cellStyle name="Followed Hyperlink" xfId="4160" builtinId="9" hidden="1"/>
    <cellStyle name="Followed Hyperlink" xfId="4162" builtinId="9" hidden="1"/>
    <cellStyle name="Followed Hyperlink" xfId="4164" builtinId="9" hidden="1"/>
    <cellStyle name="Followed Hyperlink" xfId="4166" builtinId="9" hidden="1"/>
    <cellStyle name="Followed Hyperlink" xfId="4168" builtinId="9" hidden="1"/>
    <cellStyle name="Followed Hyperlink" xfId="4170" builtinId="9" hidden="1"/>
    <cellStyle name="Followed Hyperlink" xfId="4172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4" builtinId="9" hidden="1"/>
    <cellStyle name="Followed Hyperlink" xfId="4186" builtinId="9" hidden="1"/>
    <cellStyle name="Followed Hyperlink" xfId="4188" builtinId="9" hidden="1"/>
    <cellStyle name="Followed Hyperlink" xfId="4190" builtinId="9" hidden="1"/>
    <cellStyle name="Followed Hyperlink" xfId="4192" builtinId="9" hidden="1"/>
    <cellStyle name="Followed Hyperlink" xfId="4194" builtinId="9" hidden="1"/>
    <cellStyle name="Followed Hyperlink" xfId="4196" builtinId="9" hidden="1"/>
    <cellStyle name="Followed Hyperlink" xfId="4198" builtinId="9" hidden="1"/>
    <cellStyle name="Followed Hyperlink" xfId="4200" builtinId="9" hidden="1"/>
    <cellStyle name="Followed Hyperlink" xfId="4202" builtinId="9" hidden="1"/>
    <cellStyle name="Followed Hyperlink" xfId="4204" builtinId="9" hidden="1"/>
    <cellStyle name="Followed Hyperlink" xfId="4206" builtinId="9" hidden="1"/>
    <cellStyle name="Followed Hyperlink" xfId="4208" builtinId="9" hidden="1"/>
    <cellStyle name="Followed Hyperlink" xfId="4210" builtinId="9" hidden="1"/>
    <cellStyle name="Followed Hyperlink" xfId="4212" builtinId="9" hidden="1"/>
    <cellStyle name="Followed Hyperlink" xfId="4214" builtinId="9" hidden="1"/>
    <cellStyle name="Followed Hyperlink" xfId="4216" builtinId="9" hidden="1"/>
    <cellStyle name="Followed Hyperlink" xfId="4218" builtinId="9" hidden="1"/>
    <cellStyle name="Followed Hyperlink" xfId="4220" builtinId="9" hidden="1"/>
    <cellStyle name="Followed Hyperlink" xfId="4222" builtinId="9" hidden="1"/>
    <cellStyle name="Followed Hyperlink" xfId="4224" builtinId="9" hidden="1"/>
    <cellStyle name="Followed Hyperlink" xfId="4226" builtinId="9" hidden="1"/>
    <cellStyle name="Followed Hyperlink" xfId="4228" builtinId="9" hidden="1"/>
    <cellStyle name="Followed Hyperlink" xfId="4230" builtinId="9" hidden="1"/>
    <cellStyle name="Followed Hyperlink" xfId="4232" builtinId="9" hidden="1"/>
    <cellStyle name="Followed Hyperlink" xfId="4234" builtinId="9" hidden="1"/>
    <cellStyle name="Followed Hyperlink" xfId="4236" builtinId="9" hidden="1"/>
    <cellStyle name="Followed Hyperlink" xfId="4238" builtinId="9" hidden="1"/>
    <cellStyle name="Followed Hyperlink" xfId="4240" builtinId="9" hidden="1"/>
    <cellStyle name="Followed Hyperlink" xfId="4242" builtinId="9" hidden="1"/>
    <cellStyle name="Followed Hyperlink" xfId="4244" builtinId="9" hidden="1"/>
    <cellStyle name="Followed Hyperlink" xfId="4246" builtinId="9" hidden="1"/>
    <cellStyle name="Followed Hyperlink" xfId="4248" builtinId="9" hidden="1"/>
    <cellStyle name="Followed Hyperlink" xfId="4250" builtinId="9" hidden="1"/>
    <cellStyle name="Followed Hyperlink" xfId="4252" builtinId="9" hidden="1"/>
    <cellStyle name="Followed Hyperlink" xfId="4254" builtinId="9" hidden="1"/>
    <cellStyle name="Followed Hyperlink" xfId="4256" builtinId="9" hidden="1"/>
    <cellStyle name="Followed Hyperlink" xfId="4258" builtinId="9" hidden="1"/>
    <cellStyle name="Followed Hyperlink" xfId="4260" builtinId="9" hidden="1"/>
    <cellStyle name="Followed Hyperlink" xfId="4262" builtinId="9" hidden="1"/>
    <cellStyle name="Followed Hyperlink" xfId="4264" builtinId="9" hidden="1"/>
    <cellStyle name="Followed Hyperlink" xfId="4266" builtinId="9" hidden="1"/>
    <cellStyle name="Followed Hyperlink" xfId="4268" builtinId="9" hidden="1"/>
    <cellStyle name="Followed Hyperlink" xfId="4270" builtinId="9" hidden="1"/>
    <cellStyle name="Followed Hyperlink" xfId="4272" builtinId="9" hidden="1"/>
    <cellStyle name="Followed Hyperlink" xfId="4274" builtinId="9" hidden="1"/>
    <cellStyle name="Followed Hyperlink" xfId="4276" builtinId="9" hidden="1"/>
    <cellStyle name="Followed Hyperlink" xfId="4278" builtinId="9" hidden="1"/>
    <cellStyle name="Followed Hyperlink" xfId="4280" builtinId="9" hidden="1"/>
    <cellStyle name="Followed Hyperlink" xfId="4282" builtinId="9" hidden="1"/>
    <cellStyle name="Followed Hyperlink" xfId="4284" builtinId="9" hidden="1"/>
    <cellStyle name="Followed Hyperlink" xfId="4286" builtinId="9" hidden="1"/>
    <cellStyle name="Followed Hyperlink" xfId="4288" builtinId="9" hidden="1"/>
    <cellStyle name="Followed Hyperlink" xfId="4290" builtinId="9" hidden="1"/>
    <cellStyle name="Followed Hyperlink" xfId="4292" builtinId="9" hidden="1"/>
    <cellStyle name="Followed Hyperlink" xfId="4294" builtinId="9" hidden="1"/>
    <cellStyle name="Followed Hyperlink" xfId="4296" builtinId="9" hidden="1"/>
    <cellStyle name="Followed Hyperlink" xfId="4298" builtinId="9" hidden="1"/>
    <cellStyle name="Followed Hyperlink" xfId="4300" builtinId="9" hidden="1"/>
    <cellStyle name="Followed Hyperlink" xfId="4302" builtinId="9" hidden="1"/>
    <cellStyle name="Followed Hyperlink" xfId="4304" builtinId="9" hidden="1"/>
    <cellStyle name="Followed Hyperlink" xfId="4306" builtinId="9" hidden="1"/>
    <cellStyle name="Followed Hyperlink" xfId="4308" builtinId="9" hidden="1"/>
    <cellStyle name="Followed Hyperlink" xfId="4310" builtinId="9" hidden="1"/>
    <cellStyle name="Followed Hyperlink" xfId="4312" builtinId="9" hidden="1"/>
    <cellStyle name="Followed Hyperlink" xfId="4314" builtinId="9" hidden="1"/>
    <cellStyle name="Followed Hyperlink" xfId="4316" builtinId="9" hidden="1"/>
    <cellStyle name="Followed Hyperlink" xfId="4318" builtinId="9" hidden="1"/>
    <cellStyle name="Followed Hyperlink" xfId="4320" builtinId="9" hidden="1"/>
    <cellStyle name="Followed Hyperlink" xfId="4322" builtinId="9" hidden="1"/>
    <cellStyle name="Followed Hyperlink" xfId="4324" builtinId="9" hidden="1"/>
    <cellStyle name="Followed Hyperlink" xfId="4326" builtinId="9" hidden="1"/>
    <cellStyle name="Followed Hyperlink" xfId="4328" builtinId="9" hidden="1"/>
    <cellStyle name="Followed Hyperlink" xfId="4330" builtinId="9" hidden="1"/>
    <cellStyle name="Followed Hyperlink" xfId="4332" builtinId="9" hidden="1"/>
    <cellStyle name="Followed Hyperlink" xfId="4334" builtinId="9" hidden="1"/>
    <cellStyle name="Followed Hyperlink" xfId="4336" builtinId="9" hidden="1"/>
    <cellStyle name="Followed Hyperlink" xfId="4338" builtinId="9" hidden="1"/>
    <cellStyle name="Followed Hyperlink" xfId="4340" builtinId="9" hidden="1"/>
    <cellStyle name="Followed Hyperlink" xfId="4342" builtinId="9" hidden="1"/>
    <cellStyle name="Followed Hyperlink" xfId="4344" builtinId="9" hidden="1"/>
    <cellStyle name="Followed Hyperlink" xfId="4346" builtinId="9" hidden="1"/>
    <cellStyle name="Followed Hyperlink" xfId="4348" builtinId="9" hidden="1"/>
    <cellStyle name="Followed Hyperlink" xfId="4350" builtinId="9" hidden="1"/>
    <cellStyle name="Followed Hyperlink" xfId="4352" builtinId="9" hidden="1"/>
    <cellStyle name="Followed Hyperlink" xfId="4354" builtinId="9" hidden="1"/>
    <cellStyle name="Followed Hyperlink" xfId="4356" builtinId="9" hidden="1"/>
    <cellStyle name="Followed Hyperlink" xfId="4358" builtinId="9" hidden="1"/>
    <cellStyle name="Followed Hyperlink" xfId="4360" builtinId="9" hidden="1"/>
    <cellStyle name="Followed Hyperlink" xfId="4362" builtinId="9" hidden="1"/>
    <cellStyle name="Followed Hyperlink" xfId="4364" builtinId="9" hidden="1"/>
    <cellStyle name="Followed Hyperlink" xfId="4366" builtinId="9" hidden="1"/>
    <cellStyle name="Followed Hyperlink" xfId="4368" builtinId="9" hidden="1"/>
    <cellStyle name="Followed Hyperlink" xfId="43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7" builtinId="8" hidden="1"/>
    <cellStyle name="Hyperlink" xfId="2979" builtinId="8" hidden="1"/>
    <cellStyle name="Hyperlink" xfId="2981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89" builtinId="8" hidden="1"/>
    <cellStyle name="Hyperlink" xfId="2991" builtinId="8" hidden="1"/>
    <cellStyle name="Hyperlink" xfId="2993" builtinId="8" hidden="1"/>
    <cellStyle name="Hyperlink" xfId="2995" builtinId="8" hidden="1"/>
    <cellStyle name="Hyperlink" xfId="2997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5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37" builtinId="8" hidden="1"/>
    <cellStyle name="Hyperlink" xfId="3039" builtinId="8" hidden="1"/>
    <cellStyle name="Hyperlink" xfId="3041" builtinId="8" hidden="1"/>
    <cellStyle name="Hyperlink" xfId="3043" builtinId="8" hidden="1"/>
    <cellStyle name="Hyperlink" xfId="3045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3" builtinId="8" hidden="1"/>
    <cellStyle name="Hyperlink" xfId="3055" builtinId="8" hidden="1"/>
    <cellStyle name="Hyperlink" xfId="3057" builtinId="8" hidden="1"/>
    <cellStyle name="Hyperlink" xfId="3059" builtinId="8" hidden="1"/>
    <cellStyle name="Hyperlink" xfId="3061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69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7" builtinId="8" hidden="1"/>
    <cellStyle name="Hyperlink" xfId="3079" builtinId="8" hidden="1"/>
    <cellStyle name="Hyperlink" xfId="3081" builtinId="8" hidden="1"/>
    <cellStyle name="Hyperlink" xfId="3083" builtinId="8" hidden="1"/>
    <cellStyle name="Hyperlink" xfId="3085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3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1" builtinId="8" hidden="1"/>
    <cellStyle name="Hyperlink" xfId="3103" builtinId="8" hidden="1"/>
    <cellStyle name="Hyperlink" xfId="3105" builtinId="8" hidden="1"/>
    <cellStyle name="Hyperlink" xfId="3107" builtinId="8" hidden="1"/>
    <cellStyle name="Hyperlink" xfId="3109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7" builtinId="8" hidden="1"/>
    <cellStyle name="Hyperlink" xfId="3119" builtinId="8" hidden="1"/>
    <cellStyle name="Hyperlink" xfId="3121" builtinId="8" hidden="1"/>
    <cellStyle name="Hyperlink" xfId="3123" builtinId="8" hidden="1"/>
    <cellStyle name="Hyperlink" xfId="3125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3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1" builtinId="8" hidden="1"/>
    <cellStyle name="Hyperlink" xfId="3143" builtinId="8" hidden="1"/>
    <cellStyle name="Hyperlink" xfId="3145" builtinId="8" hidden="1"/>
    <cellStyle name="Hyperlink" xfId="3147" builtinId="8" hidden="1"/>
    <cellStyle name="Hyperlink" xfId="3149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7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5" builtinId="8" hidden="1"/>
    <cellStyle name="Hyperlink" xfId="3167" builtinId="8" hidden="1"/>
    <cellStyle name="Hyperlink" xfId="3169" builtinId="8" hidden="1"/>
    <cellStyle name="Hyperlink" xfId="3171" builtinId="8" hidden="1"/>
    <cellStyle name="Hyperlink" xfId="3173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1" builtinId="8" hidden="1"/>
    <cellStyle name="Hyperlink" xfId="3183" builtinId="8" hidden="1"/>
    <cellStyle name="Hyperlink" xfId="3185" builtinId="8" hidden="1"/>
    <cellStyle name="Hyperlink" xfId="3187" builtinId="8" hidden="1"/>
    <cellStyle name="Hyperlink" xfId="3189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7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5" builtinId="8" hidden="1"/>
    <cellStyle name="Hyperlink" xfId="3207" builtinId="8" hidden="1"/>
    <cellStyle name="Hyperlink" xfId="3209" builtinId="8" hidden="1"/>
    <cellStyle name="Hyperlink" xfId="3211" builtinId="8" hidden="1"/>
    <cellStyle name="Hyperlink" xfId="3213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1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29" builtinId="8" hidden="1"/>
    <cellStyle name="Hyperlink" xfId="3231" builtinId="8" hidden="1"/>
    <cellStyle name="Hyperlink" xfId="3233" builtinId="8" hidden="1"/>
    <cellStyle name="Hyperlink" xfId="3235" builtinId="8" hidden="1"/>
    <cellStyle name="Hyperlink" xfId="3237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5" builtinId="8" hidden="1"/>
    <cellStyle name="Hyperlink" xfId="3247" builtinId="8" hidden="1"/>
    <cellStyle name="Hyperlink" xfId="3249" builtinId="8" hidden="1"/>
    <cellStyle name="Hyperlink" xfId="3251" builtinId="8" hidden="1"/>
    <cellStyle name="Hyperlink" xfId="3253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1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69" builtinId="8" hidden="1"/>
    <cellStyle name="Hyperlink" xfId="3271" builtinId="8" hidden="1"/>
    <cellStyle name="Hyperlink" xfId="3273" builtinId="8" hidden="1"/>
    <cellStyle name="Hyperlink" xfId="3275" builtinId="8" hidden="1"/>
    <cellStyle name="Hyperlink" xfId="3277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5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3" builtinId="8" hidden="1"/>
    <cellStyle name="Hyperlink" xfId="3295" builtinId="8" hidden="1"/>
    <cellStyle name="Hyperlink" xfId="3297" builtinId="8" hidden="1"/>
    <cellStyle name="Hyperlink" xfId="3299" builtinId="8" hidden="1"/>
    <cellStyle name="Hyperlink" xfId="3301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09" builtinId="8" hidden="1"/>
    <cellStyle name="Hyperlink" xfId="3311" builtinId="8" hidden="1"/>
    <cellStyle name="Hyperlink" xfId="3313" builtinId="8" hidden="1"/>
    <cellStyle name="Hyperlink" xfId="3315" builtinId="8" hidden="1"/>
    <cellStyle name="Hyperlink" xfId="3317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5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3" builtinId="8" hidden="1"/>
    <cellStyle name="Hyperlink" xfId="3335" builtinId="8" hidden="1"/>
    <cellStyle name="Hyperlink" xfId="3337" builtinId="8" hidden="1"/>
    <cellStyle name="Hyperlink" xfId="3339" builtinId="8" hidden="1"/>
    <cellStyle name="Hyperlink" xfId="3341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49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57" builtinId="8" hidden="1"/>
    <cellStyle name="Hyperlink" xfId="3359" builtinId="8" hidden="1"/>
    <cellStyle name="Hyperlink" xfId="3361" builtinId="8" hidden="1"/>
    <cellStyle name="Hyperlink" xfId="3363" builtinId="8" hidden="1"/>
    <cellStyle name="Hyperlink" xfId="3365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3" builtinId="8" hidden="1"/>
    <cellStyle name="Hyperlink" xfId="3375" builtinId="8" hidden="1"/>
    <cellStyle name="Hyperlink" xfId="3377" builtinId="8" hidden="1"/>
    <cellStyle name="Hyperlink" xfId="3379" builtinId="8" hidden="1"/>
    <cellStyle name="Hyperlink" xfId="3381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89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7" builtinId="8" hidden="1"/>
    <cellStyle name="Hyperlink" xfId="3399" builtinId="8" hidden="1"/>
    <cellStyle name="Hyperlink" xfId="3401" builtinId="8" hidden="1"/>
    <cellStyle name="Hyperlink" xfId="3403" builtinId="8" hidden="1"/>
    <cellStyle name="Hyperlink" xfId="3405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3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1" builtinId="8" hidden="1"/>
    <cellStyle name="Hyperlink" xfId="3423" builtinId="8" hidden="1"/>
    <cellStyle name="Hyperlink" xfId="3425" builtinId="8" hidden="1"/>
    <cellStyle name="Hyperlink" xfId="3427" builtinId="8" hidden="1"/>
    <cellStyle name="Hyperlink" xfId="3429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7" builtinId="8" hidden="1"/>
    <cellStyle name="Hyperlink" xfId="3439" builtinId="8" hidden="1"/>
    <cellStyle name="Hyperlink" xfId="3441" builtinId="8" hidden="1"/>
    <cellStyle name="Hyperlink" xfId="3443" builtinId="8" hidden="1"/>
    <cellStyle name="Hyperlink" xfId="3445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3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1" builtinId="8" hidden="1"/>
    <cellStyle name="Hyperlink" xfId="3463" builtinId="8" hidden="1"/>
    <cellStyle name="Hyperlink" xfId="3465" builtinId="8" hidden="1"/>
    <cellStyle name="Hyperlink" xfId="3467" builtinId="8" hidden="1"/>
    <cellStyle name="Hyperlink" xfId="3469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7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5" builtinId="8" hidden="1"/>
    <cellStyle name="Hyperlink" xfId="3487" builtinId="8" hidden="1"/>
    <cellStyle name="Hyperlink" xfId="3489" builtinId="8" hidden="1"/>
    <cellStyle name="Hyperlink" xfId="3491" builtinId="8" hidden="1"/>
    <cellStyle name="Hyperlink" xfId="3493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1" builtinId="8" hidden="1"/>
    <cellStyle name="Hyperlink" xfId="3503" builtinId="8" hidden="1"/>
    <cellStyle name="Hyperlink" xfId="3505" builtinId="8" hidden="1"/>
    <cellStyle name="Hyperlink" xfId="3507" builtinId="8" hidden="1"/>
    <cellStyle name="Hyperlink" xfId="3509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7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5" builtinId="8" hidden="1"/>
    <cellStyle name="Hyperlink" xfId="3527" builtinId="8" hidden="1"/>
    <cellStyle name="Hyperlink" xfId="3529" builtinId="8" hidden="1"/>
    <cellStyle name="Hyperlink" xfId="3531" builtinId="8" hidden="1"/>
    <cellStyle name="Hyperlink" xfId="3533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1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49" builtinId="8" hidden="1"/>
    <cellStyle name="Hyperlink" xfId="3551" builtinId="8" hidden="1"/>
    <cellStyle name="Hyperlink" xfId="3553" builtinId="8" hidden="1"/>
    <cellStyle name="Hyperlink" xfId="3555" builtinId="8" hidden="1"/>
    <cellStyle name="Hyperlink" xfId="3557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5" builtinId="8" hidden="1"/>
    <cellStyle name="Hyperlink" xfId="3567" builtinId="8" hidden="1"/>
    <cellStyle name="Hyperlink" xfId="3569" builtinId="8" hidden="1"/>
    <cellStyle name="Hyperlink" xfId="3571" builtinId="8" hidden="1"/>
    <cellStyle name="Hyperlink" xfId="3573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1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89" builtinId="8" hidden="1"/>
    <cellStyle name="Hyperlink" xfId="3591" builtinId="8" hidden="1"/>
    <cellStyle name="Hyperlink" xfId="3593" builtinId="8" hidden="1"/>
    <cellStyle name="Hyperlink" xfId="3595" builtinId="8" hidden="1"/>
    <cellStyle name="Hyperlink" xfId="3597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5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3" builtinId="8" hidden="1"/>
    <cellStyle name="Hyperlink" xfId="3615" builtinId="8" hidden="1"/>
    <cellStyle name="Hyperlink" xfId="3617" builtinId="8" hidden="1"/>
    <cellStyle name="Hyperlink" xfId="3619" builtinId="8" hidden="1"/>
    <cellStyle name="Hyperlink" xfId="3621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29" builtinId="8" hidden="1"/>
    <cellStyle name="Hyperlink" xfId="3631" builtinId="8" hidden="1"/>
    <cellStyle name="Hyperlink" xfId="3633" builtinId="8" hidden="1"/>
    <cellStyle name="Hyperlink" xfId="3635" builtinId="8" hidden="1"/>
    <cellStyle name="Hyperlink" xfId="3637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5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3" builtinId="8" hidden="1"/>
    <cellStyle name="Hyperlink" xfId="3655" builtinId="8" hidden="1"/>
    <cellStyle name="Hyperlink" xfId="3657" builtinId="8" hidden="1"/>
    <cellStyle name="Hyperlink" xfId="3659" builtinId="8" hidden="1"/>
    <cellStyle name="Hyperlink" xfId="3661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69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77" builtinId="8" hidden="1"/>
    <cellStyle name="Hyperlink" xfId="3679" builtinId="8" hidden="1"/>
    <cellStyle name="Hyperlink" xfId="3681" builtinId="8" hidden="1"/>
    <cellStyle name="Hyperlink" xfId="3683" builtinId="8" hidden="1"/>
    <cellStyle name="Hyperlink" xfId="3685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3" builtinId="8" hidden="1"/>
    <cellStyle name="Hyperlink" xfId="3695" builtinId="8" hidden="1"/>
    <cellStyle name="Hyperlink" xfId="3697" builtinId="8" hidden="1"/>
    <cellStyle name="Hyperlink" xfId="3699" builtinId="8" hidden="1"/>
    <cellStyle name="Hyperlink" xfId="3701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09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7" builtinId="8" hidden="1"/>
    <cellStyle name="Hyperlink" xfId="3719" builtinId="8" hidden="1"/>
    <cellStyle name="Hyperlink" xfId="3721" builtinId="8" hidden="1"/>
    <cellStyle name="Hyperlink" xfId="3723" builtinId="8" hidden="1"/>
    <cellStyle name="Hyperlink" xfId="3725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3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1" builtinId="8" hidden="1"/>
    <cellStyle name="Hyperlink" xfId="3743" builtinId="8" hidden="1"/>
    <cellStyle name="Hyperlink" xfId="3745" builtinId="8" hidden="1"/>
    <cellStyle name="Hyperlink" xfId="3747" builtinId="8" hidden="1"/>
    <cellStyle name="Hyperlink" xfId="3749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7" builtinId="8" hidden="1"/>
    <cellStyle name="Hyperlink" xfId="3759" builtinId="8" hidden="1"/>
    <cellStyle name="Hyperlink" xfId="3761" builtinId="8" hidden="1"/>
    <cellStyle name="Hyperlink" xfId="3763" builtinId="8" hidden="1"/>
    <cellStyle name="Hyperlink" xfId="3765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3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1" builtinId="8" hidden="1"/>
    <cellStyle name="Hyperlink" xfId="3783" builtinId="8" hidden="1"/>
    <cellStyle name="Hyperlink" xfId="3785" builtinId="8" hidden="1"/>
    <cellStyle name="Hyperlink" xfId="3787" builtinId="8" hidden="1"/>
    <cellStyle name="Hyperlink" xfId="3789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7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5" builtinId="8" hidden="1"/>
    <cellStyle name="Hyperlink" xfId="3807" builtinId="8" hidden="1"/>
    <cellStyle name="Hyperlink" xfId="3809" builtinId="8" hidden="1"/>
    <cellStyle name="Hyperlink" xfId="3811" builtinId="8" hidden="1"/>
    <cellStyle name="Hyperlink" xfId="3813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1" builtinId="8" hidden="1"/>
    <cellStyle name="Hyperlink" xfId="3823" builtinId="8" hidden="1"/>
    <cellStyle name="Hyperlink" xfId="3825" builtinId="8" hidden="1"/>
    <cellStyle name="Hyperlink" xfId="3827" builtinId="8" hidden="1"/>
    <cellStyle name="Hyperlink" xfId="3829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7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5" builtinId="8" hidden="1"/>
    <cellStyle name="Hyperlink" xfId="3847" builtinId="8" hidden="1"/>
    <cellStyle name="Hyperlink" xfId="3849" builtinId="8" hidden="1"/>
    <cellStyle name="Hyperlink" xfId="3851" builtinId="8" hidden="1"/>
    <cellStyle name="Hyperlink" xfId="3853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1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69" builtinId="8" hidden="1"/>
    <cellStyle name="Hyperlink" xfId="3871" builtinId="8" hidden="1"/>
    <cellStyle name="Hyperlink" xfId="3873" builtinId="8" hidden="1"/>
    <cellStyle name="Hyperlink" xfId="3875" builtinId="8" hidden="1"/>
    <cellStyle name="Hyperlink" xfId="3877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5" builtinId="8" hidden="1"/>
    <cellStyle name="Hyperlink" xfId="3887" builtinId="8" hidden="1"/>
    <cellStyle name="Hyperlink" xfId="3889" builtinId="8" hidden="1"/>
    <cellStyle name="Hyperlink" xfId="3891" builtinId="8" hidden="1"/>
    <cellStyle name="Hyperlink" xfId="3893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1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09" builtinId="8" hidden="1"/>
    <cellStyle name="Hyperlink" xfId="3911" builtinId="8" hidden="1"/>
    <cellStyle name="Hyperlink" xfId="3913" builtinId="8" hidden="1"/>
    <cellStyle name="Hyperlink" xfId="3915" builtinId="8" hidden="1"/>
    <cellStyle name="Hyperlink" xfId="3917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5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1" builtinId="8" hidden="1"/>
    <cellStyle name="Hyperlink" xfId="3953" builtinId="8" hidden="1"/>
    <cellStyle name="Hyperlink" xfId="3955" builtinId="8" hidden="1"/>
    <cellStyle name="Hyperlink" xfId="3957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5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3" builtinId="8" hidden="1"/>
    <cellStyle name="Hyperlink" xfId="3975" builtinId="8" hidden="1"/>
    <cellStyle name="Hyperlink" xfId="3977" builtinId="8" hidden="1"/>
    <cellStyle name="Hyperlink" xfId="3979" builtinId="8" hidden="1"/>
    <cellStyle name="Hyperlink" xfId="3981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89" builtinId="8" hidden="1"/>
    <cellStyle name="Hyperlink" xfId="3991" builtinId="8" hidden="1"/>
    <cellStyle name="Hyperlink" xfId="3993" builtinId="8" hidden="1"/>
    <cellStyle name="Hyperlink" xfId="3995" builtinId="8" hidden="1"/>
    <cellStyle name="Hyperlink" xfId="3997" builtinId="8" hidden="1"/>
    <cellStyle name="Hyperlink" xfId="3999" builtinId="8" hidden="1"/>
    <cellStyle name="Hyperlink" xfId="4001" builtinId="8" hidden="1"/>
    <cellStyle name="Hyperlink" xfId="4003" builtinId="8" hidden="1"/>
    <cellStyle name="Hyperlink" xfId="4005" builtinId="8" hidden="1"/>
    <cellStyle name="Hyperlink" xfId="4007" builtinId="8" hidden="1"/>
    <cellStyle name="Hyperlink" xfId="4009" builtinId="8" hidden="1"/>
    <cellStyle name="Hyperlink" xfId="4011" builtinId="8" hidden="1"/>
    <cellStyle name="Hyperlink" xfId="4013" builtinId="8" hidden="1"/>
    <cellStyle name="Hyperlink" xfId="4015" builtinId="8" hidden="1"/>
    <cellStyle name="Hyperlink" xfId="4017" builtinId="8" hidden="1"/>
    <cellStyle name="Hyperlink" xfId="4019" builtinId="8" hidden="1"/>
    <cellStyle name="Hyperlink" xfId="4021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29" builtinId="8" hidden="1"/>
    <cellStyle name="Hyperlink" xfId="4031" builtinId="8" hidden="1"/>
    <cellStyle name="Hyperlink" xfId="4033" builtinId="8" hidden="1"/>
    <cellStyle name="Hyperlink" xfId="4035" builtinId="8" hidden="1"/>
    <cellStyle name="Hyperlink" xfId="4037" builtinId="8" hidden="1"/>
    <cellStyle name="Hyperlink" xfId="4039" builtinId="8" hidden="1"/>
    <cellStyle name="Hyperlink" xfId="4041" builtinId="8" hidden="1"/>
    <cellStyle name="Hyperlink" xfId="4043" builtinId="8" hidden="1"/>
    <cellStyle name="Hyperlink" xfId="4045" builtinId="8" hidden="1"/>
    <cellStyle name="Hyperlink" xfId="4047" builtinId="8" hidden="1"/>
    <cellStyle name="Hyperlink" xfId="4049" builtinId="8" hidden="1"/>
    <cellStyle name="Hyperlink" xfId="4051" builtinId="8" hidden="1"/>
    <cellStyle name="Hyperlink" xfId="4053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1" builtinId="8" hidden="1"/>
    <cellStyle name="Hyperlink" xfId="4063" builtinId="8" hidden="1"/>
    <cellStyle name="Hyperlink" xfId="4065" builtinId="8" hidden="1"/>
    <cellStyle name="Hyperlink" xfId="4067" builtinId="8" hidden="1"/>
    <cellStyle name="Hyperlink" xfId="4069" builtinId="8" hidden="1"/>
    <cellStyle name="Hyperlink" xfId="4071" builtinId="8" hidden="1"/>
    <cellStyle name="Hyperlink" xfId="4073" builtinId="8" hidden="1"/>
    <cellStyle name="Hyperlink" xfId="4075" builtinId="8" hidden="1"/>
    <cellStyle name="Hyperlink" xfId="4077" builtinId="8" hidden="1"/>
    <cellStyle name="Hyperlink" xfId="4079" builtinId="8" hidden="1"/>
    <cellStyle name="Hyperlink" xfId="4081" builtinId="8" hidden="1"/>
    <cellStyle name="Hyperlink" xfId="4083" builtinId="8" hidden="1"/>
    <cellStyle name="Hyperlink" xfId="4085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3" builtinId="8" hidden="1"/>
    <cellStyle name="Hyperlink" xfId="4095" builtinId="8" hidden="1"/>
    <cellStyle name="Hyperlink" xfId="4097" builtinId="8" hidden="1"/>
    <cellStyle name="Hyperlink" xfId="4099" builtinId="8" hidden="1"/>
    <cellStyle name="Hyperlink" xfId="4101" builtinId="8" hidden="1"/>
    <cellStyle name="Hyperlink" xfId="4103" builtinId="8" hidden="1"/>
    <cellStyle name="Hyperlink" xfId="4105" builtinId="8" hidden="1"/>
    <cellStyle name="Hyperlink" xfId="4107" builtinId="8" hidden="1"/>
    <cellStyle name="Hyperlink" xfId="4109" builtinId="8" hidden="1"/>
    <cellStyle name="Hyperlink" xfId="4111" builtinId="8" hidden="1"/>
    <cellStyle name="Hyperlink" xfId="4113" builtinId="8" hidden="1"/>
    <cellStyle name="Hyperlink" xfId="4115" builtinId="8" hidden="1"/>
    <cellStyle name="Hyperlink" xfId="4117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5" builtinId="8" hidden="1"/>
    <cellStyle name="Hyperlink" xfId="4127" builtinId="8" hidden="1"/>
    <cellStyle name="Hyperlink" xfId="4129" builtinId="8" hidden="1"/>
    <cellStyle name="Hyperlink" xfId="4131" builtinId="8" hidden="1"/>
    <cellStyle name="Hyperlink" xfId="4133" builtinId="8" hidden="1"/>
    <cellStyle name="Hyperlink" xfId="4135" builtinId="8" hidden="1"/>
    <cellStyle name="Hyperlink" xfId="4137" builtinId="8" hidden="1"/>
    <cellStyle name="Hyperlink" xfId="4139" builtinId="8" hidden="1"/>
    <cellStyle name="Hyperlink" xfId="4141" builtinId="8" hidden="1"/>
    <cellStyle name="Hyperlink" xfId="4143" builtinId="8" hidden="1"/>
    <cellStyle name="Hyperlink" xfId="4145" builtinId="8" hidden="1"/>
    <cellStyle name="Hyperlink" xfId="4147" builtinId="8" hidden="1"/>
    <cellStyle name="Hyperlink" xfId="4149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57" builtinId="8" hidden="1"/>
    <cellStyle name="Hyperlink" xfId="4159" builtinId="8" hidden="1"/>
    <cellStyle name="Hyperlink" xfId="4161" builtinId="8" hidden="1"/>
    <cellStyle name="Hyperlink" xfId="4163" builtinId="8" hidden="1"/>
    <cellStyle name="Hyperlink" xfId="4165" builtinId="8" hidden="1"/>
    <cellStyle name="Hyperlink" xfId="4167" builtinId="8" hidden="1"/>
    <cellStyle name="Hyperlink" xfId="4169" builtinId="8" hidden="1"/>
    <cellStyle name="Hyperlink" xfId="4171" builtinId="8" hidden="1"/>
    <cellStyle name="Hyperlink" xfId="4173" builtinId="8" hidden="1"/>
    <cellStyle name="Hyperlink" xfId="4175" builtinId="8" hidden="1"/>
    <cellStyle name="Hyperlink" xfId="4177" builtinId="8" hidden="1"/>
    <cellStyle name="Hyperlink" xfId="4179" builtinId="8" hidden="1"/>
    <cellStyle name="Hyperlink" xfId="4181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89" builtinId="8" hidden="1"/>
    <cellStyle name="Hyperlink" xfId="4191" builtinId="8" hidden="1"/>
    <cellStyle name="Hyperlink" xfId="4193" builtinId="8" hidden="1"/>
    <cellStyle name="Hyperlink" xfId="4195" builtinId="8" hidden="1"/>
    <cellStyle name="Hyperlink" xfId="4197" builtinId="8" hidden="1"/>
    <cellStyle name="Hyperlink" xfId="4199" builtinId="8" hidden="1"/>
    <cellStyle name="Hyperlink" xfId="4201" builtinId="8" hidden="1"/>
    <cellStyle name="Hyperlink" xfId="4203" builtinId="8" hidden="1"/>
    <cellStyle name="Hyperlink" xfId="4205" builtinId="8" hidden="1"/>
    <cellStyle name="Hyperlink" xfId="4207" builtinId="8" hidden="1"/>
    <cellStyle name="Hyperlink" xfId="4209" builtinId="8" hidden="1"/>
    <cellStyle name="Hyperlink" xfId="4211" builtinId="8" hidden="1"/>
    <cellStyle name="Hyperlink" xfId="4213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1" builtinId="8" hidden="1"/>
    <cellStyle name="Hyperlink" xfId="4223" builtinId="8" hidden="1"/>
    <cellStyle name="Hyperlink" xfId="4225" builtinId="8" hidden="1"/>
    <cellStyle name="Hyperlink" xfId="4227" builtinId="8" hidden="1"/>
    <cellStyle name="Hyperlink" xfId="4229" builtinId="8" hidden="1"/>
    <cellStyle name="Hyperlink" xfId="4231" builtinId="8" hidden="1"/>
    <cellStyle name="Hyperlink" xfId="4233" builtinId="8" hidden="1"/>
    <cellStyle name="Hyperlink" xfId="4235" builtinId="8" hidden="1"/>
    <cellStyle name="Hyperlink" xfId="4237" builtinId="8" hidden="1"/>
    <cellStyle name="Hyperlink" xfId="4239" builtinId="8" hidden="1"/>
    <cellStyle name="Hyperlink" xfId="4241" builtinId="8" hidden="1"/>
    <cellStyle name="Hyperlink" xfId="4243" builtinId="8" hidden="1"/>
    <cellStyle name="Hyperlink" xfId="4245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3" builtinId="8" hidden="1"/>
    <cellStyle name="Hyperlink" xfId="4255" builtinId="8" hidden="1"/>
    <cellStyle name="Hyperlink" xfId="4257" builtinId="8" hidden="1"/>
    <cellStyle name="Hyperlink" xfId="4259" builtinId="8" hidden="1"/>
    <cellStyle name="Hyperlink" xfId="4261" builtinId="8" hidden="1"/>
    <cellStyle name="Hyperlink" xfId="4263" builtinId="8" hidden="1"/>
    <cellStyle name="Hyperlink" xfId="4265" builtinId="8" hidden="1"/>
    <cellStyle name="Hyperlink" xfId="4267" builtinId="8" hidden="1"/>
    <cellStyle name="Hyperlink" xfId="4269" builtinId="8" hidden="1"/>
    <cellStyle name="Hyperlink" xfId="4271" builtinId="8" hidden="1"/>
    <cellStyle name="Hyperlink" xfId="4273" builtinId="8" hidden="1"/>
    <cellStyle name="Hyperlink" xfId="4275" builtinId="8" hidden="1"/>
    <cellStyle name="Hyperlink" xfId="4277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5" builtinId="8" hidden="1"/>
    <cellStyle name="Hyperlink" xfId="4287" builtinId="8" hidden="1"/>
    <cellStyle name="Hyperlink" xfId="4289" builtinId="8" hidden="1"/>
    <cellStyle name="Hyperlink" xfId="4291" builtinId="8" hidden="1"/>
    <cellStyle name="Hyperlink" xfId="4293" builtinId="8" hidden="1"/>
    <cellStyle name="Hyperlink" xfId="4295" builtinId="8" hidden="1"/>
    <cellStyle name="Hyperlink" xfId="4297" builtinId="8" hidden="1"/>
    <cellStyle name="Hyperlink" xfId="4299" builtinId="8" hidden="1"/>
    <cellStyle name="Hyperlink" xfId="4301" builtinId="8" hidden="1"/>
    <cellStyle name="Hyperlink" xfId="4303" builtinId="8" hidden="1"/>
    <cellStyle name="Hyperlink" xfId="4305" builtinId="8" hidden="1"/>
    <cellStyle name="Hyperlink" xfId="4307" builtinId="8" hidden="1"/>
    <cellStyle name="Hyperlink" xfId="4309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17" builtinId="8" hidden="1"/>
    <cellStyle name="Hyperlink" xfId="4319" builtinId="8" hidden="1"/>
    <cellStyle name="Hyperlink" xfId="4321" builtinId="8" hidden="1"/>
    <cellStyle name="Hyperlink" xfId="4323" builtinId="8" hidden="1"/>
    <cellStyle name="Hyperlink" xfId="4325" builtinId="8" hidden="1"/>
    <cellStyle name="Hyperlink" xfId="4327" builtinId="8" hidden="1"/>
    <cellStyle name="Hyperlink" xfId="4329" builtinId="8" hidden="1"/>
    <cellStyle name="Hyperlink" xfId="4331" builtinId="8" hidden="1"/>
    <cellStyle name="Hyperlink" xfId="4333" builtinId="8" hidden="1"/>
    <cellStyle name="Hyperlink" xfId="4335" builtinId="8" hidden="1"/>
    <cellStyle name="Hyperlink" xfId="4337" builtinId="8" hidden="1"/>
    <cellStyle name="Hyperlink" xfId="4339" builtinId="8" hidden="1"/>
    <cellStyle name="Hyperlink" xfId="4341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49" builtinId="8" hidden="1"/>
    <cellStyle name="Hyperlink" xfId="4351" builtinId="8" hidden="1"/>
    <cellStyle name="Hyperlink" xfId="4353" builtinId="8" hidden="1"/>
    <cellStyle name="Hyperlink" xfId="4355" builtinId="8" hidden="1"/>
    <cellStyle name="Hyperlink" xfId="4357" builtinId="8" hidden="1"/>
    <cellStyle name="Hyperlink" xfId="4359" builtinId="8" hidden="1"/>
    <cellStyle name="Hyperlink" xfId="4361" builtinId="8" hidden="1"/>
    <cellStyle name="Hyperlink" xfId="4363" builtinId="8" hidden="1"/>
    <cellStyle name="Hyperlink" xfId="4365" builtinId="8" hidden="1"/>
    <cellStyle name="Hyperlink" xfId="4367" builtinId="8" hidden="1"/>
    <cellStyle name="Hyperlink" xfId="4369" builtinId="8" hidden="1"/>
    <cellStyle name="Hyperlink" xfId="4371" builtinId="8"/>
    <cellStyle name="Normal" xfId="0" builtinId="0"/>
  </cellStyles>
  <dxfs count="0"/>
  <tableStyles count="0" defaultTableStyle="TableStyleMedium9" defaultPivotStyle="PivotStyleMedium4"/>
  <colors>
    <mruColors>
      <color rgb="FFD7D7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oracle.com/cd/E67482_01/oscar/pdf/45/OnlineHelp_45/helpOnPS2keyCod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FE35-A90B-3343-BA83-F7F50B48781F}">
  <dimension ref="A1:J116"/>
  <sheetViews>
    <sheetView tabSelected="1" zoomScale="106" workbookViewId="0">
      <selection activeCell="F33" sqref="F33"/>
    </sheetView>
  </sheetViews>
  <sheetFormatPr baseColWidth="10" defaultRowHeight="16"/>
  <cols>
    <col min="2" max="3" width="10.83203125" style="5"/>
    <col min="4" max="4" width="9.33203125" style="5" bestFit="1" customWidth="1"/>
    <col min="5" max="5" width="16.6640625" style="5" customWidth="1"/>
    <col min="6" max="6" width="23.1640625" style="6" customWidth="1"/>
    <col min="7" max="7" width="41" style="6" customWidth="1"/>
    <col min="9" max="10" width="10.83203125" style="12"/>
  </cols>
  <sheetData>
    <row r="1" spans="1:10">
      <c r="B1" s="5" t="s">
        <v>13</v>
      </c>
      <c r="D1" s="11" t="s">
        <v>14</v>
      </c>
    </row>
    <row r="3" spans="1:10">
      <c r="B3" s="5">
        <v>4</v>
      </c>
      <c r="C3" s="5">
        <v>10</v>
      </c>
      <c r="E3" s="5">
        <v>10</v>
      </c>
      <c r="F3" s="5">
        <v>20</v>
      </c>
      <c r="G3" s="5">
        <v>30</v>
      </c>
    </row>
    <row r="4" spans="1:10">
      <c r="B4" s="7" t="s">
        <v>3</v>
      </c>
      <c r="C4" s="7" t="s">
        <v>7</v>
      </c>
      <c r="D4" s="7" t="s">
        <v>12</v>
      </c>
      <c r="E4" s="7" t="s">
        <v>5</v>
      </c>
      <c r="F4" s="8" t="s">
        <v>6</v>
      </c>
      <c r="G4" s="8" t="s">
        <v>1</v>
      </c>
    </row>
    <row r="5" spans="1:10" s="6" customFormat="1">
      <c r="A5" s="13" t="s">
        <v>47</v>
      </c>
      <c r="B5" s="9">
        <f>CODE(A5)</f>
        <v>119</v>
      </c>
      <c r="C5" s="5" t="s">
        <v>8</v>
      </c>
      <c r="D5" s="9" t="s">
        <v>11</v>
      </c>
      <c r="E5" s="5" t="s">
        <v>4</v>
      </c>
      <c r="F5" s="10" t="s">
        <v>22</v>
      </c>
      <c r="G5" s="10" t="s">
        <v>34</v>
      </c>
      <c r="H5" s="6">
        <v>0</v>
      </c>
      <c r="J5" s="14"/>
    </row>
    <row r="6" spans="1:10" s="6" customFormat="1">
      <c r="A6" s="13" t="s">
        <v>48</v>
      </c>
      <c r="B6" s="9">
        <f>CODE(A6)</f>
        <v>120</v>
      </c>
      <c r="C6" s="5" t="s">
        <v>8</v>
      </c>
      <c r="D6" s="9" t="s">
        <v>11</v>
      </c>
      <c r="E6" s="5" t="s">
        <v>4</v>
      </c>
      <c r="F6" s="10" t="s">
        <v>23</v>
      </c>
      <c r="G6" s="10" t="s">
        <v>35</v>
      </c>
      <c r="H6" s="6">
        <v>0</v>
      </c>
      <c r="J6" s="14"/>
    </row>
    <row r="7" spans="1:10" s="6" customFormat="1">
      <c r="A7" s="13" t="s">
        <v>37</v>
      </c>
      <c r="B7" s="9">
        <f>CODE(A7)</f>
        <v>61</v>
      </c>
      <c r="C7" s="5" t="s">
        <v>8</v>
      </c>
      <c r="D7" s="9" t="s">
        <v>11</v>
      </c>
      <c r="E7" s="5" t="s">
        <v>4</v>
      </c>
      <c r="F7" s="10" t="s">
        <v>0</v>
      </c>
      <c r="G7" s="10" t="s">
        <v>25</v>
      </c>
      <c r="H7" s="6">
        <v>1</v>
      </c>
      <c r="J7" s="14"/>
    </row>
    <row r="8" spans="1:10" s="6" customFormat="1">
      <c r="A8" s="13" t="s">
        <v>38</v>
      </c>
      <c r="B8" s="9">
        <f>CODE(A8)</f>
        <v>97</v>
      </c>
      <c r="C8" s="5" t="s">
        <v>8</v>
      </c>
      <c r="D8" s="9" t="s">
        <v>11</v>
      </c>
      <c r="E8" s="5" t="s">
        <v>4</v>
      </c>
      <c r="F8" s="10" t="s">
        <v>15</v>
      </c>
      <c r="G8" s="10" t="s">
        <v>26</v>
      </c>
      <c r="H8" s="6">
        <v>1</v>
      </c>
      <c r="J8" s="14"/>
    </row>
    <row r="9" spans="1:10" s="6" customFormat="1">
      <c r="A9" s="13" t="s">
        <v>46</v>
      </c>
      <c r="B9" s="9">
        <f>CODE(A9)</f>
        <v>118</v>
      </c>
      <c r="C9" s="5" t="s">
        <v>8</v>
      </c>
      <c r="D9" s="9" t="s">
        <v>11</v>
      </c>
      <c r="E9" s="5" t="s">
        <v>4</v>
      </c>
      <c r="F9" s="10" t="s">
        <v>9</v>
      </c>
      <c r="G9" s="10" t="s">
        <v>33</v>
      </c>
      <c r="H9" s="6">
        <v>1</v>
      </c>
      <c r="J9" s="14"/>
    </row>
    <row r="10" spans="1:10" s="6" customFormat="1">
      <c r="A10" s="13" t="s">
        <v>49</v>
      </c>
      <c r="B10" s="9">
        <f>CODE(A10)</f>
        <v>121</v>
      </c>
      <c r="C10" s="5" t="s">
        <v>8</v>
      </c>
      <c r="D10" s="9" t="s">
        <v>11</v>
      </c>
      <c r="E10" s="5" t="s">
        <v>4</v>
      </c>
      <c r="F10" s="10" t="s">
        <v>24</v>
      </c>
      <c r="G10" s="10" t="s">
        <v>36</v>
      </c>
      <c r="H10" s="6">
        <v>1</v>
      </c>
      <c r="J10" s="14"/>
    </row>
    <row r="11" spans="1:10" s="6" customFormat="1">
      <c r="A11" s="13" t="s">
        <v>92</v>
      </c>
      <c r="B11" s="15">
        <f>CODE(A11)</f>
        <v>110</v>
      </c>
      <c r="C11" s="13" t="s">
        <v>8</v>
      </c>
      <c r="D11" s="15" t="s">
        <v>11</v>
      </c>
      <c r="E11" s="13" t="s">
        <v>4</v>
      </c>
      <c r="F11" s="16" t="s">
        <v>93</v>
      </c>
      <c r="G11" s="17" t="s">
        <v>94</v>
      </c>
      <c r="H11" s="14">
        <v>1</v>
      </c>
      <c r="J11" s="14"/>
    </row>
    <row r="12" spans="1:10" s="6" customFormat="1">
      <c r="A12" s="13" t="s">
        <v>71</v>
      </c>
      <c r="B12" s="9">
        <f>CODE(A12)</f>
        <v>89</v>
      </c>
      <c r="C12" s="13" t="s">
        <v>8</v>
      </c>
      <c r="D12" s="15" t="s">
        <v>11</v>
      </c>
      <c r="E12" s="13" t="s">
        <v>4</v>
      </c>
      <c r="F12" s="16" t="s">
        <v>72</v>
      </c>
      <c r="G12" s="16" t="s">
        <v>73</v>
      </c>
      <c r="H12" s="14">
        <v>2</v>
      </c>
      <c r="J12" s="14"/>
    </row>
    <row r="13" spans="1:10" s="6" customFormat="1">
      <c r="A13" s="13" t="s">
        <v>39</v>
      </c>
      <c r="B13" s="9">
        <f>CODE(A13)</f>
        <v>99</v>
      </c>
      <c r="C13" s="5" t="s">
        <v>8</v>
      </c>
      <c r="D13" s="9" t="s">
        <v>11</v>
      </c>
      <c r="E13" s="5" t="s">
        <v>4</v>
      </c>
      <c r="F13" s="10" t="s">
        <v>16</v>
      </c>
      <c r="G13" s="10" t="s">
        <v>27</v>
      </c>
      <c r="H13" s="6">
        <v>2</v>
      </c>
      <c r="J13" s="14"/>
    </row>
    <row r="14" spans="1:10" s="6" customFormat="1">
      <c r="A14" s="13" t="s">
        <v>44</v>
      </c>
      <c r="B14" s="9">
        <f>CODE(A14)</f>
        <v>115</v>
      </c>
      <c r="C14" s="5" t="s">
        <v>8</v>
      </c>
      <c r="D14" s="9" t="s">
        <v>11</v>
      </c>
      <c r="E14" s="5" t="s">
        <v>4</v>
      </c>
      <c r="F14" s="10" t="s">
        <v>20</v>
      </c>
      <c r="G14" s="10" t="s">
        <v>31</v>
      </c>
      <c r="H14" s="6">
        <v>2</v>
      </c>
      <c r="J14" s="14"/>
    </row>
    <row r="15" spans="1:10" s="14" customFormat="1">
      <c r="A15" s="13" t="s">
        <v>45</v>
      </c>
      <c r="B15" s="9">
        <f>CODE(A15)</f>
        <v>116</v>
      </c>
      <c r="C15" s="5" t="s">
        <v>8</v>
      </c>
      <c r="D15" s="9" t="s">
        <v>11</v>
      </c>
      <c r="E15" s="5" t="s">
        <v>4</v>
      </c>
      <c r="F15" s="10" t="s">
        <v>21</v>
      </c>
      <c r="G15" s="10" t="s">
        <v>32</v>
      </c>
      <c r="H15" s="6">
        <v>2</v>
      </c>
    </row>
    <row r="16" spans="1:10" s="14" customFormat="1">
      <c r="A16" s="13" t="s">
        <v>57</v>
      </c>
      <c r="B16" s="15">
        <f>CODE(A16)</f>
        <v>67</v>
      </c>
      <c r="C16" s="13" t="s">
        <v>8</v>
      </c>
      <c r="D16" s="15" t="s">
        <v>11</v>
      </c>
      <c r="E16" s="13" t="s">
        <v>4</v>
      </c>
      <c r="F16" s="16" t="s">
        <v>51</v>
      </c>
      <c r="G16" s="16" t="s">
        <v>54</v>
      </c>
      <c r="H16" s="14">
        <v>2</v>
      </c>
    </row>
    <row r="17" spans="1:10" s="14" customFormat="1">
      <c r="A17" s="13" t="s">
        <v>58</v>
      </c>
      <c r="B17" s="15">
        <f>CODE(A17)</f>
        <v>83</v>
      </c>
      <c r="C17" s="13" t="s">
        <v>8</v>
      </c>
      <c r="D17" s="15" t="s">
        <v>11</v>
      </c>
      <c r="E17" s="13" t="s">
        <v>4</v>
      </c>
      <c r="F17" s="16" t="s">
        <v>52</v>
      </c>
      <c r="G17" s="16" t="s">
        <v>55</v>
      </c>
      <c r="H17" s="14">
        <v>2</v>
      </c>
    </row>
    <row r="18" spans="1:10" s="6" customFormat="1">
      <c r="A18" s="13" t="s">
        <v>59</v>
      </c>
      <c r="B18" s="15">
        <f>CODE(A18)</f>
        <v>84</v>
      </c>
      <c r="C18" s="13" t="s">
        <v>8</v>
      </c>
      <c r="D18" s="15" t="s">
        <v>11</v>
      </c>
      <c r="E18" s="13" t="s">
        <v>4</v>
      </c>
      <c r="F18" s="16" t="s">
        <v>53</v>
      </c>
      <c r="G18" s="16" t="s">
        <v>56</v>
      </c>
      <c r="H18" s="14">
        <v>2</v>
      </c>
      <c r="J18" s="14"/>
    </row>
    <row r="19" spans="1:10" s="14" customFormat="1">
      <c r="A19" s="13" t="s">
        <v>40</v>
      </c>
      <c r="B19" s="9">
        <f>CODE(A19)</f>
        <v>108</v>
      </c>
      <c r="C19" s="5" t="s">
        <v>8</v>
      </c>
      <c r="D19" s="9" t="s">
        <v>11</v>
      </c>
      <c r="E19" s="5" t="s">
        <v>4</v>
      </c>
      <c r="F19" s="10" t="s">
        <v>17</v>
      </c>
      <c r="G19" s="10" t="s">
        <v>28</v>
      </c>
      <c r="H19" s="6">
        <v>3</v>
      </c>
    </row>
    <row r="20" spans="1:10" s="6" customFormat="1">
      <c r="A20" s="13" t="s">
        <v>60</v>
      </c>
      <c r="B20" s="15">
        <f>CODE(A20)</f>
        <v>76</v>
      </c>
      <c r="C20" s="13" t="s">
        <v>8</v>
      </c>
      <c r="D20" s="15" t="s">
        <v>11</v>
      </c>
      <c r="E20" s="13" t="s">
        <v>4</v>
      </c>
      <c r="F20" s="16" t="s">
        <v>61</v>
      </c>
      <c r="G20" s="16" t="s">
        <v>64</v>
      </c>
      <c r="H20" s="14">
        <v>3</v>
      </c>
      <c r="J20" s="14"/>
    </row>
    <row r="21" spans="1:10" s="14" customFormat="1">
      <c r="A21" s="13" t="s">
        <v>41</v>
      </c>
      <c r="B21" s="9">
        <f>CODE(A21)</f>
        <v>111</v>
      </c>
      <c r="C21" s="5" t="s">
        <v>8</v>
      </c>
      <c r="D21" s="9" t="s">
        <v>11</v>
      </c>
      <c r="E21" s="5" t="s">
        <v>4</v>
      </c>
      <c r="F21" s="10" t="s">
        <v>18</v>
      </c>
      <c r="G21" s="10" t="s">
        <v>29</v>
      </c>
      <c r="H21" s="6">
        <v>3</v>
      </c>
    </row>
    <row r="22" spans="1:10" s="6" customFormat="1">
      <c r="A22" s="13" t="s">
        <v>62</v>
      </c>
      <c r="B22" s="15">
        <f>CODE(A22)</f>
        <v>79</v>
      </c>
      <c r="C22" s="13" t="s">
        <v>8</v>
      </c>
      <c r="D22" s="15" t="s">
        <v>11</v>
      </c>
      <c r="E22" s="13" t="s">
        <v>4</v>
      </c>
      <c r="F22" s="16" t="s">
        <v>63</v>
      </c>
      <c r="G22" s="16" t="s">
        <v>65</v>
      </c>
      <c r="H22" s="14">
        <v>3</v>
      </c>
      <c r="J22" s="14"/>
    </row>
    <row r="23" spans="1:10" s="6" customFormat="1">
      <c r="A23" s="13" t="s">
        <v>42</v>
      </c>
      <c r="B23" s="9">
        <f>CODE(A23)</f>
        <v>112</v>
      </c>
      <c r="C23" s="5" t="s">
        <v>8</v>
      </c>
      <c r="D23" s="9" t="s">
        <v>11</v>
      </c>
      <c r="E23" s="5" t="s">
        <v>4</v>
      </c>
      <c r="F23" s="10" t="s">
        <v>19</v>
      </c>
      <c r="G23" s="10" t="s">
        <v>69</v>
      </c>
      <c r="H23" s="6">
        <v>3</v>
      </c>
      <c r="J23" s="14"/>
    </row>
    <row r="24" spans="1:10" s="6" customFormat="1">
      <c r="A24" s="13" t="s">
        <v>66</v>
      </c>
      <c r="B24" s="15">
        <f>CODE(A24)</f>
        <v>80</v>
      </c>
      <c r="C24" s="13" t="s">
        <v>8</v>
      </c>
      <c r="D24" s="15" t="s">
        <v>11</v>
      </c>
      <c r="E24" s="13" t="s">
        <v>4</v>
      </c>
      <c r="F24" s="16" t="s">
        <v>10</v>
      </c>
      <c r="G24" s="16" t="s">
        <v>68</v>
      </c>
      <c r="H24" s="14">
        <v>3</v>
      </c>
      <c r="J24" s="14"/>
    </row>
    <row r="25" spans="1:10" s="6" customFormat="1">
      <c r="A25" s="13" t="s">
        <v>43</v>
      </c>
      <c r="B25" s="9">
        <f>CODE(A25)</f>
        <v>113</v>
      </c>
      <c r="C25" s="5" t="s">
        <v>8</v>
      </c>
      <c r="D25" s="9" t="s">
        <v>11</v>
      </c>
      <c r="E25" s="5" t="s">
        <v>4</v>
      </c>
      <c r="F25" s="10" t="s">
        <v>10</v>
      </c>
      <c r="G25" s="10" t="s">
        <v>30</v>
      </c>
      <c r="H25" s="6">
        <v>3</v>
      </c>
      <c r="J25" s="14"/>
    </row>
    <row r="26" spans="1:10" s="6" customFormat="1">
      <c r="A26" s="13" t="s">
        <v>67</v>
      </c>
      <c r="B26" s="15">
        <f>CODE(A26)</f>
        <v>81</v>
      </c>
      <c r="C26" s="13" t="s">
        <v>8</v>
      </c>
      <c r="D26" s="15" t="s">
        <v>11</v>
      </c>
      <c r="E26" s="13" t="s">
        <v>4</v>
      </c>
      <c r="F26" s="16" t="s">
        <v>19</v>
      </c>
      <c r="G26" s="16" t="s">
        <v>70</v>
      </c>
      <c r="H26" s="14">
        <v>3</v>
      </c>
      <c r="J26" s="14"/>
    </row>
    <row r="27" spans="1:10" s="6" customFormat="1">
      <c r="A27" s="13" t="s">
        <v>74</v>
      </c>
      <c r="B27" s="15">
        <f>CODE(A27)</f>
        <v>88</v>
      </c>
      <c r="C27" s="13" t="s">
        <v>8</v>
      </c>
      <c r="D27" s="15" t="s">
        <v>11</v>
      </c>
      <c r="E27" s="13" t="s">
        <v>4</v>
      </c>
      <c r="F27" s="16" t="s">
        <v>100</v>
      </c>
      <c r="G27" s="16" t="s">
        <v>75</v>
      </c>
      <c r="H27" s="14">
        <v>4</v>
      </c>
      <c r="J27" s="14"/>
    </row>
    <row r="28" spans="1:10" s="6" customFormat="1">
      <c r="A28" s="13" t="s">
        <v>76</v>
      </c>
      <c r="B28" s="15">
        <f>CODE(A28)</f>
        <v>114</v>
      </c>
      <c r="C28" s="13" t="s">
        <v>8</v>
      </c>
      <c r="D28" s="15" t="s">
        <v>11</v>
      </c>
      <c r="E28" s="13" t="s">
        <v>4</v>
      </c>
      <c r="F28" s="16" t="s">
        <v>77</v>
      </c>
      <c r="G28" s="17" t="s">
        <v>78</v>
      </c>
      <c r="H28" s="14">
        <v>4</v>
      </c>
      <c r="J28" s="14"/>
    </row>
    <row r="29" spans="1:10" s="6" customFormat="1">
      <c r="A29" s="13" t="s">
        <v>79</v>
      </c>
      <c r="B29" s="15">
        <f>CODE(A29)</f>
        <v>82</v>
      </c>
      <c r="C29" s="13" t="s">
        <v>8</v>
      </c>
      <c r="D29" s="15" t="s">
        <v>11</v>
      </c>
      <c r="E29" s="13" t="s">
        <v>4</v>
      </c>
      <c r="F29" s="16" t="s">
        <v>80</v>
      </c>
      <c r="G29" s="17" t="s">
        <v>81</v>
      </c>
      <c r="H29" s="14">
        <v>4</v>
      </c>
      <c r="J29" s="14"/>
    </row>
    <row r="30" spans="1:10" s="6" customFormat="1">
      <c r="A30" s="13" t="s">
        <v>89</v>
      </c>
      <c r="B30" s="15">
        <f>CODE(A30)</f>
        <v>109</v>
      </c>
      <c r="C30" s="13" t="s">
        <v>8</v>
      </c>
      <c r="D30" s="15" t="s">
        <v>11</v>
      </c>
      <c r="E30" s="13" t="s">
        <v>4</v>
      </c>
      <c r="F30" s="17" t="s">
        <v>83</v>
      </c>
      <c r="G30" s="17" t="s">
        <v>84</v>
      </c>
      <c r="H30" s="14">
        <v>5</v>
      </c>
      <c r="J30" s="14"/>
    </row>
    <row r="31" spans="1:10" s="6" customFormat="1">
      <c r="A31" s="13" t="s">
        <v>82</v>
      </c>
      <c r="B31" s="15">
        <f>CODE(A31)</f>
        <v>77</v>
      </c>
      <c r="C31" s="13" t="s">
        <v>8</v>
      </c>
      <c r="D31" s="15" t="s">
        <v>11</v>
      </c>
      <c r="E31" s="13" t="s">
        <v>4</v>
      </c>
      <c r="F31" s="17" t="s">
        <v>90</v>
      </c>
      <c r="G31" s="17" t="s">
        <v>91</v>
      </c>
      <c r="H31" s="14">
        <v>5</v>
      </c>
      <c r="J31" s="14"/>
    </row>
    <row r="32" spans="1:10" s="6" customFormat="1">
      <c r="A32" s="13" t="s">
        <v>95</v>
      </c>
      <c r="B32" s="15">
        <f>CODE(A32)</f>
        <v>100</v>
      </c>
      <c r="C32" s="13" t="s">
        <v>8</v>
      </c>
      <c r="D32" s="15" t="s">
        <v>11</v>
      </c>
      <c r="E32" s="13" t="s">
        <v>4</v>
      </c>
      <c r="F32" s="17" t="s">
        <v>86</v>
      </c>
      <c r="G32" s="17" t="s">
        <v>87</v>
      </c>
      <c r="H32" s="14">
        <v>5</v>
      </c>
      <c r="J32" s="14"/>
    </row>
    <row r="33" spans="1:10" s="6" customFormat="1">
      <c r="A33" s="13" t="s">
        <v>85</v>
      </c>
      <c r="B33" s="15">
        <f>CODE(A33)</f>
        <v>68</v>
      </c>
      <c r="C33" s="13" t="s">
        <v>8</v>
      </c>
      <c r="D33" s="15" t="s">
        <v>11</v>
      </c>
      <c r="E33" s="13" t="s">
        <v>4</v>
      </c>
      <c r="F33" s="17" t="s">
        <v>97</v>
      </c>
      <c r="G33" s="17" t="s">
        <v>96</v>
      </c>
      <c r="H33" s="14">
        <v>5</v>
      </c>
      <c r="J33" s="14"/>
    </row>
    <row r="34" spans="1:10" s="6" customFormat="1">
      <c r="A34" s="13" t="s">
        <v>98</v>
      </c>
      <c r="B34" s="15">
        <f>CODE(A34)</f>
        <v>107</v>
      </c>
      <c r="C34" s="13" t="s">
        <v>8</v>
      </c>
      <c r="D34" s="15" t="s">
        <v>11</v>
      </c>
      <c r="E34" s="13" t="s">
        <v>4</v>
      </c>
      <c r="F34" s="17" t="s">
        <v>88</v>
      </c>
      <c r="G34" s="17" t="s">
        <v>99</v>
      </c>
      <c r="H34" s="14">
        <v>5</v>
      </c>
      <c r="J34" s="14"/>
    </row>
    <row r="35" spans="1:10" s="6" customFormat="1">
      <c r="B35" s="5"/>
      <c r="C35" s="5"/>
      <c r="D35" s="5"/>
      <c r="E35" s="5"/>
      <c r="J35" s="14"/>
    </row>
    <row r="36" spans="1:10" s="6" customFormat="1">
      <c r="B36" s="5"/>
      <c r="C36" s="5"/>
      <c r="D36" s="5"/>
      <c r="E36" s="5"/>
      <c r="J36" s="14"/>
    </row>
    <row r="37" spans="1:10" s="6" customFormat="1">
      <c r="A37" s="18" t="str">
        <f>A5</f>
        <v>w</v>
      </c>
      <c r="B37" s="18">
        <f t="shared" ref="B37:H37" si="0">B5</f>
        <v>119</v>
      </c>
      <c r="C37" s="18" t="str">
        <f t="shared" si="0"/>
        <v>ExitIfNim</v>
      </c>
      <c r="D37" s="18" t="s">
        <v>50</v>
      </c>
      <c r="E37" s="18" t="str">
        <f t="shared" si="0"/>
        <v>CM_NORMAL</v>
      </c>
      <c r="F37" s="19" t="str">
        <f t="shared" si="0"/>
        <v>ITM_XexY</v>
      </c>
      <c r="G37" s="19" t="str">
        <f t="shared" si="0"/>
        <v>s[w]ap</v>
      </c>
      <c r="H37" s="19">
        <f t="shared" si="0"/>
        <v>0</v>
      </c>
      <c r="J37" s="14"/>
    </row>
    <row r="38" spans="1:10" s="6" customFormat="1">
      <c r="A38" s="18" t="str">
        <f t="shared" ref="A38:H38" si="1">A6</f>
        <v>x</v>
      </c>
      <c r="B38" s="18">
        <f t="shared" si="1"/>
        <v>120</v>
      </c>
      <c r="C38" s="18" t="str">
        <f t="shared" si="1"/>
        <v>ExitIfNim</v>
      </c>
      <c r="D38" s="18" t="s">
        <v>50</v>
      </c>
      <c r="E38" s="18" t="str">
        <f t="shared" si="1"/>
        <v>CM_NORMAL</v>
      </c>
      <c r="F38" s="19" t="str">
        <f t="shared" si="1"/>
        <v>ITM_XEQ</v>
      </c>
      <c r="G38" s="19" t="str">
        <f t="shared" si="1"/>
        <v>[x]eq</v>
      </c>
      <c r="H38" s="19">
        <f t="shared" si="1"/>
        <v>0</v>
      </c>
      <c r="J38" s="14"/>
    </row>
    <row r="39" spans="1:10" s="6" customFormat="1">
      <c r="A39" s="18" t="str">
        <f t="shared" ref="A39:H39" si="2">A7</f>
        <v>=</v>
      </c>
      <c r="B39" s="18">
        <f t="shared" si="2"/>
        <v>61</v>
      </c>
      <c r="C39" s="18" t="str">
        <f t="shared" si="2"/>
        <v>ExitIfNim</v>
      </c>
      <c r="D39" s="18" t="s">
        <v>50</v>
      </c>
      <c r="E39" s="18" t="str">
        <f t="shared" si="2"/>
        <v>CM_NORMAL</v>
      </c>
      <c r="F39" s="19" t="str">
        <f t="shared" si="2"/>
        <v>ITM_DRG</v>
      </c>
      <c r="G39" s="19" t="str">
        <f t="shared" si="2"/>
        <v>[=]&gt;D,R,G</v>
      </c>
      <c r="H39" s="19">
        <f t="shared" si="2"/>
        <v>1</v>
      </c>
      <c r="J39" s="14"/>
    </row>
    <row r="40" spans="1:10" s="6" customFormat="1">
      <c r="A40" s="18" t="str">
        <f t="shared" ref="A40:H40" si="3">A8</f>
        <v>a</v>
      </c>
      <c r="B40" s="18">
        <f t="shared" si="3"/>
        <v>97</v>
      </c>
      <c r="C40" s="18" t="str">
        <f t="shared" si="3"/>
        <v>ExitIfNim</v>
      </c>
      <c r="D40" s="18" t="s">
        <v>50</v>
      </c>
      <c r="E40" s="18" t="str">
        <f t="shared" si="3"/>
        <v>CM_NORMAL</v>
      </c>
      <c r="F40" s="19" t="str">
        <f t="shared" si="3"/>
        <v>ITM_SIGMAPLUS</v>
      </c>
      <c r="G40" s="19" t="str">
        <f t="shared" si="3"/>
        <v>[a]ccumulate</v>
      </c>
      <c r="H40" s="19">
        <f t="shared" si="3"/>
        <v>1</v>
      </c>
      <c r="J40" s="14"/>
    </row>
    <row r="41" spans="1:10" s="6" customFormat="1">
      <c r="A41" s="18" t="str">
        <f t="shared" ref="A41:H41" si="4">A9</f>
        <v>v</v>
      </c>
      <c r="B41" s="18">
        <f t="shared" si="4"/>
        <v>118</v>
      </c>
      <c r="C41" s="18" t="str">
        <f t="shared" si="4"/>
        <v>ExitIfNim</v>
      </c>
      <c r="D41" s="18" t="s">
        <v>50</v>
      </c>
      <c r="E41" s="18" t="str">
        <f t="shared" si="4"/>
        <v>CM_NORMAL</v>
      </c>
      <c r="F41" s="19" t="str">
        <f t="shared" si="4"/>
        <v>ITM_1ONX</v>
      </c>
      <c r="G41" s="19" t="str">
        <f t="shared" si="4"/>
        <v>in[v]erse</v>
      </c>
      <c r="H41" s="19">
        <f t="shared" si="4"/>
        <v>1</v>
      </c>
      <c r="J41" s="14"/>
    </row>
    <row r="42" spans="1:10" s="6" customFormat="1">
      <c r="A42" s="18" t="str">
        <f t="shared" ref="A42:H42" si="5">A10</f>
        <v>y</v>
      </c>
      <c r="B42" s="18">
        <f t="shared" si="5"/>
        <v>121</v>
      </c>
      <c r="C42" s="18" t="str">
        <f t="shared" si="5"/>
        <v>ExitIfNim</v>
      </c>
      <c r="D42" s="18" t="s">
        <v>50</v>
      </c>
      <c r="E42" s="18" t="str">
        <f t="shared" si="5"/>
        <v>CM_NORMAL</v>
      </c>
      <c r="F42" s="19" t="str">
        <f t="shared" si="5"/>
        <v>ITM_YX</v>
      </c>
      <c r="G42" s="19" t="str">
        <f t="shared" si="5"/>
        <v>[y]^x</v>
      </c>
      <c r="H42" s="19">
        <f t="shared" si="5"/>
        <v>1</v>
      </c>
      <c r="J42" s="14"/>
    </row>
    <row r="43" spans="1:10" s="6" customFormat="1">
      <c r="A43" s="18" t="str">
        <f t="shared" ref="A43:H43" si="6">A11</f>
        <v>n</v>
      </c>
      <c r="B43" s="18">
        <f t="shared" si="6"/>
        <v>110</v>
      </c>
      <c r="C43" s="18" t="str">
        <f t="shared" si="6"/>
        <v>ExitIfNim</v>
      </c>
      <c r="D43" s="18" t="s">
        <v>50</v>
      </c>
      <c r="E43" s="18" t="str">
        <f t="shared" si="6"/>
        <v>CM_NORMAL</v>
      </c>
      <c r="F43" s="19" t="str">
        <f t="shared" si="6"/>
        <v>ITM_CHS</v>
      </c>
      <c r="G43" s="19" t="str">
        <f t="shared" si="6"/>
        <v>CHS [n]egative</v>
      </c>
      <c r="H43" s="19">
        <f t="shared" si="6"/>
        <v>1</v>
      </c>
      <c r="J43" s="14"/>
    </row>
    <row r="44" spans="1:10" s="6" customFormat="1">
      <c r="A44" s="18" t="str">
        <f t="shared" ref="A44:H44" si="7">A12</f>
        <v>Y</v>
      </c>
      <c r="B44" s="18">
        <f t="shared" si="7"/>
        <v>89</v>
      </c>
      <c r="C44" s="18" t="str">
        <f t="shared" si="7"/>
        <v>ExitIfNim</v>
      </c>
      <c r="D44" s="18" t="s">
        <v>50</v>
      </c>
      <c r="E44" s="18" t="str">
        <f t="shared" si="7"/>
        <v>CM_NORMAL</v>
      </c>
      <c r="F44" s="19" t="str">
        <f t="shared" si="7"/>
        <v>ITM_XTHROOT</v>
      </c>
      <c r="G44" s="19" t="str">
        <f t="shared" si="7"/>
        <v>xth root of [Y]</v>
      </c>
      <c r="H44" s="19">
        <f t="shared" si="7"/>
        <v>2</v>
      </c>
      <c r="J44" s="14"/>
    </row>
    <row r="45" spans="1:10" s="6" customFormat="1">
      <c r="A45" s="18" t="str">
        <f t="shared" ref="A45:H45" si="8">A13</f>
        <v>c</v>
      </c>
      <c r="B45" s="18">
        <f t="shared" si="8"/>
        <v>99</v>
      </c>
      <c r="C45" s="18" t="str">
        <f t="shared" si="8"/>
        <v>ExitIfNim</v>
      </c>
      <c r="D45" s="18" t="s">
        <v>50</v>
      </c>
      <c r="E45" s="18" t="str">
        <f t="shared" si="8"/>
        <v>CM_NORMAL</v>
      </c>
      <c r="F45" s="19" t="str">
        <f t="shared" si="8"/>
        <v>ITM_cos</v>
      </c>
      <c r="G45" s="19" t="str">
        <f t="shared" si="8"/>
        <v>[c]osine</v>
      </c>
      <c r="H45" s="19">
        <f t="shared" si="8"/>
        <v>2</v>
      </c>
      <c r="J45" s="14"/>
    </row>
    <row r="46" spans="1:10" s="6" customFormat="1">
      <c r="A46" s="18" t="str">
        <f t="shared" ref="A46:H46" si="9">A14</f>
        <v>s</v>
      </c>
      <c r="B46" s="18">
        <f t="shared" si="9"/>
        <v>115</v>
      </c>
      <c r="C46" s="18" t="str">
        <f t="shared" si="9"/>
        <v>ExitIfNim</v>
      </c>
      <c r="D46" s="18" t="s">
        <v>50</v>
      </c>
      <c r="E46" s="18" t="str">
        <f t="shared" si="9"/>
        <v>CM_NORMAL</v>
      </c>
      <c r="F46" s="19" t="str">
        <f t="shared" si="9"/>
        <v>ITM_sin</v>
      </c>
      <c r="G46" s="19" t="str">
        <f t="shared" si="9"/>
        <v>[s]ine</v>
      </c>
      <c r="H46" s="19">
        <f t="shared" si="9"/>
        <v>2</v>
      </c>
      <c r="J46" s="14"/>
    </row>
    <row r="47" spans="1:10" s="14" customFormat="1">
      <c r="A47" s="18" t="str">
        <f t="shared" ref="A47:H47" si="10">A15</f>
        <v>t</v>
      </c>
      <c r="B47" s="18">
        <f t="shared" si="10"/>
        <v>116</v>
      </c>
      <c r="C47" s="18" t="str">
        <f t="shared" si="10"/>
        <v>ExitIfNim</v>
      </c>
      <c r="D47" s="18" t="s">
        <v>50</v>
      </c>
      <c r="E47" s="18" t="str">
        <f t="shared" si="10"/>
        <v>CM_NORMAL</v>
      </c>
      <c r="F47" s="19" t="str">
        <f t="shared" si="10"/>
        <v>ITM_tan</v>
      </c>
      <c r="G47" s="19" t="str">
        <f t="shared" si="10"/>
        <v>[t]angent</v>
      </c>
      <c r="H47" s="19">
        <f t="shared" si="10"/>
        <v>2</v>
      </c>
    </row>
    <row r="48" spans="1:10" s="14" customFormat="1">
      <c r="A48" s="18" t="str">
        <f t="shared" ref="A48:H48" si="11">A16</f>
        <v>C</v>
      </c>
      <c r="B48" s="18">
        <f t="shared" si="11"/>
        <v>67</v>
      </c>
      <c r="C48" s="18" t="str">
        <f t="shared" si="11"/>
        <v>ExitIfNim</v>
      </c>
      <c r="D48" s="18" t="s">
        <v>50</v>
      </c>
      <c r="E48" s="18" t="str">
        <f t="shared" si="11"/>
        <v>CM_NORMAL</v>
      </c>
      <c r="F48" s="19" t="str">
        <f t="shared" si="11"/>
        <v>ITM_arccos</v>
      </c>
      <c r="G48" s="19" t="str">
        <f t="shared" si="11"/>
        <v>arc[C]osine</v>
      </c>
      <c r="H48" s="19">
        <f t="shared" si="11"/>
        <v>2</v>
      </c>
    </row>
    <row r="49" spans="1:10" s="14" customFormat="1">
      <c r="A49" s="18" t="str">
        <f t="shared" ref="A49:H49" si="12">A17</f>
        <v>S</v>
      </c>
      <c r="B49" s="18">
        <f t="shared" si="12"/>
        <v>83</v>
      </c>
      <c r="C49" s="18" t="str">
        <f t="shared" si="12"/>
        <v>ExitIfNim</v>
      </c>
      <c r="D49" s="18" t="s">
        <v>50</v>
      </c>
      <c r="E49" s="18" t="str">
        <f t="shared" si="12"/>
        <v>CM_NORMAL</v>
      </c>
      <c r="F49" s="19" t="str">
        <f t="shared" si="12"/>
        <v>ITM_arcsin</v>
      </c>
      <c r="G49" s="19" t="str">
        <f t="shared" si="12"/>
        <v>arc[S]ine</v>
      </c>
      <c r="H49" s="19">
        <f t="shared" si="12"/>
        <v>2</v>
      </c>
    </row>
    <row r="50" spans="1:10" s="6" customFormat="1">
      <c r="A50" s="18" t="str">
        <f t="shared" ref="A50:H50" si="13">A18</f>
        <v>T</v>
      </c>
      <c r="B50" s="18">
        <f t="shared" si="13"/>
        <v>84</v>
      </c>
      <c r="C50" s="18" t="str">
        <f t="shared" si="13"/>
        <v>ExitIfNim</v>
      </c>
      <c r="D50" s="18" t="s">
        <v>50</v>
      </c>
      <c r="E50" s="18" t="str">
        <f t="shared" si="13"/>
        <v>CM_NORMAL</v>
      </c>
      <c r="F50" s="19" t="str">
        <f t="shared" si="13"/>
        <v>ITM_arctan</v>
      </c>
      <c r="G50" s="19" t="str">
        <f t="shared" si="13"/>
        <v>arc[T]angent</v>
      </c>
      <c r="H50" s="19">
        <f t="shared" si="13"/>
        <v>2</v>
      </c>
      <c r="J50" s="14"/>
    </row>
    <row r="51" spans="1:10" s="14" customFormat="1">
      <c r="A51" s="18" t="str">
        <f t="shared" ref="A51:H51" si="14">A19</f>
        <v>l</v>
      </c>
      <c r="B51" s="18">
        <f t="shared" si="14"/>
        <v>108</v>
      </c>
      <c r="C51" s="18" t="str">
        <f t="shared" si="14"/>
        <v>ExitIfNim</v>
      </c>
      <c r="D51" s="18" t="s">
        <v>50</v>
      </c>
      <c r="E51" s="18" t="str">
        <f t="shared" si="14"/>
        <v>CM_NORMAL</v>
      </c>
      <c r="F51" s="19" t="str">
        <f t="shared" si="14"/>
        <v>ITM_LN</v>
      </c>
      <c r="G51" s="19" t="str">
        <f t="shared" si="14"/>
        <v>[l]n</v>
      </c>
      <c r="H51" s="19">
        <f t="shared" si="14"/>
        <v>3</v>
      </c>
    </row>
    <row r="52" spans="1:10" s="6" customFormat="1">
      <c r="A52" s="18" t="str">
        <f t="shared" ref="A52:H52" si="15">A20</f>
        <v>L</v>
      </c>
      <c r="B52" s="18">
        <f t="shared" si="15"/>
        <v>76</v>
      </c>
      <c r="C52" s="18" t="str">
        <f t="shared" si="15"/>
        <v>ExitIfNim</v>
      </c>
      <c r="D52" s="18" t="s">
        <v>50</v>
      </c>
      <c r="E52" s="18" t="str">
        <f t="shared" si="15"/>
        <v>CM_NORMAL</v>
      </c>
      <c r="F52" s="19" t="str">
        <f t="shared" si="15"/>
        <v>ITM_EXP</v>
      </c>
      <c r="G52" s="19" t="str">
        <f t="shared" si="15"/>
        <v>anti[L]n e^x</v>
      </c>
      <c r="H52" s="19">
        <f t="shared" si="15"/>
        <v>3</v>
      </c>
      <c r="J52" s="14"/>
    </row>
    <row r="53" spans="1:10" s="14" customFormat="1">
      <c r="A53" s="18" t="str">
        <f t="shared" ref="A53:H53" si="16">A21</f>
        <v>o</v>
      </c>
      <c r="B53" s="18">
        <f t="shared" si="16"/>
        <v>111</v>
      </c>
      <c r="C53" s="18" t="str">
        <f t="shared" si="16"/>
        <v>ExitIfNim</v>
      </c>
      <c r="D53" s="18" t="s">
        <v>50</v>
      </c>
      <c r="E53" s="18" t="str">
        <f t="shared" si="16"/>
        <v>CM_NORMAL</v>
      </c>
      <c r="F53" s="19" t="str">
        <f t="shared" si="16"/>
        <v>ITM_LOG10</v>
      </c>
      <c r="G53" s="19" t="str">
        <f t="shared" si="16"/>
        <v>l[o]g</v>
      </c>
      <c r="H53" s="19">
        <f t="shared" si="16"/>
        <v>3</v>
      </c>
    </row>
    <row r="54" spans="1:10" s="6" customFormat="1">
      <c r="A54" s="18" t="str">
        <f t="shared" ref="A54:H54" si="17">A22</f>
        <v>O</v>
      </c>
      <c r="B54" s="18">
        <f t="shared" si="17"/>
        <v>79</v>
      </c>
      <c r="C54" s="18" t="str">
        <f t="shared" si="17"/>
        <v>ExitIfNim</v>
      </c>
      <c r="D54" s="18" t="s">
        <v>50</v>
      </c>
      <c r="E54" s="18" t="str">
        <f t="shared" si="17"/>
        <v>CM_NORMAL</v>
      </c>
      <c r="F54" s="19" t="str">
        <f t="shared" si="17"/>
        <v>ITM_10x</v>
      </c>
      <c r="G54" s="19" t="str">
        <f t="shared" si="17"/>
        <v>antil(O)g 10^x</v>
      </c>
      <c r="H54" s="19">
        <f t="shared" si="17"/>
        <v>3</v>
      </c>
      <c r="J54" s="14"/>
    </row>
    <row r="55" spans="1:10" s="6" customFormat="1">
      <c r="A55" s="18" t="str">
        <f t="shared" ref="A55:H55" si="18">A23</f>
        <v>p</v>
      </c>
      <c r="B55" s="18">
        <f t="shared" si="18"/>
        <v>112</v>
      </c>
      <c r="C55" s="18" t="str">
        <f t="shared" si="18"/>
        <v>ExitIfNim</v>
      </c>
      <c r="D55" s="18" t="s">
        <v>50</v>
      </c>
      <c r="E55" s="18" t="str">
        <f t="shared" si="18"/>
        <v>CM_NORMAL</v>
      </c>
      <c r="F55" s="19" t="str">
        <f t="shared" si="18"/>
        <v>ITM_SQUARE</v>
      </c>
      <c r="G55" s="19" t="str">
        <f t="shared" si="18"/>
        <v>[p]ower (Square)</v>
      </c>
      <c r="H55" s="19">
        <f t="shared" si="18"/>
        <v>3</v>
      </c>
      <c r="J55" s="14"/>
    </row>
    <row r="56" spans="1:10" s="6" customFormat="1">
      <c r="A56" s="18" t="str">
        <f t="shared" ref="A56:H56" si="19">A24</f>
        <v>P</v>
      </c>
      <c r="B56" s="18">
        <f t="shared" si="19"/>
        <v>80</v>
      </c>
      <c r="C56" s="18" t="str">
        <f t="shared" si="19"/>
        <v>ExitIfNim</v>
      </c>
      <c r="D56" s="18" t="s">
        <v>50</v>
      </c>
      <c r="E56" s="18" t="str">
        <f t="shared" si="19"/>
        <v>CM_NORMAL</v>
      </c>
      <c r="F56" s="19" t="str">
        <f t="shared" si="19"/>
        <v>ITM_SQUAREROOTX</v>
      </c>
      <c r="G56" s="19" t="str">
        <f t="shared" si="19"/>
        <v>sqrt (inverse [P]ower)</v>
      </c>
      <c r="H56" s="19">
        <f t="shared" si="19"/>
        <v>3</v>
      </c>
      <c r="J56" s="14"/>
    </row>
    <row r="57" spans="1:10" s="6" customFormat="1">
      <c r="A57" s="18" t="str">
        <f t="shared" ref="A57:H57" si="20">A25</f>
        <v>q</v>
      </c>
      <c r="B57" s="18">
        <f t="shared" si="20"/>
        <v>113</v>
      </c>
      <c r="C57" s="18" t="str">
        <f t="shared" si="20"/>
        <v>ExitIfNim</v>
      </c>
      <c r="D57" s="18" t="s">
        <v>50</v>
      </c>
      <c r="E57" s="18" t="str">
        <f t="shared" si="20"/>
        <v>CM_NORMAL</v>
      </c>
      <c r="F57" s="19" t="str">
        <f t="shared" si="20"/>
        <v>ITM_SQUAREROOTX</v>
      </c>
      <c r="G57" s="19" t="str">
        <f t="shared" si="20"/>
        <v>s[q]rt</v>
      </c>
      <c r="H57" s="19">
        <f t="shared" si="20"/>
        <v>3</v>
      </c>
      <c r="J57" s="14"/>
    </row>
    <row r="58" spans="1:10" s="6" customFormat="1">
      <c r="A58" s="18" t="str">
        <f t="shared" ref="A58:H58" si="21">A26</f>
        <v>Q</v>
      </c>
      <c r="B58" s="18">
        <f t="shared" si="21"/>
        <v>81</v>
      </c>
      <c r="C58" s="18" t="str">
        <f t="shared" si="21"/>
        <v>ExitIfNim</v>
      </c>
      <c r="D58" s="18" t="s">
        <v>50</v>
      </c>
      <c r="E58" s="18" t="str">
        <f t="shared" si="21"/>
        <v>CM_NORMAL</v>
      </c>
      <c r="F58" s="19" t="str">
        <f t="shared" si="21"/>
        <v>ITM_SQUARE</v>
      </c>
      <c r="G58" s="19" t="str">
        <f t="shared" si="21"/>
        <v>power (s[Q]uare)</v>
      </c>
      <c r="H58" s="19">
        <f t="shared" si="21"/>
        <v>3</v>
      </c>
      <c r="J58" s="14"/>
    </row>
    <row r="59" spans="1:10" s="6" customFormat="1">
      <c r="A59" s="18" t="str">
        <f t="shared" ref="A59:H59" si="22">A27</f>
        <v>X</v>
      </c>
      <c r="B59" s="18">
        <f t="shared" si="22"/>
        <v>88</v>
      </c>
      <c r="C59" s="18" t="str">
        <f t="shared" si="22"/>
        <v>ExitIfNim</v>
      </c>
      <c r="D59" s="18" t="s">
        <v>50</v>
      </c>
      <c r="E59" s="18" t="str">
        <f t="shared" si="22"/>
        <v>CM_NORMAL</v>
      </c>
      <c r="F59" s="19" t="str">
        <f t="shared" si="22"/>
        <v>KEY_COMPLEX</v>
      </c>
      <c r="G59" s="19" t="str">
        <f t="shared" si="22"/>
        <v>comple[X]</v>
      </c>
      <c r="H59" s="19">
        <f t="shared" si="22"/>
        <v>4</v>
      </c>
      <c r="J59" s="14"/>
    </row>
    <row r="60" spans="1:10" s="6" customFormat="1">
      <c r="A60" s="18" t="str">
        <f t="shared" ref="A60:H60" si="23">A28</f>
        <v>r</v>
      </c>
      <c r="B60" s="18">
        <f t="shared" si="23"/>
        <v>114</v>
      </c>
      <c r="C60" s="18" t="str">
        <f t="shared" si="23"/>
        <v>ExitIfNim</v>
      </c>
      <c r="D60" s="18" t="s">
        <v>50</v>
      </c>
      <c r="E60" s="18" t="str">
        <f t="shared" si="23"/>
        <v>CM_NORMAL</v>
      </c>
      <c r="F60" s="19" t="str">
        <f t="shared" si="23"/>
        <v>ITM_toREC2</v>
      </c>
      <c r="G60" s="19" t="str">
        <f t="shared" si="23"/>
        <v>-&gt;[r]ect</v>
      </c>
      <c r="H60" s="19">
        <f t="shared" si="23"/>
        <v>4</v>
      </c>
      <c r="J60" s="14"/>
    </row>
    <row r="61" spans="1:10" s="6" customFormat="1">
      <c r="A61" s="18" t="str">
        <f t="shared" ref="A61:H61" si="24">A29</f>
        <v>R</v>
      </c>
      <c r="B61" s="18">
        <f t="shared" si="24"/>
        <v>82</v>
      </c>
      <c r="C61" s="18" t="str">
        <f t="shared" si="24"/>
        <v>ExitIfNim</v>
      </c>
      <c r="D61" s="18" t="s">
        <v>50</v>
      </c>
      <c r="E61" s="18" t="str">
        <f t="shared" si="24"/>
        <v>CM_NORMAL</v>
      </c>
      <c r="F61" s="19" t="str">
        <f t="shared" si="24"/>
        <v>ITM_toPOL2</v>
      </c>
      <c r="G61" s="19" t="str">
        <f t="shared" si="24"/>
        <v>-&gt;pola[R]</v>
      </c>
      <c r="H61" s="19">
        <f t="shared" si="24"/>
        <v>4</v>
      </c>
      <c r="J61" s="14"/>
    </row>
    <row r="62" spans="1:10" s="6" customFormat="1">
      <c r="A62" s="18" t="str">
        <f t="shared" ref="A62:H62" si="25">A30</f>
        <v>m</v>
      </c>
      <c r="B62" s="18">
        <f t="shared" si="25"/>
        <v>109</v>
      </c>
      <c r="C62" s="18" t="str">
        <f t="shared" si="25"/>
        <v>ExitIfNim</v>
      </c>
      <c r="D62" s="18" t="s">
        <v>50</v>
      </c>
      <c r="E62" s="18" t="str">
        <f t="shared" si="25"/>
        <v>CM_NORMAL</v>
      </c>
      <c r="F62" s="19" t="str">
        <f t="shared" si="25"/>
        <v>-MNU_MODE</v>
      </c>
      <c r="G62" s="19" t="str">
        <f t="shared" si="25"/>
        <v>[M]ODE</v>
      </c>
      <c r="H62" s="19">
        <f t="shared" si="25"/>
        <v>5</v>
      </c>
      <c r="J62" s="14"/>
    </row>
    <row r="63" spans="1:10" s="6" customFormat="1">
      <c r="A63" s="18" t="str">
        <f t="shared" ref="A63:H63" si="26">A31</f>
        <v>M</v>
      </c>
      <c r="B63" s="18">
        <f t="shared" si="26"/>
        <v>77</v>
      </c>
      <c r="C63" s="18" t="str">
        <f t="shared" si="26"/>
        <v>ExitIfNim</v>
      </c>
      <c r="D63" s="18" t="s">
        <v>50</v>
      </c>
      <c r="E63" s="18" t="str">
        <f t="shared" si="26"/>
        <v>CM_NORMAL</v>
      </c>
      <c r="F63" s="19" t="str">
        <f t="shared" si="26"/>
        <v>-MNU_TRG_C47</v>
      </c>
      <c r="G63" s="19" t="str">
        <f t="shared" si="26"/>
        <v>TRG</v>
      </c>
      <c r="H63" s="19">
        <f t="shared" si="26"/>
        <v>5</v>
      </c>
      <c r="J63" s="14"/>
    </row>
    <row r="64" spans="1:10" s="6" customFormat="1">
      <c r="A64" s="18" t="str">
        <f t="shared" ref="A64:H64" si="27">A32</f>
        <v>d</v>
      </c>
      <c r="B64" s="18">
        <f t="shared" si="27"/>
        <v>100</v>
      </c>
      <c r="C64" s="18" t="str">
        <f t="shared" si="27"/>
        <v>ExitIfNim</v>
      </c>
      <c r="D64" s="18" t="s">
        <v>50</v>
      </c>
      <c r="E64" s="18" t="str">
        <f t="shared" si="27"/>
        <v>CM_NORMAL</v>
      </c>
      <c r="F64" s="19" t="str">
        <f t="shared" si="27"/>
        <v>-MNU_DISP</v>
      </c>
      <c r="G64" s="19" t="str">
        <f t="shared" si="27"/>
        <v>[D]ISP</v>
      </c>
      <c r="H64" s="19">
        <f t="shared" si="27"/>
        <v>5</v>
      </c>
      <c r="J64" s="14"/>
    </row>
    <row r="65" spans="1:10" s="6" customFormat="1">
      <c r="A65" s="18" t="str">
        <f t="shared" ref="A65:H65" si="28">A33</f>
        <v>D</v>
      </c>
      <c r="B65" s="18">
        <f t="shared" si="28"/>
        <v>68</v>
      </c>
      <c r="C65" s="18" t="str">
        <f t="shared" si="28"/>
        <v>ExitIfNim</v>
      </c>
      <c r="D65" s="18" t="s">
        <v>50</v>
      </c>
      <c r="E65" s="18" t="str">
        <f t="shared" si="28"/>
        <v>CM_NORMAL</v>
      </c>
      <c r="F65" s="19" t="str">
        <f t="shared" si="28"/>
        <v>-MNU_EXP</v>
      </c>
      <c r="G65" s="19" t="str">
        <f t="shared" si="28"/>
        <v>EXP</v>
      </c>
      <c r="H65" s="19">
        <f t="shared" si="28"/>
        <v>5</v>
      </c>
      <c r="J65" s="14"/>
    </row>
    <row r="66" spans="1:10" s="6" customFormat="1">
      <c r="A66" s="18" t="str">
        <f t="shared" ref="A66:H66" si="29">A34</f>
        <v>k</v>
      </c>
      <c r="B66" s="18">
        <f t="shared" si="29"/>
        <v>107</v>
      </c>
      <c r="C66" s="18" t="str">
        <f t="shared" si="29"/>
        <v>ExitIfNim</v>
      </c>
      <c r="D66" s="18" t="s">
        <v>50</v>
      </c>
      <c r="E66" s="18" t="str">
        <f t="shared" si="29"/>
        <v>CM_NORMAL</v>
      </c>
      <c r="F66" s="19" t="str">
        <f t="shared" si="29"/>
        <v>-MNU_STK</v>
      </c>
      <c r="G66" s="19" t="str">
        <f t="shared" si="29"/>
        <v>ST[k]</v>
      </c>
      <c r="H66" s="19">
        <f t="shared" si="29"/>
        <v>5</v>
      </c>
      <c r="J66" s="14"/>
    </row>
    <row r="67" spans="1:10" s="6" customFormat="1">
      <c r="B67" s="5"/>
      <c r="C67" s="5"/>
      <c r="D67" s="5"/>
      <c r="E67" s="5"/>
      <c r="I67" s="14"/>
      <c r="J67" s="14"/>
    </row>
    <row r="68" spans="1:10" s="6" customFormat="1">
      <c r="B68" s="5"/>
      <c r="C68" s="5"/>
      <c r="D68" s="5"/>
      <c r="E68" s="5"/>
      <c r="I68" s="14"/>
      <c r="J68" s="14"/>
    </row>
    <row r="69" spans="1:10" s="6" customFormat="1">
      <c r="B69" s="5"/>
      <c r="C69" s="5"/>
      <c r="D69" s="5"/>
      <c r="E69" s="5"/>
      <c r="I69" s="14"/>
      <c r="J69" s="14"/>
    </row>
    <row r="70" spans="1:10" s="6" customFormat="1">
      <c r="B70" s="5"/>
      <c r="C70" s="5"/>
      <c r="D70" s="5"/>
      <c r="E70" s="5"/>
      <c r="I70" s="14"/>
      <c r="J70" s="14"/>
    </row>
    <row r="71" spans="1:10" s="6" customFormat="1">
      <c r="B71" s="5"/>
      <c r="C71" s="5"/>
      <c r="D71" s="5"/>
      <c r="E71" s="5"/>
      <c r="I71" s="14"/>
      <c r="J71" s="14"/>
    </row>
    <row r="72" spans="1:10" s="6" customFormat="1">
      <c r="B72" s="5"/>
      <c r="C72" s="5"/>
      <c r="D72" s="5"/>
      <c r="E72" s="5"/>
      <c r="I72" s="14"/>
      <c r="J72" s="14"/>
    </row>
    <row r="73" spans="1:10" s="6" customFormat="1">
      <c r="B73" s="5"/>
      <c r="C73" s="5"/>
      <c r="D73" s="5"/>
      <c r="E73" s="5"/>
      <c r="I73" s="14"/>
      <c r="J73" s="14"/>
    </row>
    <row r="74" spans="1:10" s="6" customFormat="1">
      <c r="B74" s="5"/>
      <c r="C74" s="5"/>
      <c r="D74" s="5"/>
      <c r="E74" s="5"/>
      <c r="I74" s="14"/>
      <c r="J74" s="14"/>
    </row>
    <row r="75" spans="1:10" s="6" customFormat="1">
      <c r="B75" s="5"/>
      <c r="C75" s="5"/>
      <c r="D75" s="5"/>
      <c r="E75" s="5"/>
      <c r="I75" s="14"/>
      <c r="J75" s="14"/>
    </row>
    <row r="76" spans="1:10" s="6" customFormat="1">
      <c r="B76" s="5"/>
      <c r="C76" s="5"/>
      <c r="D76" s="5"/>
      <c r="E76" s="5"/>
      <c r="I76" s="14"/>
      <c r="J76" s="14"/>
    </row>
    <row r="77" spans="1:10" s="6" customFormat="1">
      <c r="B77" s="5"/>
      <c r="C77" s="5"/>
      <c r="D77" s="5"/>
      <c r="E77" s="5"/>
      <c r="I77" s="14"/>
      <c r="J77" s="14"/>
    </row>
    <row r="78" spans="1:10" s="6" customFormat="1">
      <c r="B78" s="5"/>
      <c r="C78" s="5"/>
      <c r="D78" s="5"/>
      <c r="E78" s="5"/>
      <c r="I78" s="14"/>
      <c r="J78" s="14"/>
    </row>
    <row r="79" spans="1:10" s="6" customFormat="1">
      <c r="B79" s="5"/>
      <c r="C79" s="5"/>
      <c r="D79" s="5"/>
      <c r="E79" s="5"/>
      <c r="I79" s="14"/>
      <c r="J79" s="14"/>
    </row>
    <row r="80" spans="1:10" s="6" customFormat="1">
      <c r="B80" s="5"/>
      <c r="C80" s="5"/>
      <c r="D80" s="5"/>
      <c r="E80" s="5"/>
      <c r="I80" s="14"/>
      <c r="J80" s="14"/>
    </row>
    <row r="81" spans="2:10" s="6" customFormat="1">
      <c r="B81" s="5"/>
      <c r="C81" s="5"/>
      <c r="D81" s="5"/>
      <c r="E81" s="5"/>
      <c r="I81" s="14"/>
      <c r="J81" s="14"/>
    </row>
    <row r="82" spans="2:10" s="6" customFormat="1">
      <c r="B82" s="5"/>
      <c r="C82" s="5"/>
      <c r="D82" s="5"/>
      <c r="E82" s="5"/>
      <c r="I82" s="14"/>
      <c r="J82" s="14"/>
    </row>
    <row r="83" spans="2:10" s="6" customFormat="1">
      <c r="B83" s="5"/>
      <c r="C83" s="5"/>
      <c r="D83" s="5"/>
      <c r="E83" s="5"/>
      <c r="I83" s="14"/>
      <c r="J83" s="14"/>
    </row>
    <row r="84" spans="2:10" s="6" customFormat="1">
      <c r="B84" s="5"/>
      <c r="C84" s="5"/>
      <c r="D84" s="5"/>
      <c r="E84" s="5"/>
      <c r="I84" s="14"/>
      <c r="J84" s="14"/>
    </row>
    <row r="85" spans="2:10" s="6" customFormat="1">
      <c r="B85" s="5"/>
      <c r="C85" s="5"/>
      <c r="D85" s="5"/>
      <c r="E85" s="5"/>
      <c r="I85" s="14"/>
      <c r="J85" s="14"/>
    </row>
    <row r="86" spans="2:10" s="6" customFormat="1">
      <c r="B86" s="5"/>
      <c r="C86" s="5"/>
      <c r="D86" s="5"/>
      <c r="E86" s="5"/>
      <c r="I86" s="14"/>
      <c r="J86" s="14"/>
    </row>
    <row r="87" spans="2:10" s="6" customFormat="1">
      <c r="B87" s="5"/>
      <c r="C87" s="5"/>
      <c r="D87" s="5"/>
      <c r="E87" s="5"/>
      <c r="I87" s="14"/>
      <c r="J87" s="14"/>
    </row>
    <row r="88" spans="2:10" s="6" customFormat="1">
      <c r="B88" s="5"/>
      <c r="C88" s="5"/>
      <c r="D88" s="5"/>
      <c r="E88" s="5"/>
      <c r="I88" s="14"/>
      <c r="J88" s="14"/>
    </row>
    <row r="89" spans="2:10" s="6" customFormat="1">
      <c r="B89" s="5"/>
      <c r="C89" s="5"/>
      <c r="D89" s="5"/>
      <c r="E89" s="5"/>
      <c r="I89" s="14"/>
      <c r="J89" s="14"/>
    </row>
    <row r="90" spans="2:10" s="6" customFormat="1">
      <c r="B90" s="5"/>
      <c r="C90" s="5"/>
      <c r="D90" s="5"/>
      <c r="E90" s="5"/>
      <c r="I90" s="14"/>
      <c r="J90" s="14"/>
    </row>
    <row r="91" spans="2:10" s="6" customFormat="1">
      <c r="B91" s="5"/>
      <c r="C91" s="5"/>
      <c r="D91" s="5"/>
      <c r="E91" s="5"/>
      <c r="I91" s="14"/>
      <c r="J91" s="14"/>
    </row>
    <row r="92" spans="2:10" s="6" customFormat="1">
      <c r="B92" s="5"/>
      <c r="C92" s="5"/>
      <c r="D92" s="5"/>
      <c r="E92" s="5"/>
      <c r="I92" s="14"/>
      <c r="J92" s="14"/>
    </row>
    <row r="93" spans="2:10" s="6" customFormat="1">
      <c r="B93" s="5"/>
      <c r="C93" s="5"/>
      <c r="D93" s="5"/>
      <c r="E93" s="5"/>
      <c r="I93" s="14"/>
      <c r="J93" s="14"/>
    </row>
    <row r="94" spans="2:10" s="6" customFormat="1">
      <c r="B94" s="5"/>
      <c r="C94" s="5"/>
      <c r="D94" s="5"/>
      <c r="E94" s="5"/>
      <c r="I94" s="14"/>
      <c r="J94" s="14"/>
    </row>
    <row r="95" spans="2:10" s="6" customFormat="1">
      <c r="B95" s="5"/>
      <c r="C95" s="5"/>
      <c r="D95" s="5"/>
      <c r="E95" s="5"/>
      <c r="I95" s="14"/>
      <c r="J95" s="14"/>
    </row>
    <row r="96" spans="2:10" s="6" customFormat="1">
      <c r="B96" s="5"/>
      <c r="C96" s="5"/>
      <c r="D96" s="5"/>
      <c r="E96" s="5"/>
      <c r="I96" s="14"/>
      <c r="J96" s="14"/>
    </row>
    <row r="97" spans="2:10" s="6" customFormat="1">
      <c r="B97" s="5"/>
      <c r="C97" s="5"/>
      <c r="D97" s="5"/>
      <c r="E97" s="5"/>
      <c r="I97" s="14"/>
      <c r="J97" s="14"/>
    </row>
    <row r="98" spans="2:10" s="6" customFormat="1">
      <c r="B98" s="5"/>
      <c r="C98" s="5"/>
      <c r="D98" s="5"/>
      <c r="E98" s="5"/>
      <c r="I98" s="14"/>
      <c r="J98" s="14"/>
    </row>
    <row r="99" spans="2:10" s="6" customFormat="1">
      <c r="B99" s="5"/>
      <c r="C99" s="5"/>
      <c r="D99" s="5"/>
      <c r="E99" s="5"/>
      <c r="I99" s="14"/>
      <c r="J99" s="14"/>
    </row>
    <row r="100" spans="2:10" s="6" customFormat="1">
      <c r="B100" s="5"/>
      <c r="C100" s="5"/>
      <c r="D100" s="5"/>
      <c r="E100" s="5"/>
      <c r="I100" s="14"/>
      <c r="J100" s="14"/>
    </row>
    <row r="101" spans="2:10" s="6" customFormat="1">
      <c r="B101" s="5"/>
      <c r="C101" s="5"/>
      <c r="D101" s="5"/>
      <c r="E101" s="5"/>
      <c r="I101" s="14"/>
      <c r="J101" s="14"/>
    </row>
    <row r="102" spans="2:10" s="6" customFormat="1">
      <c r="B102" s="5"/>
      <c r="C102" s="5"/>
      <c r="D102" s="5"/>
      <c r="E102" s="5"/>
      <c r="I102" s="14"/>
      <c r="J102" s="14"/>
    </row>
    <row r="103" spans="2:10" s="6" customFormat="1">
      <c r="B103" s="5"/>
      <c r="C103" s="5"/>
      <c r="D103" s="5"/>
      <c r="E103" s="5"/>
      <c r="I103" s="14"/>
      <c r="J103" s="14"/>
    </row>
    <row r="104" spans="2:10" s="6" customFormat="1">
      <c r="B104" s="5"/>
      <c r="C104" s="5"/>
      <c r="D104" s="5"/>
      <c r="E104" s="5"/>
      <c r="I104" s="14"/>
      <c r="J104" s="14"/>
    </row>
    <row r="105" spans="2:10" s="6" customFormat="1">
      <c r="B105" s="5"/>
      <c r="C105" s="5"/>
      <c r="D105" s="5"/>
      <c r="E105" s="5"/>
      <c r="I105" s="14"/>
      <c r="J105" s="14"/>
    </row>
    <row r="106" spans="2:10" s="6" customFormat="1">
      <c r="B106" s="5"/>
      <c r="C106" s="5"/>
      <c r="D106" s="5"/>
      <c r="E106" s="5"/>
      <c r="I106" s="14"/>
      <c r="J106" s="14"/>
    </row>
    <row r="107" spans="2:10" s="6" customFormat="1">
      <c r="B107" s="5"/>
      <c r="C107" s="5"/>
      <c r="D107" s="5"/>
      <c r="E107" s="5"/>
      <c r="I107" s="14"/>
      <c r="J107" s="14"/>
    </row>
    <row r="108" spans="2:10" s="6" customFormat="1">
      <c r="B108" s="5"/>
      <c r="C108" s="5"/>
      <c r="D108" s="5"/>
      <c r="E108" s="5"/>
      <c r="I108" s="14"/>
      <c r="J108" s="14"/>
    </row>
    <row r="109" spans="2:10" s="6" customFormat="1">
      <c r="B109" s="5"/>
      <c r="C109" s="5"/>
      <c r="D109" s="5"/>
      <c r="E109" s="5"/>
      <c r="I109" s="14"/>
      <c r="J109" s="14"/>
    </row>
    <row r="110" spans="2:10" s="6" customFormat="1">
      <c r="B110" s="5"/>
      <c r="C110" s="5"/>
      <c r="D110" s="5"/>
      <c r="E110" s="5"/>
      <c r="I110" s="14"/>
      <c r="J110" s="14"/>
    </row>
    <row r="111" spans="2:10" s="6" customFormat="1">
      <c r="B111" s="5"/>
      <c r="C111" s="5"/>
      <c r="D111" s="5"/>
      <c r="E111" s="5"/>
      <c r="I111" s="14"/>
      <c r="J111" s="14"/>
    </row>
    <row r="112" spans="2:10" s="6" customFormat="1">
      <c r="B112" s="5"/>
      <c r="C112" s="5"/>
      <c r="D112" s="5"/>
      <c r="E112" s="5"/>
      <c r="I112" s="14"/>
      <c r="J112" s="14"/>
    </row>
    <row r="113" spans="2:10" s="6" customFormat="1">
      <c r="B113" s="5"/>
      <c r="C113" s="5"/>
      <c r="D113" s="5"/>
      <c r="E113" s="5"/>
      <c r="I113" s="14"/>
      <c r="J113" s="14"/>
    </row>
    <row r="114" spans="2:10" s="6" customFormat="1">
      <c r="B114" s="5"/>
      <c r="C114" s="5"/>
      <c r="D114" s="5"/>
      <c r="E114" s="5"/>
      <c r="I114" s="14"/>
      <c r="J114" s="14"/>
    </row>
    <row r="115" spans="2:10" s="6" customFormat="1">
      <c r="B115" s="5"/>
      <c r="C115" s="5"/>
      <c r="D115" s="5"/>
      <c r="E115" s="5"/>
      <c r="I115" s="14"/>
      <c r="J115" s="14"/>
    </row>
    <row r="116" spans="2:10" s="6" customFormat="1">
      <c r="B116" s="5"/>
      <c r="C116" s="5"/>
      <c r="D116" s="5"/>
      <c r="E116" s="5"/>
      <c r="I116" s="14"/>
      <c r="J116" s="14"/>
    </row>
  </sheetData>
  <autoFilter ref="B4:J24" xr:uid="{9A19FE35-A90B-3343-BA83-F7F50B48781F}"/>
  <sortState xmlns:xlrd2="http://schemas.microsoft.com/office/spreadsheetml/2017/richdata2" ref="A5:H34">
    <sortCondition ref="H5:H34"/>
  </sortState>
  <phoneticPr fontId="5" type="noConversion"/>
  <hyperlinks>
    <hyperlink ref="D1" r:id="rId1" xr:uid="{132F4920-1B75-1845-8F5C-F64DE0D37601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41"/>
  <sheetViews>
    <sheetView zoomScale="118" workbookViewId="0">
      <selection activeCell="F35" sqref="F35"/>
    </sheetView>
  </sheetViews>
  <sheetFormatPr baseColWidth="10" defaultColWidth="10.83203125" defaultRowHeight="16"/>
  <cols>
    <col min="1" max="1" width="4.1640625" bestFit="1" customWidth="1"/>
    <col min="2" max="2" width="9.33203125" bestFit="1" customWidth="1"/>
    <col min="3" max="3" width="21.5" style="5" bestFit="1" customWidth="1"/>
    <col min="4" max="4" width="15.33203125" bestFit="1" customWidth="1"/>
    <col min="5" max="5" width="12.83203125" bestFit="1" customWidth="1"/>
    <col min="6" max="6" width="20.83203125" bestFit="1" customWidth="1"/>
    <col min="7" max="7" width="23.33203125" bestFit="1" customWidth="1"/>
    <col min="8" max="8" width="154.83203125" style="1" bestFit="1" customWidth="1"/>
    <col min="9" max="9" width="10.83203125" customWidth="1"/>
    <col min="10" max="15" width="3.1640625" customWidth="1"/>
  </cols>
  <sheetData>
    <row r="1" spans="1:8">
      <c r="H1" s="4" t="s">
        <v>2</v>
      </c>
    </row>
    <row r="2" spans="1:8">
      <c r="H2" s="3" t="str">
        <f t="shared" ref="H2" si="0">SUBSTITUTE(SUBSTITUTE(SUBSTITUTE(SUBSTITUTE(SUBSTITUTE(SUBSTITUTE($H$1,"61",A2),"CM_NORMAL",E2),"ITM_DRG",F2),"nn = comm",G2),"exitIfNim",B2),"allowCondition",D2)</f>
        <v>if(shortCutCommand(w, event_keyval, , , , 9999, "", ,  ))        {return true;} else        //</v>
      </c>
    </row>
    <row r="3" spans="1:8">
      <c r="H3" s="2"/>
    </row>
    <row r="4" spans="1:8">
      <c r="C4" s="5">
        <v>11</v>
      </c>
      <c r="H4" s="2"/>
    </row>
    <row r="5" spans="1:8">
      <c r="A5" s="6" t="str">
        <f>REPT(" ",Sheet2!$B$3-LEN(Sheet2!B5))&amp;Sheet2!B5</f>
        <v xml:space="preserve"> 119</v>
      </c>
      <c r="B5" s="6" t="str">
        <f>REPT(" ",Sheet2!$C$3-LEN(Sheet2!C5))&amp;Sheet2!C5</f>
        <v xml:space="preserve"> ExitIfNim</v>
      </c>
      <c r="C5" s="5" t="str">
        <f>IF(Sheet2!D5="R47","isR47FAM","!isR47FAM")</f>
        <v>!isR47FAM</v>
      </c>
      <c r="D5" s="6" t="str">
        <f t="shared" ref="D5" si="1">REPT( " ",$C$4-LEN(C5) ) &amp;C5</f>
        <v xml:space="preserve">  !isR47FAM</v>
      </c>
      <c r="E5" s="6" t="str">
        <f>REPT(" ",Sheet2!$E$3-LEN(Sheet2!E5))&amp;Sheet2!E5</f>
        <v xml:space="preserve"> CM_NORMAL</v>
      </c>
      <c r="F5" s="6" t="str">
        <f>REPT(" ",Sheet2!$F$3-LEN(Sheet2!F5))&amp;Sheet2!F5</f>
        <v xml:space="preserve">            ITM_XexY</v>
      </c>
      <c r="G5" s="6" t="str">
        <f>REPT(" ",Sheet2!$G$3-LEN(Sheet2!G5))&amp;Sheet2!G5</f>
        <v xml:space="preserve">                        s[w]ap</v>
      </c>
      <c r="H5" s="3" t="str">
        <f>IF(Sheet2!B5="","",SUBSTITUTE(SUBSTITUTE(SUBSTITUTE(SUBSTITUTE(SUBSTITUTE(SUBSTITUTE($H$1,"61",A5),"CM_NORMAL",E5),"ITM_DRG",F5),"nn = comm",G5),"exitIfNim",B5),"allowCondition",D5))</f>
        <v>if(shortCutCommand(w, event_keyval,  119,   !isR47FAM,  ExitIfNim, 9999, "",  CM_NORMAL,             ITM_XexY ))        {return true;} else        //                        s[w]ap</v>
      </c>
    </row>
    <row r="6" spans="1:8">
      <c r="A6" s="6" t="str">
        <f>REPT(" ",Sheet2!$B$3-LEN(Sheet2!B6))&amp;Sheet2!B6</f>
        <v xml:space="preserve"> 120</v>
      </c>
      <c r="B6" s="6" t="str">
        <f>REPT(" ",Sheet2!$C$3-LEN(Sheet2!C6))&amp;Sheet2!C6</f>
        <v xml:space="preserve"> ExitIfNim</v>
      </c>
      <c r="C6" s="5" t="str">
        <f>IF(Sheet2!D6="R47","isR47FAM","!isR47FAM")</f>
        <v>!isR47FAM</v>
      </c>
      <c r="D6" s="6" t="str">
        <f t="shared" ref="D6:D69" si="2">REPT( " ",$C$4-LEN(C6) ) &amp;C6</f>
        <v xml:space="preserve">  !isR47FAM</v>
      </c>
      <c r="E6" s="6" t="str">
        <f>REPT(" ",Sheet2!$E$3-LEN(Sheet2!E6))&amp;Sheet2!E6</f>
        <v xml:space="preserve"> CM_NORMAL</v>
      </c>
      <c r="F6" s="6" t="str">
        <f>REPT(" ",Sheet2!$F$3-LEN(Sheet2!F6))&amp;Sheet2!F6</f>
        <v xml:space="preserve">             ITM_XEQ</v>
      </c>
      <c r="G6" s="6" t="str">
        <f>REPT(" ",Sheet2!$G$3-LEN(Sheet2!G6))&amp;Sheet2!G6</f>
        <v xml:space="preserve">                         [x]eq</v>
      </c>
      <c r="H6" s="3" t="str">
        <f>IF(Sheet2!B6="","",SUBSTITUTE(SUBSTITUTE(SUBSTITUTE(SUBSTITUTE(SUBSTITUTE(SUBSTITUTE($H$1,"61",A6),"CM_NORMAL",E6),"ITM_DRG",F6),"nn = comm",G6),"exitIfNim",B6),"allowCondition",D6))</f>
        <v>if(shortCutCommand(w, event_keyval,  120,   !isR47FAM,  ExitIfNim, 9999, "",  CM_NORMAL,              ITM_XEQ ))        {return true;} else        //                         [x]eq</v>
      </c>
    </row>
    <row r="7" spans="1:8">
      <c r="A7" s="6" t="str">
        <f>REPT(" ",Sheet2!$B$3-LEN(Sheet2!B7))&amp;Sheet2!B7</f>
        <v xml:space="preserve">  61</v>
      </c>
      <c r="B7" s="6" t="str">
        <f>REPT(" ",Sheet2!$C$3-LEN(Sheet2!C7))&amp;Sheet2!C7</f>
        <v xml:space="preserve"> ExitIfNim</v>
      </c>
      <c r="C7" s="5" t="str">
        <f>IF(Sheet2!D7="R47","isR47FAM","!isR47FAM")</f>
        <v>!isR47FAM</v>
      </c>
      <c r="D7" s="6" t="str">
        <f t="shared" si="2"/>
        <v xml:space="preserve">  !isR47FAM</v>
      </c>
      <c r="E7" s="6" t="str">
        <f>REPT(" ",Sheet2!$E$3-LEN(Sheet2!E7))&amp;Sheet2!E7</f>
        <v xml:space="preserve"> CM_NORMAL</v>
      </c>
      <c r="F7" s="6" t="str">
        <f>REPT(" ",Sheet2!$F$3-LEN(Sheet2!F7))&amp;Sheet2!F7</f>
        <v xml:space="preserve">             ITM_DRG</v>
      </c>
      <c r="G7" s="6" t="str">
        <f>REPT(" ",Sheet2!$G$3-LEN(Sheet2!G7))&amp;Sheet2!G7</f>
        <v xml:space="preserve">                     [=]&gt;D,R,G</v>
      </c>
      <c r="H7" s="3" t="str">
        <f>IF(Sheet2!B7="","",SUBSTITUTE(SUBSTITUTE(SUBSTITUTE(SUBSTITUTE(SUBSTITUTE(SUBSTITUTE($H$1,"61",A7),"CM_NORMAL",E7),"ITM_DRG",F7),"nn = comm",G7),"exitIfNim",B7),"allowCondition",D7))</f>
        <v>if(shortCutCommand(w, event_keyval,   61,   !isR47FAM,  ExitIfNim, 9999, "",  CM_NORMAL,              ITM_DRG ))        {return true;} else        //                     [=]&gt;D,R,G</v>
      </c>
    </row>
    <row r="8" spans="1:8">
      <c r="A8" s="6" t="str">
        <f>REPT(" ",Sheet2!$B$3-LEN(Sheet2!B8))&amp;Sheet2!B8</f>
        <v xml:space="preserve">  97</v>
      </c>
      <c r="B8" s="6" t="str">
        <f>REPT(" ",Sheet2!$C$3-LEN(Sheet2!C8))&amp;Sheet2!C8</f>
        <v xml:space="preserve"> ExitIfNim</v>
      </c>
      <c r="C8" s="5" t="str">
        <f>IF(Sheet2!D8="R47","isR47FAM","!isR47FAM")</f>
        <v>!isR47FAM</v>
      </c>
      <c r="D8" s="6" t="str">
        <f t="shared" si="2"/>
        <v xml:space="preserve">  !isR47FAM</v>
      </c>
      <c r="E8" s="6" t="str">
        <f>REPT(" ",Sheet2!$E$3-LEN(Sheet2!E8))&amp;Sheet2!E8</f>
        <v xml:space="preserve"> CM_NORMAL</v>
      </c>
      <c r="F8" s="6" t="str">
        <f>REPT(" ",Sheet2!$F$3-LEN(Sheet2!F8))&amp;Sheet2!F8</f>
        <v xml:space="preserve">       ITM_SIGMAPLUS</v>
      </c>
      <c r="G8" s="6" t="str">
        <f>REPT(" ",Sheet2!$G$3-LEN(Sheet2!G8))&amp;Sheet2!G8</f>
        <v xml:space="preserve">                  [a]ccumulate</v>
      </c>
      <c r="H8" s="3" t="str">
        <f>IF(Sheet2!B8="","",SUBSTITUTE(SUBSTITUTE(SUBSTITUTE(SUBSTITUTE(SUBSTITUTE(SUBSTITUTE($H$1,"61",A8),"CM_NORMAL",E8),"ITM_DRG",F8),"nn = comm",G8),"exitIfNim",B8),"allowCondition",D8))</f>
        <v>if(shortCutCommand(w, event_keyval,   97,   !isR47FAM,  ExitIfNim, 9999, "",  CM_NORMAL,        ITM_SIGMAPLUS ))        {return true;} else        //                  [a]ccumulate</v>
      </c>
    </row>
    <row r="9" spans="1:8">
      <c r="A9" s="6" t="str">
        <f>REPT(" ",Sheet2!$B$3-LEN(Sheet2!B9))&amp;Sheet2!B9</f>
        <v xml:space="preserve"> 118</v>
      </c>
      <c r="B9" s="6" t="str">
        <f>REPT(" ",Sheet2!$C$3-LEN(Sheet2!C9))&amp;Sheet2!C9</f>
        <v xml:space="preserve"> ExitIfNim</v>
      </c>
      <c r="C9" s="5" t="str">
        <f>IF(Sheet2!D9="R47","isR47FAM","!isR47FAM")</f>
        <v>!isR47FAM</v>
      </c>
      <c r="D9" s="6" t="str">
        <f t="shared" si="2"/>
        <v xml:space="preserve">  !isR47FAM</v>
      </c>
      <c r="E9" s="6" t="str">
        <f>REPT(" ",Sheet2!$E$3-LEN(Sheet2!E9))&amp;Sheet2!E9</f>
        <v xml:space="preserve"> CM_NORMAL</v>
      </c>
      <c r="F9" s="6" t="str">
        <f>REPT(" ",Sheet2!$F$3-LEN(Sheet2!F9))&amp;Sheet2!F9</f>
        <v xml:space="preserve">            ITM_1ONX</v>
      </c>
      <c r="G9" s="6" t="str">
        <f>REPT(" ",Sheet2!$G$3-LEN(Sheet2!G9))&amp;Sheet2!G9</f>
        <v xml:space="preserve">                     in[v]erse</v>
      </c>
      <c r="H9" s="3" t="str">
        <f>IF(Sheet2!B9="","",SUBSTITUTE(SUBSTITUTE(SUBSTITUTE(SUBSTITUTE(SUBSTITUTE(SUBSTITUTE($H$1,"61",A9),"CM_NORMAL",E9),"ITM_DRG",F9),"nn = comm",G9),"exitIfNim",B9),"allowCondition",D9))</f>
        <v>if(shortCutCommand(w, event_keyval,  118,   !isR47FAM,  ExitIfNim, 9999, "",  CM_NORMAL,             ITM_1ONX ))        {return true;} else        //                     in[v]erse</v>
      </c>
    </row>
    <row r="10" spans="1:8">
      <c r="A10" s="6" t="str">
        <f>REPT(" ",Sheet2!$B$3-LEN(Sheet2!B10))&amp;Sheet2!B10</f>
        <v xml:space="preserve"> 121</v>
      </c>
      <c r="B10" s="6" t="str">
        <f>REPT(" ",Sheet2!$C$3-LEN(Sheet2!C10))&amp;Sheet2!C10</f>
        <v xml:space="preserve"> ExitIfNim</v>
      </c>
      <c r="C10" s="5" t="str">
        <f>IF(Sheet2!D10="R47","isR47FAM","!isR47FAM")</f>
        <v>!isR47FAM</v>
      </c>
      <c r="D10" s="6" t="str">
        <f t="shared" si="2"/>
        <v xml:space="preserve">  !isR47FAM</v>
      </c>
      <c r="E10" s="6" t="str">
        <f>REPT(" ",Sheet2!$E$3-LEN(Sheet2!E10))&amp;Sheet2!E10</f>
        <v xml:space="preserve"> CM_NORMAL</v>
      </c>
      <c r="F10" s="6" t="str">
        <f>REPT(" ",Sheet2!$F$3-LEN(Sheet2!F10))&amp;Sheet2!F10</f>
        <v xml:space="preserve">              ITM_YX</v>
      </c>
      <c r="G10" s="6" t="str">
        <f>REPT(" ",Sheet2!$G$3-LEN(Sheet2!G10))&amp;Sheet2!G10</f>
        <v xml:space="preserve">                         [y]^x</v>
      </c>
      <c r="H10" s="3" t="str">
        <f>IF(Sheet2!B10="","",SUBSTITUTE(SUBSTITUTE(SUBSTITUTE(SUBSTITUTE(SUBSTITUTE(SUBSTITUTE($H$1,"61",A10),"CM_NORMAL",E10),"ITM_DRG",F10),"nn = comm",G10),"exitIfNim",B10),"allowCondition",D10))</f>
        <v>if(shortCutCommand(w, event_keyval,  121,   !isR47FAM,  ExitIfNim, 9999, "",  CM_NORMAL,               ITM_YX ))        {return true;} else        //                         [y]^x</v>
      </c>
    </row>
    <row r="11" spans="1:8">
      <c r="A11" s="6" t="str">
        <f>REPT(" ",Sheet2!$B$3-LEN(Sheet2!B11))&amp;Sheet2!B11</f>
        <v xml:space="preserve"> 110</v>
      </c>
      <c r="B11" s="6" t="str">
        <f>REPT(" ",Sheet2!$C$3-LEN(Sheet2!C11))&amp;Sheet2!C11</f>
        <v xml:space="preserve"> ExitIfNim</v>
      </c>
      <c r="C11" s="5" t="str">
        <f>IF(Sheet2!D11="R47","isR47FAM","!isR47FAM")</f>
        <v>!isR47FAM</v>
      </c>
      <c r="D11" s="6" t="str">
        <f t="shared" si="2"/>
        <v xml:space="preserve">  !isR47FAM</v>
      </c>
      <c r="E11" s="6" t="str">
        <f>REPT(" ",Sheet2!$E$3-LEN(Sheet2!E11))&amp;Sheet2!E11</f>
        <v xml:space="preserve"> CM_NORMAL</v>
      </c>
      <c r="F11" s="6" t="str">
        <f>REPT(" ",Sheet2!$F$3-LEN(Sheet2!F11))&amp;Sheet2!F11</f>
        <v xml:space="preserve">             ITM_CHS</v>
      </c>
      <c r="G11" s="6" t="str">
        <f>REPT(" ",Sheet2!$G$3-LEN(Sheet2!G11))&amp;Sheet2!G11</f>
        <v xml:space="preserve">                CHS [n]egative</v>
      </c>
      <c r="H11" s="3" t="str">
        <f>IF(Sheet2!B11="","",SUBSTITUTE(SUBSTITUTE(SUBSTITUTE(SUBSTITUTE(SUBSTITUTE(SUBSTITUTE($H$1,"61",A11),"CM_NORMAL",E11),"ITM_DRG",F11),"nn = comm",G11),"exitIfNim",B11),"allowCondition",D11))</f>
        <v>if(shortCutCommand(w, event_keyval,  110,   !isR47FAM,  ExitIfNim, 9999, "",  CM_NORMAL,              ITM_CHS ))        {return true;} else        //                CHS [n]egative</v>
      </c>
    </row>
    <row r="12" spans="1:8">
      <c r="A12" s="6" t="str">
        <f>REPT(" ",Sheet2!$B$3-LEN(Sheet2!B12))&amp;Sheet2!B12</f>
        <v xml:space="preserve">  89</v>
      </c>
      <c r="B12" s="6" t="str">
        <f>REPT(" ",Sheet2!$C$3-LEN(Sheet2!C12))&amp;Sheet2!C12</f>
        <v xml:space="preserve"> ExitIfNim</v>
      </c>
      <c r="C12" s="5" t="str">
        <f>IF(Sheet2!D12="R47","isR47FAM","!isR47FAM")</f>
        <v>!isR47FAM</v>
      </c>
      <c r="D12" s="6" t="str">
        <f t="shared" si="2"/>
        <v xml:space="preserve">  !isR47FAM</v>
      </c>
      <c r="E12" s="6" t="str">
        <f>REPT(" ",Sheet2!$E$3-LEN(Sheet2!E12))&amp;Sheet2!E12</f>
        <v xml:space="preserve"> CM_NORMAL</v>
      </c>
      <c r="F12" s="6" t="str">
        <f>REPT(" ",Sheet2!$F$3-LEN(Sheet2!F12))&amp;Sheet2!F12</f>
        <v xml:space="preserve">         ITM_XTHROOT</v>
      </c>
      <c r="G12" s="6" t="str">
        <f>REPT(" ",Sheet2!$G$3-LEN(Sheet2!G12))&amp;Sheet2!G12</f>
        <v xml:space="preserve">               xth root of [Y]</v>
      </c>
      <c r="H12" s="3" t="str">
        <f>IF(Sheet2!B12="","",SUBSTITUTE(SUBSTITUTE(SUBSTITUTE(SUBSTITUTE(SUBSTITUTE(SUBSTITUTE($H$1,"61",A12),"CM_NORMAL",E12),"ITM_DRG",F12),"nn = comm",G12),"exitIfNim",B12),"allowCondition",D12))</f>
        <v>if(shortCutCommand(w, event_keyval,   89,   !isR47FAM,  ExitIfNim, 9999, "",  CM_NORMAL,          ITM_XTHROOT ))        {return true;} else        //               xth root of [Y]</v>
      </c>
    </row>
    <row r="13" spans="1:8">
      <c r="A13" s="6" t="str">
        <f>REPT(" ",Sheet2!$B$3-LEN(Sheet2!B13))&amp;Sheet2!B13</f>
        <v xml:space="preserve">  99</v>
      </c>
      <c r="B13" s="6" t="str">
        <f>REPT(" ",Sheet2!$C$3-LEN(Sheet2!C13))&amp;Sheet2!C13</f>
        <v xml:space="preserve"> ExitIfNim</v>
      </c>
      <c r="C13" s="5" t="str">
        <f>IF(Sheet2!D13="R47","isR47FAM","!isR47FAM")</f>
        <v>!isR47FAM</v>
      </c>
      <c r="D13" s="6" t="str">
        <f t="shared" si="2"/>
        <v xml:space="preserve">  !isR47FAM</v>
      </c>
      <c r="E13" s="6" t="str">
        <f>REPT(" ",Sheet2!$E$3-LEN(Sheet2!E13))&amp;Sheet2!E13</f>
        <v xml:space="preserve"> CM_NORMAL</v>
      </c>
      <c r="F13" s="6" t="str">
        <f>REPT(" ",Sheet2!$F$3-LEN(Sheet2!F13))&amp;Sheet2!F13</f>
        <v xml:space="preserve">             ITM_cos</v>
      </c>
      <c r="G13" s="6" t="str">
        <f>REPT(" ",Sheet2!$G$3-LEN(Sheet2!G13))&amp;Sheet2!G13</f>
        <v xml:space="preserve">                      [c]osine</v>
      </c>
      <c r="H13" s="3" t="str">
        <f>IF(Sheet2!B13="","",SUBSTITUTE(SUBSTITUTE(SUBSTITUTE(SUBSTITUTE(SUBSTITUTE(SUBSTITUTE($H$1,"61",A13),"CM_NORMAL",E13),"ITM_DRG",F13),"nn = comm",G13),"exitIfNim",B13),"allowCondition",D13))</f>
        <v>if(shortCutCommand(w, event_keyval,   99,   !isR47FAM,  ExitIfNim, 9999, "",  CM_NORMAL,              ITM_cos ))        {return true;} else        //                      [c]osine</v>
      </c>
    </row>
    <row r="14" spans="1:8">
      <c r="A14" s="6" t="str">
        <f>REPT(" ",Sheet2!$B$3-LEN(Sheet2!B14))&amp;Sheet2!B14</f>
        <v xml:space="preserve"> 115</v>
      </c>
      <c r="B14" s="6" t="str">
        <f>REPT(" ",Sheet2!$C$3-LEN(Sheet2!C14))&amp;Sheet2!C14</f>
        <v xml:space="preserve"> ExitIfNim</v>
      </c>
      <c r="C14" s="5" t="str">
        <f>IF(Sheet2!D14="R47","isR47FAM","!isR47FAM")</f>
        <v>!isR47FAM</v>
      </c>
      <c r="D14" s="6" t="str">
        <f t="shared" si="2"/>
        <v xml:space="preserve">  !isR47FAM</v>
      </c>
      <c r="E14" s="6" t="str">
        <f>REPT(" ",Sheet2!$E$3-LEN(Sheet2!E14))&amp;Sheet2!E14</f>
        <v xml:space="preserve"> CM_NORMAL</v>
      </c>
      <c r="F14" s="6" t="str">
        <f>REPT(" ",Sheet2!$F$3-LEN(Sheet2!F14))&amp;Sheet2!F14</f>
        <v xml:space="preserve">             ITM_sin</v>
      </c>
      <c r="G14" s="6" t="str">
        <f>REPT(" ",Sheet2!$G$3-LEN(Sheet2!G14))&amp;Sheet2!G14</f>
        <v xml:space="preserve">                        [s]ine</v>
      </c>
      <c r="H14" s="3" t="str">
        <f>IF(Sheet2!B14="","",SUBSTITUTE(SUBSTITUTE(SUBSTITUTE(SUBSTITUTE(SUBSTITUTE(SUBSTITUTE($H$1,"61",A14),"CM_NORMAL",E14),"ITM_DRG",F14),"nn = comm",G14),"exitIfNim",B14),"allowCondition",D14))</f>
        <v>if(shortCutCommand(w, event_keyval,  115,   !isR47FAM,  ExitIfNim, 9999, "",  CM_NORMAL,              ITM_sin ))        {return true;} else        //                        [s]ine</v>
      </c>
    </row>
    <row r="15" spans="1:8">
      <c r="A15" s="6" t="str">
        <f>REPT(" ",Sheet2!$B$3-LEN(Sheet2!B15))&amp;Sheet2!B15</f>
        <v xml:space="preserve"> 116</v>
      </c>
      <c r="B15" s="6" t="str">
        <f>REPT(" ",Sheet2!$C$3-LEN(Sheet2!C15))&amp;Sheet2!C15</f>
        <v xml:space="preserve"> ExitIfNim</v>
      </c>
      <c r="C15" s="5" t="str">
        <f>IF(Sheet2!D15="R47","isR47FAM","!isR47FAM")</f>
        <v>!isR47FAM</v>
      </c>
      <c r="D15" s="6" t="str">
        <f t="shared" si="2"/>
        <v xml:space="preserve">  !isR47FAM</v>
      </c>
      <c r="E15" s="6" t="str">
        <f>REPT(" ",Sheet2!$E$3-LEN(Sheet2!E15))&amp;Sheet2!E15</f>
        <v xml:space="preserve"> CM_NORMAL</v>
      </c>
      <c r="F15" s="6" t="str">
        <f>REPT(" ",Sheet2!$F$3-LEN(Sheet2!F15))&amp;Sheet2!F15</f>
        <v xml:space="preserve">             ITM_tan</v>
      </c>
      <c r="G15" s="6" t="str">
        <f>REPT(" ",Sheet2!$G$3-LEN(Sheet2!G15))&amp;Sheet2!G15</f>
        <v xml:space="preserve">                     [t]angent</v>
      </c>
      <c r="H15" s="3" t="str">
        <f>IF(Sheet2!B15="","",SUBSTITUTE(SUBSTITUTE(SUBSTITUTE(SUBSTITUTE(SUBSTITUTE(SUBSTITUTE($H$1,"61",A15),"CM_NORMAL",E15),"ITM_DRG",F15),"nn = comm",G15),"exitIfNim",B15),"allowCondition",D15))</f>
        <v>if(shortCutCommand(w, event_keyval,  116,   !isR47FAM,  ExitIfNim, 9999, "",  CM_NORMAL,              ITM_tan ))        {return true;} else        //                     [t]angent</v>
      </c>
    </row>
    <row r="16" spans="1:8">
      <c r="A16" s="6" t="str">
        <f>REPT(" ",Sheet2!$B$3-LEN(Sheet2!B16))&amp;Sheet2!B16</f>
        <v xml:space="preserve">  67</v>
      </c>
      <c r="B16" s="6" t="str">
        <f>REPT(" ",Sheet2!$C$3-LEN(Sheet2!C16))&amp;Sheet2!C16</f>
        <v xml:space="preserve"> ExitIfNim</v>
      </c>
      <c r="C16" s="5" t="str">
        <f>IF(Sheet2!D16="R47","isR47FAM","!isR47FAM")</f>
        <v>!isR47FAM</v>
      </c>
      <c r="D16" s="6" t="str">
        <f t="shared" si="2"/>
        <v xml:space="preserve">  !isR47FAM</v>
      </c>
      <c r="E16" s="6" t="str">
        <f>REPT(" ",Sheet2!$E$3-LEN(Sheet2!E16))&amp;Sheet2!E16</f>
        <v xml:space="preserve"> CM_NORMAL</v>
      </c>
      <c r="F16" s="6" t="str">
        <f>REPT(" ",Sheet2!$F$3-LEN(Sheet2!F16))&amp;Sheet2!F16</f>
        <v xml:space="preserve">          ITM_arccos</v>
      </c>
      <c r="G16" s="6" t="str">
        <f>REPT(" ",Sheet2!$G$3-LEN(Sheet2!G16))&amp;Sheet2!G16</f>
        <v xml:space="preserve">                   arc[C]osine</v>
      </c>
      <c r="H16" s="3" t="str">
        <f>IF(Sheet2!B16="","",SUBSTITUTE(SUBSTITUTE(SUBSTITUTE(SUBSTITUTE(SUBSTITUTE(SUBSTITUTE($H$1,"61",A16),"CM_NORMAL",E16),"ITM_DRG",F16),"nn = comm",G16),"exitIfNim",B16),"allowCondition",D16))</f>
        <v>if(shortCutCommand(w, event_keyval,   67,   !isR47FAM,  ExitIfNim, 9999, "",  CM_NORMAL,           ITM_arccos ))        {return true;} else        //                   arc[C]osine</v>
      </c>
    </row>
    <row r="17" spans="1:8">
      <c r="A17" s="6" t="str">
        <f>REPT(" ",Sheet2!$B$3-LEN(Sheet2!B17))&amp;Sheet2!B17</f>
        <v xml:space="preserve">  83</v>
      </c>
      <c r="B17" s="6" t="str">
        <f>REPT(" ",Sheet2!$C$3-LEN(Sheet2!C17))&amp;Sheet2!C17</f>
        <v xml:space="preserve"> ExitIfNim</v>
      </c>
      <c r="C17" s="5" t="str">
        <f>IF(Sheet2!D17="R47","isR47FAM","!isR47FAM")</f>
        <v>!isR47FAM</v>
      </c>
      <c r="D17" s="6" t="str">
        <f t="shared" si="2"/>
        <v xml:space="preserve">  !isR47FAM</v>
      </c>
      <c r="E17" s="6" t="str">
        <f>REPT(" ",Sheet2!$E$3-LEN(Sheet2!E17))&amp;Sheet2!E17</f>
        <v xml:space="preserve"> CM_NORMAL</v>
      </c>
      <c r="F17" s="6" t="str">
        <f>REPT(" ",Sheet2!$F$3-LEN(Sheet2!F17))&amp;Sheet2!F17</f>
        <v xml:space="preserve">          ITM_arcsin</v>
      </c>
      <c r="G17" s="6" t="str">
        <f>REPT(" ",Sheet2!$G$3-LEN(Sheet2!G17))&amp;Sheet2!G17</f>
        <v xml:space="preserve">                     arc[S]ine</v>
      </c>
      <c r="H17" s="3" t="str">
        <f>IF(Sheet2!B17="","",SUBSTITUTE(SUBSTITUTE(SUBSTITUTE(SUBSTITUTE(SUBSTITUTE(SUBSTITUTE($H$1,"61",A17),"CM_NORMAL",E17),"ITM_DRG",F17),"nn = comm",G17),"exitIfNim",B17),"allowCondition",D17))</f>
        <v>if(shortCutCommand(w, event_keyval,   83,   !isR47FAM,  ExitIfNim, 9999, "",  CM_NORMAL,           ITM_arcsin ))        {return true;} else        //                     arc[S]ine</v>
      </c>
    </row>
    <row r="18" spans="1:8">
      <c r="A18" s="6" t="str">
        <f>REPT(" ",Sheet2!$B$3-LEN(Sheet2!B18))&amp;Sheet2!B18</f>
        <v xml:space="preserve">  84</v>
      </c>
      <c r="B18" s="6" t="str">
        <f>REPT(" ",Sheet2!$C$3-LEN(Sheet2!C18))&amp;Sheet2!C18</f>
        <v xml:space="preserve"> ExitIfNim</v>
      </c>
      <c r="C18" s="5" t="str">
        <f>IF(Sheet2!D18="R47","isR47FAM","!isR47FAM")</f>
        <v>!isR47FAM</v>
      </c>
      <c r="D18" s="6" t="str">
        <f t="shared" si="2"/>
        <v xml:space="preserve">  !isR47FAM</v>
      </c>
      <c r="E18" s="6" t="str">
        <f>REPT(" ",Sheet2!$E$3-LEN(Sheet2!E18))&amp;Sheet2!E18</f>
        <v xml:space="preserve"> CM_NORMAL</v>
      </c>
      <c r="F18" s="6" t="str">
        <f>REPT(" ",Sheet2!$F$3-LEN(Sheet2!F18))&amp;Sheet2!F18</f>
        <v xml:space="preserve">          ITM_arctan</v>
      </c>
      <c r="G18" s="6" t="str">
        <f>REPT(" ",Sheet2!$G$3-LEN(Sheet2!G18))&amp;Sheet2!G18</f>
        <v xml:space="preserve">                  arc[T]angent</v>
      </c>
      <c r="H18" s="3" t="str">
        <f>IF(Sheet2!B18="","",SUBSTITUTE(SUBSTITUTE(SUBSTITUTE(SUBSTITUTE(SUBSTITUTE(SUBSTITUTE($H$1,"61",A18),"CM_NORMAL",E18),"ITM_DRG",F18),"nn = comm",G18),"exitIfNim",B18),"allowCondition",D18))</f>
        <v>if(shortCutCommand(w, event_keyval,   84,   !isR47FAM,  ExitIfNim, 9999, "",  CM_NORMAL,           ITM_arctan ))        {return true;} else        //                  arc[T]angent</v>
      </c>
    </row>
    <row r="19" spans="1:8">
      <c r="A19" s="6" t="str">
        <f>REPT(" ",Sheet2!$B$3-LEN(Sheet2!B19))&amp;Sheet2!B19</f>
        <v xml:space="preserve"> 108</v>
      </c>
      <c r="B19" s="6" t="str">
        <f>REPT(" ",Sheet2!$C$3-LEN(Sheet2!C19))&amp;Sheet2!C19</f>
        <v xml:space="preserve"> ExitIfNim</v>
      </c>
      <c r="C19" s="5" t="str">
        <f>IF(Sheet2!D19="R47","isR47FAM","!isR47FAM")</f>
        <v>!isR47FAM</v>
      </c>
      <c r="D19" s="6" t="str">
        <f t="shared" si="2"/>
        <v xml:space="preserve">  !isR47FAM</v>
      </c>
      <c r="E19" s="6" t="str">
        <f>REPT(" ",Sheet2!$E$3-LEN(Sheet2!E19))&amp;Sheet2!E19</f>
        <v xml:space="preserve"> CM_NORMAL</v>
      </c>
      <c r="F19" s="6" t="str">
        <f>REPT(" ",Sheet2!$F$3-LEN(Sheet2!F19))&amp;Sheet2!F19</f>
        <v xml:space="preserve">              ITM_LN</v>
      </c>
      <c r="G19" s="6" t="str">
        <f>REPT(" ",Sheet2!$G$3-LEN(Sheet2!G19))&amp;Sheet2!G19</f>
        <v xml:space="preserve">                          [l]n</v>
      </c>
      <c r="H19" s="3" t="str">
        <f>IF(Sheet2!B19="","",SUBSTITUTE(SUBSTITUTE(SUBSTITUTE(SUBSTITUTE(SUBSTITUTE(SUBSTITUTE($H$1,"61",A19),"CM_NORMAL",E19),"ITM_DRG",F19),"nn = comm",G19),"exitIfNim",B19),"allowCondition",D19))</f>
        <v>if(shortCutCommand(w, event_keyval,  108,   !isR47FAM,  ExitIfNim, 9999, "",  CM_NORMAL,               ITM_LN ))        {return true;} else        //                          [l]n</v>
      </c>
    </row>
    <row r="20" spans="1:8">
      <c r="A20" s="6" t="str">
        <f>REPT(" ",Sheet2!$B$3-LEN(Sheet2!B20))&amp;Sheet2!B20</f>
        <v xml:space="preserve">  76</v>
      </c>
      <c r="B20" s="6" t="str">
        <f>REPT(" ",Sheet2!$C$3-LEN(Sheet2!C20))&amp;Sheet2!C20</f>
        <v xml:space="preserve"> ExitIfNim</v>
      </c>
      <c r="C20" s="5" t="str">
        <f>IF(Sheet2!D20="R47","isR47FAM","!isR47FAM")</f>
        <v>!isR47FAM</v>
      </c>
      <c r="D20" s="6" t="str">
        <f t="shared" si="2"/>
        <v xml:space="preserve">  !isR47FAM</v>
      </c>
      <c r="E20" s="6" t="str">
        <f>REPT(" ",Sheet2!$E$3-LEN(Sheet2!E20))&amp;Sheet2!E20</f>
        <v xml:space="preserve"> CM_NORMAL</v>
      </c>
      <c r="F20" s="6" t="str">
        <f>REPT(" ",Sheet2!$F$3-LEN(Sheet2!F20))&amp;Sheet2!F20</f>
        <v xml:space="preserve">             ITM_EXP</v>
      </c>
      <c r="G20" s="6" t="str">
        <f>REPT(" ",Sheet2!$G$3-LEN(Sheet2!G20))&amp;Sheet2!G20</f>
        <v xml:space="preserve">                  anti[L]n e^x</v>
      </c>
      <c r="H20" s="3" t="str">
        <f>IF(Sheet2!B20="","",SUBSTITUTE(SUBSTITUTE(SUBSTITUTE(SUBSTITUTE(SUBSTITUTE(SUBSTITUTE($H$1,"61",A20),"CM_NORMAL",E20),"ITM_DRG",F20),"nn = comm",G20),"exitIfNim",B20),"allowCondition",D20))</f>
        <v>if(shortCutCommand(w, event_keyval,   76,   !isR47FAM,  ExitIfNim, 9999, "",  CM_NORMAL,              ITM_EXP ))        {return true;} else        //                  anti[L]n e^x</v>
      </c>
    </row>
    <row r="21" spans="1:8">
      <c r="A21" s="6" t="str">
        <f>REPT(" ",Sheet2!$B$3-LEN(Sheet2!B21))&amp;Sheet2!B21</f>
        <v xml:space="preserve"> 111</v>
      </c>
      <c r="B21" s="6" t="str">
        <f>REPT(" ",Sheet2!$C$3-LEN(Sheet2!C21))&amp;Sheet2!C21</f>
        <v xml:space="preserve"> ExitIfNim</v>
      </c>
      <c r="C21" s="5" t="str">
        <f>IF(Sheet2!D21="R47","isR47FAM","!isR47FAM")</f>
        <v>!isR47FAM</v>
      </c>
      <c r="D21" s="6" t="str">
        <f t="shared" si="2"/>
        <v xml:space="preserve">  !isR47FAM</v>
      </c>
      <c r="E21" s="6" t="str">
        <f>REPT(" ",Sheet2!$E$3-LEN(Sheet2!E21))&amp;Sheet2!E21</f>
        <v xml:space="preserve"> CM_NORMAL</v>
      </c>
      <c r="F21" s="6" t="str">
        <f>REPT(" ",Sheet2!$F$3-LEN(Sheet2!F21))&amp;Sheet2!F21</f>
        <v xml:space="preserve">           ITM_LOG10</v>
      </c>
      <c r="G21" s="6" t="str">
        <f>REPT(" ",Sheet2!$G$3-LEN(Sheet2!G21))&amp;Sheet2!G21</f>
        <v xml:space="preserve">                         l[o]g</v>
      </c>
      <c r="H21" s="3" t="str">
        <f>IF(Sheet2!B21="","",SUBSTITUTE(SUBSTITUTE(SUBSTITUTE(SUBSTITUTE(SUBSTITUTE(SUBSTITUTE($H$1,"61",A21),"CM_NORMAL",E21),"ITM_DRG",F21),"nn = comm",G21),"exitIfNim",B21),"allowCondition",D21))</f>
        <v>if(shortCutCommand(w, event_keyval,  111,   !isR47FAM,  ExitIfNim, 9999, "",  CM_NORMAL,            ITM_LOG10 ))        {return true;} else        //                         l[o]g</v>
      </c>
    </row>
    <row r="22" spans="1:8">
      <c r="A22" s="6" t="str">
        <f>REPT(" ",Sheet2!$B$3-LEN(Sheet2!B22))&amp;Sheet2!B22</f>
        <v xml:space="preserve">  79</v>
      </c>
      <c r="B22" s="6" t="str">
        <f>REPT(" ",Sheet2!$C$3-LEN(Sheet2!C22))&amp;Sheet2!C22</f>
        <v xml:space="preserve"> ExitIfNim</v>
      </c>
      <c r="C22" s="5" t="str">
        <f>IF(Sheet2!D22="R47","isR47FAM","!isR47FAM")</f>
        <v>!isR47FAM</v>
      </c>
      <c r="D22" s="6" t="str">
        <f t="shared" si="2"/>
        <v xml:space="preserve">  !isR47FAM</v>
      </c>
      <c r="E22" s="6" t="str">
        <f>REPT(" ",Sheet2!$E$3-LEN(Sheet2!E22))&amp;Sheet2!E22</f>
        <v xml:space="preserve"> CM_NORMAL</v>
      </c>
      <c r="F22" s="6" t="str">
        <f>REPT(" ",Sheet2!$F$3-LEN(Sheet2!F22))&amp;Sheet2!F22</f>
        <v xml:space="preserve">             ITM_10x</v>
      </c>
      <c r="G22" s="6" t="str">
        <f>REPT(" ",Sheet2!$G$3-LEN(Sheet2!G22))&amp;Sheet2!G22</f>
        <v xml:space="preserve">                antil(O)g 10^x</v>
      </c>
      <c r="H22" s="3" t="str">
        <f>IF(Sheet2!B22="","",SUBSTITUTE(SUBSTITUTE(SUBSTITUTE(SUBSTITUTE(SUBSTITUTE(SUBSTITUTE($H$1,"61",A22),"CM_NORMAL",E22),"ITM_DRG",F22),"nn = comm",G22),"exitIfNim",B22),"allowCondition",D22))</f>
        <v>if(shortCutCommand(w, event_keyval,   79,   !isR47FAM,  ExitIfNim, 9999, "",  CM_NORMAL,              ITM_10x ))        {return true;} else        //                antil(O)g 10^x</v>
      </c>
    </row>
    <row r="23" spans="1:8">
      <c r="A23" s="6" t="str">
        <f>REPT(" ",Sheet2!$B$3-LEN(Sheet2!B23))&amp;Sheet2!B23</f>
        <v xml:space="preserve"> 112</v>
      </c>
      <c r="B23" s="6" t="str">
        <f>REPT(" ",Sheet2!$C$3-LEN(Sheet2!C23))&amp;Sheet2!C23</f>
        <v xml:space="preserve"> ExitIfNim</v>
      </c>
      <c r="C23" s="5" t="str">
        <f>IF(Sheet2!D23="R47","isR47FAM","!isR47FAM")</f>
        <v>!isR47FAM</v>
      </c>
      <c r="D23" s="6" t="str">
        <f t="shared" si="2"/>
        <v xml:space="preserve">  !isR47FAM</v>
      </c>
      <c r="E23" s="6" t="str">
        <f>REPT(" ",Sheet2!$E$3-LEN(Sheet2!E23))&amp;Sheet2!E23</f>
        <v xml:space="preserve"> CM_NORMAL</v>
      </c>
      <c r="F23" s="6" t="str">
        <f>REPT(" ",Sheet2!$F$3-LEN(Sheet2!F23))&amp;Sheet2!F23</f>
        <v xml:space="preserve">          ITM_SQUARE</v>
      </c>
      <c r="G23" s="6" t="str">
        <f>REPT(" ",Sheet2!$G$3-LEN(Sheet2!G23))&amp;Sheet2!G23</f>
        <v xml:space="preserve">              [p]ower (Square)</v>
      </c>
      <c r="H23" s="3" t="str">
        <f>IF(Sheet2!B23="","",SUBSTITUTE(SUBSTITUTE(SUBSTITUTE(SUBSTITUTE(SUBSTITUTE(SUBSTITUTE($H$1,"61",A23),"CM_NORMAL",E23),"ITM_DRG",F23),"nn = comm",G23),"exitIfNim",B23),"allowCondition",D23))</f>
        <v>if(shortCutCommand(w, event_keyval,  112,   !isR47FAM,  ExitIfNim, 9999, "",  CM_NORMAL,           ITM_SQUARE ))        {return true;} else        //              [p]ower (Square)</v>
      </c>
    </row>
    <row r="24" spans="1:8">
      <c r="A24" s="6" t="str">
        <f>REPT(" ",Sheet2!$B$3-LEN(Sheet2!B24))&amp;Sheet2!B24</f>
        <v xml:space="preserve">  80</v>
      </c>
      <c r="B24" s="6" t="str">
        <f>REPT(" ",Sheet2!$C$3-LEN(Sheet2!C24))&amp;Sheet2!C24</f>
        <v xml:space="preserve"> ExitIfNim</v>
      </c>
      <c r="C24" s="5" t="str">
        <f>IF(Sheet2!D24="R47","isR47FAM","!isR47FAM")</f>
        <v>!isR47FAM</v>
      </c>
      <c r="D24" s="6" t="str">
        <f t="shared" si="2"/>
        <v xml:space="preserve">  !isR47FAM</v>
      </c>
      <c r="E24" s="6" t="str">
        <f>REPT(" ",Sheet2!$E$3-LEN(Sheet2!E24))&amp;Sheet2!E24</f>
        <v xml:space="preserve"> CM_NORMAL</v>
      </c>
      <c r="F24" s="6" t="str">
        <f>REPT(" ",Sheet2!$F$3-LEN(Sheet2!F24))&amp;Sheet2!F24</f>
        <v xml:space="preserve">     ITM_SQUAREROOTX</v>
      </c>
      <c r="G24" s="6" t="str">
        <f>REPT(" ",Sheet2!$G$3-LEN(Sheet2!G24))&amp;Sheet2!G24</f>
        <v xml:space="preserve">        sqrt (inverse [P]ower)</v>
      </c>
      <c r="H24" s="3" t="str">
        <f>IF(Sheet2!B24="","",SUBSTITUTE(SUBSTITUTE(SUBSTITUTE(SUBSTITUTE(SUBSTITUTE(SUBSTITUTE($H$1,"61",A24),"CM_NORMAL",E24),"ITM_DRG",F24),"nn = comm",G24),"exitIfNim",B24),"allowCondition",D24))</f>
        <v>if(shortCutCommand(w, event_keyval,   80,   !isR47FAM,  ExitIfNim, 9999, "",  CM_NORMAL,      ITM_SQUAREROOTX ))        {return true;} else        //        sqrt (inverse [P]ower)</v>
      </c>
    </row>
    <row r="25" spans="1:8">
      <c r="A25" s="6" t="str">
        <f>REPT(" ",Sheet2!$B$3-LEN(Sheet2!B25))&amp;Sheet2!B25</f>
        <v xml:space="preserve"> 113</v>
      </c>
      <c r="B25" s="6" t="str">
        <f>REPT(" ",Sheet2!$C$3-LEN(Sheet2!C25))&amp;Sheet2!C25</f>
        <v xml:space="preserve"> ExitIfNim</v>
      </c>
      <c r="C25" s="5" t="str">
        <f>IF(Sheet2!D25="R47","isR47FAM","!isR47FAM")</f>
        <v>!isR47FAM</v>
      </c>
      <c r="D25" s="6" t="str">
        <f t="shared" si="2"/>
        <v xml:space="preserve">  !isR47FAM</v>
      </c>
      <c r="E25" s="6" t="str">
        <f>REPT(" ",Sheet2!$E$3-LEN(Sheet2!E25))&amp;Sheet2!E25</f>
        <v xml:space="preserve"> CM_NORMAL</v>
      </c>
      <c r="F25" s="6" t="str">
        <f>REPT(" ",Sheet2!$F$3-LEN(Sheet2!F25))&amp;Sheet2!F25</f>
        <v xml:space="preserve">     ITM_SQUAREROOTX</v>
      </c>
      <c r="G25" s="6" t="str">
        <f>REPT(" ",Sheet2!$G$3-LEN(Sheet2!G25))&amp;Sheet2!G25</f>
        <v xml:space="preserve">                        s[q]rt</v>
      </c>
      <c r="H25" s="3" t="str">
        <f>IF(Sheet2!B25="","",SUBSTITUTE(SUBSTITUTE(SUBSTITUTE(SUBSTITUTE(SUBSTITUTE(SUBSTITUTE($H$1,"61",A25),"CM_NORMAL",E25),"ITM_DRG",F25),"nn = comm",G25),"exitIfNim",B25),"allowCondition",D25))</f>
        <v>if(shortCutCommand(w, event_keyval,  113,   !isR47FAM,  ExitIfNim, 9999, "",  CM_NORMAL,      ITM_SQUAREROOTX ))        {return true;} else        //                        s[q]rt</v>
      </c>
    </row>
    <row r="26" spans="1:8">
      <c r="A26" s="6" t="str">
        <f>REPT(" ",Sheet2!$B$3-LEN(Sheet2!B26))&amp;Sheet2!B26</f>
        <v xml:space="preserve">  81</v>
      </c>
      <c r="B26" s="6" t="str">
        <f>REPT(" ",Sheet2!$C$3-LEN(Sheet2!C26))&amp;Sheet2!C26</f>
        <v xml:space="preserve"> ExitIfNim</v>
      </c>
      <c r="C26" s="5" t="str">
        <f>IF(Sheet2!D26="R47","isR47FAM","!isR47FAM")</f>
        <v>!isR47FAM</v>
      </c>
      <c r="D26" s="6" t="str">
        <f t="shared" si="2"/>
        <v xml:space="preserve">  !isR47FAM</v>
      </c>
      <c r="E26" s="6" t="str">
        <f>REPT(" ",Sheet2!$E$3-LEN(Sheet2!E26))&amp;Sheet2!E26</f>
        <v xml:space="preserve"> CM_NORMAL</v>
      </c>
      <c r="F26" s="6" t="str">
        <f>REPT(" ",Sheet2!$F$3-LEN(Sheet2!F26))&amp;Sheet2!F26</f>
        <v xml:space="preserve">          ITM_SQUARE</v>
      </c>
      <c r="G26" s="6" t="str">
        <f>REPT(" ",Sheet2!$G$3-LEN(Sheet2!G26))&amp;Sheet2!G26</f>
        <v xml:space="preserve">              power (s[Q]uare)</v>
      </c>
      <c r="H26" s="3" t="str">
        <f>IF(Sheet2!B26="","",SUBSTITUTE(SUBSTITUTE(SUBSTITUTE(SUBSTITUTE(SUBSTITUTE(SUBSTITUTE($H$1,"61",A26),"CM_NORMAL",E26),"ITM_DRG",F26),"nn = comm",G26),"exitIfNim",B26),"allowCondition",D26))</f>
        <v>if(shortCutCommand(w, event_keyval,   81,   !isR47FAM,  ExitIfNim, 9999, "",  CM_NORMAL,           ITM_SQUARE ))        {return true;} else        //              power (s[Q]uare)</v>
      </c>
    </row>
    <row r="27" spans="1:8">
      <c r="A27" s="6" t="str">
        <f>REPT(" ",Sheet2!$B$3-LEN(Sheet2!B27))&amp;Sheet2!B27</f>
        <v xml:space="preserve">  88</v>
      </c>
      <c r="B27" s="6" t="str">
        <f>REPT(" ",Sheet2!$C$3-LEN(Sheet2!C27))&amp;Sheet2!C27</f>
        <v xml:space="preserve"> ExitIfNim</v>
      </c>
      <c r="C27" s="5" t="str">
        <f>IF(Sheet2!D27="R47","isR47FAM","!isR47FAM")</f>
        <v>!isR47FAM</v>
      </c>
      <c r="D27" s="6" t="str">
        <f t="shared" si="2"/>
        <v xml:space="preserve">  !isR47FAM</v>
      </c>
      <c r="E27" s="6" t="str">
        <f>REPT(" ",Sheet2!$E$3-LEN(Sheet2!E27))&amp;Sheet2!E27</f>
        <v xml:space="preserve"> CM_NORMAL</v>
      </c>
      <c r="F27" s="6" t="str">
        <f>REPT(" ",Sheet2!$F$3-LEN(Sheet2!F27))&amp;Sheet2!F27</f>
        <v xml:space="preserve">         KEY_COMPLEX</v>
      </c>
      <c r="G27" s="6" t="str">
        <f>REPT(" ",Sheet2!$G$3-LEN(Sheet2!G27))&amp;Sheet2!G27</f>
        <v xml:space="preserve">                     comple[X]</v>
      </c>
      <c r="H27" s="3" t="str">
        <f>IF(Sheet2!B27="","",SUBSTITUTE(SUBSTITUTE(SUBSTITUTE(SUBSTITUTE(SUBSTITUTE(SUBSTITUTE($H$1,"61",A27),"CM_NORMAL",E27),"ITM_DRG",F27),"nn = comm",G27),"exitIfNim",B27),"allowCondition",D27))</f>
        <v>if(shortCutCommand(w, event_keyval,   88,   !isR47FAM,  ExitIfNim, 9999, "",  CM_NORMAL,          KEY_COMPLEX ))        {return true;} else        //                     comple[X]</v>
      </c>
    </row>
    <row r="28" spans="1:8">
      <c r="A28" s="6" t="str">
        <f>REPT(" ",Sheet2!$B$3-LEN(Sheet2!B28))&amp;Sheet2!B28</f>
        <v xml:space="preserve"> 114</v>
      </c>
      <c r="B28" s="6" t="str">
        <f>REPT(" ",Sheet2!$C$3-LEN(Sheet2!C28))&amp;Sheet2!C28</f>
        <v xml:space="preserve"> ExitIfNim</v>
      </c>
      <c r="C28" s="5" t="str">
        <f>IF(Sheet2!D28="R47","isR47FAM","!isR47FAM")</f>
        <v>!isR47FAM</v>
      </c>
      <c r="D28" s="6" t="str">
        <f t="shared" si="2"/>
        <v xml:space="preserve">  !isR47FAM</v>
      </c>
      <c r="E28" s="6" t="str">
        <f>REPT(" ",Sheet2!$E$3-LEN(Sheet2!E28))&amp;Sheet2!E28</f>
        <v xml:space="preserve"> CM_NORMAL</v>
      </c>
      <c r="F28" s="6" t="str">
        <f>REPT(" ",Sheet2!$F$3-LEN(Sheet2!F28))&amp;Sheet2!F28</f>
        <v xml:space="preserve">          ITM_toREC2</v>
      </c>
      <c r="G28" s="6" t="str">
        <f>REPT(" ",Sheet2!$G$3-LEN(Sheet2!G28))&amp;Sheet2!G28</f>
        <v xml:space="preserve">                      -&gt;[r]ect</v>
      </c>
      <c r="H28" s="3" t="str">
        <f>IF(Sheet2!B28="","",SUBSTITUTE(SUBSTITUTE(SUBSTITUTE(SUBSTITUTE(SUBSTITUTE(SUBSTITUTE($H$1,"61",A28),"CM_NORMAL",E28),"ITM_DRG",F28),"nn = comm",G28),"exitIfNim",B28),"allowCondition",D28))</f>
        <v>if(shortCutCommand(w, event_keyval,  114,   !isR47FAM,  ExitIfNim, 9999, "",  CM_NORMAL,           ITM_toREC2 ))        {return true;} else        //                      -&gt;[r]ect</v>
      </c>
    </row>
    <row r="29" spans="1:8">
      <c r="A29" s="6" t="str">
        <f>REPT(" ",Sheet2!$B$3-LEN(Sheet2!B29))&amp;Sheet2!B29</f>
        <v xml:space="preserve">  82</v>
      </c>
      <c r="B29" s="6" t="str">
        <f>REPT(" ",Sheet2!$C$3-LEN(Sheet2!C29))&amp;Sheet2!C29</f>
        <v xml:space="preserve"> ExitIfNim</v>
      </c>
      <c r="C29" s="5" t="str">
        <f>IF(Sheet2!D29="R47","isR47FAM","!isR47FAM")</f>
        <v>!isR47FAM</v>
      </c>
      <c r="D29" s="6" t="str">
        <f t="shared" si="2"/>
        <v xml:space="preserve">  !isR47FAM</v>
      </c>
      <c r="E29" s="6" t="str">
        <f>REPT(" ",Sheet2!$E$3-LEN(Sheet2!E29))&amp;Sheet2!E29</f>
        <v xml:space="preserve"> CM_NORMAL</v>
      </c>
      <c r="F29" s="6" t="str">
        <f>REPT(" ",Sheet2!$F$3-LEN(Sheet2!F29))&amp;Sheet2!F29</f>
        <v xml:space="preserve">          ITM_toPOL2</v>
      </c>
      <c r="G29" s="6" t="str">
        <f>REPT(" ",Sheet2!$G$3-LEN(Sheet2!G29))&amp;Sheet2!G29</f>
        <v xml:space="preserve">                     -&gt;pola[R]</v>
      </c>
      <c r="H29" s="3" t="str">
        <f>IF(Sheet2!B29="","",SUBSTITUTE(SUBSTITUTE(SUBSTITUTE(SUBSTITUTE(SUBSTITUTE(SUBSTITUTE($H$1,"61",A29),"CM_NORMAL",E29),"ITM_DRG",F29),"nn = comm",G29),"exitIfNim",B29),"allowCondition",D29))</f>
        <v>if(shortCutCommand(w, event_keyval,   82,   !isR47FAM,  ExitIfNim, 9999, "",  CM_NORMAL,           ITM_toPOL2 ))        {return true;} else        //                     -&gt;pola[R]</v>
      </c>
    </row>
    <row r="30" spans="1:8">
      <c r="A30" s="6" t="str">
        <f>REPT(" ",Sheet2!$B$3-LEN(Sheet2!B30))&amp;Sheet2!B30</f>
        <v xml:space="preserve"> 109</v>
      </c>
      <c r="B30" s="6" t="str">
        <f>REPT(" ",Sheet2!$C$3-LEN(Sheet2!C30))&amp;Sheet2!C30</f>
        <v xml:space="preserve"> ExitIfNim</v>
      </c>
      <c r="C30" s="5" t="str">
        <f>IF(Sheet2!D30="R47","isR47FAM","!isR47FAM")</f>
        <v>!isR47FAM</v>
      </c>
      <c r="D30" s="6" t="str">
        <f t="shared" si="2"/>
        <v xml:space="preserve">  !isR47FAM</v>
      </c>
      <c r="E30" s="6" t="str">
        <f>REPT(" ",Sheet2!$E$3-LEN(Sheet2!E30))&amp;Sheet2!E30</f>
        <v xml:space="preserve"> CM_NORMAL</v>
      </c>
      <c r="F30" s="6" t="str">
        <f>REPT(" ",Sheet2!$F$3-LEN(Sheet2!F30))&amp;Sheet2!F30</f>
        <v xml:space="preserve">           -MNU_MODE</v>
      </c>
      <c r="G30" s="6" t="str">
        <f>REPT(" ",Sheet2!$G$3-LEN(Sheet2!G30))&amp;Sheet2!G30</f>
        <v xml:space="preserve">                        [M]ODE</v>
      </c>
      <c r="H30" s="3" t="str">
        <f>IF(Sheet2!B30="","",SUBSTITUTE(SUBSTITUTE(SUBSTITUTE(SUBSTITUTE(SUBSTITUTE(SUBSTITUTE($H$1,"61",A30),"CM_NORMAL",E30),"ITM_DRG",F30),"nn = comm",G30),"exitIfNim",B30),"allowCondition",D30))</f>
        <v>if(shortCutCommand(w, event_keyval,  109,   !isR47FAM,  ExitIfNim, 9999, "",  CM_NORMAL,            -MNU_MODE ))        {return true;} else        //                        [M]ODE</v>
      </c>
    </row>
    <row r="31" spans="1:8">
      <c r="A31" s="6" t="str">
        <f>REPT(" ",Sheet2!$B$3-LEN(Sheet2!B31))&amp;Sheet2!B31</f>
        <v xml:space="preserve">  77</v>
      </c>
      <c r="B31" s="6" t="str">
        <f>REPT(" ",Sheet2!$C$3-LEN(Sheet2!C31))&amp;Sheet2!C31</f>
        <v xml:space="preserve"> ExitIfNim</v>
      </c>
      <c r="C31" s="5" t="str">
        <f>IF(Sheet2!D31="R47","isR47FAM","!isR47FAM")</f>
        <v>!isR47FAM</v>
      </c>
      <c r="D31" s="6" t="str">
        <f t="shared" si="2"/>
        <v xml:space="preserve">  !isR47FAM</v>
      </c>
      <c r="E31" s="6" t="str">
        <f>REPT(" ",Sheet2!$E$3-LEN(Sheet2!E31))&amp;Sheet2!E31</f>
        <v xml:space="preserve"> CM_NORMAL</v>
      </c>
      <c r="F31" s="6" t="str">
        <f>REPT(" ",Sheet2!$F$3-LEN(Sheet2!F31))&amp;Sheet2!F31</f>
        <v xml:space="preserve">        -MNU_TRG_C47</v>
      </c>
      <c r="G31" s="6" t="str">
        <f>REPT(" ",Sheet2!$G$3-LEN(Sheet2!G31))&amp;Sheet2!G31</f>
        <v xml:space="preserve">                           TRG</v>
      </c>
      <c r="H31" s="3" t="str">
        <f>IF(Sheet2!B31="","",SUBSTITUTE(SUBSTITUTE(SUBSTITUTE(SUBSTITUTE(SUBSTITUTE(SUBSTITUTE($H$1,"61",A31),"CM_NORMAL",E31),"ITM_DRG",F31),"nn = comm",G31),"exitIfNim",B31),"allowCondition",D31))</f>
        <v>if(shortCutCommand(w, event_keyval,   77,   !isR47FAM,  ExitIfNim, 9999, "",  CM_NORMAL,         -MNU_TRG_C47 ))        {return true;} else        //                           TRG</v>
      </c>
    </row>
    <row r="32" spans="1:8">
      <c r="A32" s="6" t="str">
        <f>REPT(" ",Sheet2!$B$3-LEN(Sheet2!B32))&amp;Sheet2!B32</f>
        <v xml:space="preserve"> 100</v>
      </c>
      <c r="B32" s="6" t="str">
        <f>REPT(" ",Sheet2!$C$3-LEN(Sheet2!C32))&amp;Sheet2!C32</f>
        <v xml:space="preserve"> ExitIfNim</v>
      </c>
      <c r="C32" s="5" t="str">
        <f>IF(Sheet2!D32="R47","isR47FAM","!isR47FAM")</f>
        <v>!isR47FAM</v>
      </c>
      <c r="D32" s="6" t="str">
        <f t="shared" si="2"/>
        <v xml:space="preserve">  !isR47FAM</v>
      </c>
      <c r="E32" s="6" t="str">
        <f>REPT(" ",Sheet2!$E$3-LEN(Sheet2!E32))&amp;Sheet2!E32</f>
        <v xml:space="preserve"> CM_NORMAL</v>
      </c>
      <c r="F32" s="6" t="str">
        <f>REPT(" ",Sheet2!$F$3-LEN(Sheet2!F32))&amp;Sheet2!F32</f>
        <v xml:space="preserve">           -MNU_DISP</v>
      </c>
      <c r="G32" s="6" t="str">
        <f>REPT(" ",Sheet2!$G$3-LEN(Sheet2!G32))&amp;Sheet2!G32</f>
        <v xml:space="preserve">                        [D]ISP</v>
      </c>
      <c r="H32" s="3" t="str">
        <f>IF(Sheet2!B32="","",SUBSTITUTE(SUBSTITUTE(SUBSTITUTE(SUBSTITUTE(SUBSTITUTE(SUBSTITUTE($H$1,"61",A32),"CM_NORMAL",E32),"ITM_DRG",F32),"nn = comm",G32),"exitIfNim",B32),"allowCondition",D32))</f>
        <v>if(shortCutCommand(w, event_keyval,  100,   !isR47FAM,  ExitIfNim, 9999, "",  CM_NORMAL,            -MNU_DISP ))        {return true;} else        //                        [D]ISP</v>
      </c>
    </row>
    <row r="33" spans="1:8">
      <c r="A33" s="6" t="str">
        <f>REPT(" ",Sheet2!$B$3-LEN(Sheet2!B33))&amp;Sheet2!B33</f>
        <v xml:space="preserve">  68</v>
      </c>
      <c r="B33" s="6" t="str">
        <f>REPT(" ",Sheet2!$C$3-LEN(Sheet2!C33))&amp;Sheet2!C33</f>
        <v xml:space="preserve"> ExitIfNim</v>
      </c>
      <c r="C33" s="5" t="str">
        <f>IF(Sheet2!D33="R47","isR47FAM","!isR47FAM")</f>
        <v>!isR47FAM</v>
      </c>
      <c r="D33" s="6" t="str">
        <f t="shared" si="2"/>
        <v xml:space="preserve">  !isR47FAM</v>
      </c>
      <c r="E33" s="6" t="str">
        <f>REPT(" ",Sheet2!$E$3-LEN(Sheet2!E33))&amp;Sheet2!E33</f>
        <v xml:space="preserve"> CM_NORMAL</v>
      </c>
      <c r="F33" s="6" t="str">
        <f>REPT(" ",Sheet2!$F$3-LEN(Sheet2!F33))&amp;Sheet2!F33</f>
        <v xml:space="preserve">            -MNU_EXP</v>
      </c>
      <c r="G33" s="6" t="str">
        <f>REPT(" ",Sheet2!$G$3-LEN(Sheet2!G33))&amp;Sheet2!G33</f>
        <v xml:space="preserve">                           EXP</v>
      </c>
      <c r="H33" s="3" t="str">
        <f>IF(Sheet2!B33="","",SUBSTITUTE(SUBSTITUTE(SUBSTITUTE(SUBSTITUTE(SUBSTITUTE(SUBSTITUTE($H$1,"61",A33),"CM_NORMAL",E33),"ITM_DRG",F33),"nn = comm",G33),"exitIfNim",B33),"allowCondition",D33))</f>
        <v>if(shortCutCommand(w, event_keyval,   68,   !isR47FAM,  ExitIfNim, 9999, "",  CM_NORMAL,             -MNU_EXP ))        {return true;} else        //                           EXP</v>
      </c>
    </row>
    <row r="34" spans="1:8">
      <c r="A34" s="6" t="str">
        <f>REPT(" ",Sheet2!$B$3-LEN(Sheet2!B34))&amp;Sheet2!B34</f>
        <v xml:space="preserve"> 107</v>
      </c>
      <c r="B34" s="6" t="str">
        <f>REPT(" ",Sheet2!$C$3-LEN(Sheet2!C34))&amp;Sheet2!C34</f>
        <v xml:space="preserve"> ExitIfNim</v>
      </c>
      <c r="C34" s="5" t="str">
        <f>IF(Sheet2!D34="R47","isR47FAM","!isR47FAM")</f>
        <v>!isR47FAM</v>
      </c>
      <c r="D34" s="6" t="str">
        <f t="shared" si="2"/>
        <v xml:space="preserve">  !isR47FAM</v>
      </c>
      <c r="E34" s="6" t="str">
        <f>REPT(" ",Sheet2!$E$3-LEN(Sheet2!E34))&amp;Sheet2!E34</f>
        <v xml:space="preserve"> CM_NORMAL</v>
      </c>
      <c r="F34" s="6" t="str">
        <f>REPT(" ",Sheet2!$F$3-LEN(Sheet2!F34))&amp;Sheet2!F34</f>
        <v xml:space="preserve">            -MNU_STK</v>
      </c>
      <c r="G34" s="6" t="str">
        <f>REPT(" ",Sheet2!$G$3-LEN(Sheet2!G34))&amp;Sheet2!G34</f>
        <v xml:space="preserve">                         ST[k]</v>
      </c>
      <c r="H34" s="3" t="str">
        <f>IF(Sheet2!B34="","",SUBSTITUTE(SUBSTITUTE(SUBSTITUTE(SUBSTITUTE(SUBSTITUTE(SUBSTITUTE($H$1,"61",A34),"CM_NORMAL",E34),"ITM_DRG",F34),"nn = comm",G34),"exitIfNim",B34),"allowCondition",D34))</f>
        <v>if(shortCutCommand(w, event_keyval,  107,   !isR47FAM,  ExitIfNim, 9999, "",  CM_NORMAL,             -MNU_STK ))        {return true;} else        //                         ST[k]</v>
      </c>
    </row>
    <row r="35" spans="1:8">
      <c r="A35" s="6" t="str">
        <f>REPT(" ",Sheet2!$B$3-LEN(Sheet2!B35))&amp;Sheet2!B35</f>
        <v xml:space="preserve">    </v>
      </c>
      <c r="B35" s="6" t="str">
        <f>REPT(" ",Sheet2!$C$3-LEN(Sheet2!C35))&amp;Sheet2!C35</f>
        <v xml:space="preserve">          </v>
      </c>
      <c r="C35" s="5" t="str">
        <f>IF(Sheet2!D35="R47","isR47FAM","!isR47FAM")</f>
        <v>!isR47FAM</v>
      </c>
      <c r="D35" s="6" t="str">
        <f t="shared" si="2"/>
        <v xml:space="preserve">  !isR47FAM</v>
      </c>
      <c r="E35" s="6" t="str">
        <f>REPT(" ",Sheet2!$E$3-LEN(Sheet2!E35))&amp;Sheet2!E35</f>
        <v xml:space="preserve">          </v>
      </c>
      <c r="F35" s="6" t="str">
        <f>REPT(" ",Sheet2!$F$3-LEN(Sheet2!F35))&amp;Sheet2!F35</f>
        <v xml:space="preserve">                    </v>
      </c>
      <c r="G35" s="6" t="str">
        <f>REPT(" ",Sheet2!$G$3-LEN(Sheet2!G35))&amp;Sheet2!G35</f>
        <v xml:space="preserve">                              </v>
      </c>
      <c r="H35" s="3" t="str">
        <f>IF(Sheet2!B35="","",SUBSTITUTE(SUBSTITUTE(SUBSTITUTE(SUBSTITUTE(SUBSTITUTE(SUBSTITUTE($H$1,"61",A35),"CM_NORMAL",E35),"ITM_DRG",F35),"nn = comm",G35),"exitIfNim",B35),"allowCondition",D35))</f>
        <v/>
      </c>
    </row>
    <row r="36" spans="1:8">
      <c r="A36" s="6" t="str">
        <f>REPT(" ",Sheet2!$B$3-LEN(Sheet2!B36))&amp;Sheet2!B36</f>
        <v xml:space="preserve">    </v>
      </c>
      <c r="B36" s="6" t="str">
        <f>REPT(" ",Sheet2!$C$3-LEN(Sheet2!C36))&amp;Sheet2!C36</f>
        <v xml:space="preserve">          </v>
      </c>
      <c r="C36" s="5" t="str">
        <f>IF(Sheet2!D36="R47","isR47FAM","!isR47FAM")</f>
        <v>!isR47FAM</v>
      </c>
      <c r="D36" s="6" t="str">
        <f t="shared" si="2"/>
        <v xml:space="preserve">  !isR47FAM</v>
      </c>
      <c r="E36" s="6" t="str">
        <f>REPT(" ",Sheet2!$E$3-LEN(Sheet2!E36))&amp;Sheet2!E36</f>
        <v xml:space="preserve">          </v>
      </c>
      <c r="F36" s="6" t="str">
        <f>REPT(" ",Sheet2!$F$3-LEN(Sheet2!F36))&amp;Sheet2!F36</f>
        <v xml:space="preserve">                    </v>
      </c>
      <c r="G36" s="6" t="str">
        <f>REPT(" ",Sheet2!$G$3-LEN(Sheet2!G36))&amp;Sheet2!G36</f>
        <v xml:space="preserve">                              </v>
      </c>
      <c r="H36" s="3" t="str">
        <f>IF(Sheet2!B36="","",SUBSTITUTE(SUBSTITUTE(SUBSTITUTE(SUBSTITUTE(SUBSTITUTE(SUBSTITUTE($H$1,"61",A36),"CM_NORMAL",E36),"ITM_DRG",F36),"nn = comm",G36),"exitIfNim",B36),"allowCondition",D36))</f>
        <v/>
      </c>
    </row>
    <row r="37" spans="1:8">
      <c r="A37" s="6" t="str">
        <f>REPT(" ",Sheet2!$B$3-LEN(Sheet2!B37))&amp;Sheet2!B37</f>
        <v xml:space="preserve"> 119</v>
      </c>
      <c r="B37" s="6" t="str">
        <f>REPT(" ",Sheet2!$C$3-LEN(Sheet2!C37))&amp;Sheet2!C37</f>
        <v xml:space="preserve"> ExitIfNim</v>
      </c>
      <c r="C37" s="5" t="str">
        <f>IF(Sheet2!D37="R47","isR47FAM","!isR47FAM")</f>
        <v>isR47FAM</v>
      </c>
      <c r="D37" s="6" t="str">
        <f t="shared" si="2"/>
        <v xml:space="preserve">   isR47FAM</v>
      </c>
      <c r="E37" s="6" t="str">
        <f>REPT(" ",Sheet2!$E$3-LEN(Sheet2!E37))&amp;Sheet2!E37</f>
        <v xml:space="preserve"> CM_NORMAL</v>
      </c>
      <c r="F37" s="6" t="str">
        <f>REPT(" ",Sheet2!$F$3-LEN(Sheet2!F37))&amp;Sheet2!F37</f>
        <v xml:space="preserve">            ITM_XexY</v>
      </c>
      <c r="G37" s="6" t="str">
        <f>REPT(" ",Sheet2!$G$3-LEN(Sheet2!G37))&amp;Sheet2!G37</f>
        <v xml:space="preserve">                        s[w]ap</v>
      </c>
      <c r="H37" s="3" t="str">
        <f>IF(Sheet2!B37="","",SUBSTITUTE(SUBSTITUTE(SUBSTITUTE(SUBSTITUTE(SUBSTITUTE(SUBSTITUTE($H$1,"61",A37),"CM_NORMAL",E37),"ITM_DRG",F37),"nn = comm",G37),"exitIfNim",B37),"allowCondition",D37))</f>
        <v>if(shortCutCommand(w, event_keyval,  119,    isR47FAM,  ExitIfNim, 9999, "",  CM_NORMAL,             ITM_XexY ))        {return true;} else        //                        s[w]ap</v>
      </c>
    </row>
    <row r="38" spans="1:8">
      <c r="A38" s="6" t="str">
        <f>REPT(" ",Sheet2!$B$3-LEN(Sheet2!B38))&amp;Sheet2!B38</f>
        <v xml:space="preserve"> 120</v>
      </c>
      <c r="B38" s="6" t="str">
        <f>REPT(" ",Sheet2!$C$3-LEN(Sheet2!C38))&amp;Sheet2!C38</f>
        <v xml:space="preserve"> ExitIfNim</v>
      </c>
      <c r="C38" s="5" t="str">
        <f>IF(Sheet2!D38="R47","isR47FAM","!isR47FAM")</f>
        <v>isR47FAM</v>
      </c>
      <c r="D38" s="6" t="str">
        <f t="shared" si="2"/>
        <v xml:space="preserve">   isR47FAM</v>
      </c>
      <c r="E38" s="6" t="str">
        <f>REPT(" ",Sheet2!$E$3-LEN(Sheet2!E38))&amp;Sheet2!E38</f>
        <v xml:space="preserve"> CM_NORMAL</v>
      </c>
      <c r="F38" s="6" t="str">
        <f>REPT(" ",Sheet2!$F$3-LEN(Sheet2!F38))&amp;Sheet2!F38</f>
        <v xml:space="preserve">             ITM_XEQ</v>
      </c>
      <c r="G38" s="6" t="str">
        <f>REPT(" ",Sheet2!$G$3-LEN(Sheet2!G38))&amp;Sheet2!G38</f>
        <v xml:space="preserve">                         [x]eq</v>
      </c>
      <c r="H38" s="3" t="str">
        <f>IF(Sheet2!B38="","",SUBSTITUTE(SUBSTITUTE(SUBSTITUTE(SUBSTITUTE(SUBSTITUTE(SUBSTITUTE($H$1,"61",A38),"CM_NORMAL",E38),"ITM_DRG",F38),"nn = comm",G38),"exitIfNim",B38),"allowCondition",D38))</f>
        <v>if(shortCutCommand(w, event_keyval,  120,    isR47FAM,  ExitIfNim, 9999, "",  CM_NORMAL,              ITM_XEQ ))        {return true;} else        //                         [x]eq</v>
      </c>
    </row>
    <row r="39" spans="1:8">
      <c r="A39" s="6" t="str">
        <f>REPT(" ",Sheet2!$B$3-LEN(Sheet2!B39))&amp;Sheet2!B39</f>
        <v xml:space="preserve">  61</v>
      </c>
      <c r="B39" s="6" t="str">
        <f>REPT(" ",Sheet2!$C$3-LEN(Sheet2!C39))&amp;Sheet2!C39</f>
        <v xml:space="preserve"> ExitIfNim</v>
      </c>
      <c r="C39" s="5" t="str">
        <f>IF(Sheet2!D39="R47","isR47FAM","!isR47FAM")</f>
        <v>isR47FAM</v>
      </c>
      <c r="D39" s="6" t="str">
        <f t="shared" si="2"/>
        <v xml:space="preserve">   isR47FAM</v>
      </c>
      <c r="E39" s="6" t="str">
        <f>REPT(" ",Sheet2!$E$3-LEN(Sheet2!E39))&amp;Sheet2!E39</f>
        <v xml:space="preserve"> CM_NORMAL</v>
      </c>
      <c r="F39" s="6" t="str">
        <f>REPT(" ",Sheet2!$F$3-LEN(Sheet2!F39))&amp;Sheet2!F39</f>
        <v xml:space="preserve">             ITM_DRG</v>
      </c>
      <c r="G39" s="6" t="str">
        <f>REPT(" ",Sheet2!$G$3-LEN(Sheet2!G39))&amp;Sheet2!G39</f>
        <v xml:space="preserve">                     [=]&gt;D,R,G</v>
      </c>
      <c r="H39" s="3" t="str">
        <f>IF(Sheet2!B39="","",SUBSTITUTE(SUBSTITUTE(SUBSTITUTE(SUBSTITUTE(SUBSTITUTE(SUBSTITUTE($H$1,"61",A39),"CM_NORMAL",E39),"ITM_DRG",F39),"nn = comm",G39),"exitIfNim",B39),"allowCondition",D39))</f>
        <v>if(shortCutCommand(w, event_keyval,   61,    isR47FAM,  ExitIfNim, 9999, "",  CM_NORMAL,              ITM_DRG ))        {return true;} else        //                     [=]&gt;D,R,G</v>
      </c>
    </row>
    <row r="40" spans="1:8">
      <c r="A40" s="6" t="str">
        <f>REPT(" ",Sheet2!$B$3-LEN(Sheet2!B40))&amp;Sheet2!B40</f>
        <v xml:space="preserve">  97</v>
      </c>
      <c r="B40" s="6" t="str">
        <f>REPT(" ",Sheet2!$C$3-LEN(Sheet2!C40))&amp;Sheet2!C40</f>
        <v xml:space="preserve"> ExitIfNim</v>
      </c>
      <c r="C40" s="5" t="str">
        <f>IF(Sheet2!D40="R47","isR47FAM","!isR47FAM")</f>
        <v>isR47FAM</v>
      </c>
      <c r="D40" s="6" t="str">
        <f t="shared" si="2"/>
        <v xml:space="preserve">   isR47FAM</v>
      </c>
      <c r="E40" s="6" t="str">
        <f>REPT(" ",Sheet2!$E$3-LEN(Sheet2!E40))&amp;Sheet2!E40</f>
        <v xml:space="preserve"> CM_NORMAL</v>
      </c>
      <c r="F40" s="6" t="str">
        <f>REPT(" ",Sheet2!$F$3-LEN(Sheet2!F40))&amp;Sheet2!F40</f>
        <v xml:space="preserve">       ITM_SIGMAPLUS</v>
      </c>
      <c r="G40" s="6" t="str">
        <f>REPT(" ",Sheet2!$G$3-LEN(Sheet2!G40))&amp;Sheet2!G40</f>
        <v xml:space="preserve">                  [a]ccumulate</v>
      </c>
      <c r="H40" s="3" t="str">
        <f>IF(Sheet2!B40="","",SUBSTITUTE(SUBSTITUTE(SUBSTITUTE(SUBSTITUTE(SUBSTITUTE(SUBSTITUTE($H$1,"61",A40),"CM_NORMAL",E40),"ITM_DRG",F40),"nn = comm",G40),"exitIfNim",B40),"allowCondition",D40))</f>
        <v>if(shortCutCommand(w, event_keyval,   97,    isR47FAM,  ExitIfNim, 9999, "",  CM_NORMAL,        ITM_SIGMAPLUS ))        {return true;} else        //                  [a]ccumulate</v>
      </c>
    </row>
    <row r="41" spans="1:8">
      <c r="A41" s="6" t="str">
        <f>REPT(" ",Sheet2!$B$3-LEN(Sheet2!B41))&amp;Sheet2!B41</f>
        <v xml:space="preserve"> 118</v>
      </c>
      <c r="B41" s="6" t="str">
        <f>REPT(" ",Sheet2!$C$3-LEN(Sheet2!C41))&amp;Sheet2!C41</f>
        <v xml:space="preserve"> ExitIfNim</v>
      </c>
      <c r="C41" s="5" t="str">
        <f>IF(Sheet2!D41="R47","isR47FAM","!isR47FAM")</f>
        <v>isR47FAM</v>
      </c>
      <c r="D41" s="6" t="str">
        <f t="shared" si="2"/>
        <v xml:space="preserve">   isR47FAM</v>
      </c>
      <c r="E41" s="6" t="str">
        <f>REPT(" ",Sheet2!$E$3-LEN(Sheet2!E41))&amp;Sheet2!E41</f>
        <v xml:space="preserve"> CM_NORMAL</v>
      </c>
      <c r="F41" s="6" t="str">
        <f>REPT(" ",Sheet2!$F$3-LEN(Sheet2!F41))&amp;Sheet2!F41</f>
        <v xml:space="preserve">            ITM_1ONX</v>
      </c>
      <c r="G41" s="6" t="str">
        <f>REPT(" ",Sheet2!$G$3-LEN(Sheet2!G41))&amp;Sheet2!G41</f>
        <v xml:space="preserve">                     in[v]erse</v>
      </c>
      <c r="H41" s="3" t="str">
        <f>IF(Sheet2!B41="","",SUBSTITUTE(SUBSTITUTE(SUBSTITUTE(SUBSTITUTE(SUBSTITUTE(SUBSTITUTE($H$1,"61",A41),"CM_NORMAL",E41),"ITM_DRG",F41),"nn = comm",G41),"exitIfNim",B41),"allowCondition",D41))</f>
        <v>if(shortCutCommand(w, event_keyval,  118,    isR47FAM,  ExitIfNim, 9999, "",  CM_NORMAL,             ITM_1ONX ))        {return true;} else        //                     in[v]erse</v>
      </c>
    </row>
    <row r="42" spans="1:8">
      <c r="A42" s="6" t="str">
        <f>REPT(" ",Sheet2!$B$3-LEN(Sheet2!B42))&amp;Sheet2!B42</f>
        <v xml:space="preserve"> 121</v>
      </c>
      <c r="B42" s="6" t="str">
        <f>REPT(" ",Sheet2!$C$3-LEN(Sheet2!C42))&amp;Sheet2!C42</f>
        <v xml:space="preserve"> ExitIfNim</v>
      </c>
      <c r="C42" s="5" t="str">
        <f>IF(Sheet2!D42="R47","isR47FAM","!isR47FAM")</f>
        <v>isR47FAM</v>
      </c>
      <c r="D42" s="6" t="str">
        <f t="shared" si="2"/>
        <v xml:space="preserve">   isR47FAM</v>
      </c>
      <c r="E42" s="6" t="str">
        <f>REPT(" ",Sheet2!$E$3-LEN(Sheet2!E42))&amp;Sheet2!E42</f>
        <v xml:space="preserve"> CM_NORMAL</v>
      </c>
      <c r="F42" s="6" t="str">
        <f>REPT(" ",Sheet2!$F$3-LEN(Sheet2!F42))&amp;Sheet2!F42</f>
        <v xml:space="preserve">              ITM_YX</v>
      </c>
      <c r="G42" s="6" t="str">
        <f>REPT(" ",Sheet2!$G$3-LEN(Sheet2!G42))&amp;Sheet2!G42</f>
        <v xml:space="preserve">                         [y]^x</v>
      </c>
      <c r="H42" s="3" t="str">
        <f>IF(Sheet2!B42="","",SUBSTITUTE(SUBSTITUTE(SUBSTITUTE(SUBSTITUTE(SUBSTITUTE(SUBSTITUTE($H$1,"61",A42),"CM_NORMAL",E42),"ITM_DRG",F42),"nn = comm",G42),"exitIfNim",B42),"allowCondition",D42))</f>
        <v>if(shortCutCommand(w, event_keyval,  121,    isR47FAM,  ExitIfNim, 9999, "",  CM_NORMAL,               ITM_YX ))        {return true;} else        //                         [y]^x</v>
      </c>
    </row>
    <row r="43" spans="1:8">
      <c r="A43" s="6" t="str">
        <f>REPT(" ",Sheet2!$B$3-LEN(Sheet2!B43))&amp;Sheet2!B43</f>
        <v xml:space="preserve"> 110</v>
      </c>
      <c r="B43" s="6" t="str">
        <f>REPT(" ",Sheet2!$C$3-LEN(Sheet2!C43))&amp;Sheet2!C43</f>
        <v xml:space="preserve"> ExitIfNim</v>
      </c>
      <c r="C43" s="5" t="str">
        <f>IF(Sheet2!D43="R47","isR47FAM","!isR47FAM")</f>
        <v>isR47FAM</v>
      </c>
      <c r="D43" s="6" t="str">
        <f t="shared" si="2"/>
        <v xml:space="preserve">   isR47FAM</v>
      </c>
      <c r="E43" s="6" t="str">
        <f>REPT(" ",Sheet2!$E$3-LEN(Sheet2!E43))&amp;Sheet2!E43</f>
        <v xml:space="preserve"> CM_NORMAL</v>
      </c>
      <c r="F43" s="6" t="str">
        <f>REPT(" ",Sheet2!$F$3-LEN(Sheet2!F43))&amp;Sheet2!F43</f>
        <v xml:space="preserve">             ITM_CHS</v>
      </c>
      <c r="G43" s="6" t="str">
        <f>REPT(" ",Sheet2!$G$3-LEN(Sheet2!G43))&amp;Sheet2!G43</f>
        <v xml:space="preserve">                CHS [n]egative</v>
      </c>
      <c r="H43" s="3" t="str">
        <f>IF(Sheet2!B43="","",SUBSTITUTE(SUBSTITUTE(SUBSTITUTE(SUBSTITUTE(SUBSTITUTE(SUBSTITUTE($H$1,"61",A43),"CM_NORMAL",E43),"ITM_DRG",F43),"nn = comm",G43),"exitIfNim",B43),"allowCondition",D43))</f>
        <v>if(shortCutCommand(w, event_keyval,  110,    isR47FAM,  ExitIfNim, 9999, "",  CM_NORMAL,              ITM_CHS ))        {return true;} else        //                CHS [n]egative</v>
      </c>
    </row>
    <row r="44" spans="1:8">
      <c r="A44" s="6" t="str">
        <f>REPT(" ",Sheet2!$B$3-LEN(Sheet2!B44))&amp;Sheet2!B44</f>
        <v xml:space="preserve">  89</v>
      </c>
      <c r="B44" s="6" t="str">
        <f>REPT(" ",Sheet2!$C$3-LEN(Sheet2!C44))&amp;Sheet2!C44</f>
        <v xml:space="preserve"> ExitIfNim</v>
      </c>
      <c r="C44" s="5" t="str">
        <f>IF(Sheet2!D44="R47","isR47FAM","!isR47FAM")</f>
        <v>isR47FAM</v>
      </c>
      <c r="D44" s="6" t="str">
        <f t="shared" si="2"/>
        <v xml:space="preserve">   isR47FAM</v>
      </c>
      <c r="E44" s="6" t="str">
        <f>REPT(" ",Sheet2!$E$3-LEN(Sheet2!E44))&amp;Sheet2!E44</f>
        <v xml:space="preserve"> CM_NORMAL</v>
      </c>
      <c r="F44" s="6" t="str">
        <f>REPT(" ",Sheet2!$F$3-LEN(Sheet2!F44))&amp;Sheet2!F44</f>
        <v xml:space="preserve">         ITM_XTHROOT</v>
      </c>
      <c r="G44" s="6" t="str">
        <f>REPT(" ",Sheet2!$G$3-LEN(Sheet2!G44))&amp;Sheet2!G44</f>
        <v xml:space="preserve">               xth root of [Y]</v>
      </c>
      <c r="H44" s="3" t="str">
        <f>IF(Sheet2!B44="","",SUBSTITUTE(SUBSTITUTE(SUBSTITUTE(SUBSTITUTE(SUBSTITUTE(SUBSTITUTE($H$1,"61",A44),"CM_NORMAL",E44),"ITM_DRG",F44),"nn = comm",G44),"exitIfNim",B44),"allowCondition",D44))</f>
        <v>if(shortCutCommand(w, event_keyval,   89,    isR47FAM,  ExitIfNim, 9999, "",  CM_NORMAL,          ITM_XTHROOT ))        {return true;} else        //               xth root of [Y]</v>
      </c>
    </row>
    <row r="45" spans="1:8">
      <c r="A45" s="6" t="str">
        <f>REPT(" ",Sheet2!$B$3-LEN(Sheet2!B45))&amp;Sheet2!B45</f>
        <v xml:space="preserve">  99</v>
      </c>
      <c r="B45" s="6" t="str">
        <f>REPT(" ",Sheet2!$C$3-LEN(Sheet2!C45))&amp;Sheet2!C45</f>
        <v xml:space="preserve"> ExitIfNim</v>
      </c>
      <c r="C45" s="5" t="str">
        <f>IF(Sheet2!D45="R47","isR47FAM","!isR47FAM")</f>
        <v>isR47FAM</v>
      </c>
      <c r="D45" s="6" t="str">
        <f t="shared" si="2"/>
        <v xml:space="preserve">   isR47FAM</v>
      </c>
      <c r="E45" s="6" t="str">
        <f>REPT(" ",Sheet2!$E$3-LEN(Sheet2!E45))&amp;Sheet2!E45</f>
        <v xml:space="preserve"> CM_NORMAL</v>
      </c>
      <c r="F45" s="6" t="str">
        <f>REPT(" ",Sheet2!$F$3-LEN(Sheet2!F45))&amp;Sheet2!F45</f>
        <v xml:space="preserve">             ITM_cos</v>
      </c>
      <c r="G45" s="6" t="str">
        <f>REPT(" ",Sheet2!$G$3-LEN(Sheet2!G45))&amp;Sheet2!G45</f>
        <v xml:space="preserve">                      [c]osine</v>
      </c>
      <c r="H45" s="3" t="str">
        <f>IF(Sheet2!B45="","",SUBSTITUTE(SUBSTITUTE(SUBSTITUTE(SUBSTITUTE(SUBSTITUTE(SUBSTITUTE($H$1,"61",A45),"CM_NORMAL",E45),"ITM_DRG",F45),"nn = comm",G45),"exitIfNim",B45),"allowCondition",D45))</f>
        <v>if(shortCutCommand(w, event_keyval,   99,    isR47FAM,  ExitIfNim, 9999, "",  CM_NORMAL,              ITM_cos ))        {return true;} else        //                      [c]osine</v>
      </c>
    </row>
    <row r="46" spans="1:8">
      <c r="A46" s="6" t="str">
        <f>REPT(" ",Sheet2!$B$3-LEN(Sheet2!B46))&amp;Sheet2!B46</f>
        <v xml:space="preserve"> 115</v>
      </c>
      <c r="B46" s="6" t="str">
        <f>REPT(" ",Sheet2!$C$3-LEN(Sheet2!C46))&amp;Sheet2!C46</f>
        <v xml:space="preserve"> ExitIfNim</v>
      </c>
      <c r="C46" s="5" t="str">
        <f>IF(Sheet2!D46="R47","isR47FAM","!isR47FAM")</f>
        <v>isR47FAM</v>
      </c>
      <c r="D46" s="6" t="str">
        <f t="shared" si="2"/>
        <v xml:space="preserve">   isR47FAM</v>
      </c>
      <c r="E46" s="6" t="str">
        <f>REPT(" ",Sheet2!$E$3-LEN(Sheet2!E46))&amp;Sheet2!E46</f>
        <v xml:space="preserve"> CM_NORMAL</v>
      </c>
      <c r="F46" s="6" t="str">
        <f>REPT(" ",Sheet2!$F$3-LEN(Sheet2!F46))&amp;Sheet2!F46</f>
        <v xml:space="preserve">             ITM_sin</v>
      </c>
      <c r="G46" s="6" t="str">
        <f>REPT(" ",Sheet2!$G$3-LEN(Sheet2!G46))&amp;Sheet2!G46</f>
        <v xml:space="preserve">                        [s]ine</v>
      </c>
      <c r="H46" s="3" t="str">
        <f>IF(Sheet2!B46="","",SUBSTITUTE(SUBSTITUTE(SUBSTITUTE(SUBSTITUTE(SUBSTITUTE(SUBSTITUTE($H$1,"61",A46),"CM_NORMAL",E46),"ITM_DRG",F46),"nn = comm",G46),"exitIfNim",B46),"allowCondition",D46))</f>
        <v>if(shortCutCommand(w, event_keyval,  115,    isR47FAM,  ExitIfNim, 9999, "",  CM_NORMAL,              ITM_sin ))        {return true;} else        //                        [s]ine</v>
      </c>
    </row>
    <row r="47" spans="1:8">
      <c r="A47" s="6" t="str">
        <f>REPT(" ",Sheet2!$B$3-LEN(Sheet2!B47))&amp;Sheet2!B47</f>
        <v xml:space="preserve"> 116</v>
      </c>
      <c r="B47" s="6" t="str">
        <f>REPT(" ",Sheet2!$C$3-LEN(Sheet2!C47))&amp;Sheet2!C47</f>
        <v xml:space="preserve"> ExitIfNim</v>
      </c>
      <c r="C47" s="5" t="str">
        <f>IF(Sheet2!D47="R47","isR47FAM","!isR47FAM")</f>
        <v>isR47FAM</v>
      </c>
      <c r="D47" s="6" t="str">
        <f t="shared" si="2"/>
        <v xml:space="preserve">   isR47FAM</v>
      </c>
      <c r="E47" s="6" t="str">
        <f>REPT(" ",Sheet2!$E$3-LEN(Sheet2!E47))&amp;Sheet2!E47</f>
        <v xml:space="preserve"> CM_NORMAL</v>
      </c>
      <c r="F47" s="6" t="str">
        <f>REPT(" ",Sheet2!$F$3-LEN(Sheet2!F47))&amp;Sheet2!F47</f>
        <v xml:space="preserve">             ITM_tan</v>
      </c>
      <c r="G47" s="6" t="str">
        <f>REPT(" ",Sheet2!$G$3-LEN(Sheet2!G47))&amp;Sheet2!G47</f>
        <v xml:space="preserve">                     [t]angent</v>
      </c>
      <c r="H47" s="3" t="str">
        <f>IF(Sheet2!B47="","",SUBSTITUTE(SUBSTITUTE(SUBSTITUTE(SUBSTITUTE(SUBSTITUTE(SUBSTITUTE($H$1,"61",A47),"CM_NORMAL",E47),"ITM_DRG",F47),"nn = comm",G47),"exitIfNim",B47),"allowCondition",D47))</f>
        <v>if(shortCutCommand(w, event_keyval,  116,    isR47FAM,  ExitIfNim, 9999, "",  CM_NORMAL,              ITM_tan ))        {return true;} else        //                     [t]angent</v>
      </c>
    </row>
    <row r="48" spans="1:8">
      <c r="A48" s="6" t="str">
        <f>REPT(" ",Sheet2!$B$3-LEN(Sheet2!B48))&amp;Sheet2!B48</f>
        <v xml:space="preserve">  67</v>
      </c>
      <c r="B48" s="6" t="str">
        <f>REPT(" ",Sheet2!$C$3-LEN(Sheet2!C48))&amp;Sheet2!C48</f>
        <v xml:space="preserve"> ExitIfNim</v>
      </c>
      <c r="C48" s="5" t="str">
        <f>IF(Sheet2!D48="R47","isR47FAM","!isR47FAM")</f>
        <v>isR47FAM</v>
      </c>
      <c r="D48" s="6" t="str">
        <f t="shared" si="2"/>
        <v xml:space="preserve">   isR47FAM</v>
      </c>
      <c r="E48" s="6" t="str">
        <f>REPT(" ",Sheet2!$E$3-LEN(Sheet2!E48))&amp;Sheet2!E48</f>
        <v xml:space="preserve"> CM_NORMAL</v>
      </c>
      <c r="F48" s="6" t="str">
        <f>REPT(" ",Sheet2!$F$3-LEN(Sheet2!F48))&amp;Sheet2!F48</f>
        <v xml:space="preserve">          ITM_arccos</v>
      </c>
      <c r="G48" s="6" t="str">
        <f>REPT(" ",Sheet2!$G$3-LEN(Sheet2!G48))&amp;Sheet2!G48</f>
        <v xml:space="preserve">                   arc[C]osine</v>
      </c>
      <c r="H48" s="3" t="str">
        <f>IF(Sheet2!B48="","",SUBSTITUTE(SUBSTITUTE(SUBSTITUTE(SUBSTITUTE(SUBSTITUTE(SUBSTITUTE($H$1,"61",A48),"CM_NORMAL",E48),"ITM_DRG",F48),"nn = comm",G48),"exitIfNim",B48),"allowCondition",D48))</f>
        <v>if(shortCutCommand(w, event_keyval,   67,    isR47FAM,  ExitIfNim, 9999, "",  CM_NORMAL,           ITM_arccos ))        {return true;} else        //                   arc[C]osine</v>
      </c>
    </row>
    <row r="49" spans="1:8">
      <c r="A49" s="6" t="str">
        <f>REPT(" ",Sheet2!$B$3-LEN(Sheet2!B49))&amp;Sheet2!B49</f>
        <v xml:space="preserve">  83</v>
      </c>
      <c r="B49" s="6" t="str">
        <f>REPT(" ",Sheet2!$C$3-LEN(Sheet2!C49))&amp;Sheet2!C49</f>
        <v xml:space="preserve"> ExitIfNim</v>
      </c>
      <c r="C49" s="5" t="str">
        <f>IF(Sheet2!D49="R47","isR47FAM","!isR47FAM")</f>
        <v>isR47FAM</v>
      </c>
      <c r="D49" s="6" t="str">
        <f t="shared" si="2"/>
        <v xml:space="preserve">   isR47FAM</v>
      </c>
      <c r="E49" s="6" t="str">
        <f>REPT(" ",Sheet2!$E$3-LEN(Sheet2!E49))&amp;Sheet2!E49</f>
        <v xml:space="preserve"> CM_NORMAL</v>
      </c>
      <c r="F49" s="6" t="str">
        <f>REPT(" ",Sheet2!$F$3-LEN(Sheet2!F49))&amp;Sheet2!F49</f>
        <v xml:space="preserve">          ITM_arcsin</v>
      </c>
      <c r="G49" s="6" t="str">
        <f>REPT(" ",Sheet2!$G$3-LEN(Sheet2!G49))&amp;Sheet2!G49</f>
        <v xml:space="preserve">                     arc[S]ine</v>
      </c>
      <c r="H49" s="3" t="str">
        <f>IF(Sheet2!B49="","",SUBSTITUTE(SUBSTITUTE(SUBSTITUTE(SUBSTITUTE(SUBSTITUTE(SUBSTITUTE($H$1,"61",A49),"CM_NORMAL",E49),"ITM_DRG",F49),"nn = comm",G49),"exitIfNim",B49),"allowCondition",D49))</f>
        <v>if(shortCutCommand(w, event_keyval,   83,    isR47FAM,  ExitIfNim, 9999, "",  CM_NORMAL,           ITM_arcsin ))        {return true;} else        //                     arc[S]ine</v>
      </c>
    </row>
    <row r="50" spans="1:8">
      <c r="A50" s="6" t="str">
        <f>REPT(" ",Sheet2!$B$3-LEN(Sheet2!B50))&amp;Sheet2!B50</f>
        <v xml:space="preserve">  84</v>
      </c>
      <c r="B50" s="6" t="str">
        <f>REPT(" ",Sheet2!$C$3-LEN(Sheet2!C50))&amp;Sheet2!C50</f>
        <v xml:space="preserve"> ExitIfNim</v>
      </c>
      <c r="C50" s="5" t="str">
        <f>IF(Sheet2!D50="R47","isR47FAM","!isR47FAM")</f>
        <v>isR47FAM</v>
      </c>
      <c r="D50" s="6" t="str">
        <f t="shared" si="2"/>
        <v xml:space="preserve">   isR47FAM</v>
      </c>
      <c r="E50" s="6" t="str">
        <f>REPT(" ",Sheet2!$E$3-LEN(Sheet2!E50))&amp;Sheet2!E50</f>
        <v xml:space="preserve"> CM_NORMAL</v>
      </c>
      <c r="F50" s="6" t="str">
        <f>REPT(" ",Sheet2!$F$3-LEN(Sheet2!F50))&amp;Sheet2!F50</f>
        <v xml:space="preserve">          ITM_arctan</v>
      </c>
      <c r="G50" s="6" t="str">
        <f>REPT(" ",Sheet2!$G$3-LEN(Sheet2!G50))&amp;Sheet2!G50</f>
        <v xml:space="preserve">                  arc[T]angent</v>
      </c>
      <c r="H50" s="3" t="str">
        <f>IF(Sheet2!B50="","",SUBSTITUTE(SUBSTITUTE(SUBSTITUTE(SUBSTITUTE(SUBSTITUTE(SUBSTITUTE($H$1,"61",A50),"CM_NORMAL",E50),"ITM_DRG",F50),"nn = comm",G50),"exitIfNim",B50),"allowCondition",D50))</f>
        <v>if(shortCutCommand(w, event_keyval,   84,    isR47FAM,  ExitIfNim, 9999, "",  CM_NORMAL,           ITM_arctan ))        {return true;} else        //                  arc[T]angent</v>
      </c>
    </row>
    <row r="51" spans="1:8">
      <c r="A51" s="6" t="str">
        <f>REPT(" ",Sheet2!$B$3-LEN(Sheet2!B51))&amp;Sheet2!B51</f>
        <v xml:space="preserve"> 108</v>
      </c>
      <c r="B51" s="6" t="str">
        <f>REPT(" ",Sheet2!$C$3-LEN(Sheet2!C51))&amp;Sheet2!C51</f>
        <v xml:space="preserve"> ExitIfNim</v>
      </c>
      <c r="C51" s="5" t="str">
        <f>IF(Sheet2!D51="R47","isR47FAM","!isR47FAM")</f>
        <v>isR47FAM</v>
      </c>
      <c r="D51" s="6" t="str">
        <f t="shared" si="2"/>
        <v xml:space="preserve">   isR47FAM</v>
      </c>
      <c r="E51" s="6" t="str">
        <f>REPT(" ",Sheet2!$E$3-LEN(Sheet2!E51))&amp;Sheet2!E51</f>
        <v xml:space="preserve"> CM_NORMAL</v>
      </c>
      <c r="F51" s="6" t="str">
        <f>REPT(" ",Sheet2!$F$3-LEN(Sheet2!F51))&amp;Sheet2!F51</f>
        <v xml:space="preserve">              ITM_LN</v>
      </c>
      <c r="G51" s="6" t="str">
        <f>REPT(" ",Sheet2!$G$3-LEN(Sheet2!G51))&amp;Sheet2!G51</f>
        <v xml:space="preserve">                          [l]n</v>
      </c>
      <c r="H51" s="3" t="str">
        <f>IF(Sheet2!B51="","",SUBSTITUTE(SUBSTITUTE(SUBSTITUTE(SUBSTITUTE(SUBSTITUTE(SUBSTITUTE($H$1,"61",A51),"CM_NORMAL",E51),"ITM_DRG",F51),"nn = comm",G51),"exitIfNim",B51),"allowCondition",D51))</f>
        <v>if(shortCutCommand(w, event_keyval,  108,    isR47FAM,  ExitIfNim, 9999, "",  CM_NORMAL,               ITM_LN ))        {return true;} else        //                          [l]n</v>
      </c>
    </row>
    <row r="52" spans="1:8">
      <c r="A52" s="6" t="str">
        <f>REPT(" ",Sheet2!$B$3-LEN(Sheet2!B52))&amp;Sheet2!B52</f>
        <v xml:space="preserve">  76</v>
      </c>
      <c r="B52" s="6" t="str">
        <f>REPT(" ",Sheet2!$C$3-LEN(Sheet2!C52))&amp;Sheet2!C52</f>
        <v xml:space="preserve"> ExitIfNim</v>
      </c>
      <c r="C52" s="5" t="str">
        <f>IF(Sheet2!D52="R47","isR47FAM","!isR47FAM")</f>
        <v>isR47FAM</v>
      </c>
      <c r="D52" s="6" t="str">
        <f t="shared" si="2"/>
        <v xml:space="preserve">   isR47FAM</v>
      </c>
      <c r="E52" s="6" t="str">
        <f>REPT(" ",Sheet2!$E$3-LEN(Sheet2!E52))&amp;Sheet2!E52</f>
        <v xml:space="preserve"> CM_NORMAL</v>
      </c>
      <c r="F52" s="6" t="str">
        <f>REPT(" ",Sheet2!$F$3-LEN(Sheet2!F52))&amp;Sheet2!F52</f>
        <v xml:space="preserve">             ITM_EXP</v>
      </c>
      <c r="G52" s="6" t="str">
        <f>REPT(" ",Sheet2!$G$3-LEN(Sheet2!G52))&amp;Sheet2!G52</f>
        <v xml:space="preserve">                  anti[L]n e^x</v>
      </c>
      <c r="H52" s="3" t="str">
        <f>IF(Sheet2!B52="","",SUBSTITUTE(SUBSTITUTE(SUBSTITUTE(SUBSTITUTE(SUBSTITUTE(SUBSTITUTE($H$1,"61",A52),"CM_NORMAL",E52),"ITM_DRG",F52),"nn = comm",G52),"exitIfNim",B52),"allowCondition",D52))</f>
        <v>if(shortCutCommand(w, event_keyval,   76,    isR47FAM,  ExitIfNim, 9999, "",  CM_NORMAL,              ITM_EXP ))        {return true;} else        //                  anti[L]n e^x</v>
      </c>
    </row>
    <row r="53" spans="1:8">
      <c r="A53" s="6" t="str">
        <f>REPT(" ",Sheet2!$B$3-LEN(Sheet2!B53))&amp;Sheet2!B53</f>
        <v xml:space="preserve"> 111</v>
      </c>
      <c r="B53" s="6" t="str">
        <f>REPT(" ",Sheet2!$C$3-LEN(Sheet2!C53))&amp;Sheet2!C53</f>
        <v xml:space="preserve"> ExitIfNim</v>
      </c>
      <c r="C53" s="5" t="str">
        <f>IF(Sheet2!D53="R47","isR47FAM","!isR47FAM")</f>
        <v>isR47FAM</v>
      </c>
      <c r="D53" s="6" t="str">
        <f t="shared" si="2"/>
        <v xml:space="preserve">   isR47FAM</v>
      </c>
      <c r="E53" s="6" t="str">
        <f>REPT(" ",Sheet2!$E$3-LEN(Sheet2!E53))&amp;Sheet2!E53</f>
        <v xml:space="preserve"> CM_NORMAL</v>
      </c>
      <c r="F53" s="6" t="str">
        <f>REPT(" ",Sheet2!$F$3-LEN(Sheet2!F53))&amp;Sheet2!F53</f>
        <v xml:space="preserve">           ITM_LOG10</v>
      </c>
      <c r="G53" s="6" t="str">
        <f>REPT(" ",Sheet2!$G$3-LEN(Sheet2!G53))&amp;Sheet2!G53</f>
        <v xml:space="preserve">                         l[o]g</v>
      </c>
      <c r="H53" s="3" t="str">
        <f>IF(Sheet2!B53="","",SUBSTITUTE(SUBSTITUTE(SUBSTITUTE(SUBSTITUTE(SUBSTITUTE(SUBSTITUTE($H$1,"61",A53),"CM_NORMAL",E53),"ITM_DRG",F53),"nn = comm",G53),"exitIfNim",B53),"allowCondition",D53))</f>
        <v>if(shortCutCommand(w, event_keyval,  111,    isR47FAM,  ExitIfNim, 9999, "",  CM_NORMAL,            ITM_LOG10 ))        {return true;} else        //                         l[o]g</v>
      </c>
    </row>
    <row r="54" spans="1:8">
      <c r="A54" s="6" t="str">
        <f>REPT(" ",Sheet2!$B$3-LEN(Sheet2!B54))&amp;Sheet2!B54</f>
        <v xml:space="preserve">  79</v>
      </c>
      <c r="B54" s="6" t="str">
        <f>REPT(" ",Sheet2!$C$3-LEN(Sheet2!C54))&amp;Sheet2!C54</f>
        <v xml:space="preserve"> ExitIfNim</v>
      </c>
      <c r="C54" s="5" t="str">
        <f>IF(Sheet2!D54="R47","isR47FAM","!isR47FAM")</f>
        <v>isR47FAM</v>
      </c>
      <c r="D54" s="6" t="str">
        <f t="shared" si="2"/>
        <v xml:space="preserve">   isR47FAM</v>
      </c>
      <c r="E54" s="6" t="str">
        <f>REPT(" ",Sheet2!$E$3-LEN(Sheet2!E54))&amp;Sheet2!E54</f>
        <v xml:space="preserve"> CM_NORMAL</v>
      </c>
      <c r="F54" s="6" t="str">
        <f>REPT(" ",Sheet2!$F$3-LEN(Sheet2!F54))&amp;Sheet2!F54</f>
        <v xml:space="preserve">             ITM_10x</v>
      </c>
      <c r="G54" s="6" t="str">
        <f>REPT(" ",Sheet2!$G$3-LEN(Sheet2!G54))&amp;Sheet2!G54</f>
        <v xml:space="preserve">                antil(O)g 10^x</v>
      </c>
      <c r="H54" s="3" t="str">
        <f>IF(Sheet2!B54="","",SUBSTITUTE(SUBSTITUTE(SUBSTITUTE(SUBSTITUTE(SUBSTITUTE(SUBSTITUTE($H$1,"61",A54),"CM_NORMAL",E54),"ITM_DRG",F54),"nn = comm",G54),"exitIfNim",B54),"allowCondition",D54))</f>
        <v>if(shortCutCommand(w, event_keyval,   79,    isR47FAM,  ExitIfNim, 9999, "",  CM_NORMAL,              ITM_10x ))        {return true;} else        //                antil(O)g 10^x</v>
      </c>
    </row>
    <row r="55" spans="1:8">
      <c r="A55" s="6" t="str">
        <f>REPT(" ",Sheet2!$B$3-LEN(Sheet2!B55))&amp;Sheet2!B55</f>
        <v xml:space="preserve"> 112</v>
      </c>
      <c r="B55" s="6" t="str">
        <f>REPT(" ",Sheet2!$C$3-LEN(Sheet2!C55))&amp;Sheet2!C55</f>
        <v xml:space="preserve"> ExitIfNim</v>
      </c>
      <c r="C55" s="5" t="str">
        <f>IF(Sheet2!D55="R47","isR47FAM","!isR47FAM")</f>
        <v>isR47FAM</v>
      </c>
      <c r="D55" s="6" t="str">
        <f t="shared" si="2"/>
        <v xml:space="preserve">   isR47FAM</v>
      </c>
      <c r="E55" s="6" t="str">
        <f>REPT(" ",Sheet2!$E$3-LEN(Sheet2!E55))&amp;Sheet2!E55</f>
        <v xml:space="preserve"> CM_NORMAL</v>
      </c>
      <c r="F55" s="6" t="str">
        <f>REPT(" ",Sheet2!$F$3-LEN(Sheet2!F55))&amp;Sheet2!F55</f>
        <v xml:space="preserve">          ITM_SQUARE</v>
      </c>
      <c r="G55" s="6" t="str">
        <f>REPT(" ",Sheet2!$G$3-LEN(Sheet2!G55))&amp;Sheet2!G55</f>
        <v xml:space="preserve">              [p]ower (Square)</v>
      </c>
      <c r="H55" s="3" t="str">
        <f>IF(Sheet2!B55="","",SUBSTITUTE(SUBSTITUTE(SUBSTITUTE(SUBSTITUTE(SUBSTITUTE(SUBSTITUTE($H$1,"61",A55),"CM_NORMAL",E55),"ITM_DRG",F55),"nn = comm",G55),"exitIfNim",B55),"allowCondition",D55))</f>
        <v>if(shortCutCommand(w, event_keyval,  112,    isR47FAM,  ExitIfNim, 9999, "",  CM_NORMAL,           ITM_SQUARE ))        {return true;} else        //              [p]ower (Square)</v>
      </c>
    </row>
    <row r="56" spans="1:8">
      <c r="A56" s="6" t="str">
        <f>REPT(" ",Sheet2!$B$3-LEN(Sheet2!B56))&amp;Sheet2!B56</f>
        <v xml:space="preserve">  80</v>
      </c>
      <c r="B56" s="6" t="str">
        <f>REPT(" ",Sheet2!$C$3-LEN(Sheet2!C56))&amp;Sheet2!C56</f>
        <v xml:space="preserve"> ExitIfNim</v>
      </c>
      <c r="C56" s="5" t="str">
        <f>IF(Sheet2!D56="R47","isR47FAM","!isR47FAM")</f>
        <v>isR47FAM</v>
      </c>
      <c r="D56" s="6" t="str">
        <f t="shared" si="2"/>
        <v xml:space="preserve">   isR47FAM</v>
      </c>
      <c r="E56" s="6" t="str">
        <f>REPT(" ",Sheet2!$E$3-LEN(Sheet2!E56))&amp;Sheet2!E56</f>
        <v xml:space="preserve"> CM_NORMAL</v>
      </c>
      <c r="F56" s="6" t="str">
        <f>REPT(" ",Sheet2!$F$3-LEN(Sheet2!F56))&amp;Sheet2!F56</f>
        <v xml:space="preserve">     ITM_SQUAREROOTX</v>
      </c>
      <c r="G56" s="6" t="str">
        <f>REPT(" ",Sheet2!$G$3-LEN(Sheet2!G56))&amp;Sheet2!G56</f>
        <v xml:space="preserve">        sqrt (inverse [P]ower)</v>
      </c>
      <c r="H56" s="3" t="str">
        <f>IF(Sheet2!B56="","",SUBSTITUTE(SUBSTITUTE(SUBSTITUTE(SUBSTITUTE(SUBSTITUTE(SUBSTITUTE($H$1,"61",A56),"CM_NORMAL",E56),"ITM_DRG",F56),"nn = comm",G56),"exitIfNim",B56),"allowCondition",D56))</f>
        <v>if(shortCutCommand(w, event_keyval,   80,    isR47FAM,  ExitIfNim, 9999, "",  CM_NORMAL,      ITM_SQUAREROOTX ))        {return true;} else        //        sqrt (inverse [P]ower)</v>
      </c>
    </row>
    <row r="57" spans="1:8">
      <c r="A57" s="6" t="str">
        <f>REPT(" ",Sheet2!$B$3-LEN(Sheet2!B57))&amp;Sheet2!B57</f>
        <v xml:space="preserve"> 113</v>
      </c>
      <c r="B57" s="6" t="str">
        <f>REPT(" ",Sheet2!$C$3-LEN(Sheet2!C57))&amp;Sheet2!C57</f>
        <v xml:space="preserve"> ExitIfNim</v>
      </c>
      <c r="C57" s="5" t="str">
        <f>IF(Sheet2!D57="R47","isR47FAM","!isR47FAM")</f>
        <v>isR47FAM</v>
      </c>
      <c r="D57" s="6" t="str">
        <f t="shared" si="2"/>
        <v xml:space="preserve">   isR47FAM</v>
      </c>
      <c r="E57" s="6" t="str">
        <f>REPT(" ",Sheet2!$E$3-LEN(Sheet2!E57))&amp;Sheet2!E57</f>
        <v xml:space="preserve"> CM_NORMAL</v>
      </c>
      <c r="F57" s="6" t="str">
        <f>REPT(" ",Sheet2!$F$3-LEN(Sheet2!F57))&amp;Sheet2!F57</f>
        <v xml:space="preserve">     ITM_SQUAREROOTX</v>
      </c>
      <c r="G57" s="6" t="str">
        <f>REPT(" ",Sheet2!$G$3-LEN(Sheet2!G57))&amp;Sheet2!G57</f>
        <v xml:space="preserve">                        s[q]rt</v>
      </c>
      <c r="H57" s="3" t="str">
        <f>IF(Sheet2!B57="","",SUBSTITUTE(SUBSTITUTE(SUBSTITUTE(SUBSTITUTE(SUBSTITUTE(SUBSTITUTE($H$1,"61",A57),"CM_NORMAL",E57),"ITM_DRG",F57),"nn = comm",G57),"exitIfNim",B57),"allowCondition",D57))</f>
        <v>if(shortCutCommand(w, event_keyval,  113,    isR47FAM,  ExitIfNim, 9999, "",  CM_NORMAL,      ITM_SQUAREROOTX ))        {return true;} else        //                        s[q]rt</v>
      </c>
    </row>
    <row r="58" spans="1:8">
      <c r="A58" s="6" t="str">
        <f>REPT(" ",Sheet2!$B$3-LEN(Sheet2!B58))&amp;Sheet2!B58</f>
        <v xml:space="preserve">  81</v>
      </c>
      <c r="B58" s="6" t="str">
        <f>REPT(" ",Sheet2!$C$3-LEN(Sheet2!C58))&amp;Sheet2!C58</f>
        <v xml:space="preserve"> ExitIfNim</v>
      </c>
      <c r="C58" s="5" t="str">
        <f>IF(Sheet2!D58="R47","isR47FAM","!isR47FAM")</f>
        <v>isR47FAM</v>
      </c>
      <c r="D58" s="6" t="str">
        <f t="shared" si="2"/>
        <v xml:space="preserve">   isR47FAM</v>
      </c>
      <c r="E58" s="6" t="str">
        <f>REPT(" ",Sheet2!$E$3-LEN(Sheet2!E58))&amp;Sheet2!E58</f>
        <v xml:space="preserve"> CM_NORMAL</v>
      </c>
      <c r="F58" s="6" t="str">
        <f>REPT(" ",Sheet2!$F$3-LEN(Sheet2!F58))&amp;Sheet2!F58</f>
        <v xml:space="preserve">          ITM_SQUARE</v>
      </c>
      <c r="G58" s="6" t="str">
        <f>REPT(" ",Sheet2!$G$3-LEN(Sheet2!G58))&amp;Sheet2!G58</f>
        <v xml:space="preserve">              power (s[Q]uare)</v>
      </c>
      <c r="H58" s="3" t="str">
        <f>IF(Sheet2!B58="","",SUBSTITUTE(SUBSTITUTE(SUBSTITUTE(SUBSTITUTE(SUBSTITUTE(SUBSTITUTE($H$1,"61",A58),"CM_NORMAL",E58),"ITM_DRG",F58),"nn = comm",G58),"exitIfNim",B58),"allowCondition",D58))</f>
        <v>if(shortCutCommand(w, event_keyval,   81,    isR47FAM,  ExitIfNim, 9999, "",  CM_NORMAL,           ITM_SQUARE ))        {return true;} else        //              power (s[Q]uare)</v>
      </c>
    </row>
    <row r="59" spans="1:8">
      <c r="A59" s="6" t="str">
        <f>REPT(" ",Sheet2!$B$3-LEN(Sheet2!B59))&amp;Sheet2!B59</f>
        <v xml:space="preserve">  88</v>
      </c>
      <c r="B59" s="6" t="str">
        <f>REPT(" ",Sheet2!$C$3-LEN(Sheet2!C59))&amp;Sheet2!C59</f>
        <v xml:space="preserve"> ExitIfNim</v>
      </c>
      <c r="C59" s="5" t="str">
        <f>IF(Sheet2!D59="R47","isR47FAM","!isR47FAM")</f>
        <v>isR47FAM</v>
      </c>
      <c r="D59" s="6" t="str">
        <f t="shared" si="2"/>
        <v xml:space="preserve">   isR47FAM</v>
      </c>
      <c r="E59" s="6" t="str">
        <f>REPT(" ",Sheet2!$E$3-LEN(Sheet2!E59))&amp;Sheet2!E59</f>
        <v xml:space="preserve"> CM_NORMAL</v>
      </c>
      <c r="F59" s="6" t="str">
        <f>REPT(" ",Sheet2!$F$3-LEN(Sheet2!F59))&amp;Sheet2!F59</f>
        <v xml:space="preserve">         KEY_COMPLEX</v>
      </c>
      <c r="G59" s="6" t="str">
        <f>REPT(" ",Sheet2!$G$3-LEN(Sheet2!G59))&amp;Sheet2!G59</f>
        <v xml:space="preserve">                     comple[X]</v>
      </c>
      <c r="H59" s="3" t="str">
        <f>IF(Sheet2!B59="","",SUBSTITUTE(SUBSTITUTE(SUBSTITUTE(SUBSTITUTE(SUBSTITUTE(SUBSTITUTE($H$1,"61",A59),"CM_NORMAL",E59),"ITM_DRG",F59),"nn = comm",G59),"exitIfNim",B59),"allowCondition",D59))</f>
        <v>if(shortCutCommand(w, event_keyval,   88,    isR47FAM,  ExitIfNim, 9999, "",  CM_NORMAL,          KEY_COMPLEX ))        {return true;} else        //                     comple[X]</v>
      </c>
    </row>
    <row r="60" spans="1:8">
      <c r="A60" s="6" t="str">
        <f>REPT(" ",Sheet2!$B$3-LEN(Sheet2!B60))&amp;Sheet2!B60</f>
        <v xml:space="preserve"> 114</v>
      </c>
      <c r="B60" s="6" t="str">
        <f>REPT(" ",Sheet2!$C$3-LEN(Sheet2!C60))&amp;Sheet2!C60</f>
        <v xml:space="preserve"> ExitIfNim</v>
      </c>
      <c r="C60" s="5" t="str">
        <f>IF(Sheet2!D60="R47","isR47FAM","!isR47FAM")</f>
        <v>isR47FAM</v>
      </c>
      <c r="D60" s="6" t="str">
        <f t="shared" si="2"/>
        <v xml:space="preserve">   isR47FAM</v>
      </c>
      <c r="E60" s="6" t="str">
        <f>REPT(" ",Sheet2!$E$3-LEN(Sheet2!E60))&amp;Sheet2!E60</f>
        <v xml:space="preserve"> CM_NORMAL</v>
      </c>
      <c r="F60" s="6" t="str">
        <f>REPT(" ",Sheet2!$F$3-LEN(Sheet2!F60))&amp;Sheet2!F60</f>
        <v xml:space="preserve">          ITM_toREC2</v>
      </c>
      <c r="G60" s="6" t="str">
        <f>REPT(" ",Sheet2!$G$3-LEN(Sheet2!G60))&amp;Sheet2!G60</f>
        <v xml:space="preserve">                      -&gt;[r]ect</v>
      </c>
      <c r="H60" s="3" t="str">
        <f>IF(Sheet2!B60="","",SUBSTITUTE(SUBSTITUTE(SUBSTITUTE(SUBSTITUTE(SUBSTITUTE(SUBSTITUTE($H$1,"61",A60),"CM_NORMAL",E60),"ITM_DRG",F60),"nn = comm",G60),"exitIfNim",B60),"allowCondition",D60))</f>
        <v>if(shortCutCommand(w, event_keyval,  114,    isR47FAM,  ExitIfNim, 9999, "",  CM_NORMAL,           ITM_toREC2 ))        {return true;} else        //                      -&gt;[r]ect</v>
      </c>
    </row>
    <row r="61" spans="1:8">
      <c r="A61" s="6" t="str">
        <f>REPT(" ",Sheet2!$B$3-LEN(Sheet2!B61))&amp;Sheet2!B61</f>
        <v xml:space="preserve">  82</v>
      </c>
      <c r="B61" s="6" t="str">
        <f>REPT(" ",Sheet2!$C$3-LEN(Sheet2!C61))&amp;Sheet2!C61</f>
        <v xml:space="preserve"> ExitIfNim</v>
      </c>
      <c r="C61" s="5" t="str">
        <f>IF(Sheet2!D61="R47","isR47FAM","!isR47FAM")</f>
        <v>isR47FAM</v>
      </c>
      <c r="D61" s="6" t="str">
        <f t="shared" si="2"/>
        <v xml:space="preserve">   isR47FAM</v>
      </c>
      <c r="E61" s="6" t="str">
        <f>REPT(" ",Sheet2!$E$3-LEN(Sheet2!E61))&amp;Sheet2!E61</f>
        <v xml:space="preserve"> CM_NORMAL</v>
      </c>
      <c r="F61" s="6" t="str">
        <f>REPT(" ",Sheet2!$F$3-LEN(Sheet2!F61))&amp;Sheet2!F61</f>
        <v xml:space="preserve">          ITM_toPOL2</v>
      </c>
      <c r="G61" s="6" t="str">
        <f>REPT(" ",Sheet2!$G$3-LEN(Sheet2!G61))&amp;Sheet2!G61</f>
        <v xml:space="preserve">                     -&gt;pola[R]</v>
      </c>
      <c r="H61" s="3" t="str">
        <f>IF(Sheet2!B61="","",SUBSTITUTE(SUBSTITUTE(SUBSTITUTE(SUBSTITUTE(SUBSTITUTE(SUBSTITUTE($H$1,"61",A61),"CM_NORMAL",E61),"ITM_DRG",F61),"nn = comm",G61),"exitIfNim",B61),"allowCondition",D61))</f>
        <v>if(shortCutCommand(w, event_keyval,   82,    isR47FAM,  ExitIfNim, 9999, "",  CM_NORMAL,           ITM_toPOL2 ))        {return true;} else        //                     -&gt;pola[R]</v>
      </c>
    </row>
    <row r="62" spans="1:8">
      <c r="A62" s="6" t="str">
        <f>REPT(" ",Sheet2!$B$3-LEN(Sheet2!B62))&amp;Sheet2!B62</f>
        <v xml:space="preserve"> 109</v>
      </c>
      <c r="B62" s="6" t="str">
        <f>REPT(" ",Sheet2!$C$3-LEN(Sheet2!C62))&amp;Sheet2!C62</f>
        <v xml:space="preserve"> ExitIfNim</v>
      </c>
      <c r="C62" s="5" t="str">
        <f>IF(Sheet2!D62="R47","isR47FAM","!isR47FAM")</f>
        <v>isR47FAM</v>
      </c>
      <c r="D62" s="6" t="str">
        <f t="shared" si="2"/>
        <v xml:space="preserve">   isR47FAM</v>
      </c>
      <c r="E62" s="6" t="str">
        <f>REPT(" ",Sheet2!$E$3-LEN(Sheet2!E62))&amp;Sheet2!E62</f>
        <v xml:space="preserve"> CM_NORMAL</v>
      </c>
      <c r="F62" s="6" t="str">
        <f>REPT(" ",Sheet2!$F$3-LEN(Sheet2!F62))&amp;Sheet2!F62</f>
        <v xml:space="preserve">           -MNU_MODE</v>
      </c>
      <c r="G62" s="6" t="str">
        <f>REPT(" ",Sheet2!$G$3-LEN(Sheet2!G62))&amp;Sheet2!G62</f>
        <v xml:space="preserve">                        [M]ODE</v>
      </c>
      <c r="H62" s="3" t="str">
        <f>IF(Sheet2!B62="","",SUBSTITUTE(SUBSTITUTE(SUBSTITUTE(SUBSTITUTE(SUBSTITUTE(SUBSTITUTE($H$1,"61",A62),"CM_NORMAL",E62),"ITM_DRG",F62),"nn = comm",G62),"exitIfNim",B62),"allowCondition",D62))</f>
        <v>if(shortCutCommand(w, event_keyval,  109,    isR47FAM,  ExitIfNim, 9999, "",  CM_NORMAL,            -MNU_MODE ))        {return true;} else        //                        [M]ODE</v>
      </c>
    </row>
    <row r="63" spans="1:8">
      <c r="A63" s="6" t="str">
        <f>REPT(" ",Sheet2!$B$3-LEN(Sheet2!B63))&amp;Sheet2!B63</f>
        <v xml:space="preserve">  77</v>
      </c>
      <c r="B63" s="6" t="str">
        <f>REPT(" ",Sheet2!$C$3-LEN(Sheet2!C63))&amp;Sheet2!C63</f>
        <v xml:space="preserve"> ExitIfNim</v>
      </c>
      <c r="C63" s="5" t="str">
        <f>IF(Sheet2!D63="R47","isR47FAM","!isR47FAM")</f>
        <v>isR47FAM</v>
      </c>
      <c r="D63" s="6" t="str">
        <f t="shared" si="2"/>
        <v xml:space="preserve">   isR47FAM</v>
      </c>
      <c r="E63" s="6" t="str">
        <f>REPT(" ",Sheet2!$E$3-LEN(Sheet2!E63))&amp;Sheet2!E63</f>
        <v xml:space="preserve"> CM_NORMAL</v>
      </c>
      <c r="F63" s="6" t="str">
        <f>REPT(" ",Sheet2!$F$3-LEN(Sheet2!F63))&amp;Sheet2!F63</f>
        <v xml:space="preserve">        -MNU_TRG_C47</v>
      </c>
      <c r="G63" s="6" t="str">
        <f>REPT(" ",Sheet2!$G$3-LEN(Sheet2!G63))&amp;Sheet2!G63</f>
        <v xml:space="preserve">                           TRG</v>
      </c>
      <c r="H63" s="3" t="str">
        <f>IF(Sheet2!B63="","",SUBSTITUTE(SUBSTITUTE(SUBSTITUTE(SUBSTITUTE(SUBSTITUTE(SUBSTITUTE($H$1,"61",A63),"CM_NORMAL",E63),"ITM_DRG",F63),"nn = comm",G63),"exitIfNim",B63),"allowCondition",D63))</f>
        <v>if(shortCutCommand(w, event_keyval,   77,    isR47FAM,  ExitIfNim, 9999, "",  CM_NORMAL,         -MNU_TRG_C47 ))        {return true;} else        //                           TRG</v>
      </c>
    </row>
    <row r="64" spans="1:8">
      <c r="A64" s="6" t="str">
        <f>REPT(" ",Sheet2!$B$3-LEN(Sheet2!B64))&amp;Sheet2!B64</f>
        <v xml:space="preserve"> 100</v>
      </c>
      <c r="B64" s="6" t="str">
        <f>REPT(" ",Sheet2!$C$3-LEN(Sheet2!C64))&amp;Sheet2!C64</f>
        <v xml:space="preserve"> ExitIfNim</v>
      </c>
      <c r="C64" s="5" t="str">
        <f>IF(Sheet2!D64="R47","isR47FAM","!isR47FAM")</f>
        <v>isR47FAM</v>
      </c>
      <c r="D64" s="6" t="str">
        <f t="shared" si="2"/>
        <v xml:space="preserve">   isR47FAM</v>
      </c>
      <c r="E64" s="6" t="str">
        <f>REPT(" ",Sheet2!$E$3-LEN(Sheet2!E64))&amp;Sheet2!E64</f>
        <v xml:space="preserve"> CM_NORMAL</v>
      </c>
      <c r="F64" s="6" t="str">
        <f>REPT(" ",Sheet2!$F$3-LEN(Sheet2!F64))&amp;Sheet2!F64</f>
        <v xml:space="preserve">           -MNU_DISP</v>
      </c>
      <c r="G64" s="6" t="str">
        <f>REPT(" ",Sheet2!$G$3-LEN(Sheet2!G64))&amp;Sheet2!G64</f>
        <v xml:space="preserve">                        [D]ISP</v>
      </c>
      <c r="H64" s="3" t="str">
        <f>IF(Sheet2!B64="","",SUBSTITUTE(SUBSTITUTE(SUBSTITUTE(SUBSTITUTE(SUBSTITUTE(SUBSTITUTE($H$1,"61",A64),"CM_NORMAL",E64),"ITM_DRG",F64),"nn = comm",G64),"exitIfNim",B64),"allowCondition",D64))</f>
        <v>if(shortCutCommand(w, event_keyval,  100,    isR47FAM,  ExitIfNim, 9999, "",  CM_NORMAL,            -MNU_DISP ))        {return true;} else        //                        [D]ISP</v>
      </c>
    </row>
    <row r="65" spans="1:8">
      <c r="A65" s="6" t="str">
        <f>REPT(" ",Sheet2!$B$3-LEN(Sheet2!B65))&amp;Sheet2!B65</f>
        <v xml:space="preserve">  68</v>
      </c>
      <c r="B65" s="6" t="str">
        <f>REPT(" ",Sheet2!$C$3-LEN(Sheet2!C65))&amp;Sheet2!C65</f>
        <v xml:space="preserve"> ExitIfNim</v>
      </c>
      <c r="C65" s="5" t="str">
        <f>IF(Sheet2!D65="R47","isR47FAM","!isR47FAM")</f>
        <v>isR47FAM</v>
      </c>
      <c r="D65" s="6" t="str">
        <f t="shared" si="2"/>
        <v xml:space="preserve">   isR47FAM</v>
      </c>
      <c r="E65" s="6" t="str">
        <f>REPT(" ",Sheet2!$E$3-LEN(Sheet2!E65))&amp;Sheet2!E65</f>
        <v xml:space="preserve"> CM_NORMAL</v>
      </c>
      <c r="F65" s="6" t="str">
        <f>REPT(" ",Sheet2!$F$3-LEN(Sheet2!F65))&amp;Sheet2!F65</f>
        <v xml:space="preserve">            -MNU_EXP</v>
      </c>
      <c r="G65" s="6" t="str">
        <f>REPT(" ",Sheet2!$G$3-LEN(Sheet2!G65))&amp;Sheet2!G65</f>
        <v xml:space="preserve">                           EXP</v>
      </c>
      <c r="H65" s="3" t="str">
        <f>IF(Sheet2!B65="","",SUBSTITUTE(SUBSTITUTE(SUBSTITUTE(SUBSTITUTE(SUBSTITUTE(SUBSTITUTE($H$1,"61",A65),"CM_NORMAL",E65),"ITM_DRG",F65),"nn = comm",G65),"exitIfNim",B65),"allowCondition",D65))</f>
        <v>if(shortCutCommand(w, event_keyval,   68,    isR47FAM,  ExitIfNim, 9999, "",  CM_NORMAL,             -MNU_EXP ))        {return true;} else        //                           EXP</v>
      </c>
    </row>
    <row r="66" spans="1:8">
      <c r="A66" s="6" t="str">
        <f>REPT(" ",Sheet2!$B$3-LEN(Sheet2!B66))&amp;Sheet2!B66</f>
        <v xml:space="preserve"> 107</v>
      </c>
      <c r="B66" s="6" t="str">
        <f>REPT(" ",Sheet2!$C$3-LEN(Sheet2!C66))&amp;Sheet2!C66</f>
        <v xml:space="preserve"> ExitIfNim</v>
      </c>
      <c r="C66" s="5" t="str">
        <f>IF(Sheet2!D66="R47","isR47FAM","!isR47FAM")</f>
        <v>isR47FAM</v>
      </c>
      <c r="D66" s="6" t="str">
        <f t="shared" si="2"/>
        <v xml:space="preserve">   isR47FAM</v>
      </c>
      <c r="E66" s="6" t="str">
        <f>REPT(" ",Sheet2!$E$3-LEN(Sheet2!E66))&amp;Sheet2!E66</f>
        <v xml:space="preserve"> CM_NORMAL</v>
      </c>
      <c r="F66" s="6" t="str">
        <f>REPT(" ",Sheet2!$F$3-LEN(Sheet2!F66))&amp;Sheet2!F66</f>
        <v xml:space="preserve">            -MNU_STK</v>
      </c>
      <c r="G66" s="6" t="str">
        <f>REPT(" ",Sheet2!$G$3-LEN(Sheet2!G66))&amp;Sheet2!G66</f>
        <v xml:space="preserve">                         ST[k]</v>
      </c>
      <c r="H66" s="3" t="str">
        <f>IF(Sheet2!B66="","",SUBSTITUTE(SUBSTITUTE(SUBSTITUTE(SUBSTITUTE(SUBSTITUTE(SUBSTITUTE($H$1,"61",A66),"CM_NORMAL",E66),"ITM_DRG",F66),"nn = comm",G66),"exitIfNim",B66),"allowCondition",D66))</f>
        <v>if(shortCutCommand(w, event_keyval,  107,    isR47FAM,  ExitIfNim, 9999, "",  CM_NORMAL,             -MNU_STK ))        {return true;} else        //                         ST[k]</v>
      </c>
    </row>
    <row r="67" spans="1:8">
      <c r="A67" s="6" t="str">
        <f>REPT(" ",Sheet2!$B$3-LEN(Sheet2!B67))&amp;Sheet2!B67</f>
        <v xml:space="preserve">    </v>
      </c>
      <c r="B67" s="6" t="str">
        <f>REPT(" ",Sheet2!$C$3-LEN(Sheet2!C67))&amp;Sheet2!C67</f>
        <v xml:space="preserve">          </v>
      </c>
      <c r="C67" s="5" t="str">
        <f>IF(Sheet2!D67="R47","isR47FAM","!isR47FAM")</f>
        <v>!isR47FAM</v>
      </c>
      <c r="D67" s="6" t="str">
        <f t="shared" si="2"/>
        <v xml:space="preserve">  !isR47FAM</v>
      </c>
      <c r="E67" s="6" t="str">
        <f>REPT(" ",Sheet2!$E$3-LEN(Sheet2!E67))&amp;Sheet2!E67</f>
        <v xml:space="preserve">          </v>
      </c>
      <c r="F67" s="6" t="str">
        <f>REPT(" ",Sheet2!$F$3-LEN(Sheet2!F67))&amp;Sheet2!F67</f>
        <v xml:space="preserve">                    </v>
      </c>
      <c r="G67" s="6" t="str">
        <f>REPT(" ",Sheet2!$G$3-LEN(Sheet2!G67))&amp;Sheet2!G67</f>
        <v xml:space="preserve">                              </v>
      </c>
      <c r="H67" s="3" t="str">
        <f>IF(Sheet2!B67="","",SUBSTITUTE(SUBSTITUTE(SUBSTITUTE(SUBSTITUTE(SUBSTITUTE(SUBSTITUTE($H$1,"61",A67),"CM_NORMAL",E67),"ITM_DRG",F67),"nn = comm",G67),"exitIfNim",B67),"allowCondition",D67))</f>
        <v/>
      </c>
    </row>
    <row r="68" spans="1:8">
      <c r="A68" s="6" t="str">
        <f>REPT(" ",Sheet2!$B$3-LEN(Sheet2!B68))&amp;Sheet2!B68</f>
        <v xml:space="preserve">    </v>
      </c>
      <c r="B68" s="6" t="str">
        <f>REPT(" ",Sheet2!$C$3-LEN(Sheet2!C68))&amp;Sheet2!C68</f>
        <v xml:space="preserve">          </v>
      </c>
      <c r="C68" s="5" t="str">
        <f>IF(Sheet2!D68="R47","isR47FAM","!isR47FAM")</f>
        <v>!isR47FAM</v>
      </c>
      <c r="D68" s="6" t="str">
        <f t="shared" si="2"/>
        <v xml:space="preserve">  !isR47FAM</v>
      </c>
      <c r="E68" s="6" t="str">
        <f>REPT(" ",Sheet2!$E$3-LEN(Sheet2!E68))&amp;Sheet2!E68</f>
        <v xml:space="preserve">          </v>
      </c>
      <c r="F68" s="6" t="str">
        <f>REPT(" ",Sheet2!$F$3-LEN(Sheet2!F68))&amp;Sheet2!F68</f>
        <v xml:space="preserve">                    </v>
      </c>
      <c r="G68" s="6" t="str">
        <f>REPT(" ",Sheet2!$G$3-LEN(Sheet2!G68))&amp;Sheet2!G68</f>
        <v xml:space="preserve">                              </v>
      </c>
      <c r="H68" s="3" t="str">
        <f>IF(Sheet2!B68="","",SUBSTITUTE(SUBSTITUTE(SUBSTITUTE(SUBSTITUTE(SUBSTITUTE(SUBSTITUTE($H$1,"61",A68),"CM_NORMAL",E68),"ITM_DRG",F68),"nn = comm",G68),"exitIfNim",B68),"allowCondition",D68))</f>
        <v/>
      </c>
    </row>
    <row r="69" spans="1:8">
      <c r="A69" s="6" t="str">
        <f>REPT(" ",Sheet2!$B$3-LEN(Sheet2!B69))&amp;Sheet2!B69</f>
        <v xml:space="preserve">    </v>
      </c>
      <c r="B69" s="6" t="str">
        <f>REPT(" ",Sheet2!$C$3-LEN(Sheet2!C69))&amp;Sheet2!C69</f>
        <v xml:space="preserve">          </v>
      </c>
      <c r="C69" s="5" t="str">
        <f>IF(Sheet2!D69="R47","isR47FAM","!isR47FAM")</f>
        <v>!isR47FAM</v>
      </c>
      <c r="D69" s="6" t="str">
        <f t="shared" si="2"/>
        <v xml:space="preserve">  !isR47FAM</v>
      </c>
      <c r="E69" s="6" t="str">
        <f>REPT(" ",Sheet2!$E$3-LEN(Sheet2!E69))&amp;Sheet2!E69</f>
        <v xml:space="preserve">          </v>
      </c>
      <c r="F69" s="6" t="str">
        <f>REPT(" ",Sheet2!$F$3-LEN(Sheet2!F69))&amp;Sheet2!F69</f>
        <v xml:space="preserve">                    </v>
      </c>
      <c r="G69" s="6" t="str">
        <f>REPT(" ",Sheet2!$G$3-LEN(Sheet2!G69))&amp;Sheet2!G69</f>
        <v xml:space="preserve">                              </v>
      </c>
      <c r="H69" s="3" t="str">
        <f>IF(Sheet2!B69="","",SUBSTITUTE(SUBSTITUTE(SUBSTITUTE(SUBSTITUTE(SUBSTITUTE(SUBSTITUTE($H$1,"61",A69),"CM_NORMAL",E69),"ITM_DRG",F69),"nn = comm",G69),"exitIfNim",B69),"allowCondition",D69))</f>
        <v/>
      </c>
    </row>
    <row r="70" spans="1:8">
      <c r="A70" s="6" t="str">
        <f>REPT(" ",Sheet2!$B$3-LEN(Sheet2!B70))&amp;Sheet2!B70</f>
        <v xml:space="preserve">    </v>
      </c>
      <c r="B70" s="6" t="str">
        <f>REPT(" ",Sheet2!$C$3-LEN(Sheet2!C70))&amp;Sheet2!C70</f>
        <v xml:space="preserve">          </v>
      </c>
      <c r="C70" s="5" t="str">
        <f>IF(Sheet2!D70="R47","isR47FAM","!isR47FAM")</f>
        <v>!isR47FAM</v>
      </c>
      <c r="D70" s="6" t="str">
        <f t="shared" ref="D70:D90" si="3">REPT( " ",$C$4-LEN(C70) ) &amp;C70</f>
        <v xml:space="preserve">  !isR47FAM</v>
      </c>
      <c r="E70" s="6" t="str">
        <f>REPT(" ",Sheet2!$E$3-LEN(Sheet2!E70))&amp;Sheet2!E70</f>
        <v xml:space="preserve">          </v>
      </c>
      <c r="F70" s="6" t="str">
        <f>REPT(" ",Sheet2!$F$3-LEN(Sheet2!F70))&amp;Sheet2!F70</f>
        <v xml:space="preserve">                    </v>
      </c>
      <c r="G70" s="6" t="str">
        <f>REPT(" ",Sheet2!$G$3-LEN(Sheet2!G70))&amp;Sheet2!G70</f>
        <v xml:space="preserve">                              </v>
      </c>
      <c r="H70" s="3" t="str">
        <f>IF(Sheet2!B70="","",SUBSTITUTE(SUBSTITUTE(SUBSTITUTE(SUBSTITUTE(SUBSTITUTE(SUBSTITUTE($H$1,"61",A70),"CM_NORMAL",E70),"ITM_DRG",F70),"nn = comm",G70),"exitIfNim",B70),"allowCondition",D70))</f>
        <v/>
      </c>
    </row>
    <row r="71" spans="1:8">
      <c r="A71" s="6" t="str">
        <f>REPT(" ",Sheet2!$B$3-LEN(Sheet2!B71))&amp;Sheet2!B71</f>
        <v xml:space="preserve">    </v>
      </c>
      <c r="B71" s="6" t="str">
        <f>REPT(" ",Sheet2!$C$3-LEN(Sheet2!C71))&amp;Sheet2!C71</f>
        <v xml:space="preserve">          </v>
      </c>
      <c r="C71" s="5" t="str">
        <f>IF(Sheet2!D71="R47","isR47FAM","!isR47FAM")</f>
        <v>!isR47FAM</v>
      </c>
      <c r="D71" s="6" t="str">
        <f t="shared" si="3"/>
        <v xml:space="preserve">  !isR47FAM</v>
      </c>
      <c r="E71" s="6" t="str">
        <f>REPT(" ",Sheet2!$E$3-LEN(Sheet2!E71))&amp;Sheet2!E71</f>
        <v xml:space="preserve">          </v>
      </c>
      <c r="F71" s="6" t="str">
        <f>REPT(" ",Sheet2!$F$3-LEN(Sheet2!F71))&amp;Sheet2!F71</f>
        <v xml:space="preserve">                    </v>
      </c>
      <c r="G71" s="6" t="str">
        <f>REPT(" ",Sheet2!$G$3-LEN(Sheet2!G71))&amp;Sheet2!G71</f>
        <v xml:space="preserve">                              </v>
      </c>
      <c r="H71" s="3" t="str">
        <f>IF(Sheet2!B71="","",SUBSTITUTE(SUBSTITUTE(SUBSTITUTE(SUBSTITUTE(SUBSTITUTE(SUBSTITUTE($H$1,"61",A71),"CM_NORMAL",E71),"ITM_DRG",F71),"nn = comm",G71),"exitIfNim",B71),"allowCondition",D71))</f>
        <v/>
      </c>
    </row>
    <row r="72" spans="1:8">
      <c r="A72" s="6" t="str">
        <f>REPT(" ",Sheet2!$B$3-LEN(Sheet2!B72))&amp;Sheet2!B72</f>
        <v xml:space="preserve">    </v>
      </c>
      <c r="B72" s="6" t="str">
        <f>REPT(" ",Sheet2!$C$3-LEN(Sheet2!C72))&amp;Sheet2!C72</f>
        <v xml:space="preserve">          </v>
      </c>
      <c r="C72" s="5" t="str">
        <f>IF(Sheet2!D72="R47","isR47FAM","!isR47FAM")</f>
        <v>!isR47FAM</v>
      </c>
      <c r="D72" s="6" t="str">
        <f t="shared" si="3"/>
        <v xml:space="preserve">  !isR47FAM</v>
      </c>
      <c r="E72" s="6" t="str">
        <f>REPT(" ",Sheet2!$E$3-LEN(Sheet2!E72))&amp;Sheet2!E72</f>
        <v xml:space="preserve">          </v>
      </c>
      <c r="F72" s="6" t="str">
        <f>REPT(" ",Sheet2!$F$3-LEN(Sheet2!F72))&amp;Sheet2!F72</f>
        <v xml:space="preserve">                    </v>
      </c>
      <c r="G72" s="6" t="str">
        <f>REPT(" ",Sheet2!$G$3-LEN(Sheet2!G72))&amp;Sheet2!G72</f>
        <v xml:space="preserve">                              </v>
      </c>
      <c r="H72" s="3" t="str">
        <f>IF(Sheet2!B72="","",SUBSTITUTE(SUBSTITUTE(SUBSTITUTE(SUBSTITUTE(SUBSTITUTE(SUBSTITUTE($H$1,"61",A72),"CM_NORMAL",E72),"ITM_DRG",F72),"nn = comm",G72),"exitIfNim",B72),"allowCondition",D72))</f>
        <v/>
      </c>
    </row>
    <row r="73" spans="1:8">
      <c r="A73" s="6" t="str">
        <f>REPT(" ",Sheet2!$B$3-LEN(Sheet2!B73))&amp;Sheet2!B73</f>
        <v xml:space="preserve">    </v>
      </c>
      <c r="B73" s="6" t="str">
        <f>REPT(" ",Sheet2!$C$3-LEN(Sheet2!C73))&amp;Sheet2!C73</f>
        <v xml:space="preserve">          </v>
      </c>
      <c r="C73" s="5" t="str">
        <f>IF(Sheet2!D73="R47","isR47FAM","!isR47FAM")</f>
        <v>!isR47FAM</v>
      </c>
      <c r="D73" s="6" t="str">
        <f t="shared" si="3"/>
        <v xml:space="preserve">  !isR47FAM</v>
      </c>
      <c r="E73" s="6" t="str">
        <f>REPT(" ",Sheet2!$E$3-LEN(Sheet2!E73))&amp;Sheet2!E73</f>
        <v xml:space="preserve">          </v>
      </c>
      <c r="F73" s="6" t="str">
        <f>REPT(" ",Sheet2!$F$3-LEN(Sheet2!F73))&amp;Sheet2!F73</f>
        <v xml:space="preserve">                    </v>
      </c>
      <c r="G73" s="6" t="str">
        <f>REPT(" ",Sheet2!$G$3-LEN(Sheet2!G73))&amp;Sheet2!G73</f>
        <v xml:space="preserve">                              </v>
      </c>
      <c r="H73" s="3" t="str">
        <f>IF(Sheet2!B73="","",SUBSTITUTE(SUBSTITUTE(SUBSTITUTE(SUBSTITUTE(SUBSTITUTE(SUBSTITUTE($H$1,"61",A73),"CM_NORMAL",E73),"ITM_DRG",F73),"nn = comm",G73),"exitIfNim",B73),"allowCondition",D73))</f>
        <v/>
      </c>
    </row>
    <row r="74" spans="1:8">
      <c r="A74" s="6" t="str">
        <f>REPT(" ",Sheet2!$B$3-LEN(Sheet2!B74))&amp;Sheet2!B74</f>
        <v xml:space="preserve">    </v>
      </c>
      <c r="B74" s="6" t="str">
        <f>REPT(" ",Sheet2!$C$3-LEN(Sheet2!C74))&amp;Sheet2!C74</f>
        <v xml:space="preserve">          </v>
      </c>
      <c r="C74" s="5" t="str">
        <f>IF(Sheet2!D74="R47","isR47FAM","!isR47FAM")</f>
        <v>!isR47FAM</v>
      </c>
      <c r="D74" s="6" t="str">
        <f t="shared" si="3"/>
        <v xml:space="preserve">  !isR47FAM</v>
      </c>
      <c r="E74" s="6" t="str">
        <f>REPT(" ",Sheet2!$E$3-LEN(Sheet2!E74))&amp;Sheet2!E74</f>
        <v xml:space="preserve">          </v>
      </c>
      <c r="F74" s="6" t="str">
        <f>REPT(" ",Sheet2!$F$3-LEN(Sheet2!F74))&amp;Sheet2!F74</f>
        <v xml:space="preserve">                    </v>
      </c>
      <c r="G74" s="6" t="str">
        <f>REPT(" ",Sheet2!$G$3-LEN(Sheet2!G74))&amp;Sheet2!G74</f>
        <v xml:space="preserve">                              </v>
      </c>
      <c r="H74" s="3" t="str">
        <f>IF(Sheet2!B74="","",SUBSTITUTE(SUBSTITUTE(SUBSTITUTE(SUBSTITUTE(SUBSTITUTE(SUBSTITUTE($H$1,"61",A74),"CM_NORMAL",E74),"ITM_DRG",F74),"nn = comm",G74),"exitIfNim",B74),"allowCondition",D74))</f>
        <v/>
      </c>
    </row>
    <row r="75" spans="1:8">
      <c r="A75" s="6" t="str">
        <f>REPT(" ",Sheet2!$B$3-LEN(Sheet2!B75))&amp;Sheet2!B75</f>
        <v xml:space="preserve">    </v>
      </c>
      <c r="B75" s="6" t="str">
        <f>REPT(" ",Sheet2!$C$3-LEN(Sheet2!C75))&amp;Sheet2!C75</f>
        <v xml:space="preserve">          </v>
      </c>
      <c r="C75" s="5" t="str">
        <f>IF(Sheet2!D75="R47","isR47FAM","!isR47FAM")</f>
        <v>!isR47FAM</v>
      </c>
      <c r="D75" s="6" t="str">
        <f t="shared" si="3"/>
        <v xml:space="preserve">  !isR47FAM</v>
      </c>
      <c r="E75" s="6" t="str">
        <f>REPT(" ",Sheet2!$E$3-LEN(Sheet2!E75))&amp;Sheet2!E75</f>
        <v xml:space="preserve">          </v>
      </c>
      <c r="F75" s="6" t="str">
        <f>REPT(" ",Sheet2!$F$3-LEN(Sheet2!F75))&amp;Sheet2!F75</f>
        <v xml:space="preserve">                    </v>
      </c>
      <c r="G75" s="6" t="str">
        <f>REPT(" ",Sheet2!$G$3-LEN(Sheet2!G75))&amp;Sheet2!G75</f>
        <v xml:space="preserve">                              </v>
      </c>
      <c r="H75" s="3" t="str">
        <f>IF(Sheet2!B75="","",SUBSTITUTE(SUBSTITUTE(SUBSTITUTE(SUBSTITUTE(SUBSTITUTE(SUBSTITUTE($H$1,"61",A75),"CM_NORMAL",E75),"ITM_DRG",F75),"nn = comm",G75),"exitIfNim",B75),"allowCondition",D75))</f>
        <v/>
      </c>
    </row>
    <row r="76" spans="1:8">
      <c r="A76" s="6" t="str">
        <f>REPT(" ",Sheet2!$B$3-LEN(Sheet2!B76))&amp;Sheet2!B76</f>
        <v xml:space="preserve">    </v>
      </c>
      <c r="B76" s="6" t="str">
        <f>REPT(" ",Sheet2!$C$3-LEN(Sheet2!C76))&amp;Sheet2!C76</f>
        <v xml:space="preserve">          </v>
      </c>
      <c r="C76" s="5" t="str">
        <f>IF(Sheet2!D76="R47","isR47FAM","!isR47FAM")</f>
        <v>!isR47FAM</v>
      </c>
      <c r="D76" s="6" t="str">
        <f t="shared" si="3"/>
        <v xml:space="preserve">  !isR47FAM</v>
      </c>
      <c r="E76" s="6" t="str">
        <f>REPT(" ",Sheet2!$E$3-LEN(Sheet2!E76))&amp;Sheet2!E76</f>
        <v xml:space="preserve">          </v>
      </c>
      <c r="F76" s="6" t="str">
        <f>REPT(" ",Sheet2!$F$3-LEN(Sheet2!F76))&amp;Sheet2!F76</f>
        <v xml:space="preserve">                    </v>
      </c>
      <c r="G76" s="6" t="str">
        <f>REPT(" ",Sheet2!$G$3-LEN(Sheet2!G76))&amp;Sheet2!G76</f>
        <v xml:space="preserve">                              </v>
      </c>
      <c r="H76" s="3" t="str">
        <f>IF(Sheet2!B76="","",SUBSTITUTE(SUBSTITUTE(SUBSTITUTE(SUBSTITUTE(SUBSTITUTE(SUBSTITUTE($H$1,"61",A76),"CM_NORMAL",E76),"ITM_DRG",F76),"nn = comm",G76),"exitIfNim",B76),"allowCondition",D76))</f>
        <v/>
      </c>
    </row>
    <row r="77" spans="1:8">
      <c r="A77" s="6" t="str">
        <f>REPT(" ",Sheet2!$B$3-LEN(Sheet2!B77))&amp;Sheet2!B77</f>
        <v xml:space="preserve">    </v>
      </c>
      <c r="B77" s="6" t="str">
        <f>REPT(" ",Sheet2!$C$3-LEN(Sheet2!C77))&amp;Sheet2!C77</f>
        <v xml:space="preserve">          </v>
      </c>
      <c r="C77" s="5" t="str">
        <f>IF(Sheet2!D77="R47","isR47FAM","!isR47FAM")</f>
        <v>!isR47FAM</v>
      </c>
      <c r="D77" s="6" t="str">
        <f t="shared" si="3"/>
        <v xml:space="preserve">  !isR47FAM</v>
      </c>
      <c r="E77" s="6" t="str">
        <f>REPT(" ",Sheet2!$E$3-LEN(Sheet2!E77))&amp;Sheet2!E77</f>
        <v xml:space="preserve">          </v>
      </c>
      <c r="F77" s="6" t="str">
        <f>REPT(" ",Sheet2!$F$3-LEN(Sheet2!F77))&amp;Sheet2!F77</f>
        <v xml:space="preserve">                    </v>
      </c>
      <c r="G77" s="6" t="str">
        <f>REPT(" ",Sheet2!$G$3-LEN(Sheet2!G77))&amp;Sheet2!G77</f>
        <v xml:space="preserve">                              </v>
      </c>
      <c r="H77" s="3" t="str">
        <f>IF(Sheet2!B77="","",SUBSTITUTE(SUBSTITUTE(SUBSTITUTE(SUBSTITUTE(SUBSTITUTE(SUBSTITUTE($H$1,"61",A77),"CM_NORMAL",E77),"ITM_DRG",F77),"nn = comm",G77),"exitIfNim",B77),"allowCondition",D77))</f>
        <v/>
      </c>
    </row>
    <row r="78" spans="1:8">
      <c r="A78" s="6" t="str">
        <f>REPT(" ",Sheet2!$B$3-LEN(Sheet2!B78))&amp;Sheet2!B78</f>
        <v xml:space="preserve">    </v>
      </c>
      <c r="B78" s="6" t="str">
        <f>REPT(" ",Sheet2!$C$3-LEN(Sheet2!C78))&amp;Sheet2!C78</f>
        <v xml:space="preserve">          </v>
      </c>
      <c r="C78" s="5" t="str">
        <f>IF(Sheet2!D78="R47","isR47FAM","!isR47FAM")</f>
        <v>!isR47FAM</v>
      </c>
      <c r="D78" s="6" t="str">
        <f t="shared" si="3"/>
        <v xml:space="preserve">  !isR47FAM</v>
      </c>
      <c r="E78" s="6" t="str">
        <f>REPT(" ",Sheet2!$E$3-LEN(Sheet2!E78))&amp;Sheet2!E78</f>
        <v xml:space="preserve">          </v>
      </c>
      <c r="F78" s="6" t="str">
        <f>REPT(" ",Sheet2!$F$3-LEN(Sheet2!F78))&amp;Sheet2!F78</f>
        <v xml:space="preserve">                    </v>
      </c>
      <c r="G78" s="6" t="str">
        <f>REPT(" ",Sheet2!$G$3-LEN(Sheet2!G78))&amp;Sheet2!G78</f>
        <v xml:space="preserve">                              </v>
      </c>
      <c r="H78" s="3" t="str">
        <f>IF(Sheet2!B78="","",SUBSTITUTE(SUBSTITUTE(SUBSTITUTE(SUBSTITUTE(SUBSTITUTE(SUBSTITUTE($H$1,"61",A78),"CM_NORMAL",E78),"ITM_DRG",F78),"nn = comm",G78),"exitIfNim",B78),"allowCondition",D78))</f>
        <v/>
      </c>
    </row>
    <row r="79" spans="1:8">
      <c r="A79" s="6" t="str">
        <f>REPT(" ",Sheet2!$B$3-LEN(Sheet2!B79))&amp;Sheet2!B79</f>
        <v xml:space="preserve">    </v>
      </c>
      <c r="B79" s="6" t="str">
        <f>REPT(" ",Sheet2!$C$3-LEN(Sheet2!C79))&amp;Sheet2!C79</f>
        <v xml:space="preserve">          </v>
      </c>
      <c r="C79" s="5" t="str">
        <f>IF(Sheet2!D79="R47","isR47FAM","!isR47FAM")</f>
        <v>!isR47FAM</v>
      </c>
      <c r="D79" s="6" t="str">
        <f t="shared" si="3"/>
        <v xml:space="preserve">  !isR47FAM</v>
      </c>
      <c r="E79" s="6" t="str">
        <f>REPT(" ",Sheet2!$E$3-LEN(Sheet2!E79))&amp;Sheet2!E79</f>
        <v xml:space="preserve">          </v>
      </c>
      <c r="F79" s="6" t="str">
        <f>REPT(" ",Sheet2!$F$3-LEN(Sheet2!F79))&amp;Sheet2!F79</f>
        <v xml:space="preserve">                    </v>
      </c>
      <c r="G79" s="6" t="str">
        <f>REPT(" ",Sheet2!$G$3-LEN(Sheet2!G79))&amp;Sheet2!G79</f>
        <v xml:space="preserve">                              </v>
      </c>
      <c r="H79" s="3" t="str">
        <f>IF(Sheet2!B79="","",SUBSTITUTE(SUBSTITUTE(SUBSTITUTE(SUBSTITUTE(SUBSTITUTE(SUBSTITUTE($H$1,"61",A79),"CM_NORMAL",E79),"ITM_DRG",F79),"nn = comm",G79),"exitIfNim",B79),"allowCondition",D79))</f>
        <v/>
      </c>
    </row>
    <row r="80" spans="1:8">
      <c r="A80" s="6" t="str">
        <f>REPT(" ",Sheet2!$B$3-LEN(Sheet2!B80))&amp;Sheet2!B80</f>
        <v xml:space="preserve">    </v>
      </c>
      <c r="B80" s="6" t="str">
        <f>REPT(" ",Sheet2!$C$3-LEN(Sheet2!C80))&amp;Sheet2!C80</f>
        <v xml:space="preserve">          </v>
      </c>
      <c r="C80" s="5" t="str">
        <f>IF(Sheet2!D80="R47","isR47FAM","!isR47FAM")</f>
        <v>!isR47FAM</v>
      </c>
      <c r="D80" s="6" t="str">
        <f t="shared" si="3"/>
        <v xml:space="preserve">  !isR47FAM</v>
      </c>
      <c r="E80" s="6" t="str">
        <f>REPT(" ",Sheet2!$E$3-LEN(Sheet2!E80))&amp;Sheet2!E80</f>
        <v xml:space="preserve">          </v>
      </c>
      <c r="F80" s="6" t="str">
        <f>REPT(" ",Sheet2!$F$3-LEN(Sheet2!F80))&amp;Sheet2!F80</f>
        <v xml:space="preserve">                    </v>
      </c>
      <c r="G80" s="6" t="str">
        <f>REPT(" ",Sheet2!$G$3-LEN(Sheet2!G80))&amp;Sheet2!G80</f>
        <v xml:space="preserve">                              </v>
      </c>
      <c r="H80" s="3" t="str">
        <f>IF(Sheet2!B80="","",SUBSTITUTE(SUBSTITUTE(SUBSTITUTE(SUBSTITUTE(SUBSTITUTE(SUBSTITUTE($H$1,"61",A80),"CM_NORMAL",E80),"ITM_DRG",F80),"nn = comm",G80),"exitIfNim",B80),"allowCondition",D80))</f>
        <v/>
      </c>
    </row>
    <row r="81" spans="1:8">
      <c r="A81" s="6" t="str">
        <f>REPT(" ",Sheet2!$B$3-LEN(Sheet2!B81))&amp;Sheet2!B81</f>
        <v xml:space="preserve">    </v>
      </c>
      <c r="B81" s="6" t="str">
        <f>REPT(" ",Sheet2!$C$3-LEN(Sheet2!C81))&amp;Sheet2!C81</f>
        <v xml:space="preserve">          </v>
      </c>
      <c r="C81" s="5" t="str">
        <f>IF(Sheet2!D81="R47","isR47FAM","!isR47FAM")</f>
        <v>!isR47FAM</v>
      </c>
      <c r="D81" s="6" t="str">
        <f t="shared" si="3"/>
        <v xml:space="preserve">  !isR47FAM</v>
      </c>
      <c r="E81" s="6" t="str">
        <f>REPT(" ",Sheet2!$E$3-LEN(Sheet2!E81))&amp;Sheet2!E81</f>
        <v xml:space="preserve">          </v>
      </c>
      <c r="F81" s="6" t="str">
        <f>REPT(" ",Sheet2!$F$3-LEN(Sheet2!F81))&amp;Sheet2!F81</f>
        <v xml:space="preserve">                    </v>
      </c>
      <c r="G81" s="6" t="str">
        <f>REPT(" ",Sheet2!$G$3-LEN(Sheet2!G81))&amp;Sheet2!G81</f>
        <v xml:space="preserve">                              </v>
      </c>
      <c r="H81" s="3" t="str">
        <f>IF(Sheet2!B81="","",SUBSTITUTE(SUBSTITUTE(SUBSTITUTE(SUBSTITUTE(SUBSTITUTE(SUBSTITUTE($H$1,"61",A81),"CM_NORMAL",E81),"ITM_DRG",F81),"nn = comm",G81),"exitIfNim",B81),"allowCondition",D81))</f>
        <v/>
      </c>
    </row>
    <row r="82" spans="1:8">
      <c r="A82" s="6" t="str">
        <f>REPT(" ",Sheet2!$B$3-LEN(Sheet2!B82))&amp;Sheet2!B82</f>
        <v xml:space="preserve">    </v>
      </c>
      <c r="B82" s="6" t="str">
        <f>REPT(" ",Sheet2!$C$3-LEN(Sheet2!C82))&amp;Sheet2!C82</f>
        <v xml:space="preserve">          </v>
      </c>
      <c r="C82" s="5" t="str">
        <f>IF(Sheet2!D82="R47","isR47FAM","!isR47FAM")</f>
        <v>!isR47FAM</v>
      </c>
      <c r="D82" s="6" t="str">
        <f t="shared" si="3"/>
        <v xml:space="preserve">  !isR47FAM</v>
      </c>
      <c r="E82" s="6" t="str">
        <f>REPT(" ",Sheet2!$E$3-LEN(Sheet2!E82))&amp;Sheet2!E82</f>
        <v xml:space="preserve">          </v>
      </c>
      <c r="F82" s="6" t="str">
        <f>REPT(" ",Sheet2!$F$3-LEN(Sheet2!F82))&amp;Sheet2!F82</f>
        <v xml:space="preserve">                    </v>
      </c>
      <c r="G82" s="6" t="str">
        <f>REPT(" ",Sheet2!$G$3-LEN(Sheet2!G82))&amp;Sheet2!G82</f>
        <v xml:space="preserve">                              </v>
      </c>
      <c r="H82" s="3" t="str">
        <f>IF(Sheet2!B82="","",SUBSTITUTE(SUBSTITUTE(SUBSTITUTE(SUBSTITUTE(SUBSTITUTE(SUBSTITUTE($H$1,"61",A82),"CM_NORMAL",E82),"ITM_DRG",F82),"nn = comm",G82),"exitIfNim",B82),"allowCondition",D82))</f>
        <v/>
      </c>
    </row>
    <row r="83" spans="1:8">
      <c r="A83" s="6" t="str">
        <f>REPT(" ",Sheet2!$B$3-LEN(Sheet2!B83))&amp;Sheet2!B83</f>
        <v xml:space="preserve">    </v>
      </c>
      <c r="B83" s="6" t="str">
        <f>REPT(" ",Sheet2!$C$3-LEN(Sheet2!C83))&amp;Sheet2!C83</f>
        <v xml:space="preserve">          </v>
      </c>
      <c r="C83" s="5" t="str">
        <f>IF(Sheet2!D83="R47","isR47FAM","!isR47FAM")</f>
        <v>!isR47FAM</v>
      </c>
      <c r="D83" s="6" t="str">
        <f t="shared" si="3"/>
        <v xml:space="preserve">  !isR47FAM</v>
      </c>
      <c r="E83" s="6" t="str">
        <f>REPT(" ",Sheet2!$E$3-LEN(Sheet2!E83))&amp;Sheet2!E83</f>
        <v xml:space="preserve">          </v>
      </c>
      <c r="F83" s="6" t="str">
        <f>REPT(" ",Sheet2!$F$3-LEN(Sheet2!F83))&amp;Sheet2!F83</f>
        <v xml:space="preserve">                    </v>
      </c>
      <c r="G83" s="6" t="str">
        <f>REPT(" ",Sheet2!$G$3-LEN(Sheet2!G83))&amp;Sheet2!G83</f>
        <v xml:space="preserve">                              </v>
      </c>
      <c r="H83" s="3" t="str">
        <f>IF(Sheet2!B83="","",SUBSTITUTE(SUBSTITUTE(SUBSTITUTE(SUBSTITUTE(SUBSTITUTE(SUBSTITUTE($H$1,"61",A83),"CM_NORMAL",E83),"ITM_DRG",F83),"nn = comm",G83),"exitIfNim",B83),"allowCondition",D83))</f>
        <v/>
      </c>
    </row>
    <row r="84" spans="1:8">
      <c r="A84" s="6" t="str">
        <f>REPT(" ",Sheet2!$B$3-LEN(Sheet2!B84))&amp;Sheet2!B84</f>
        <v xml:space="preserve">    </v>
      </c>
      <c r="B84" s="6" t="str">
        <f>REPT(" ",Sheet2!$C$3-LEN(Sheet2!C84))&amp;Sheet2!C84</f>
        <v xml:space="preserve">          </v>
      </c>
      <c r="C84" s="5" t="str">
        <f>IF(Sheet2!D84="R47","isR47FAM","!isR47FAM")</f>
        <v>!isR47FAM</v>
      </c>
      <c r="D84" s="6" t="str">
        <f t="shared" si="3"/>
        <v xml:space="preserve">  !isR47FAM</v>
      </c>
      <c r="E84" s="6" t="str">
        <f>REPT(" ",Sheet2!$E$3-LEN(Sheet2!E84))&amp;Sheet2!E84</f>
        <v xml:space="preserve">          </v>
      </c>
      <c r="F84" s="6" t="str">
        <f>REPT(" ",Sheet2!$F$3-LEN(Sheet2!F84))&amp;Sheet2!F84</f>
        <v xml:space="preserve">                    </v>
      </c>
      <c r="G84" s="6" t="str">
        <f>REPT(" ",Sheet2!$G$3-LEN(Sheet2!G84))&amp;Sheet2!G84</f>
        <v xml:space="preserve">                              </v>
      </c>
      <c r="H84" s="3" t="str">
        <f>IF(Sheet2!B84="","",SUBSTITUTE(SUBSTITUTE(SUBSTITUTE(SUBSTITUTE(SUBSTITUTE(SUBSTITUTE($H$1,"61",A84),"CM_NORMAL",E84),"ITM_DRG",F84),"nn = comm",G84),"exitIfNim",B84),"allowCondition",D84))</f>
        <v/>
      </c>
    </row>
    <row r="85" spans="1:8">
      <c r="A85" s="6" t="str">
        <f>REPT(" ",Sheet2!$B$3-LEN(Sheet2!B85))&amp;Sheet2!B85</f>
        <v xml:space="preserve">    </v>
      </c>
      <c r="B85" s="6" t="str">
        <f>REPT(" ",Sheet2!$C$3-LEN(Sheet2!C85))&amp;Sheet2!C85</f>
        <v xml:space="preserve">          </v>
      </c>
      <c r="C85" s="5" t="str">
        <f>IF(Sheet2!D85="R47","isR47FAM","!isR47FAM")</f>
        <v>!isR47FAM</v>
      </c>
      <c r="D85" s="6" t="str">
        <f t="shared" si="3"/>
        <v xml:space="preserve">  !isR47FAM</v>
      </c>
      <c r="E85" s="6" t="str">
        <f>REPT(" ",Sheet2!$E$3-LEN(Sheet2!E85))&amp;Sheet2!E85</f>
        <v xml:space="preserve">          </v>
      </c>
      <c r="F85" s="6" t="str">
        <f>REPT(" ",Sheet2!$F$3-LEN(Sheet2!F85))&amp;Sheet2!F85</f>
        <v xml:space="preserve">                    </v>
      </c>
      <c r="G85" s="6" t="str">
        <f>REPT(" ",Sheet2!$G$3-LEN(Sheet2!G85))&amp;Sheet2!G85</f>
        <v xml:space="preserve">                              </v>
      </c>
      <c r="H85" s="3" t="str">
        <f>IF(Sheet2!B85="","",SUBSTITUTE(SUBSTITUTE(SUBSTITUTE(SUBSTITUTE(SUBSTITUTE(SUBSTITUTE($H$1,"61",A85),"CM_NORMAL",E85),"ITM_DRG",F85),"nn = comm",G85),"exitIfNim",B85),"allowCondition",D85))</f>
        <v/>
      </c>
    </row>
    <row r="86" spans="1:8">
      <c r="A86" s="6" t="str">
        <f>REPT(" ",Sheet2!$B$3-LEN(Sheet2!B86))&amp;Sheet2!B86</f>
        <v xml:space="preserve">    </v>
      </c>
      <c r="B86" s="6" t="str">
        <f>REPT(" ",Sheet2!$C$3-LEN(Sheet2!C86))&amp;Sheet2!C86</f>
        <v xml:space="preserve">          </v>
      </c>
      <c r="C86" s="5" t="str">
        <f>IF(Sheet2!D86="R47","isR47FAM","!isR47FAM")</f>
        <v>!isR47FAM</v>
      </c>
      <c r="D86" s="6" t="str">
        <f t="shared" si="3"/>
        <v xml:space="preserve">  !isR47FAM</v>
      </c>
      <c r="E86" s="6" t="str">
        <f>REPT(" ",Sheet2!$E$3-LEN(Sheet2!E86))&amp;Sheet2!E86</f>
        <v xml:space="preserve">          </v>
      </c>
      <c r="F86" s="6" t="str">
        <f>REPT(" ",Sheet2!$F$3-LEN(Sheet2!F86))&amp;Sheet2!F86</f>
        <v xml:space="preserve">                    </v>
      </c>
      <c r="G86" s="6" t="str">
        <f>REPT(" ",Sheet2!$G$3-LEN(Sheet2!G86))&amp;Sheet2!G86</f>
        <v xml:space="preserve">                              </v>
      </c>
      <c r="H86" s="3" t="str">
        <f>IF(Sheet2!B86="","",SUBSTITUTE(SUBSTITUTE(SUBSTITUTE(SUBSTITUTE(SUBSTITUTE(SUBSTITUTE($H$1,"61",A86),"CM_NORMAL",E86),"ITM_DRG",F86),"nn = comm",G86),"exitIfNim",B86),"allowCondition",D86))</f>
        <v/>
      </c>
    </row>
    <row r="87" spans="1:8">
      <c r="A87" s="6" t="str">
        <f>REPT(" ",Sheet2!$B$3-LEN(Sheet2!B87))&amp;Sheet2!B87</f>
        <v xml:space="preserve">    </v>
      </c>
      <c r="B87" s="6" t="str">
        <f>REPT(" ",Sheet2!$C$3-LEN(Sheet2!C87))&amp;Sheet2!C87</f>
        <v xml:space="preserve">          </v>
      </c>
      <c r="C87" s="5" t="str">
        <f>IF(Sheet2!D87="R47","isR47FAM","!isR47FAM")</f>
        <v>!isR47FAM</v>
      </c>
      <c r="D87" s="6" t="str">
        <f t="shared" si="3"/>
        <v xml:space="preserve">  !isR47FAM</v>
      </c>
      <c r="E87" s="6" t="str">
        <f>REPT(" ",Sheet2!$E$3-LEN(Sheet2!E87))&amp;Sheet2!E87</f>
        <v xml:space="preserve">          </v>
      </c>
      <c r="F87" s="6" t="str">
        <f>REPT(" ",Sheet2!$F$3-LEN(Sheet2!F87))&amp;Sheet2!F87</f>
        <v xml:space="preserve">                    </v>
      </c>
      <c r="G87" s="6" t="str">
        <f>REPT(" ",Sheet2!$G$3-LEN(Sheet2!G87))&amp;Sheet2!G87</f>
        <v xml:space="preserve">                              </v>
      </c>
      <c r="H87" s="3" t="str">
        <f>IF(Sheet2!B87="","",SUBSTITUTE(SUBSTITUTE(SUBSTITUTE(SUBSTITUTE(SUBSTITUTE(SUBSTITUTE($H$1,"61",A87),"CM_NORMAL",E87),"ITM_DRG",F87),"nn = comm",G87),"exitIfNim",B87),"allowCondition",D87))</f>
        <v/>
      </c>
    </row>
    <row r="88" spans="1:8">
      <c r="A88" s="6" t="str">
        <f>REPT(" ",Sheet2!$B$3-LEN(Sheet2!B88))&amp;Sheet2!B88</f>
        <v xml:space="preserve">    </v>
      </c>
      <c r="B88" s="6" t="str">
        <f>REPT(" ",Sheet2!$C$3-LEN(Sheet2!C88))&amp;Sheet2!C88</f>
        <v xml:space="preserve">          </v>
      </c>
      <c r="C88" s="5" t="str">
        <f>IF(Sheet2!D88="R47","isR47FAM","!isR47FAM")</f>
        <v>!isR47FAM</v>
      </c>
      <c r="D88" s="6" t="str">
        <f t="shared" si="3"/>
        <v xml:space="preserve">  !isR47FAM</v>
      </c>
      <c r="E88" s="6" t="str">
        <f>REPT(" ",Sheet2!$E$3-LEN(Sheet2!E88))&amp;Sheet2!E88</f>
        <v xml:space="preserve">          </v>
      </c>
      <c r="F88" s="6" t="str">
        <f>REPT(" ",Sheet2!$F$3-LEN(Sheet2!F88))&amp;Sheet2!F88</f>
        <v xml:space="preserve">                    </v>
      </c>
      <c r="G88" s="6" t="str">
        <f>REPT(" ",Sheet2!$G$3-LEN(Sheet2!G88))&amp;Sheet2!G88</f>
        <v xml:space="preserve">                              </v>
      </c>
      <c r="H88" s="3" t="str">
        <f>IF(Sheet2!B88="","",SUBSTITUTE(SUBSTITUTE(SUBSTITUTE(SUBSTITUTE(SUBSTITUTE(SUBSTITUTE($H$1,"61",A88),"CM_NORMAL",E88),"ITM_DRG",F88),"nn = comm",G88),"exitIfNim",B88),"allowCondition",D88))</f>
        <v/>
      </c>
    </row>
    <row r="89" spans="1:8">
      <c r="A89" s="6" t="str">
        <f>REPT(" ",Sheet2!$B$3-LEN(Sheet2!B89))&amp;Sheet2!B89</f>
        <v xml:space="preserve">    </v>
      </c>
      <c r="B89" s="6" t="str">
        <f>REPT(" ",Sheet2!$C$3-LEN(Sheet2!C89))&amp;Sheet2!C89</f>
        <v xml:space="preserve">          </v>
      </c>
      <c r="C89" s="5" t="str">
        <f>IF(Sheet2!D89="R47","isR47FAM","!isR47FAM")</f>
        <v>!isR47FAM</v>
      </c>
      <c r="D89" s="6" t="str">
        <f t="shared" si="3"/>
        <v xml:space="preserve">  !isR47FAM</v>
      </c>
      <c r="E89" s="6" t="str">
        <f>REPT(" ",Sheet2!$E$3-LEN(Sheet2!E89))&amp;Sheet2!E89</f>
        <v xml:space="preserve">          </v>
      </c>
      <c r="F89" s="6" t="str">
        <f>REPT(" ",Sheet2!$F$3-LEN(Sheet2!F89))&amp;Sheet2!F89</f>
        <v xml:space="preserve">                    </v>
      </c>
      <c r="G89" s="6" t="str">
        <f>REPT(" ",Sheet2!$G$3-LEN(Sheet2!G89))&amp;Sheet2!G89</f>
        <v xml:space="preserve">                              </v>
      </c>
      <c r="H89" s="3" t="str">
        <f>IF(Sheet2!B89="","",SUBSTITUTE(SUBSTITUTE(SUBSTITUTE(SUBSTITUTE(SUBSTITUTE(SUBSTITUTE($H$1,"61",A89),"CM_NORMAL",E89),"ITM_DRG",F89),"nn = comm",G89),"exitIfNim",B89),"allowCondition",D89))</f>
        <v/>
      </c>
    </row>
    <row r="90" spans="1:8">
      <c r="A90" s="6" t="str">
        <f>REPT(" ",Sheet2!$B$3-LEN(Sheet2!B90))&amp;Sheet2!B90</f>
        <v xml:space="preserve">    </v>
      </c>
      <c r="B90" s="6" t="str">
        <f>REPT(" ",Sheet2!$C$3-LEN(Sheet2!C90))&amp;Sheet2!C90</f>
        <v xml:space="preserve">          </v>
      </c>
      <c r="C90" s="5" t="str">
        <f>IF(Sheet2!D90="R47","isR47FAM","!isR47FAM")</f>
        <v>!isR47FAM</v>
      </c>
      <c r="D90" s="6" t="str">
        <f t="shared" si="3"/>
        <v xml:space="preserve">  !isR47FAM</v>
      </c>
      <c r="E90" s="6" t="str">
        <f>REPT(" ",Sheet2!$E$3-LEN(Sheet2!E90))&amp;Sheet2!E90</f>
        <v xml:space="preserve">          </v>
      </c>
      <c r="F90" s="6" t="str">
        <f>REPT(" ",Sheet2!$F$3-LEN(Sheet2!F90))&amp;Sheet2!F90</f>
        <v xml:space="preserve">                    </v>
      </c>
      <c r="G90" s="6" t="str">
        <f>REPT(" ",Sheet2!$G$3-LEN(Sheet2!G90))&amp;Sheet2!G90</f>
        <v xml:space="preserve">                              </v>
      </c>
      <c r="H90" s="3" t="str">
        <f>IF(Sheet2!B90="","",SUBSTITUTE(SUBSTITUTE(SUBSTITUTE(SUBSTITUTE(SUBSTITUTE(SUBSTITUTE($H$1,"61",A90),"CM_NORMAL",E90),"ITM_DRG",F90),"nn = comm",G90),"exitIfNim",B90),"allowCondition",D90))</f>
        <v/>
      </c>
    </row>
    <row r="91" spans="1:8">
      <c r="H91" s="2"/>
    </row>
    <row r="92" spans="1:8">
      <c r="H92" s="2"/>
    </row>
    <row r="93" spans="1:8">
      <c r="H93" s="2"/>
    </row>
    <row r="94" spans="1:8">
      <c r="H94" s="2"/>
    </row>
    <row r="95" spans="1:8">
      <c r="H95" s="2"/>
    </row>
    <row r="96" spans="1:8">
      <c r="H96" s="2"/>
    </row>
    <row r="97" spans="8:8">
      <c r="H97" s="2"/>
    </row>
    <row r="98" spans="8:8">
      <c r="H98" s="2"/>
    </row>
    <row r="99" spans="8:8">
      <c r="H99" s="2"/>
    </row>
    <row r="100" spans="8:8">
      <c r="H100" s="2"/>
    </row>
    <row r="101" spans="8:8">
      <c r="H101" s="2"/>
    </row>
    <row r="102" spans="8:8">
      <c r="H102" s="2"/>
    </row>
    <row r="103" spans="8:8">
      <c r="H103" s="2"/>
    </row>
    <row r="104" spans="8:8">
      <c r="H104" s="2"/>
    </row>
    <row r="105" spans="8:8">
      <c r="H105" s="2"/>
    </row>
    <row r="106" spans="8:8">
      <c r="H106" s="2"/>
    </row>
    <row r="107" spans="8:8">
      <c r="H107" s="2"/>
    </row>
    <row r="108" spans="8:8">
      <c r="H108" s="2"/>
    </row>
    <row r="109" spans="8:8">
      <c r="H109" s="2"/>
    </row>
    <row r="110" spans="8:8">
      <c r="H110" s="2"/>
    </row>
    <row r="111" spans="8:8">
      <c r="H111" s="2"/>
    </row>
    <row r="112" spans="8:8">
      <c r="H112" s="2"/>
    </row>
    <row r="113" spans="8:8">
      <c r="H113" s="2"/>
    </row>
    <row r="114" spans="8:8">
      <c r="H114" s="2"/>
    </row>
    <row r="115" spans="8:8">
      <c r="H115" s="2"/>
    </row>
    <row r="116" spans="8:8">
      <c r="H116" s="2"/>
    </row>
    <row r="117" spans="8:8">
      <c r="H117" s="2"/>
    </row>
    <row r="118" spans="8:8">
      <c r="H118" s="2"/>
    </row>
    <row r="119" spans="8:8">
      <c r="H119" s="2"/>
    </row>
    <row r="120" spans="8:8">
      <c r="H120" s="2"/>
    </row>
    <row r="121" spans="8:8">
      <c r="H121" s="2"/>
    </row>
    <row r="122" spans="8:8">
      <c r="H122" s="2"/>
    </row>
    <row r="123" spans="8:8">
      <c r="H123" s="2"/>
    </row>
    <row r="124" spans="8:8">
      <c r="H124" s="2"/>
    </row>
    <row r="125" spans="8:8">
      <c r="H125" s="2"/>
    </row>
    <row r="126" spans="8:8">
      <c r="H126" s="2"/>
    </row>
    <row r="127" spans="8:8">
      <c r="H127" s="2"/>
    </row>
    <row r="128" spans="8:8">
      <c r="H128" s="2"/>
    </row>
    <row r="129" spans="8:8">
      <c r="H129" s="2"/>
    </row>
    <row r="130" spans="8:8">
      <c r="H130" s="2"/>
    </row>
    <row r="131" spans="8:8">
      <c r="H131" s="2"/>
    </row>
    <row r="132" spans="8:8">
      <c r="H132" s="2"/>
    </row>
    <row r="133" spans="8:8">
      <c r="H133" s="2"/>
    </row>
    <row r="134" spans="8:8">
      <c r="H134" s="2"/>
    </row>
    <row r="135" spans="8:8">
      <c r="H135" s="2"/>
    </row>
    <row r="136" spans="8:8">
      <c r="H136" s="2"/>
    </row>
    <row r="137" spans="8:8">
      <c r="H137" s="2"/>
    </row>
    <row r="138" spans="8:8">
      <c r="H138" s="2"/>
    </row>
    <row r="139" spans="8:8">
      <c r="H139" s="2"/>
    </row>
    <row r="140" spans="8:8">
      <c r="H140" s="2"/>
    </row>
    <row r="141" spans="8:8">
      <c r="H141" s="2"/>
    </row>
    <row r="142" spans="8:8">
      <c r="H142" s="2"/>
    </row>
    <row r="143" spans="8:8">
      <c r="H143" s="2"/>
    </row>
    <row r="144" spans="8:8">
      <c r="H144" s="2"/>
    </row>
    <row r="145" spans="8:8">
      <c r="H145" s="2"/>
    </row>
    <row r="146" spans="8:8">
      <c r="H146" s="2"/>
    </row>
    <row r="147" spans="8:8">
      <c r="H147" s="2"/>
    </row>
    <row r="148" spans="8:8">
      <c r="H148" s="2"/>
    </row>
    <row r="149" spans="8:8">
      <c r="H149" s="2"/>
    </row>
    <row r="150" spans="8:8">
      <c r="H150" s="2"/>
    </row>
    <row r="151" spans="8:8">
      <c r="H151" s="2"/>
    </row>
    <row r="152" spans="8:8">
      <c r="H152" s="2"/>
    </row>
    <row r="153" spans="8:8">
      <c r="H153" s="2"/>
    </row>
    <row r="154" spans="8:8">
      <c r="H154" s="2"/>
    </row>
    <row r="155" spans="8:8">
      <c r="H155" s="2"/>
    </row>
    <row r="156" spans="8:8">
      <c r="H156" s="2"/>
    </row>
    <row r="157" spans="8:8">
      <c r="H157" s="2"/>
    </row>
    <row r="158" spans="8:8">
      <c r="H158" s="2"/>
    </row>
    <row r="159" spans="8:8">
      <c r="H159" s="2"/>
    </row>
    <row r="160" spans="8:8">
      <c r="H160" s="2"/>
    </row>
    <row r="161" spans="8:8">
      <c r="H161" s="2"/>
    </row>
    <row r="162" spans="8:8">
      <c r="H162" s="2"/>
    </row>
    <row r="163" spans="8:8">
      <c r="H163" s="2"/>
    </row>
    <row r="164" spans="8:8">
      <c r="H164" s="2"/>
    </row>
    <row r="165" spans="8:8">
      <c r="H165" s="2"/>
    </row>
    <row r="166" spans="8:8">
      <c r="H166" s="2"/>
    </row>
    <row r="167" spans="8:8">
      <c r="H167" s="2"/>
    </row>
    <row r="168" spans="8:8">
      <c r="H168" s="2"/>
    </row>
    <row r="169" spans="8:8">
      <c r="H169" s="2"/>
    </row>
    <row r="170" spans="8:8">
      <c r="H170" s="2"/>
    </row>
    <row r="171" spans="8:8">
      <c r="H171" s="2"/>
    </row>
    <row r="172" spans="8:8">
      <c r="H172" s="2"/>
    </row>
    <row r="173" spans="8:8">
      <c r="H173" s="2"/>
    </row>
    <row r="174" spans="8:8">
      <c r="H174" s="2"/>
    </row>
    <row r="175" spans="8:8">
      <c r="H175" s="2"/>
    </row>
    <row r="176" spans="8:8">
      <c r="H176" s="2"/>
    </row>
    <row r="177" spans="8:8">
      <c r="H177" s="2"/>
    </row>
    <row r="178" spans="8:8">
      <c r="H178" s="2"/>
    </row>
    <row r="179" spans="8:8">
      <c r="H179" s="2"/>
    </row>
    <row r="180" spans="8:8">
      <c r="H180" s="2"/>
    </row>
    <row r="181" spans="8:8">
      <c r="H181" s="2"/>
    </row>
    <row r="182" spans="8:8">
      <c r="H182" s="2"/>
    </row>
    <row r="183" spans="8:8">
      <c r="H183" s="2"/>
    </row>
    <row r="184" spans="8:8">
      <c r="H184" s="2"/>
    </row>
    <row r="185" spans="8:8">
      <c r="H185" s="2"/>
    </row>
    <row r="186" spans="8:8">
      <c r="H186" s="2"/>
    </row>
    <row r="187" spans="8:8">
      <c r="H187" s="2"/>
    </row>
    <row r="188" spans="8:8">
      <c r="H188" s="2"/>
    </row>
    <row r="189" spans="8:8">
      <c r="H189" s="2"/>
    </row>
    <row r="190" spans="8:8">
      <c r="H190" s="2"/>
    </row>
    <row r="191" spans="8:8">
      <c r="H191" s="2"/>
    </row>
    <row r="192" spans="8:8">
      <c r="H192" s="2"/>
    </row>
    <row r="193" spans="8:8">
      <c r="H193" s="2"/>
    </row>
    <row r="194" spans="8:8">
      <c r="H194" s="2"/>
    </row>
    <row r="195" spans="8:8">
      <c r="H195" s="2"/>
    </row>
    <row r="196" spans="8:8">
      <c r="H196" s="2"/>
    </row>
    <row r="197" spans="8:8">
      <c r="H197" s="2"/>
    </row>
    <row r="198" spans="8:8">
      <c r="H198" s="2"/>
    </row>
    <row r="199" spans="8:8">
      <c r="H199" s="2"/>
    </row>
    <row r="200" spans="8:8">
      <c r="H200" s="2"/>
    </row>
    <row r="201" spans="8:8">
      <c r="H201" s="2"/>
    </row>
    <row r="202" spans="8:8">
      <c r="H202" s="2"/>
    </row>
    <row r="203" spans="8:8">
      <c r="H203" s="2"/>
    </row>
    <row r="204" spans="8:8">
      <c r="H204" s="2"/>
    </row>
    <row r="205" spans="8:8">
      <c r="H205" s="2"/>
    </row>
    <row r="206" spans="8:8">
      <c r="H206" s="2"/>
    </row>
    <row r="207" spans="8:8">
      <c r="H207" s="2"/>
    </row>
    <row r="208" spans="8:8">
      <c r="H208" s="2"/>
    </row>
    <row r="209" spans="8:8">
      <c r="H209" s="2"/>
    </row>
    <row r="210" spans="8:8">
      <c r="H210" s="2"/>
    </row>
    <row r="211" spans="8:8">
      <c r="H211" s="2"/>
    </row>
    <row r="212" spans="8:8">
      <c r="H212" s="2"/>
    </row>
    <row r="213" spans="8:8">
      <c r="H213" s="2"/>
    </row>
    <row r="214" spans="8:8">
      <c r="H214" s="2"/>
    </row>
    <row r="215" spans="8:8">
      <c r="H215" s="2"/>
    </row>
    <row r="216" spans="8:8">
      <c r="H216" s="2"/>
    </row>
    <row r="217" spans="8:8">
      <c r="H217" s="2"/>
    </row>
    <row r="218" spans="8:8">
      <c r="H218" s="2"/>
    </row>
    <row r="219" spans="8:8">
      <c r="H219" s="2"/>
    </row>
    <row r="220" spans="8:8">
      <c r="H220" s="2"/>
    </row>
    <row r="221" spans="8:8">
      <c r="H221" s="2"/>
    </row>
    <row r="222" spans="8:8">
      <c r="H222" s="2"/>
    </row>
    <row r="223" spans="8:8">
      <c r="H223" s="2"/>
    </row>
    <row r="224" spans="8:8">
      <c r="H224" s="2"/>
    </row>
    <row r="225" spans="8:8">
      <c r="H225" s="2"/>
    </row>
    <row r="226" spans="8:8">
      <c r="H226" s="2"/>
    </row>
    <row r="227" spans="8:8">
      <c r="H227" s="2"/>
    </row>
    <row r="228" spans="8:8">
      <c r="H228" s="2"/>
    </row>
    <row r="229" spans="8:8">
      <c r="H229" s="2"/>
    </row>
    <row r="230" spans="8:8">
      <c r="H230" s="2"/>
    </row>
    <row r="231" spans="8:8">
      <c r="H231" s="2"/>
    </row>
    <row r="232" spans="8:8">
      <c r="H232" s="2"/>
    </row>
    <row r="233" spans="8:8">
      <c r="H233" s="2"/>
    </row>
    <row r="234" spans="8:8">
      <c r="H234" s="2"/>
    </row>
    <row r="235" spans="8:8">
      <c r="H235" s="2"/>
    </row>
    <row r="236" spans="8:8">
      <c r="H236" s="2"/>
    </row>
    <row r="237" spans="8:8">
      <c r="H237" s="2"/>
    </row>
    <row r="238" spans="8:8">
      <c r="H238" s="2"/>
    </row>
    <row r="239" spans="8:8">
      <c r="H239" s="2"/>
    </row>
    <row r="240" spans="8:8">
      <c r="H240" s="2"/>
    </row>
    <row r="241" spans="8:8">
      <c r="H241" s="2"/>
    </row>
    <row r="242" spans="8:8">
      <c r="H242" s="2"/>
    </row>
    <row r="243" spans="8:8">
      <c r="H243" s="2"/>
    </row>
    <row r="244" spans="8:8">
      <c r="H244" s="2"/>
    </row>
    <row r="245" spans="8:8">
      <c r="H245" s="2"/>
    </row>
    <row r="246" spans="8:8">
      <c r="H246" s="2"/>
    </row>
    <row r="247" spans="8:8">
      <c r="H247" s="2"/>
    </row>
    <row r="248" spans="8:8">
      <c r="H248" s="2"/>
    </row>
    <row r="249" spans="8:8">
      <c r="H249" s="2"/>
    </row>
    <row r="250" spans="8:8">
      <c r="H250" s="2"/>
    </row>
    <row r="251" spans="8:8">
      <c r="H251" s="2"/>
    </row>
    <row r="252" spans="8:8">
      <c r="H252" s="2"/>
    </row>
    <row r="253" spans="8:8">
      <c r="H253" s="2"/>
    </row>
    <row r="254" spans="8:8">
      <c r="H254" s="2"/>
    </row>
    <row r="255" spans="8:8">
      <c r="H255" s="2"/>
    </row>
    <row r="256" spans="8:8">
      <c r="H256" s="2"/>
    </row>
    <row r="257" spans="8:8">
      <c r="H257" s="2"/>
    </row>
    <row r="258" spans="8:8">
      <c r="H258" s="2"/>
    </row>
    <row r="259" spans="8:8">
      <c r="H259" s="2"/>
    </row>
    <row r="260" spans="8:8">
      <c r="H260" s="2"/>
    </row>
    <row r="261" spans="8:8">
      <c r="H261" s="2"/>
    </row>
    <row r="262" spans="8:8">
      <c r="H262" s="2"/>
    </row>
    <row r="263" spans="8:8">
      <c r="H263" s="2"/>
    </row>
    <row r="264" spans="8:8">
      <c r="H264" s="2"/>
    </row>
    <row r="265" spans="8:8">
      <c r="H265" s="2"/>
    </row>
    <row r="266" spans="8:8">
      <c r="H266" s="2"/>
    </row>
    <row r="267" spans="8:8">
      <c r="H267" s="2"/>
    </row>
    <row r="268" spans="8:8">
      <c r="H268" s="2"/>
    </row>
    <row r="269" spans="8:8">
      <c r="H269" s="2"/>
    </row>
    <row r="270" spans="8:8">
      <c r="H270" s="2"/>
    </row>
    <row r="271" spans="8:8">
      <c r="H271" s="2"/>
    </row>
    <row r="272" spans="8:8">
      <c r="H272" s="2"/>
    </row>
    <row r="273" spans="8:8">
      <c r="H273" s="2"/>
    </row>
    <row r="274" spans="8:8">
      <c r="H274" s="2"/>
    </row>
    <row r="275" spans="8:8">
      <c r="H275" s="2"/>
    </row>
    <row r="276" spans="8:8">
      <c r="H276" s="2"/>
    </row>
    <row r="277" spans="8:8">
      <c r="H277" s="2"/>
    </row>
    <row r="278" spans="8:8">
      <c r="H278" s="2"/>
    </row>
    <row r="279" spans="8:8">
      <c r="H279" s="2"/>
    </row>
    <row r="280" spans="8:8">
      <c r="H280" s="2"/>
    </row>
    <row r="281" spans="8:8">
      <c r="H281" s="2"/>
    </row>
    <row r="282" spans="8:8">
      <c r="H282" s="2"/>
    </row>
    <row r="283" spans="8:8">
      <c r="H283" s="2"/>
    </row>
    <row r="284" spans="8:8">
      <c r="H284" s="2"/>
    </row>
    <row r="285" spans="8:8">
      <c r="H285" s="2"/>
    </row>
    <row r="286" spans="8:8">
      <c r="H286" s="2"/>
    </row>
    <row r="287" spans="8:8">
      <c r="H287" s="2"/>
    </row>
    <row r="288" spans="8:8">
      <c r="H288" s="2"/>
    </row>
    <row r="289" spans="8:8">
      <c r="H289" s="2"/>
    </row>
    <row r="290" spans="8:8">
      <c r="H290" s="2"/>
    </row>
    <row r="291" spans="8:8">
      <c r="H291" s="2"/>
    </row>
    <row r="292" spans="8:8">
      <c r="H292" s="2"/>
    </row>
    <row r="293" spans="8:8">
      <c r="H293" s="2"/>
    </row>
    <row r="294" spans="8:8">
      <c r="H294" s="2"/>
    </row>
    <row r="295" spans="8:8">
      <c r="H295" s="2"/>
    </row>
    <row r="296" spans="8:8">
      <c r="H296" s="2"/>
    </row>
    <row r="297" spans="8:8">
      <c r="H297" s="2"/>
    </row>
    <row r="298" spans="8:8">
      <c r="H298" s="2"/>
    </row>
    <row r="299" spans="8:8">
      <c r="H299" s="2"/>
    </row>
    <row r="300" spans="8:8">
      <c r="H300" s="2"/>
    </row>
    <row r="301" spans="8:8">
      <c r="H301" s="2"/>
    </row>
    <row r="302" spans="8:8">
      <c r="H302" s="2"/>
    </row>
    <row r="303" spans="8:8">
      <c r="H303" s="2"/>
    </row>
    <row r="304" spans="8:8">
      <c r="H304" s="2"/>
    </row>
    <row r="305" spans="8:8">
      <c r="H305" s="2"/>
    </row>
    <row r="306" spans="8:8">
      <c r="H306" s="2"/>
    </row>
    <row r="307" spans="8:8">
      <c r="H307" s="2"/>
    </row>
    <row r="308" spans="8:8">
      <c r="H308" s="2"/>
    </row>
    <row r="309" spans="8:8">
      <c r="H309" s="2"/>
    </row>
    <row r="310" spans="8:8">
      <c r="H310" s="2"/>
    </row>
    <row r="311" spans="8:8">
      <c r="H311" s="2"/>
    </row>
    <row r="312" spans="8:8">
      <c r="H312" s="2"/>
    </row>
    <row r="313" spans="8:8">
      <c r="H313" s="2"/>
    </row>
    <row r="314" spans="8:8">
      <c r="H314" s="2"/>
    </row>
    <row r="315" spans="8:8">
      <c r="H315" s="2"/>
    </row>
    <row r="316" spans="8:8">
      <c r="H316" s="2"/>
    </row>
    <row r="317" spans="8:8">
      <c r="H317" s="2"/>
    </row>
    <row r="318" spans="8:8">
      <c r="H318" s="2"/>
    </row>
    <row r="319" spans="8:8">
      <c r="H319" s="2"/>
    </row>
    <row r="320" spans="8:8">
      <c r="H320" s="2"/>
    </row>
    <row r="321" spans="8:8">
      <c r="H321" s="2"/>
    </row>
    <row r="322" spans="8:8">
      <c r="H322" s="2"/>
    </row>
    <row r="323" spans="8:8">
      <c r="H323" s="2"/>
    </row>
    <row r="324" spans="8:8">
      <c r="H324" s="2"/>
    </row>
    <row r="325" spans="8:8">
      <c r="H325" s="2"/>
    </row>
    <row r="326" spans="8:8">
      <c r="H326" s="2"/>
    </row>
    <row r="327" spans="8:8">
      <c r="H327" s="2"/>
    </row>
    <row r="328" spans="8:8">
      <c r="H328" s="2"/>
    </row>
    <row r="329" spans="8:8">
      <c r="H329" s="2"/>
    </row>
    <row r="330" spans="8:8">
      <c r="H330" s="2"/>
    </row>
    <row r="331" spans="8:8">
      <c r="H331" s="2"/>
    </row>
    <row r="332" spans="8:8">
      <c r="H332" s="2"/>
    </row>
    <row r="333" spans="8:8">
      <c r="H333" s="2"/>
    </row>
    <row r="334" spans="8:8">
      <c r="H334" s="2"/>
    </row>
    <row r="335" spans="8:8">
      <c r="H335" s="2"/>
    </row>
    <row r="336" spans="8:8">
      <c r="H336" s="2"/>
    </row>
    <row r="337" spans="8:8">
      <c r="H337" s="2"/>
    </row>
    <row r="338" spans="8:8">
      <c r="H338" s="2"/>
    </row>
    <row r="339" spans="8:8">
      <c r="H339" s="2"/>
    </row>
    <row r="340" spans="8:8">
      <c r="H340" s="2"/>
    </row>
    <row r="341" spans="8:8">
      <c r="H341" s="2"/>
    </row>
    <row r="342" spans="8:8">
      <c r="H342" s="2"/>
    </row>
    <row r="343" spans="8:8">
      <c r="H343" s="2"/>
    </row>
    <row r="344" spans="8:8">
      <c r="H344" s="2"/>
    </row>
    <row r="345" spans="8:8">
      <c r="H345" s="2"/>
    </row>
    <row r="346" spans="8:8">
      <c r="H346" s="2"/>
    </row>
    <row r="347" spans="8:8">
      <c r="H347" s="2"/>
    </row>
    <row r="348" spans="8:8">
      <c r="H348" s="2"/>
    </row>
    <row r="349" spans="8:8">
      <c r="H349" s="2"/>
    </row>
    <row r="350" spans="8:8">
      <c r="H350" s="2"/>
    </row>
    <row r="351" spans="8:8">
      <c r="H351" s="2"/>
    </row>
    <row r="352" spans="8:8">
      <c r="H352" s="2"/>
    </row>
    <row r="353" spans="8:8">
      <c r="H353" s="2"/>
    </row>
    <row r="354" spans="8:8">
      <c r="H354" s="2"/>
    </row>
    <row r="355" spans="8:8">
      <c r="H355" s="2"/>
    </row>
    <row r="356" spans="8:8">
      <c r="H356" s="2"/>
    </row>
    <row r="357" spans="8:8">
      <c r="H357" s="2"/>
    </row>
    <row r="358" spans="8:8">
      <c r="H358" s="2"/>
    </row>
    <row r="359" spans="8:8">
      <c r="H359" s="2"/>
    </row>
    <row r="360" spans="8:8">
      <c r="H360" s="2"/>
    </row>
    <row r="361" spans="8:8">
      <c r="H361" s="2"/>
    </row>
    <row r="362" spans="8:8">
      <c r="H362" s="2"/>
    </row>
    <row r="363" spans="8:8">
      <c r="H363" s="2"/>
    </row>
    <row r="364" spans="8:8">
      <c r="H364" s="2"/>
    </row>
    <row r="365" spans="8:8">
      <c r="H365" s="2"/>
    </row>
    <row r="366" spans="8:8">
      <c r="H366" s="2"/>
    </row>
    <row r="367" spans="8:8">
      <c r="H367" s="2"/>
    </row>
    <row r="368" spans="8:8">
      <c r="H368" s="2"/>
    </row>
    <row r="369" spans="8:8">
      <c r="H369" s="2"/>
    </row>
    <row r="370" spans="8:8">
      <c r="H370" s="2"/>
    </row>
    <row r="371" spans="8:8">
      <c r="H371" s="2"/>
    </row>
    <row r="372" spans="8:8">
      <c r="H372" s="2"/>
    </row>
    <row r="373" spans="8:8">
      <c r="H373" s="2"/>
    </row>
    <row r="374" spans="8:8">
      <c r="H374" s="2"/>
    </row>
    <row r="375" spans="8:8">
      <c r="H375" s="2"/>
    </row>
    <row r="376" spans="8:8">
      <c r="H376" s="2"/>
    </row>
    <row r="377" spans="8:8">
      <c r="H377" s="2"/>
    </row>
    <row r="378" spans="8:8">
      <c r="H378" s="2"/>
    </row>
    <row r="379" spans="8:8">
      <c r="H379" s="2"/>
    </row>
    <row r="380" spans="8:8">
      <c r="H380" s="2"/>
    </row>
    <row r="381" spans="8:8">
      <c r="H381" s="2"/>
    </row>
    <row r="382" spans="8:8">
      <c r="H382" s="2"/>
    </row>
    <row r="383" spans="8:8">
      <c r="H383" s="2"/>
    </row>
    <row r="384" spans="8:8">
      <c r="H384" s="2"/>
    </row>
    <row r="385" spans="8:8">
      <c r="H385" s="2"/>
    </row>
    <row r="386" spans="8:8">
      <c r="H386" s="2"/>
    </row>
    <row r="387" spans="8:8">
      <c r="H387" s="2"/>
    </row>
    <row r="388" spans="8:8">
      <c r="H388" s="2"/>
    </row>
    <row r="389" spans="8:8">
      <c r="H389" s="2"/>
    </row>
    <row r="390" spans="8:8">
      <c r="H390" s="2"/>
    </row>
    <row r="391" spans="8:8">
      <c r="H391" s="2"/>
    </row>
    <row r="392" spans="8:8">
      <c r="H392" s="2"/>
    </row>
    <row r="393" spans="8:8">
      <c r="H393" s="2"/>
    </row>
    <row r="394" spans="8:8">
      <c r="H394" s="2"/>
    </row>
    <row r="395" spans="8:8">
      <c r="H395" s="2"/>
    </row>
    <row r="396" spans="8:8">
      <c r="H396" s="2"/>
    </row>
    <row r="397" spans="8:8">
      <c r="H397" s="2"/>
    </row>
    <row r="398" spans="8:8">
      <c r="H398" s="2"/>
    </row>
    <row r="399" spans="8:8">
      <c r="H399" s="2"/>
    </row>
    <row r="400" spans="8:8">
      <c r="H400" s="2"/>
    </row>
    <row r="401" spans="8:8">
      <c r="H401" s="2"/>
    </row>
    <row r="402" spans="8:8">
      <c r="H402" s="2"/>
    </row>
    <row r="403" spans="8:8">
      <c r="H403" s="2"/>
    </row>
    <row r="404" spans="8:8">
      <c r="H404" s="2"/>
    </row>
    <row r="405" spans="8:8">
      <c r="H405" s="2"/>
    </row>
    <row r="406" spans="8:8">
      <c r="H406" s="2"/>
    </row>
    <row r="407" spans="8:8">
      <c r="H407" s="2"/>
    </row>
    <row r="408" spans="8:8">
      <c r="H408" s="2"/>
    </row>
    <row r="409" spans="8:8">
      <c r="H409" s="2"/>
    </row>
    <row r="410" spans="8:8">
      <c r="H410" s="2"/>
    </row>
    <row r="411" spans="8:8">
      <c r="H411" s="2"/>
    </row>
    <row r="412" spans="8:8">
      <c r="H412" s="2"/>
    </row>
    <row r="413" spans="8:8">
      <c r="H413" s="2"/>
    </row>
    <row r="414" spans="8:8">
      <c r="H414" s="2"/>
    </row>
    <row r="415" spans="8:8">
      <c r="H415" s="2"/>
    </row>
    <row r="416" spans="8:8">
      <c r="H416" s="2"/>
    </row>
    <row r="417" spans="8:8">
      <c r="H417" s="2"/>
    </row>
    <row r="418" spans="8:8">
      <c r="H418" s="2"/>
    </row>
    <row r="419" spans="8:8">
      <c r="H419" s="2"/>
    </row>
    <row r="420" spans="8:8">
      <c r="H420" s="2"/>
    </row>
    <row r="421" spans="8:8">
      <c r="H421" s="2"/>
    </row>
    <row r="422" spans="8:8">
      <c r="H422" s="2"/>
    </row>
    <row r="423" spans="8:8">
      <c r="H423" s="2"/>
    </row>
    <row r="424" spans="8:8">
      <c r="H424" s="2"/>
    </row>
    <row r="425" spans="8:8">
      <c r="H425" s="2"/>
    </row>
    <row r="426" spans="8:8">
      <c r="H426" s="2"/>
    </row>
    <row r="427" spans="8:8">
      <c r="H427" s="2"/>
    </row>
    <row r="428" spans="8:8">
      <c r="H428" s="2"/>
    </row>
    <row r="429" spans="8:8">
      <c r="H429" s="2"/>
    </row>
    <row r="430" spans="8:8">
      <c r="H430" s="2"/>
    </row>
    <row r="431" spans="8:8">
      <c r="H431" s="2"/>
    </row>
    <row r="432" spans="8:8">
      <c r="H432" s="2"/>
    </row>
    <row r="433" spans="8:8">
      <c r="H433" s="2"/>
    </row>
    <row r="434" spans="8:8">
      <c r="H434" s="2"/>
    </row>
    <row r="435" spans="8:8">
      <c r="H435" s="2"/>
    </row>
    <row r="436" spans="8:8">
      <c r="H436" s="2"/>
    </row>
    <row r="437" spans="8:8">
      <c r="H437" s="2"/>
    </row>
    <row r="438" spans="8:8">
      <c r="H438" s="2"/>
    </row>
    <row r="439" spans="8:8">
      <c r="H439" s="2"/>
    </row>
    <row r="440" spans="8:8">
      <c r="H440" s="2"/>
    </row>
    <row r="441" spans="8:8">
      <c r="H441" s="2"/>
    </row>
    <row r="442" spans="8:8">
      <c r="H442" s="2"/>
    </row>
    <row r="443" spans="8:8">
      <c r="H443" s="2"/>
    </row>
    <row r="444" spans="8:8">
      <c r="H444" s="2"/>
    </row>
    <row r="445" spans="8:8">
      <c r="H445" s="2"/>
    </row>
    <row r="446" spans="8:8">
      <c r="H446" s="2"/>
    </row>
    <row r="447" spans="8:8">
      <c r="H447" s="2"/>
    </row>
    <row r="448" spans="8:8">
      <c r="H448" s="2"/>
    </row>
    <row r="449" spans="8:8">
      <c r="H449" s="2"/>
    </row>
    <row r="450" spans="8:8">
      <c r="H450" s="2"/>
    </row>
    <row r="451" spans="8:8">
      <c r="H451" s="2"/>
    </row>
    <row r="452" spans="8:8">
      <c r="H452" s="2"/>
    </row>
    <row r="453" spans="8:8">
      <c r="H453" s="2"/>
    </row>
    <row r="454" spans="8:8">
      <c r="H454" s="2"/>
    </row>
    <row r="455" spans="8:8">
      <c r="H455" s="2"/>
    </row>
    <row r="456" spans="8:8">
      <c r="H456" s="2"/>
    </row>
    <row r="457" spans="8:8">
      <c r="H457" s="2"/>
    </row>
    <row r="458" spans="8:8">
      <c r="H458" s="2"/>
    </row>
    <row r="459" spans="8:8">
      <c r="H459" s="2"/>
    </row>
    <row r="460" spans="8:8">
      <c r="H460" s="2"/>
    </row>
    <row r="461" spans="8:8">
      <c r="H461" s="2"/>
    </row>
    <row r="462" spans="8:8">
      <c r="H462" s="2"/>
    </row>
    <row r="463" spans="8:8">
      <c r="H463" s="2"/>
    </row>
    <row r="464" spans="8:8">
      <c r="H464" s="2"/>
    </row>
    <row r="465" spans="8:8">
      <c r="H465" s="2"/>
    </row>
    <row r="466" spans="8:8">
      <c r="H466" s="2"/>
    </row>
    <row r="467" spans="8:8">
      <c r="H467" s="2"/>
    </row>
    <row r="468" spans="8:8">
      <c r="H468" s="2"/>
    </row>
    <row r="469" spans="8:8">
      <c r="H469" s="2"/>
    </row>
    <row r="470" spans="8:8">
      <c r="H470" s="2"/>
    </row>
    <row r="471" spans="8:8">
      <c r="H471" s="2"/>
    </row>
    <row r="472" spans="8:8">
      <c r="H472" s="2"/>
    </row>
    <row r="473" spans="8:8">
      <c r="H473" s="2"/>
    </row>
    <row r="474" spans="8:8">
      <c r="H474" s="2"/>
    </row>
    <row r="475" spans="8:8">
      <c r="H475" s="2"/>
    </row>
    <row r="476" spans="8:8">
      <c r="H476" s="2"/>
    </row>
    <row r="477" spans="8:8">
      <c r="H477" s="2"/>
    </row>
    <row r="478" spans="8:8">
      <c r="H478" s="2"/>
    </row>
    <row r="479" spans="8:8">
      <c r="H479" s="2"/>
    </row>
    <row r="480" spans="8:8">
      <c r="H480" s="2"/>
    </row>
    <row r="481" spans="8:8">
      <c r="H481" s="2"/>
    </row>
    <row r="482" spans="8:8">
      <c r="H482" s="2"/>
    </row>
    <row r="483" spans="8:8">
      <c r="H483" s="2"/>
    </row>
    <row r="484" spans="8:8">
      <c r="H484" s="2"/>
    </row>
    <row r="485" spans="8:8">
      <c r="H485" s="2"/>
    </row>
    <row r="486" spans="8:8">
      <c r="H486" s="2"/>
    </row>
    <row r="487" spans="8:8">
      <c r="H487" s="2"/>
    </row>
    <row r="488" spans="8:8">
      <c r="H488" s="2"/>
    </row>
    <row r="489" spans="8:8">
      <c r="H489" s="2"/>
    </row>
    <row r="490" spans="8:8">
      <c r="H490" s="2"/>
    </row>
    <row r="491" spans="8:8">
      <c r="H491" s="2"/>
    </row>
    <row r="492" spans="8:8">
      <c r="H492" s="2"/>
    </row>
    <row r="493" spans="8:8">
      <c r="H493" s="2"/>
    </row>
    <row r="494" spans="8:8">
      <c r="H494" s="2"/>
    </row>
    <row r="495" spans="8:8">
      <c r="H495" s="2"/>
    </row>
    <row r="496" spans="8:8">
      <c r="H496" s="2"/>
    </row>
    <row r="497" spans="8:8">
      <c r="H497" s="2"/>
    </row>
    <row r="498" spans="8:8">
      <c r="H498" s="2"/>
    </row>
    <row r="499" spans="8:8">
      <c r="H499" s="2"/>
    </row>
    <row r="500" spans="8:8">
      <c r="H500" s="2"/>
    </row>
    <row r="501" spans="8:8">
      <c r="H501" s="2"/>
    </row>
    <row r="502" spans="8:8">
      <c r="H502" s="2"/>
    </row>
    <row r="503" spans="8:8">
      <c r="H503" s="2"/>
    </row>
    <row r="504" spans="8:8">
      <c r="H504" s="2"/>
    </row>
    <row r="505" spans="8:8">
      <c r="H505" s="2"/>
    </row>
    <row r="506" spans="8:8">
      <c r="H506" s="2"/>
    </row>
    <row r="507" spans="8:8">
      <c r="H507" s="2"/>
    </row>
    <row r="508" spans="8:8">
      <c r="H508" s="2"/>
    </row>
    <row r="509" spans="8:8">
      <c r="H509" s="2"/>
    </row>
    <row r="510" spans="8:8">
      <c r="H510" s="2"/>
    </row>
    <row r="511" spans="8:8">
      <c r="H511" s="2"/>
    </row>
    <row r="512" spans="8:8">
      <c r="H512" s="2"/>
    </row>
    <row r="513" spans="8:8">
      <c r="H513" s="2"/>
    </row>
    <row r="514" spans="8:8">
      <c r="H514" s="2"/>
    </row>
    <row r="515" spans="8:8">
      <c r="H515" s="2"/>
    </row>
    <row r="516" spans="8:8">
      <c r="H516" s="2"/>
    </row>
    <row r="517" spans="8:8">
      <c r="H517" s="2"/>
    </row>
    <row r="518" spans="8:8">
      <c r="H518" s="2"/>
    </row>
    <row r="519" spans="8:8">
      <c r="H519" s="2"/>
    </row>
    <row r="520" spans="8:8">
      <c r="H520" s="2"/>
    </row>
    <row r="521" spans="8:8">
      <c r="H521" s="2"/>
    </row>
    <row r="522" spans="8:8">
      <c r="H522" s="2"/>
    </row>
    <row r="523" spans="8:8">
      <c r="H523" s="2"/>
    </row>
    <row r="524" spans="8:8">
      <c r="H524" s="2"/>
    </row>
    <row r="525" spans="8:8">
      <c r="H525" s="2"/>
    </row>
    <row r="526" spans="8:8">
      <c r="H526" s="2"/>
    </row>
    <row r="527" spans="8:8">
      <c r="H527" s="2"/>
    </row>
    <row r="528" spans="8:8">
      <c r="H528" s="2"/>
    </row>
    <row r="529" spans="8:8">
      <c r="H529" s="2"/>
    </row>
    <row r="530" spans="8:8">
      <c r="H530" s="2"/>
    </row>
    <row r="531" spans="8:8">
      <c r="H531" s="2"/>
    </row>
    <row r="532" spans="8:8">
      <c r="H532" s="2"/>
    </row>
    <row r="533" spans="8:8">
      <c r="H533" s="2"/>
    </row>
    <row r="534" spans="8:8">
      <c r="H534" s="2"/>
    </row>
    <row r="535" spans="8:8">
      <c r="H535" s="2"/>
    </row>
    <row r="536" spans="8:8">
      <c r="H536" s="2"/>
    </row>
    <row r="537" spans="8:8">
      <c r="H537" s="2"/>
    </row>
    <row r="538" spans="8:8">
      <c r="H538" s="2"/>
    </row>
    <row r="539" spans="8:8">
      <c r="H539" s="2"/>
    </row>
    <row r="540" spans="8:8">
      <c r="H540" s="2"/>
    </row>
    <row r="541" spans="8:8">
      <c r="H541" s="2"/>
    </row>
    <row r="542" spans="8:8">
      <c r="H542" s="2"/>
    </row>
    <row r="543" spans="8:8">
      <c r="H543" s="2"/>
    </row>
    <row r="544" spans="8:8">
      <c r="H544" s="2"/>
    </row>
    <row r="545" spans="8:8">
      <c r="H545" s="2"/>
    </row>
    <row r="546" spans="8:8">
      <c r="H546" s="2"/>
    </row>
    <row r="547" spans="8:8">
      <c r="H547" s="2"/>
    </row>
    <row r="548" spans="8:8">
      <c r="H548" s="2"/>
    </row>
    <row r="549" spans="8:8">
      <c r="H549" s="2"/>
    </row>
    <row r="550" spans="8:8">
      <c r="H550" s="2"/>
    </row>
    <row r="551" spans="8:8">
      <c r="H551" s="2"/>
    </row>
    <row r="552" spans="8:8">
      <c r="H552" s="2"/>
    </row>
    <row r="553" spans="8:8">
      <c r="H553" s="2"/>
    </row>
    <row r="554" spans="8:8">
      <c r="H554" s="2"/>
    </row>
    <row r="555" spans="8:8">
      <c r="H555" s="2"/>
    </row>
    <row r="556" spans="8:8">
      <c r="H556" s="2"/>
    </row>
    <row r="557" spans="8:8">
      <c r="H557" s="2"/>
    </row>
    <row r="558" spans="8:8">
      <c r="H558" s="2"/>
    </row>
    <row r="559" spans="8:8">
      <c r="H559" s="2"/>
    </row>
    <row r="560" spans="8:8">
      <c r="H560" s="2"/>
    </row>
    <row r="561" spans="8:8">
      <c r="H561" s="2"/>
    </row>
    <row r="562" spans="8:8">
      <c r="H562" s="2"/>
    </row>
    <row r="563" spans="8:8">
      <c r="H563" s="2"/>
    </row>
    <row r="564" spans="8:8">
      <c r="H564" s="2"/>
    </row>
    <row r="565" spans="8:8">
      <c r="H565" s="2"/>
    </row>
    <row r="566" spans="8:8">
      <c r="H566" s="2"/>
    </row>
    <row r="567" spans="8:8">
      <c r="H567" s="2"/>
    </row>
    <row r="568" spans="8:8">
      <c r="H568" s="2"/>
    </row>
    <row r="569" spans="8:8">
      <c r="H569" s="2"/>
    </row>
    <row r="570" spans="8:8">
      <c r="H570" s="2"/>
    </row>
    <row r="571" spans="8:8">
      <c r="H571" s="2"/>
    </row>
    <row r="572" spans="8:8">
      <c r="H572" s="2"/>
    </row>
    <row r="573" spans="8:8">
      <c r="H573" s="2"/>
    </row>
    <row r="574" spans="8:8">
      <c r="H574" s="2"/>
    </row>
    <row r="575" spans="8:8">
      <c r="H575" s="2"/>
    </row>
    <row r="576" spans="8:8">
      <c r="H576" s="2"/>
    </row>
    <row r="577" spans="8:8">
      <c r="H577" s="2"/>
    </row>
    <row r="578" spans="8:8">
      <c r="H578" s="2"/>
    </row>
    <row r="579" spans="8:8">
      <c r="H579" s="2"/>
    </row>
    <row r="580" spans="8:8">
      <c r="H580" s="2"/>
    </row>
    <row r="581" spans="8:8">
      <c r="H581" s="2"/>
    </row>
    <row r="582" spans="8:8">
      <c r="H582" s="2"/>
    </row>
    <row r="583" spans="8:8">
      <c r="H583" s="2"/>
    </row>
    <row r="584" spans="8:8">
      <c r="H584" s="2"/>
    </row>
    <row r="585" spans="8:8">
      <c r="H585" s="2"/>
    </row>
    <row r="586" spans="8:8">
      <c r="H586" s="2"/>
    </row>
    <row r="587" spans="8:8">
      <c r="H587" s="2"/>
    </row>
    <row r="588" spans="8:8">
      <c r="H588" s="2"/>
    </row>
    <row r="589" spans="8:8">
      <c r="H589" s="2"/>
    </row>
    <row r="590" spans="8:8">
      <c r="H590" s="2"/>
    </row>
    <row r="591" spans="8:8">
      <c r="H591" s="2"/>
    </row>
    <row r="592" spans="8:8">
      <c r="H592" s="2"/>
    </row>
    <row r="593" spans="8:8">
      <c r="H593" s="2"/>
    </row>
    <row r="594" spans="8:8">
      <c r="H594" s="2"/>
    </row>
    <row r="595" spans="8:8">
      <c r="H595" s="2"/>
    </row>
    <row r="596" spans="8:8">
      <c r="H596" s="2"/>
    </row>
    <row r="597" spans="8:8">
      <c r="H597" s="2"/>
    </row>
    <row r="598" spans="8:8">
      <c r="H598" s="2"/>
    </row>
    <row r="599" spans="8:8">
      <c r="H599" s="2"/>
    </row>
    <row r="600" spans="8:8">
      <c r="H600" s="2"/>
    </row>
    <row r="601" spans="8:8">
      <c r="H601" s="2"/>
    </row>
    <row r="602" spans="8:8">
      <c r="H602" s="2"/>
    </row>
    <row r="603" spans="8:8">
      <c r="H603" s="2"/>
    </row>
    <row r="604" spans="8:8">
      <c r="H604" s="2"/>
    </row>
    <row r="605" spans="8:8">
      <c r="H605" s="2"/>
    </row>
    <row r="606" spans="8:8">
      <c r="H606" s="2"/>
    </row>
    <row r="607" spans="8:8">
      <c r="H607" s="2"/>
    </row>
    <row r="608" spans="8:8">
      <c r="H608" s="2"/>
    </row>
    <row r="609" spans="8:8">
      <c r="H609" s="2"/>
    </row>
    <row r="610" spans="8:8">
      <c r="H610" s="2"/>
    </row>
    <row r="611" spans="8:8">
      <c r="H611" s="2"/>
    </row>
    <row r="612" spans="8:8">
      <c r="H612" s="2"/>
    </row>
    <row r="613" spans="8:8">
      <c r="H613" s="2"/>
    </row>
    <row r="614" spans="8:8">
      <c r="H614" s="2"/>
    </row>
    <row r="615" spans="8:8">
      <c r="H615" s="2"/>
    </row>
    <row r="616" spans="8:8">
      <c r="H616" s="2"/>
    </row>
    <row r="617" spans="8:8">
      <c r="H617" s="2"/>
    </row>
    <row r="618" spans="8:8">
      <c r="H618" s="2"/>
    </row>
    <row r="619" spans="8:8">
      <c r="H619" s="2"/>
    </row>
    <row r="620" spans="8:8">
      <c r="H620" s="2"/>
    </row>
    <row r="621" spans="8:8">
      <c r="H621" s="2"/>
    </row>
    <row r="622" spans="8:8">
      <c r="H622" s="2"/>
    </row>
    <row r="623" spans="8:8">
      <c r="H623" s="2"/>
    </row>
    <row r="624" spans="8:8">
      <c r="H624" s="2"/>
    </row>
    <row r="625" spans="8:8">
      <c r="H625" s="2"/>
    </row>
    <row r="626" spans="8:8">
      <c r="H626" s="2"/>
    </row>
    <row r="627" spans="8:8">
      <c r="H627" s="2"/>
    </row>
    <row r="628" spans="8:8">
      <c r="H628" s="2"/>
    </row>
    <row r="629" spans="8:8">
      <c r="H629" s="2"/>
    </row>
    <row r="630" spans="8:8">
      <c r="H630" s="2"/>
    </row>
    <row r="631" spans="8:8">
      <c r="H631" s="2"/>
    </row>
    <row r="632" spans="8:8">
      <c r="H632" s="2"/>
    </row>
    <row r="633" spans="8:8">
      <c r="H633" s="2"/>
    </row>
    <row r="634" spans="8:8">
      <c r="H634" s="2"/>
    </row>
    <row r="635" spans="8:8">
      <c r="H635" s="2"/>
    </row>
    <row r="636" spans="8:8">
      <c r="H636" s="2"/>
    </row>
    <row r="637" spans="8:8">
      <c r="H637" s="2"/>
    </row>
    <row r="638" spans="8:8">
      <c r="H638" s="2"/>
    </row>
    <row r="639" spans="8:8">
      <c r="H639" s="2"/>
    </row>
    <row r="640" spans="8:8">
      <c r="H640" s="2"/>
    </row>
    <row r="641" spans="8:8">
      <c r="H641" s="2"/>
    </row>
    <row r="642" spans="8:8">
      <c r="H642" s="2"/>
    </row>
    <row r="643" spans="8:8">
      <c r="H643" s="2"/>
    </row>
    <row r="644" spans="8:8">
      <c r="H644" s="2"/>
    </row>
    <row r="645" spans="8:8">
      <c r="H645" s="2"/>
    </row>
    <row r="646" spans="8:8">
      <c r="H646" s="2"/>
    </row>
    <row r="647" spans="8:8">
      <c r="H647" s="2"/>
    </row>
    <row r="648" spans="8:8">
      <c r="H648" s="2"/>
    </row>
    <row r="649" spans="8:8">
      <c r="H649" s="2"/>
    </row>
    <row r="650" spans="8:8">
      <c r="H650" s="2"/>
    </row>
    <row r="651" spans="8:8">
      <c r="H651" s="2"/>
    </row>
    <row r="652" spans="8:8">
      <c r="H652" s="2"/>
    </row>
    <row r="653" spans="8:8">
      <c r="H653" s="2"/>
    </row>
    <row r="654" spans="8:8">
      <c r="H654" s="2"/>
    </row>
    <row r="655" spans="8:8">
      <c r="H655" s="2"/>
    </row>
    <row r="656" spans="8:8">
      <c r="H656" s="2"/>
    </row>
    <row r="657" spans="8:8">
      <c r="H657" s="2"/>
    </row>
    <row r="658" spans="8:8">
      <c r="H658" s="2"/>
    </row>
    <row r="659" spans="8:8">
      <c r="H659" s="2"/>
    </row>
    <row r="660" spans="8:8">
      <c r="H660" s="2"/>
    </row>
    <row r="661" spans="8:8">
      <c r="H661" s="2"/>
    </row>
    <row r="662" spans="8:8">
      <c r="H662" s="2"/>
    </row>
    <row r="663" spans="8:8">
      <c r="H663" s="2"/>
    </row>
    <row r="664" spans="8:8">
      <c r="H664" s="2"/>
    </row>
    <row r="665" spans="8:8">
      <c r="H665" s="2"/>
    </row>
    <row r="666" spans="8:8">
      <c r="H666" s="2"/>
    </row>
    <row r="667" spans="8:8">
      <c r="H667" s="2"/>
    </row>
    <row r="668" spans="8:8">
      <c r="H668" s="2"/>
    </row>
    <row r="669" spans="8:8">
      <c r="H669" s="2"/>
    </row>
    <row r="670" spans="8:8">
      <c r="H670" s="2"/>
    </row>
    <row r="671" spans="8:8">
      <c r="H671" s="2"/>
    </row>
    <row r="672" spans="8:8">
      <c r="H672" s="2"/>
    </row>
    <row r="673" spans="8:8">
      <c r="H673" s="2"/>
    </row>
    <row r="674" spans="8:8">
      <c r="H674" s="2"/>
    </row>
    <row r="675" spans="8:8">
      <c r="H675" s="2"/>
    </row>
    <row r="676" spans="8:8">
      <c r="H676" s="2"/>
    </row>
    <row r="677" spans="8:8">
      <c r="H677" s="2"/>
    </row>
    <row r="678" spans="8:8">
      <c r="H678" s="2"/>
    </row>
    <row r="679" spans="8:8">
      <c r="H679" s="2"/>
    </row>
    <row r="680" spans="8:8">
      <c r="H680" s="2"/>
    </row>
    <row r="681" spans="8:8">
      <c r="H681" s="2"/>
    </row>
    <row r="682" spans="8:8">
      <c r="H682" s="2"/>
    </row>
    <row r="683" spans="8:8">
      <c r="H683" s="2"/>
    </row>
    <row r="684" spans="8:8">
      <c r="H684" s="2"/>
    </row>
    <row r="685" spans="8:8">
      <c r="H685" s="2"/>
    </row>
    <row r="686" spans="8:8">
      <c r="H686" s="2"/>
    </row>
    <row r="687" spans="8:8">
      <c r="H687" s="2"/>
    </row>
    <row r="688" spans="8:8">
      <c r="H688" s="2"/>
    </row>
    <row r="689" spans="8:8">
      <c r="H689" s="2"/>
    </row>
    <row r="690" spans="8:8">
      <c r="H690" s="2"/>
    </row>
    <row r="691" spans="8:8">
      <c r="H691" s="2"/>
    </row>
    <row r="692" spans="8:8">
      <c r="H692" s="2"/>
    </row>
    <row r="693" spans="8:8">
      <c r="H693" s="2"/>
    </row>
    <row r="694" spans="8:8">
      <c r="H694" s="2"/>
    </row>
    <row r="695" spans="8:8">
      <c r="H695" s="2"/>
    </row>
    <row r="696" spans="8:8">
      <c r="H696" s="2"/>
    </row>
    <row r="697" spans="8:8">
      <c r="H697" s="2"/>
    </row>
    <row r="698" spans="8:8">
      <c r="H698" s="2"/>
    </row>
    <row r="699" spans="8:8">
      <c r="H699" s="2"/>
    </row>
    <row r="700" spans="8:8">
      <c r="H700" s="2"/>
    </row>
    <row r="701" spans="8:8">
      <c r="H701" s="2"/>
    </row>
    <row r="702" spans="8:8">
      <c r="H702" s="2"/>
    </row>
    <row r="703" spans="8:8">
      <c r="H703" s="2"/>
    </row>
    <row r="704" spans="8:8">
      <c r="H704" s="2"/>
    </row>
    <row r="705" spans="8:8">
      <c r="H705" s="2"/>
    </row>
    <row r="706" spans="8:8">
      <c r="H706" s="2"/>
    </row>
    <row r="707" spans="8:8">
      <c r="H707" s="2"/>
    </row>
    <row r="708" spans="8:8">
      <c r="H708" s="2"/>
    </row>
    <row r="709" spans="8:8">
      <c r="H709" s="2"/>
    </row>
    <row r="710" spans="8:8">
      <c r="H710" s="2"/>
    </row>
    <row r="711" spans="8:8">
      <c r="H711" s="2"/>
    </row>
    <row r="712" spans="8:8">
      <c r="H712" s="2"/>
    </row>
    <row r="713" spans="8:8">
      <c r="H713" s="2"/>
    </row>
    <row r="714" spans="8:8">
      <c r="H714" s="2"/>
    </row>
    <row r="715" spans="8:8">
      <c r="H715" s="2"/>
    </row>
    <row r="716" spans="8:8">
      <c r="H716" s="2"/>
    </row>
    <row r="717" spans="8:8">
      <c r="H717" s="2"/>
    </row>
    <row r="718" spans="8:8">
      <c r="H718" s="2"/>
    </row>
    <row r="719" spans="8:8">
      <c r="H719" s="2"/>
    </row>
    <row r="720" spans="8:8">
      <c r="H720" s="2"/>
    </row>
    <row r="721" spans="8:8">
      <c r="H721" s="2"/>
    </row>
    <row r="722" spans="8:8">
      <c r="H722" s="2"/>
    </row>
    <row r="723" spans="8:8">
      <c r="H723" s="2"/>
    </row>
    <row r="724" spans="8:8">
      <c r="H724" s="2"/>
    </row>
    <row r="725" spans="8:8">
      <c r="H725" s="2"/>
    </row>
    <row r="726" spans="8:8">
      <c r="H726" s="2"/>
    </row>
    <row r="727" spans="8:8">
      <c r="H727" s="2"/>
    </row>
    <row r="728" spans="8:8">
      <c r="H728" s="2"/>
    </row>
    <row r="729" spans="8:8">
      <c r="H729" s="2"/>
    </row>
    <row r="730" spans="8:8">
      <c r="H730" s="2"/>
    </row>
    <row r="731" spans="8:8">
      <c r="H731" s="2"/>
    </row>
    <row r="732" spans="8:8">
      <c r="H732" s="2"/>
    </row>
    <row r="733" spans="8:8">
      <c r="H733" s="2"/>
    </row>
    <row r="734" spans="8:8">
      <c r="H734" s="2"/>
    </row>
    <row r="735" spans="8:8">
      <c r="H735" s="2"/>
    </row>
    <row r="736" spans="8:8">
      <c r="H736" s="2"/>
    </row>
    <row r="737" spans="8:8">
      <c r="H737" s="2"/>
    </row>
    <row r="738" spans="8:8">
      <c r="H738" s="2"/>
    </row>
    <row r="739" spans="8:8">
      <c r="H739" s="2"/>
    </row>
    <row r="740" spans="8:8">
      <c r="H740" s="2"/>
    </row>
    <row r="741" spans="8:8">
      <c r="H741" s="2"/>
    </row>
    <row r="742" spans="8:8">
      <c r="H742" s="2"/>
    </row>
    <row r="743" spans="8:8">
      <c r="H743" s="2"/>
    </row>
    <row r="744" spans="8:8">
      <c r="H744" s="2"/>
    </row>
    <row r="745" spans="8:8">
      <c r="H745" s="2"/>
    </row>
    <row r="746" spans="8:8">
      <c r="H746" s="2"/>
    </row>
    <row r="747" spans="8:8">
      <c r="H747" s="2"/>
    </row>
    <row r="748" spans="8:8">
      <c r="H748" s="2"/>
    </row>
    <row r="749" spans="8:8">
      <c r="H749" s="2"/>
    </row>
    <row r="750" spans="8:8">
      <c r="H750" s="2"/>
    </row>
    <row r="751" spans="8:8">
      <c r="H751" s="2"/>
    </row>
    <row r="752" spans="8:8">
      <c r="H752" s="2"/>
    </row>
    <row r="753" spans="8:8">
      <c r="H753" s="2"/>
    </row>
    <row r="754" spans="8:8">
      <c r="H754" s="2"/>
    </row>
    <row r="755" spans="8:8">
      <c r="H755" s="2"/>
    </row>
    <row r="756" spans="8:8">
      <c r="H756" s="2"/>
    </row>
    <row r="757" spans="8:8">
      <c r="H757" s="2"/>
    </row>
    <row r="758" spans="8:8">
      <c r="H758" s="2"/>
    </row>
    <row r="759" spans="8:8">
      <c r="H759" s="2"/>
    </row>
    <row r="760" spans="8:8">
      <c r="H760" s="2"/>
    </row>
    <row r="761" spans="8:8">
      <c r="H761" s="2"/>
    </row>
    <row r="762" spans="8:8">
      <c r="H762" s="2"/>
    </row>
    <row r="763" spans="8:8">
      <c r="H763" s="2"/>
    </row>
    <row r="764" spans="8:8">
      <c r="H764" s="2"/>
    </row>
    <row r="765" spans="8:8">
      <c r="H765" s="2"/>
    </row>
    <row r="766" spans="8:8">
      <c r="H766" s="2"/>
    </row>
    <row r="767" spans="8:8">
      <c r="H767" s="2"/>
    </row>
    <row r="768" spans="8:8">
      <c r="H768" s="2"/>
    </row>
    <row r="769" spans="8:8">
      <c r="H769" s="2"/>
    </row>
    <row r="770" spans="8:8">
      <c r="H770" s="2"/>
    </row>
    <row r="771" spans="8:8">
      <c r="H771" s="2"/>
    </row>
    <row r="772" spans="8:8">
      <c r="H772" s="2"/>
    </row>
    <row r="773" spans="8:8">
      <c r="H773" s="2"/>
    </row>
    <row r="774" spans="8:8">
      <c r="H774" s="2"/>
    </row>
    <row r="775" spans="8:8">
      <c r="H775" s="2"/>
    </row>
    <row r="776" spans="8:8">
      <c r="H776" s="2"/>
    </row>
    <row r="777" spans="8:8">
      <c r="H777" s="2"/>
    </row>
    <row r="778" spans="8:8">
      <c r="H778" s="2"/>
    </row>
    <row r="779" spans="8:8">
      <c r="H779" s="2"/>
    </row>
    <row r="780" spans="8:8">
      <c r="H780" s="2"/>
    </row>
    <row r="781" spans="8:8">
      <c r="H781" s="2"/>
    </row>
    <row r="782" spans="8:8">
      <c r="H782" s="2"/>
    </row>
    <row r="783" spans="8:8">
      <c r="H783" s="2"/>
    </row>
    <row r="784" spans="8:8">
      <c r="H784" s="2"/>
    </row>
    <row r="785" spans="8:8">
      <c r="H785" s="2"/>
    </row>
    <row r="786" spans="8:8">
      <c r="H786" s="2"/>
    </row>
    <row r="787" spans="8:8">
      <c r="H787" s="2"/>
    </row>
    <row r="788" spans="8:8">
      <c r="H788" s="2"/>
    </row>
    <row r="789" spans="8:8">
      <c r="H789" s="2"/>
    </row>
    <row r="790" spans="8:8">
      <c r="H790" s="2"/>
    </row>
    <row r="791" spans="8:8">
      <c r="H791" s="2"/>
    </row>
    <row r="792" spans="8:8">
      <c r="H792" s="2"/>
    </row>
    <row r="793" spans="8:8">
      <c r="H793" s="2"/>
    </row>
    <row r="794" spans="8:8">
      <c r="H794" s="2"/>
    </row>
    <row r="795" spans="8:8">
      <c r="H795" s="2"/>
    </row>
    <row r="796" spans="8:8">
      <c r="H796" s="2"/>
    </row>
    <row r="797" spans="8:8">
      <c r="H797" s="2"/>
    </row>
    <row r="798" spans="8:8">
      <c r="H798" s="2"/>
    </row>
    <row r="799" spans="8:8">
      <c r="H799" s="2"/>
    </row>
    <row r="800" spans="8:8">
      <c r="H800" s="2"/>
    </row>
    <row r="801" spans="8:8">
      <c r="H801" s="2"/>
    </row>
    <row r="802" spans="8:8">
      <c r="H802" s="2"/>
    </row>
    <row r="803" spans="8:8">
      <c r="H803" s="2"/>
    </row>
    <row r="804" spans="8:8">
      <c r="H804" s="2"/>
    </row>
    <row r="805" spans="8:8">
      <c r="H805" s="2"/>
    </row>
    <row r="806" spans="8:8">
      <c r="H806" s="2"/>
    </row>
    <row r="807" spans="8:8">
      <c r="H807" s="2"/>
    </row>
    <row r="808" spans="8:8">
      <c r="H808" s="2"/>
    </row>
    <row r="809" spans="8:8">
      <c r="H809" s="2"/>
    </row>
    <row r="810" spans="8:8">
      <c r="H810" s="2"/>
    </row>
    <row r="811" spans="8:8">
      <c r="H811" s="2"/>
    </row>
    <row r="812" spans="8:8">
      <c r="H812" s="2"/>
    </row>
    <row r="813" spans="8:8">
      <c r="H813" s="2"/>
    </row>
    <row r="814" spans="8:8">
      <c r="H814" s="2"/>
    </row>
    <row r="815" spans="8:8">
      <c r="H815" s="2"/>
    </row>
    <row r="816" spans="8:8">
      <c r="H816" s="2"/>
    </row>
    <row r="817" spans="8:8">
      <c r="H817" s="2"/>
    </row>
    <row r="818" spans="8:8">
      <c r="H818" s="2"/>
    </row>
    <row r="819" spans="8:8">
      <c r="H819" s="2"/>
    </row>
    <row r="820" spans="8:8">
      <c r="H820" s="2"/>
    </row>
    <row r="821" spans="8:8">
      <c r="H821" s="2"/>
    </row>
    <row r="822" spans="8:8">
      <c r="H822" s="2"/>
    </row>
    <row r="823" spans="8:8">
      <c r="H823" s="2"/>
    </row>
    <row r="824" spans="8:8">
      <c r="H824" s="2"/>
    </row>
    <row r="825" spans="8:8">
      <c r="H825" s="2"/>
    </row>
    <row r="826" spans="8:8">
      <c r="H826" s="2"/>
    </row>
    <row r="827" spans="8:8">
      <c r="H827" s="2"/>
    </row>
    <row r="828" spans="8:8">
      <c r="H828" s="2"/>
    </row>
    <row r="829" spans="8:8">
      <c r="H829" s="2"/>
    </row>
    <row r="830" spans="8:8">
      <c r="H830" s="2"/>
    </row>
    <row r="831" spans="8:8">
      <c r="H831" s="2"/>
    </row>
    <row r="832" spans="8:8">
      <c r="H832" s="2"/>
    </row>
    <row r="833" spans="8:8">
      <c r="H833" s="2"/>
    </row>
    <row r="834" spans="8:8">
      <c r="H834" s="2"/>
    </row>
    <row r="835" spans="8:8">
      <c r="H835" s="2"/>
    </row>
    <row r="836" spans="8:8">
      <c r="H836" s="2"/>
    </row>
    <row r="837" spans="8:8">
      <c r="H837" s="2"/>
    </row>
    <row r="838" spans="8:8">
      <c r="H838" s="2"/>
    </row>
    <row r="839" spans="8:8">
      <c r="H839" s="2"/>
    </row>
    <row r="840" spans="8:8">
      <c r="H840" s="2"/>
    </row>
    <row r="841" spans="8:8">
      <c r="H841" s="2"/>
    </row>
    <row r="842" spans="8:8">
      <c r="H842" s="2"/>
    </row>
    <row r="843" spans="8:8">
      <c r="H843" s="2"/>
    </row>
    <row r="844" spans="8:8">
      <c r="H844" s="2"/>
    </row>
    <row r="845" spans="8:8">
      <c r="H845" s="2"/>
    </row>
    <row r="846" spans="8:8">
      <c r="H846" s="2"/>
    </row>
    <row r="847" spans="8:8">
      <c r="H847" s="2"/>
    </row>
    <row r="848" spans="8:8">
      <c r="H848" s="2"/>
    </row>
    <row r="849" spans="8:8">
      <c r="H849" s="2"/>
    </row>
    <row r="850" spans="8:8">
      <c r="H850" s="2"/>
    </row>
    <row r="851" spans="8:8">
      <c r="H851" s="2"/>
    </row>
    <row r="852" spans="8:8">
      <c r="H852" s="2"/>
    </row>
    <row r="853" spans="8:8">
      <c r="H853" s="2"/>
    </row>
    <row r="854" spans="8:8">
      <c r="H854" s="2"/>
    </row>
    <row r="855" spans="8:8">
      <c r="H855" s="2"/>
    </row>
    <row r="856" spans="8:8">
      <c r="H856" s="2"/>
    </row>
    <row r="857" spans="8:8">
      <c r="H857" s="2"/>
    </row>
    <row r="858" spans="8:8">
      <c r="H858" s="2"/>
    </row>
    <row r="859" spans="8:8">
      <c r="H859" s="2"/>
    </row>
    <row r="860" spans="8:8">
      <c r="H860" s="2"/>
    </row>
    <row r="861" spans="8:8">
      <c r="H861" s="2"/>
    </row>
    <row r="862" spans="8:8">
      <c r="H862" s="2"/>
    </row>
    <row r="863" spans="8:8">
      <c r="H863" s="2"/>
    </row>
    <row r="864" spans="8:8">
      <c r="H864" s="2"/>
    </row>
    <row r="865" spans="8:8">
      <c r="H865" s="2"/>
    </row>
    <row r="866" spans="8:8">
      <c r="H866" s="2"/>
    </row>
    <row r="867" spans="8:8">
      <c r="H867" s="2"/>
    </row>
    <row r="868" spans="8:8">
      <c r="H868" s="2"/>
    </row>
    <row r="869" spans="8:8">
      <c r="H869" s="2"/>
    </row>
    <row r="870" spans="8:8">
      <c r="H870" s="2"/>
    </row>
    <row r="871" spans="8:8">
      <c r="H871" s="2"/>
    </row>
    <row r="872" spans="8:8">
      <c r="H872" s="2"/>
    </row>
    <row r="873" spans="8:8">
      <c r="H873" s="2"/>
    </row>
    <row r="874" spans="8:8">
      <c r="H874" s="2"/>
    </row>
    <row r="875" spans="8:8">
      <c r="H875" s="2"/>
    </row>
    <row r="876" spans="8:8">
      <c r="H876" s="2"/>
    </row>
    <row r="877" spans="8:8">
      <c r="H877" s="2"/>
    </row>
    <row r="878" spans="8:8">
      <c r="H878" s="2"/>
    </row>
    <row r="879" spans="8:8">
      <c r="H879" s="2"/>
    </row>
    <row r="880" spans="8:8">
      <c r="H880" s="2"/>
    </row>
    <row r="881" spans="8:8">
      <c r="H881" s="2"/>
    </row>
    <row r="882" spans="8:8">
      <c r="H882" s="2"/>
    </row>
    <row r="883" spans="8:8">
      <c r="H883" s="2"/>
    </row>
    <row r="884" spans="8:8">
      <c r="H884" s="2"/>
    </row>
    <row r="885" spans="8:8">
      <c r="H885" s="2"/>
    </row>
    <row r="886" spans="8:8">
      <c r="H886" s="2"/>
    </row>
    <row r="887" spans="8:8">
      <c r="H887" s="2"/>
    </row>
    <row r="888" spans="8:8">
      <c r="H888" s="2"/>
    </row>
    <row r="889" spans="8:8">
      <c r="H889" s="2"/>
    </row>
    <row r="890" spans="8:8">
      <c r="H890" s="2"/>
    </row>
    <row r="891" spans="8:8">
      <c r="H891" s="2"/>
    </row>
    <row r="892" spans="8:8">
      <c r="H892" s="2"/>
    </row>
    <row r="893" spans="8:8">
      <c r="H893" s="2"/>
    </row>
    <row r="894" spans="8:8">
      <c r="H894" s="2"/>
    </row>
    <row r="895" spans="8:8">
      <c r="H895" s="2"/>
    </row>
    <row r="896" spans="8:8">
      <c r="H896" s="2"/>
    </row>
    <row r="897" spans="8:8">
      <c r="H897" s="2"/>
    </row>
    <row r="898" spans="8:8">
      <c r="H898" s="2"/>
    </row>
    <row r="899" spans="8:8">
      <c r="H899" s="2"/>
    </row>
    <row r="900" spans="8:8">
      <c r="H900" s="2"/>
    </row>
    <row r="901" spans="8:8">
      <c r="H901" s="2"/>
    </row>
    <row r="902" spans="8:8">
      <c r="H902" s="2"/>
    </row>
    <row r="903" spans="8:8">
      <c r="H903" s="2"/>
    </row>
    <row r="904" spans="8:8">
      <c r="H904" s="2"/>
    </row>
    <row r="905" spans="8:8">
      <c r="H905" s="2"/>
    </row>
    <row r="906" spans="8:8">
      <c r="H906" s="2"/>
    </row>
    <row r="907" spans="8:8">
      <c r="H907" s="2"/>
    </row>
    <row r="908" spans="8:8">
      <c r="H908" s="2"/>
    </row>
    <row r="909" spans="8:8">
      <c r="H909" s="2"/>
    </row>
    <row r="910" spans="8:8">
      <c r="H910" s="2"/>
    </row>
    <row r="911" spans="8:8">
      <c r="H911" s="2"/>
    </row>
    <row r="912" spans="8:8">
      <c r="H912" s="2"/>
    </row>
    <row r="913" spans="8:8">
      <c r="H913" s="2"/>
    </row>
    <row r="914" spans="8:8">
      <c r="H914" s="2"/>
    </row>
    <row r="915" spans="8:8">
      <c r="H915" s="2"/>
    </row>
    <row r="916" spans="8:8">
      <c r="H916" s="2"/>
    </row>
    <row r="917" spans="8:8">
      <c r="H917" s="2"/>
    </row>
    <row r="918" spans="8:8">
      <c r="H918" s="2"/>
    </row>
    <row r="919" spans="8:8">
      <c r="H919" s="2"/>
    </row>
    <row r="920" spans="8:8">
      <c r="H920" s="2"/>
    </row>
    <row r="921" spans="8:8">
      <c r="H921" s="2"/>
    </row>
    <row r="922" spans="8:8">
      <c r="H922" s="2"/>
    </row>
    <row r="923" spans="8:8">
      <c r="H923" s="2"/>
    </row>
    <row r="924" spans="8:8">
      <c r="H924" s="2"/>
    </row>
    <row r="925" spans="8:8">
      <c r="H925" s="2"/>
    </row>
    <row r="926" spans="8:8">
      <c r="H926" s="2"/>
    </row>
    <row r="927" spans="8:8">
      <c r="H927" s="2"/>
    </row>
    <row r="928" spans="8:8">
      <c r="H928" s="2"/>
    </row>
    <row r="929" spans="8:8">
      <c r="H929" s="2"/>
    </row>
    <row r="930" spans="8:8">
      <c r="H930" s="2"/>
    </row>
    <row r="931" spans="8:8">
      <c r="H931" s="2"/>
    </row>
    <row r="932" spans="8:8">
      <c r="H932" s="2"/>
    </row>
    <row r="933" spans="8:8">
      <c r="H933" s="2"/>
    </row>
    <row r="934" spans="8:8">
      <c r="H934" s="2"/>
    </row>
    <row r="935" spans="8:8">
      <c r="H935" s="2"/>
    </row>
    <row r="936" spans="8:8">
      <c r="H936" s="2"/>
    </row>
    <row r="937" spans="8:8">
      <c r="H937" s="2"/>
    </row>
    <row r="938" spans="8:8">
      <c r="H938" s="2"/>
    </row>
    <row r="939" spans="8:8">
      <c r="H939" s="2"/>
    </row>
    <row r="940" spans="8:8">
      <c r="H940" s="2"/>
    </row>
    <row r="941" spans="8:8">
      <c r="H941" s="2"/>
    </row>
    <row r="942" spans="8:8">
      <c r="H942" s="2"/>
    </row>
    <row r="943" spans="8:8">
      <c r="H943" s="2"/>
    </row>
    <row r="944" spans="8:8">
      <c r="H944" s="2"/>
    </row>
    <row r="945" spans="8:8">
      <c r="H945" s="2"/>
    </row>
    <row r="946" spans="8:8">
      <c r="H946" s="2"/>
    </row>
    <row r="947" spans="8:8">
      <c r="H947" s="2"/>
    </row>
    <row r="948" spans="8:8">
      <c r="H948" s="2"/>
    </row>
    <row r="949" spans="8:8">
      <c r="H949" s="2"/>
    </row>
    <row r="950" spans="8:8">
      <c r="H950" s="2"/>
    </row>
    <row r="951" spans="8:8">
      <c r="H951" s="2"/>
    </row>
    <row r="952" spans="8:8">
      <c r="H952" s="2"/>
    </row>
    <row r="953" spans="8:8">
      <c r="H953" s="2"/>
    </row>
    <row r="954" spans="8:8">
      <c r="H954" s="2"/>
    </row>
    <row r="955" spans="8:8">
      <c r="H955" s="2"/>
    </row>
    <row r="956" spans="8:8">
      <c r="H956" s="2"/>
    </row>
    <row r="957" spans="8:8">
      <c r="H957" s="2"/>
    </row>
    <row r="958" spans="8:8">
      <c r="H958" s="2"/>
    </row>
    <row r="959" spans="8:8">
      <c r="H959" s="2"/>
    </row>
    <row r="960" spans="8:8">
      <c r="H960" s="2"/>
    </row>
    <row r="961" spans="8:8">
      <c r="H961" s="2"/>
    </row>
    <row r="962" spans="8:8">
      <c r="H962" s="2"/>
    </row>
    <row r="963" spans="8:8">
      <c r="H963" s="2"/>
    </row>
    <row r="964" spans="8:8">
      <c r="H964" s="2"/>
    </row>
    <row r="965" spans="8:8">
      <c r="H965" s="2"/>
    </row>
    <row r="966" spans="8:8">
      <c r="H966" s="2"/>
    </row>
    <row r="967" spans="8:8">
      <c r="H967" s="2"/>
    </row>
    <row r="968" spans="8:8">
      <c r="H968" s="2"/>
    </row>
    <row r="969" spans="8:8">
      <c r="H969" s="2"/>
    </row>
    <row r="970" spans="8:8">
      <c r="H970" s="2"/>
    </row>
    <row r="971" spans="8:8">
      <c r="H971" s="2"/>
    </row>
    <row r="972" spans="8:8">
      <c r="H972" s="2"/>
    </row>
    <row r="973" spans="8:8">
      <c r="H973" s="2"/>
    </row>
    <row r="974" spans="8:8">
      <c r="H974" s="2"/>
    </row>
    <row r="975" spans="8:8">
      <c r="H975" s="2"/>
    </row>
    <row r="976" spans="8:8">
      <c r="H976" s="2"/>
    </row>
    <row r="977" spans="8:8">
      <c r="H977" s="2"/>
    </row>
    <row r="978" spans="8:8">
      <c r="H978" s="2"/>
    </row>
    <row r="979" spans="8:8">
      <c r="H979" s="2"/>
    </row>
    <row r="980" spans="8:8">
      <c r="H980" s="2"/>
    </row>
    <row r="981" spans="8:8">
      <c r="H981" s="2"/>
    </row>
    <row r="982" spans="8:8">
      <c r="H982" s="2"/>
    </row>
    <row r="983" spans="8:8">
      <c r="H983" s="2"/>
    </row>
    <row r="984" spans="8:8">
      <c r="H984" s="2"/>
    </row>
    <row r="985" spans="8:8">
      <c r="H985" s="2"/>
    </row>
    <row r="986" spans="8:8">
      <c r="H986" s="2"/>
    </row>
    <row r="987" spans="8:8">
      <c r="H987" s="2"/>
    </row>
    <row r="988" spans="8:8">
      <c r="H988" s="2"/>
    </row>
    <row r="989" spans="8:8">
      <c r="H989" s="2"/>
    </row>
    <row r="990" spans="8:8">
      <c r="H990" s="2"/>
    </row>
    <row r="991" spans="8:8">
      <c r="H991" s="2"/>
    </row>
    <row r="992" spans="8:8">
      <c r="H992" s="2"/>
    </row>
    <row r="993" spans="8:8">
      <c r="H993" s="2"/>
    </row>
    <row r="994" spans="8:8">
      <c r="H994" s="2"/>
    </row>
    <row r="995" spans="8:8">
      <c r="H995" s="2"/>
    </row>
    <row r="996" spans="8:8">
      <c r="H996" s="2"/>
    </row>
    <row r="997" spans="8:8">
      <c r="H997" s="2"/>
    </row>
    <row r="998" spans="8:8">
      <c r="H998" s="2"/>
    </row>
    <row r="999" spans="8:8">
      <c r="H999" s="2"/>
    </row>
    <row r="1000" spans="8:8">
      <c r="H1000" s="2"/>
    </row>
    <row r="1001" spans="8:8">
      <c r="H1001" s="2"/>
    </row>
    <row r="1002" spans="8:8">
      <c r="H1002" s="2"/>
    </row>
    <row r="1003" spans="8:8">
      <c r="H1003" s="2"/>
    </row>
    <row r="1004" spans="8:8">
      <c r="H1004" s="2"/>
    </row>
    <row r="1005" spans="8:8">
      <c r="H1005" s="2"/>
    </row>
    <row r="1006" spans="8:8">
      <c r="H1006" s="2"/>
    </row>
    <row r="1007" spans="8:8">
      <c r="H1007" s="2"/>
    </row>
    <row r="1008" spans="8:8">
      <c r="H1008" s="2"/>
    </row>
    <row r="1009" spans="8:8">
      <c r="H1009" s="2"/>
    </row>
    <row r="1010" spans="8:8">
      <c r="H1010" s="2"/>
    </row>
    <row r="1011" spans="8:8">
      <c r="H1011" s="2"/>
    </row>
    <row r="1012" spans="8:8">
      <c r="H1012" s="2"/>
    </row>
    <row r="1013" spans="8:8">
      <c r="H1013" s="2"/>
    </row>
    <row r="1014" spans="8:8">
      <c r="H1014" s="2"/>
    </row>
    <row r="1015" spans="8:8">
      <c r="H1015" s="2"/>
    </row>
    <row r="1016" spans="8:8">
      <c r="H1016" s="2"/>
    </row>
    <row r="1017" spans="8:8">
      <c r="H1017" s="2"/>
    </row>
    <row r="1018" spans="8:8">
      <c r="H1018" s="2"/>
    </row>
    <row r="1019" spans="8:8">
      <c r="H1019" s="2"/>
    </row>
    <row r="1020" spans="8:8">
      <c r="H1020" s="2"/>
    </row>
    <row r="1021" spans="8:8">
      <c r="H1021" s="2"/>
    </row>
    <row r="1022" spans="8:8">
      <c r="H1022" s="2"/>
    </row>
    <row r="1023" spans="8:8">
      <c r="H1023" s="2"/>
    </row>
    <row r="1024" spans="8:8">
      <c r="H1024" s="2"/>
    </row>
    <row r="1025" spans="8:8">
      <c r="H1025" s="2"/>
    </row>
    <row r="1026" spans="8:8">
      <c r="H1026" s="2"/>
    </row>
    <row r="1027" spans="8:8">
      <c r="H1027" s="2"/>
    </row>
    <row r="1028" spans="8:8">
      <c r="H1028" s="2"/>
    </row>
    <row r="1029" spans="8:8">
      <c r="H1029" s="2"/>
    </row>
    <row r="1030" spans="8:8">
      <c r="H1030" s="2"/>
    </row>
    <row r="1031" spans="8:8">
      <c r="H1031" s="2"/>
    </row>
    <row r="1032" spans="8:8">
      <c r="H1032" s="2"/>
    </row>
    <row r="1033" spans="8:8">
      <c r="H1033" s="2"/>
    </row>
    <row r="1034" spans="8:8">
      <c r="H1034" s="2"/>
    </row>
    <row r="1035" spans="8:8">
      <c r="H1035" s="2"/>
    </row>
    <row r="1036" spans="8:8">
      <c r="H1036" s="2"/>
    </row>
    <row r="1037" spans="8:8">
      <c r="H1037" s="2"/>
    </row>
    <row r="1038" spans="8:8">
      <c r="H1038" s="2"/>
    </row>
    <row r="1039" spans="8:8">
      <c r="H1039" s="2"/>
    </row>
    <row r="1040" spans="8:8">
      <c r="H1040" s="2"/>
    </row>
    <row r="1041" spans="8:8">
      <c r="H1041" s="2"/>
    </row>
    <row r="1042" spans="8:8">
      <c r="H1042" s="2"/>
    </row>
    <row r="1043" spans="8:8">
      <c r="H1043" s="2"/>
    </row>
    <row r="1044" spans="8:8">
      <c r="H1044" s="2"/>
    </row>
    <row r="1045" spans="8:8">
      <c r="H1045" s="2"/>
    </row>
    <row r="1046" spans="8:8">
      <c r="H1046" s="2"/>
    </row>
    <row r="1047" spans="8:8">
      <c r="H1047" s="2"/>
    </row>
    <row r="1048" spans="8:8">
      <c r="H1048" s="2"/>
    </row>
    <row r="1049" spans="8:8">
      <c r="H1049" s="2"/>
    </row>
    <row r="1050" spans="8:8">
      <c r="H1050" s="2"/>
    </row>
    <row r="1051" spans="8:8">
      <c r="H1051" s="2"/>
    </row>
    <row r="1052" spans="8:8">
      <c r="H1052" s="2"/>
    </row>
    <row r="1053" spans="8:8">
      <c r="H1053" s="2"/>
    </row>
    <row r="1054" spans="8:8">
      <c r="H1054" s="2"/>
    </row>
    <row r="1055" spans="8:8">
      <c r="H1055" s="2"/>
    </row>
    <row r="1056" spans="8:8">
      <c r="H1056" s="2"/>
    </row>
    <row r="1057" spans="8:8">
      <c r="H1057" s="2"/>
    </row>
    <row r="1058" spans="8:8">
      <c r="H1058" s="2"/>
    </row>
    <row r="1059" spans="8:8">
      <c r="H1059" s="2"/>
    </row>
    <row r="1060" spans="8:8">
      <c r="H1060" s="2"/>
    </row>
    <row r="1061" spans="8:8">
      <c r="H1061" s="2"/>
    </row>
    <row r="1062" spans="8:8">
      <c r="H1062" s="2"/>
    </row>
    <row r="1063" spans="8:8">
      <c r="H1063" s="2"/>
    </row>
    <row r="1064" spans="8:8">
      <c r="H1064" s="2"/>
    </row>
    <row r="1065" spans="8:8">
      <c r="H1065" s="2"/>
    </row>
    <row r="1066" spans="8:8">
      <c r="H1066" s="2"/>
    </row>
    <row r="1067" spans="8:8">
      <c r="H1067" s="2"/>
    </row>
    <row r="1068" spans="8:8">
      <c r="H1068" s="2"/>
    </row>
    <row r="1069" spans="8:8">
      <c r="H1069" s="2"/>
    </row>
    <row r="1070" spans="8:8">
      <c r="H1070" s="2"/>
    </row>
    <row r="1071" spans="8:8">
      <c r="H1071" s="2"/>
    </row>
    <row r="1072" spans="8:8">
      <c r="H1072" s="2"/>
    </row>
    <row r="1073" spans="8:8">
      <c r="H1073" s="2"/>
    </row>
    <row r="1074" spans="8:8">
      <c r="H1074" s="2"/>
    </row>
    <row r="1075" spans="8:8">
      <c r="H1075" s="2"/>
    </row>
    <row r="1076" spans="8:8">
      <c r="H1076" s="2"/>
    </row>
    <row r="1077" spans="8:8">
      <c r="H1077" s="2"/>
    </row>
    <row r="1078" spans="8:8">
      <c r="H1078" s="2"/>
    </row>
    <row r="1079" spans="8:8">
      <c r="H1079" s="2"/>
    </row>
    <row r="1080" spans="8:8">
      <c r="H1080" s="2"/>
    </row>
    <row r="1081" spans="8:8">
      <c r="H1081" s="2"/>
    </row>
    <row r="1082" spans="8:8">
      <c r="H1082" s="2"/>
    </row>
    <row r="1083" spans="8:8">
      <c r="H1083" s="2"/>
    </row>
    <row r="1084" spans="8:8">
      <c r="H1084" s="2"/>
    </row>
    <row r="1085" spans="8:8">
      <c r="H1085" s="2"/>
    </row>
    <row r="1086" spans="8:8">
      <c r="H1086" s="2"/>
    </row>
    <row r="1087" spans="8:8">
      <c r="H1087" s="2"/>
    </row>
    <row r="1088" spans="8:8">
      <c r="H1088" s="2"/>
    </row>
    <row r="1089" spans="8:8">
      <c r="H1089" s="2"/>
    </row>
    <row r="1090" spans="8:8">
      <c r="H1090" s="2"/>
    </row>
    <row r="1091" spans="8:8">
      <c r="H1091" s="2"/>
    </row>
    <row r="1092" spans="8:8">
      <c r="H1092" s="2"/>
    </row>
    <row r="1093" spans="8:8">
      <c r="H1093" s="2"/>
    </row>
    <row r="1094" spans="8:8">
      <c r="H1094" s="2"/>
    </row>
    <row r="1095" spans="8:8">
      <c r="H1095" s="2"/>
    </row>
    <row r="1096" spans="8:8">
      <c r="H1096" s="2"/>
    </row>
    <row r="1097" spans="8:8">
      <c r="H1097" s="2"/>
    </row>
    <row r="1098" spans="8:8">
      <c r="H1098" s="2"/>
    </row>
    <row r="1099" spans="8:8">
      <c r="H1099" s="2"/>
    </row>
    <row r="1100" spans="8:8">
      <c r="H1100" s="2"/>
    </row>
    <row r="1101" spans="8:8">
      <c r="H1101" s="2"/>
    </row>
    <row r="1102" spans="8:8">
      <c r="H1102" s="2"/>
    </row>
    <row r="1103" spans="8:8">
      <c r="H1103" s="2"/>
    </row>
    <row r="1104" spans="8:8">
      <c r="H1104" s="2"/>
    </row>
    <row r="1105" spans="8:8">
      <c r="H1105" s="2"/>
    </row>
    <row r="1106" spans="8:8">
      <c r="H1106" s="2"/>
    </row>
    <row r="1107" spans="8:8">
      <c r="H1107" s="2"/>
    </row>
    <row r="1108" spans="8:8">
      <c r="H1108" s="2"/>
    </row>
    <row r="1109" spans="8:8">
      <c r="H1109" s="2"/>
    </row>
    <row r="1110" spans="8:8">
      <c r="H1110" s="2"/>
    </row>
    <row r="1111" spans="8:8">
      <c r="H1111" s="2"/>
    </row>
    <row r="1112" spans="8:8">
      <c r="H1112" s="2"/>
    </row>
    <row r="1113" spans="8:8">
      <c r="H1113" s="2"/>
    </row>
    <row r="1114" spans="8:8">
      <c r="H1114" s="2"/>
    </row>
    <row r="1115" spans="8:8">
      <c r="H1115" s="2"/>
    </row>
    <row r="1116" spans="8:8">
      <c r="H1116" s="2"/>
    </row>
    <row r="1117" spans="8:8">
      <c r="H1117" s="2"/>
    </row>
    <row r="1118" spans="8:8">
      <c r="H1118" s="2"/>
    </row>
    <row r="1119" spans="8:8">
      <c r="H1119" s="2"/>
    </row>
    <row r="1120" spans="8:8">
      <c r="H1120" s="2"/>
    </row>
    <row r="1121" spans="8:8">
      <c r="H1121" s="2"/>
    </row>
    <row r="1122" spans="8:8">
      <c r="H1122" s="2"/>
    </row>
    <row r="1123" spans="8:8">
      <c r="H1123" s="2"/>
    </row>
    <row r="1124" spans="8:8">
      <c r="H1124" s="2"/>
    </row>
    <row r="1125" spans="8:8">
      <c r="H1125" s="2"/>
    </row>
    <row r="1126" spans="8:8">
      <c r="H1126" s="2"/>
    </row>
    <row r="1127" spans="8:8">
      <c r="H1127" s="2"/>
    </row>
    <row r="1128" spans="8:8">
      <c r="H1128" s="2"/>
    </row>
    <row r="1129" spans="8:8">
      <c r="H1129" s="2"/>
    </row>
    <row r="1130" spans="8:8">
      <c r="H1130" s="2"/>
    </row>
    <row r="1131" spans="8:8">
      <c r="H1131" s="2"/>
    </row>
    <row r="1132" spans="8:8">
      <c r="H1132" s="2"/>
    </row>
    <row r="1133" spans="8:8">
      <c r="H1133" s="2"/>
    </row>
    <row r="1134" spans="8:8">
      <c r="H1134" s="2"/>
    </row>
    <row r="1135" spans="8:8">
      <c r="H1135" s="2"/>
    </row>
    <row r="1136" spans="8:8">
      <c r="H1136" s="2"/>
    </row>
    <row r="1137" spans="8:8">
      <c r="H1137" s="2"/>
    </row>
    <row r="1138" spans="8:8">
      <c r="H1138" s="2"/>
    </row>
    <row r="1139" spans="8:8">
      <c r="H1139" s="2"/>
    </row>
    <row r="1140" spans="8:8">
      <c r="H1140" s="2"/>
    </row>
    <row r="1141" spans="8:8">
      <c r="H1141" s="2"/>
    </row>
    <row r="1142" spans="8:8">
      <c r="H1142" s="2"/>
    </row>
    <row r="1143" spans="8:8">
      <c r="H1143" s="2"/>
    </row>
    <row r="1144" spans="8:8">
      <c r="H1144" s="2"/>
    </row>
    <row r="1145" spans="8:8">
      <c r="H1145" s="2"/>
    </row>
    <row r="1146" spans="8:8">
      <c r="H1146" s="2"/>
    </row>
    <row r="1147" spans="8:8">
      <c r="H1147" s="2"/>
    </row>
    <row r="1148" spans="8:8">
      <c r="H1148" s="2"/>
    </row>
    <row r="1149" spans="8:8">
      <c r="H1149" s="2"/>
    </row>
    <row r="1150" spans="8:8">
      <c r="H1150" s="2"/>
    </row>
    <row r="1151" spans="8:8">
      <c r="H1151" s="2"/>
    </row>
    <row r="1152" spans="8:8">
      <c r="H1152" s="2"/>
    </row>
    <row r="1153" spans="8:8">
      <c r="H1153" s="2"/>
    </row>
    <row r="1154" spans="8:8">
      <c r="H1154" s="2"/>
    </row>
    <row r="1155" spans="8:8">
      <c r="H1155" s="2"/>
    </row>
    <row r="1156" spans="8:8">
      <c r="H1156" s="2"/>
    </row>
    <row r="1157" spans="8:8">
      <c r="H1157" s="2"/>
    </row>
    <row r="1158" spans="8:8">
      <c r="H1158" s="2"/>
    </row>
    <row r="1159" spans="8:8">
      <c r="H1159" s="2"/>
    </row>
    <row r="1160" spans="8:8">
      <c r="H1160" s="2"/>
    </row>
    <row r="1161" spans="8:8">
      <c r="H1161" s="2"/>
    </row>
    <row r="1162" spans="8:8">
      <c r="H1162" s="2"/>
    </row>
    <row r="1163" spans="8:8">
      <c r="H1163" s="2"/>
    </row>
    <row r="1164" spans="8:8">
      <c r="H1164" s="2"/>
    </row>
    <row r="1165" spans="8:8">
      <c r="H1165" s="2"/>
    </row>
    <row r="1166" spans="8:8">
      <c r="H1166" s="2"/>
    </row>
    <row r="1167" spans="8:8">
      <c r="H1167" s="2"/>
    </row>
    <row r="1168" spans="8:8">
      <c r="H1168" s="2"/>
    </row>
    <row r="1169" spans="8:8">
      <c r="H1169" s="2"/>
    </row>
    <row r="1170" spans="8:8">
      <c r="H1170" s="2"/>
    </row>
    <row r="1171" spans="8:8">
      <c r="H1171" s="2"/>
    </row>
    <row r="1172" spans="8:8">
      <c r="H1172" s="2"/>
    </row>
    <row r="1173" spans="8:8">
      <c r="H1173" s="2"/>
    </row>
    <row r="1174" spans="8:8">
      <c r="H1174" s="2"/>
    </row>
    <row r="1175" spans="8:8">
      <c r="H1175" s="2"/>
    </row>
    <row r="1176" spans="8:8">
      <c r="H1176" s="2"/>
    </row>
    <row r="1177" spans="8:8">
      <c r="H1177" s="2"/>
    </row>
    <row r="1178" spans="8:8">
      <c r="H1178" s="2"/>
    </row>
    <row r="1179" spans="8:8">
      <c r="H1179" s="2"/>
    </row>
    <row r="1180" spans="8:8">
      <c r="H1180" s="2"/>
    </row>
    <row r="1181" spans="8:8">
      <c r="H1181" s="2"/>
    </row>
    <row r="1182" spans="8:8">
      <c r="H1182" s="2"/>
    </row>
    <row r="1183" spans="8:8">
      <c r="H1183" s="2"/>
    </row>
    <row r="1184" spans="8:8">
      <c r="H1184" s="2"/>
    </row>
    <row r="1185" spans="8:8">
      <c r="H1185" s="2"/>
    </row>
    <row r="1186" spans="8:8">
      <c r="H1186" s="2"/>
    </row>
    <row r="1187" spans="8:8">
      <c r="H1187" s="2"/>
    </row>
    <row r="1188" spans="8:8">
      <c r="H1188" s="2"/>
    </row>
    <row r="1189" spans="8:8">
      <c r="H1189" s="2"/>
    </row>
    <row r="1190" spans="8:8">
      <c r="H1190" s="2"/>
    </row>
    <row r="1191" spans="8:8">
      <c r="H1191" s="2"/>
    </row>
    <row r="1192" spans="8:8">
      <c r="H1192" s="2"/>
    </row>
    <row r="1193" spans="8:8">
      <c r="H1193" s="2"/>
    </row>
    <row r="1194" spans="8:8">
      <c r="H1194" s="2"/>
    </row>
    <row r="1195" spans="8:8">
      <c r="H1195" s="2"/>
    </row>
    <row r="1196" spans="8:8">
      <c r="H1196" s="2"/>
    </row>
    <row r="1197" spans="8:8">
      <c r="H1197" s="2"/>
    </row>
    <row r="1198" spans="8:8">
      <c r="H1198" s="2"/>
    </row>
    <row r="1199" spans="8:8">
      <c r="H1199" s="2"/>
    </row>
    <row r="1200" spans="8:8">
      <c r="H1200" s="2"/>
    </row>
    <row r="1201" spans="8:8">
      <c r="H1201" s="2"/>
    </row>
    <row r="1202" spans="8:8">
      <c r="H1202" s="2"/>
    </row>
    <row r="1203" spans="8:8">
      <c r="H1203" s="2"/>
    </row>
    <row r="1204" spans="8:8">
      <c r="H1204" s="2"/>
    </row>
    <row r="1205" spans="8:8">
      <c r="H1205" s="2"/>
    </row>
    <row r="1206" spans="8:8">
      <c r="H1206" s="2"/>
    </row>
    <row r="1207" spans="8:8">
      <c r="H1207" s="2"/>
    </row>
    <row r="1208" spans="8:8">
      <c r="H1208" s="2"/>
    </row>
    <row r="1209" spans="8:8">
      <c r="H1209" s="2"/>
    </row>
    <row r="1210" spans="8:8">
      <c r="H1210" s="2"/>
    </row>
    <row r="1211" spans="8:8">
      <c r="H1211" s="2"/>
    </row>
    <row r="1212" spans="8:8">
      <c r="H1212" s="2"/>
    </row>
    <row r="1213" spans="8:8">
      <c r="H1213" s="2"/>
    </row>
    <row r="1214" spans="8:8">
      <c r="H1214" s="2"/>
    </row>
    <row r="1215" spans="8:8">
      <c r="H1215" s="2"/>
    </row>
    <row r="1216" spans="8:8">
      <c r="H1216" s="2"/>
    </row>
    <row r="1217" spans="8:8">
      <c r="H1217" s="2"/>
    </row>
    <row r="1218" spans="8:8">
      <c r="H1218" s="2"/>
    </row>
    <row r="1219" spans="8:8">
      <c r="H1219" s="2"/>
    </row>
    <row r="1220" spans="8:8">
      <c r="H1220" s="2"/>
    </row>
    <row r="1221" spans="8:8">
      <c r="H1221" s="2"/>
    </row>
    <row r="1222" spans="8:8">
      <c r="H1222" s="2"/>
    </row>
    <row r="1223" spans="8:8">
      <c r="H1223" s="2"/>
    </row>
    <row r="1224" spans="8:8">
      <c r="H1224" s="2"/>
    </row>
    <row r="1225" spans="8:8">
      <c r="H1225" s="2"/>
    </row>
    <row r="1226" spans="8:8">
      <c r="H1226" s="2"/>
    </row>
    <row r="1227" spans="8:8">
      <c r="H1227" s="2"/>
    </row>
    <row r="1228" spans="8:8">
      <c r="H1228" s="2"/>
    </row>
    <row r="1229" spans="8:8">
      <c r="H1229" s="2"/>
    </row>
    <row r="1230" spans="8:8">
      <c r="H1230" s="2"/>
    </row>
    <row r="1231" spans="8:8">
      <c r="H1231" s="2"/>
    </row>
    <row r="1232" spans="8:8">
      <c r="H1232" s="2"/>
    </row>
    <row r="1233" spans="8:8">
      <c r="H1233" s="2"/>
    </row>
    <row r="1234" spans="8:8">
      <c r="H1234" s="2"/>
    </row>
    <row r="1235" spans="8:8">
      <c r="H1235" s="2"/>
    </row>
    <row r="1236" spans="8:8">
      <c r="H1236" s="2"/>
    </row>
    <row r="1237" spans="8:8">
      <c r="H1237" s="2"/>
    </row>
    <row r="1238" spans="8:8">
      <c r="H1238" s="2"/>
    </row>
    <row r="1239" spans="8:8">
      <c r="H1239" s="2"/>
    </row>
    <row r="1240" spans="8:8">
      <c r="H1240" s="2"/>
    </row>
    <row r="1241" spans="8:8">
      <c r="H1241" s="2"/>
    </row>
    <row r="1242" spans="8:8">
      <c r="H1242" s="2"/>
    </row>
    <row r="1243" spans="8:8">
      <c r="H1243" s="2"/>
    </row>
    <row r="1244" spans="8:8">
      <c r="H1244" s="2"/>
    </row>
    <row r="1245" spans="8:8">
      <c r="H1245" s="2"/>
    </row>
    <row r="1246" spans="8:8">
      <c r="H1246" s="2"/>
    </row>
    <row r="1247" spans="8:8">
      <c r="H1247" s="2"/>
    </row>
    <row r="1248" spans="8:8">
      <c r="H1248" s="2"/>
    </row>
    <row r="1249" spans="8:8">
      <c r="H1249" s="2"/>
    </row>
    <row r="1250" spans="8:8">
      <c r="H1250" s="2"/>
    </row>
    <row r="1251" spans="8:8">
      <c r="H1251" s="2"/>
    </row>
    <row r="1252" spans="8:8">
      <c r="H1252" s="2"/>
    </row>
    <row r="1253" spans="8:8">
      <c r="H1253" s="2"/>
    </row>
    <row r="1254" spans="8:8">
      <c r="H1254" s="2"/>
    </row>
    <row r="1255" spans="8:8">
      <c r="H1255" s="2"/>
    </row>
    <row r="1256" spans="8:8">
      <c r="H1256" s="2"/>
    </row>
    <row r="1257" spans="8:8">
      <c r="H1257" s="2"/>
    </row>
    <row r="1258" spans="8:8">
      <c r="H1258" s="2"/>
    </row>
    <row r="1259" spans="8:8">
      <c r="H1259" s="2"/>
    </row>
    <row r="1260" spans="8:8">
      <c r="H1260" s="2"/>
    </row>
    <row r="1261" spans="8:8">
      <c r="H1261" s="2"/>
    </row>
    <row r="1262" spans="8:8">
      <c r="H1262" s="2"/>
    </row>
    <row r="1263" spans="8:8">
      <c r="H1263" s="2"/>
    </row>
    <row r="1264" spans="8:8">
      <c r="H1264" s="2"/>
    </row>
    <row r="1265" spans="8:8">
      <c r="H1265" s="2"/>
    </row>
    <row r="1266" spans="8:8">
      <c r="H1266" s="2"/>
    </row>
    <row r="1267" spans="8:8">
      <c r="H1267" s="2"/>
    </row>
    <row r="1268" spans="8:8">
      <c r="H1268" s="2"/>
    </row>
    <row r="1269" spans="8:8">
      <c r="H1269" s="2"/>
    </row>
    <row r="1270" spans="8:8">
      <c r="H1270" s="2"/>
    </row>
    <row r="1271" spans="8:8">
      <c r="H1271" s="2"/>
    </row>
    <row r="1272" spans="8:8">
      <c r="H1272" s="2"/>
    </row>
    <row r="1273" spans="8:8">
      <c r="H1273" s="2"/>
    </row>
    <row r="1274" spans="8:8">
      <c r="H1274" s="2"/>
    </row>
    <row r="1275" spans="8:8">
      <c r="H1275" s="2"/>
    </row>
    <row r="1276" spans="8:8">
      <c r="H1276" s="2"/>
    </row>
    <row r="1277" spans="8:8">
      <c r="H1277" s="2"/>
    </row>
    <row r="1278" spans="8:8">
      <c r="H1278" s="2"/>
    </row>
    <row r="1279" spans="8:8">
      <c r="H1279" s="2"/>
    </row>
    <row r="1280" spans="8:8">
      <c r="H1280" s="2"/>
    </row>
    <row r="1281" spans="8:8">
      <c r="H1281" s="2"/>
    </row>
    <row r="1282" spans="8:8">
      <c r="H1282" s="2"/>
    </row>
    <row r="1283" spans="8:8">
      <c r="H1283" s="2"/>
    </row>
    <row r="1284" spans="8:8">
      <c r="H1284" s="2"/>
    </row>
    <row r="1285" spans="8:8">
      <c r="H1285" s="2"/>
    </row>
    <row r="1286" spans="8:8">
      <c r="H1286" s="2"/>
    </row>
    <row r="1287" spans="8:8">
      <c r="H1287" s="2"/>
    </row>
    <row r="1288" spans="8:8">
      <c r="H1288" s="2"/>
    </row>
    <row r="1289" spans="8:8">
      <c r="H1289" s="2"/>
    </row>
    <row r="1290" spans="8:8">
      <c r="H1290" s="2"/>
    </row>
    <row r="1291" spans="8:8">
      <c r="H1291" s="2"/>
    </row>
    <row r="1292" spans="8:8">
      <c r="H1292" s="2"/>
    </row>
    <row r="1293" spans="8:8">
      <c r="H1293" s="2"/>
    </row>
    <row r="1294" spans="8:8">
      <c r="H1294" s="2"/>
    </row>
    <row r="1295" spans="8:8">
      <c r="H1295" s="2"/>
    </row>
    <row r="1296" spans="8:8">
      <c r="H1296" s="2"/>
    </row>
    <row r="1297" spans="8:8">
      <c r="H1297" s="2"/>
    </row>
    <row r="1298" spans="8:8">
      <c r="H1298" s="2"/>
    </row>
    <row r="1299" spans="8:8">
      <c r="H1299" s="2"/>
    </row>
    <row r="1300" spans="8:8">
      <c r="H1300" s="2"/>
    </row>
    <row r="1301" spans="8:8">
      <c r="H1301" s="2"/>
    </row>
    <row r="1302" spans="8:8">
      <c r="H1302" s="2"/>
    </row>
    <row r="1303" spans="8:8">
      <c r="H1303" s="2"/>
    </row>
    <row r="1304" spans="8:8">
      <c r="H1304" s="2"/>
    </row>
    <row r="1305" spans="8:8">
      <c r="H1305" s="2"/>
    </row>
    <row r="1306" spans="8:8">
      <c r="H1306" s="2"/>
    </row>
    <row r="1307" spans="8:8">
      <c r="H1307" s="2"/>
    </row>
    <row r="1308" spans="8:8">
      <c r="H1308" s="2"/>
    </row>
    <row r="1309" spans="8:8">
      <c r="H1309" s="2"/>
    </row>
    <row r="1310" spans="8:8">
      <c r="H1310" s="2"/>
    </row>
    <row r="1311" spans="8:8">
      <c r="H1311" s="2"/>
    </row>
    <row r="1312" spans="8:8">
      <c r="H1312" s="2"/>
    </row>
    <row r="1313" spans="8:8">
      <c r="H1313" s="2"/>
    </row>
    <row r="1314" spans="8:8">
      <c r="H1314" s="2"/>
    </row>
    <row r="1315" spans="8:8">
      <c r="H1315" s="2"/>
    </row>
    <row r="1316" spans="8:8">
      <c r="H1316" s="2"/>
    </row>
    <row r="1317" spans="8:8">
      <c r="H1317" s="2"/>
    </row>
    <row r="1318" spans="8:8">
      <c r="H1318" s="2"/>
    </row>
    <row r="1319" spans="8:8">
      <c r="H1319" s="2"/>
    </row>
    <row r="1320" spans="8:8">
      <c r="H1320" s="2"/>
    </row>
    <row r="1321" spans="8:8">
      <c r="H1321" s="2"/>
    </row>
    <row r="1322" spans="8:8">
      <c r="H1322" s="2"/>
    </row>
    <row r="1323" spans="8:8">
      <c r="H1323" s="2"/>
    </row>
    <row r="1324" spans="8:8">
      <c r="H1324" s="2"/>
    </row>
    <row r="1325" spans="8:8">
      <c r="H1325" s="2"/>
    </row>
    <row r="1326" spans="8:8">
      <c r="H1326" s="2"/>
    </row>
    <row r="1327" spans="8:8">
      <c r="H1327" s="2"/>
    </row>
    <row r="1328" spans="8:8">
      <c r="H1328" s="2"/>
    </row>
    <row r="1329" spans="8:8">
      <c r="H1329" s="2"/>
    </row>
    <row r="1330" spans="8:8">
      <c r="H1330" s="2"/>
    </row>
    <row r="1331" spans="8:8">
      <c r="H1331" s="2"/>
    </row>
    <row r="1332" spans="8:8">
      <c r="H1332" s="2"/>
    </row>
    <row r="1333" spans="8:8">
      <c r="H1333" s="2"/>
    </row>
    <row r="1334" spans="8:8">
      <c r="H1334" s="2"/>
    </row>
    <row r="1335" spans="8:8">
      <c r="H1335" s="2"/>
    </row>
    <row r="1336" spans="8:8">
      <c r="H1336" s="2"/>
    </row>
    <row r="1337" spans="8:8">
      <c r="H1337" s="2"/>
    </row>
    <row r="1338" spans="8:8">
      <c r="H1338" s="2"/>
    </row>
    <row r="1339" spans="8:8">
      <c r="H1339" s="2"/>
    </row>
    <row r="1340" spans="8:8">
      <c r="H1340" s="2"/>
    </row>
    <row r="1341" spans="8:8">
      <c r="H1341" s="2"/>
    </row>
    <row r="1342" spans="8:8">
      <c r="H1342" s="2"/>
    </row>
    <row r="1343" spans="8:8">
      <c r="H1343" s="2"/>
    </row>
    <row r="1344" spans="8:8">
      <c r="H1344" s="2"/>
    </row>
    <row r="1345" spans="8:8">
      <c r="H1345" s="2"/>
    </row>
    <row r="1346" spans="8:8">
      <c r="H1346" s="2"/>
    </row>
    <row r="1347" spans="8:8">
      <c r="H1347" s="2"/>
    </row>
    <row r="1348" spans="8:8">
      <c r="H1348" s="2"/>
    </row>
    <row r="1349" spans="8:8">
      <c r="H1349" s="2"/>
    </row>
    <row r="1350" spans="8:8">
      <c r="H1350" s="2"/>
    </row>
    <row r="1351" spans="8:8">
      <c r="H1351" s="2"/>
    </row>
    <row r="1352" spans="8:8">
      <c r="H1352" s="2"/>
    </row>
    <row r="1353" spans="8:8">
      <c r="H1353" s="2"/>
    </row>
    <row r="1354" spans="8:8">
      <c r="H1354" s="2"/>
    </row>
    <row r="1355" spans="8:8">
      <c r="H1355" s="2"/>
    </row>
    <row r="1356" spans="8:8">
      <c r="H1356" s="2"/>
    </row>
    <row r="1357" spans="8:8">
      <c r="H1357" s="2"/>
    </row>
    <row r="1358" spans="8:8">
      <c r="H1358" s="2"/>
    </row>
    <row r="1359" spans="8:8">
      <c r="H1359" s="2"/>
    </row>
    <row r="1360" spans="8:8">
      <c r="H1360" s="2"/>
    </row>
    <row r="1361" spans="8:8">
      <c r="H1361" s="2"/>
    </row>
    <row r="1362" spans="8:8">
      <c r="H1362" s="2"/>
    </row>
    <row r="1363" spans="8:8">
      <c r="H1363" s="2"/>
    </row>
    <row r="1364" spans="8:8">
      <c r="H1364" s="2"/>
    </row>
    <row r="1365" spans="8:8">
      <c r="H1365" s="2"/>
    </row>
    <row r="1366" spans="8:8">
      <c r="H1366" s="2"/>
    </row>
    <row r="1367" spans="8:8">
      <c r="H1367" s="2"/>
    </row>
    <row r="1368" spans="8:8">
      <c r="H1368" s="2"/>
    </row>
    <row r="1369" spans="8:8">
      <c r="H1369" s="2"/>
    </row>
    <row r="1370" spans="8:8">
      <c r="H1370" s="2"/>
    </row>
    <row r="1371" spans="8:8">
      <c r="H1371" s="2"/>
    </row>
    <row r="1372" spans="8:8">
      <c r="H1372" s="2"/>
    </row>
    <row r="1373" spans="8:8">
      <c r="H1373" s="2"/>
    </row>
    <row r="1374" spans="8:8">
      <c r="H1374" s="2"/>
    </row>
    <row r="1375" spans="8:8">
      <c r="H1375" s="2"/>
    </row>
    <row r="1376" spans="8:8">
      <c r="H1376" s="2"/>
    </row>
    <row r="1377" spans="8:8">
      <c r="H1377" s="2"/>
    </row>
    <row r="1378" spans="8:8">
      <c r="H1378" s="2"/>
    </row>
    <row r="1379" spans="8:8">
      <c r="H1379" s="2"/>
    </row>
    <row r="1380" spans="8:8">
      <c r="H1380" s="2"/>
    </row>
    <row r="1381" spans="8:8">
      <c r="H1381" s="2"/>
    </row>
    <row r="1382" spans="8:8">
      <c r="H1382" s="2"/>
    </row>
    <row r="1383" spans="8:8">
      <c r="H1383" s="2"/>
    </row>
    <row r="1384" spans="8:8">
      <c r="H1384" s="2"/>
    </row>
    <row r="1385" spans="8:8">
      <c r="H1385" s="2"/>
    </row>
    <row r="1386" spans="8:8">
      <c r="H1386" s="2"/>
    </row>
    <row r="1387" spans="8:8">
      <c r="H1387" s="2"/>
    </row>
    <row r="1388" spans="8:8">
      <c r="H1388" s="2"/>
    </row>
    <row r="1389" spans="8:8">
      <c r="H1389" s="2"/>
    </row>
    <row r="1390" spans="8:8">
      <c r="H1390" s="2"/>
    </row>
    <row r="1391" spans="8:8">
      <c r="H1391" s="2"/>
    </row>
    <row r="1392" spans="8:8">
      <c r="H1392" s="2"/>
    </row>
    <row r="1393" spans="8:8">
      <c r="H1393" s="2"/>
    </row>
    <row r="1394" spans="8:8">
      <c r="H1394" s="2"/>
    </row>
    <row r="1395" spans="8:8">
      <c r="H1395" s="2"/>
    </row>
    <row r="1396" spans="8:8">
      <c r="H1396" s="2"/>
    </row>
    <row r="1397" spans="8:8">
      <c r="H1397" s="2"/>
    </row>
    <row r="1398" spans="8:8">
      <c r="H1398" s="2"/>
    </row>
    <row r="1399" spans="8:8">
      <c r="H1399" s="2"/>
    </row>
    <row r="1400" spans="8:8">
      <c r="H1400" s="2"/>
    </row>
    <row r="1401" spans="8:8">
      <c r="H1401" s="2"/>
    </row>
    <row r="1402" spans="8:8">
      <c r="H1402" s="2"/>
    </row>
    <row r="1403" spans="8:8">
      <c r="H1403" s="2"/>
    </row>
    <row r="1404" spans="8:8">
      <c r="H1404" s="2"/>
    </row>
    <row r="1405" spans="8:8">
      <c r="H1405" s="2"/>
    </row>
    <row r="1406" spans="8:8">
      <c r="H1406" s="2"/>
    </row>
    <row r="1407" spans="8:8">
      <c r="H1407" s="2"/>
    </row>
    <row r="1408" spans="8:8">
      <c r="H1408" s="2"/>
    </row>
    <row r="1409" spans="8:8">
      <c r="H1409" s="2"/>
    </row>
    <row r="1410" spans="8:8">
      <c r="H1410" s="2"/>
    </row>
    <row r="1411" spans="8:8">
      <c r="H1411" s="2"/>
    </row>
    <row r="1412" spans="8:8">
      <c r="H1412" s="2"/>
    </row>
    <row r="1413" spans="8:8">
      <c r="H1413" s="2"/>
    </row>
    <row r="1414" spans="8:8">
      <c r="H1414" s="2"/>
    </row>
    <row r="1415" spans="8:8">
      <c r="H1415" s="2"/>
    </row>
    <row r="1416" spans="8:8">
      <c r="H1416" s="2"/>
    </row>
    <row r="1417" spans="8:8">
      <c r="H1417" s="2"/>
    </row>
    <row r="1418" spans="8:8">
      <c r="H1418" s="2"/>
    </row>
    <row r="1419" spans="8:8">
      <c r="H1419" s="2"/>
    </row>
    <row r="1420" spans="8:8">
      <c r="H1420" s="2"/>
    </row>
    <row r="1421" spans="8:8">
      <c r="H1421" s="2"/>
    </row>
    <row r="1422" spans="8:8">
      <c r="H1422" s="2"/>
    </row>
    <row r="1423" spans="8:8">
      <c r="H1423" s="2"/>
    </row>
    <row r="1424" spans="8:8">
      <c r="H1424" s="2"/>
    </row>
    <row r="1425" spans="8:8">
      <c r="H1425" s="2"/>
    </row>
    <row r="1426" spans="8:8">
      <c r="H1426" s="2"/>
    </row>
    <row r="1427" spans="8:8">
      <c r="H1427" s="2"/>
    </row>
    <row r="1428" spans="8:8">
      <c r="H1428" s="2"/>
    </row>
    <row r="1429" spans="8:8">
      <c r="H1429" s="2"/>
    </row>
    <row r="1430" spans="8:8">
      <c r="H1430" s="2"/>
    </row>
    <row r="1431" spans="8:8">
      <c r="H1431" s="2"/>
    </row>
    <row r="1432" spans="8:8">
      <c r="H1432" s="2"/>
    </row>
    <row r="1433" spans="8:8">
      <c r="H1433" s="2"/>
    </row>
    <row r="1434" spans="8:8">
      <c r="H1434" s="2"/>
    </row>
    <row r="1435" spans="8:8">
      <c r="H1435" s="2"/>
    </row>
    <row r="1436" spans="8:8">
      <c r="H1436" s="2"/>
    </row>
    <row r="1437" spans="8:8">
      <c r="H1437" s="2"/>
    </row>
    <row r="1438" spans="8:8">
      <c r="H1438" s="2"/>
    </row>
    <row r="1439" spans="8:8">
      <c r="H1439" s="2"/>
    </row>
    <row r="1440" spans="8:8">
      <c r="H1440" s="2"/>
    </row>
    <row r="1441" spans="8:8">
      <c r="H1441" s="2"/>
    </row>
    <row r="1442" spans="8:8">
      <c r="H1442" s="2"/>
    </row>
    <row r="1443" spans="8:8">
      <c r="H1443" s="2"/>
    </row>
    <row r="1444" spans="8:8">
      <c r="H1444" s="2"/>
    </row>
    <row r="1445" spans="8:8">
      <c r="H1445" s="2"/>
    </row>
    <row r="1446" spans="8:8">
      <c r="H1446" s="2"/>
    </row>
    <row r="1447" spans="8:8">
      <c r="H1447" s="2"/>
    </row>
    <row r="1448" spans="8:8">
      <c r="H1448" s="2"/>
    </row>
    <row r="1449" spans="8:8">
      <c r="H1449" s="2"/>
    </row>
    <row r="1450" spans="8:8">
      <c r="H1450" s="2"/>
    </row>
    <row r="1451" spans="8:8">
      <c r="H1451" s="2"/>
    </row>
    <row r="1452" spans="8:8">
      <c r="H1452" s="2"/>
    </row>
    <row r="1453" spans="8:8">
      <c r="H1453" s="2"/>
    </row>
    <row r="1454" spans="8:8">
      <c r="H1454" s="2"/>
    </row>
    <row r="1455" spans="8:8">
      <c r="H1455" s="2"/>
    </row>
    <row r="1456" spans="8:8">
      <c r="H1456" s="2"/>
    </row>
    <row r="1457" spans="8:8">
      <c r="H1457" s="2"/>
    </row>
    <row r="1458" spans="8:8">
      <c r="H1458" s="2"/>
    </row>
    <row r="1459" spans="8:8">
      <c r="H1459" s="2"/>
    </row>
    <row r="1460" spans="8:8">
      <c r="H1460" s="2"/>
    </row>
    <row r="1461" spans="8:8">
      <c r="H1461" s="2"/>
    </row>
    <row r="1462" spans="8:8">
      <c r="H1462" s="2"/>
    </row>
    <row r="1463" spans="8:8">
      <c r="H1463" s="2"/>
    </row>
    <row r="1464" spans="8:8">
      <c r="H1464" s="2"/>
    </row>
    <row r="1465" spans="8:8">
      <c r="H1465" s="2"/>
    </row>
    <row r="1466" spans="8:8">
      <c r="H1466" s="2"/>
    </row>
    <row r="1467" spans="8:8">
      <c r="H1467" s="2"/>
    </row>
    <row r="1468" spans="8:8">
      <c r="H1468" s="2"/>
    </row>
    <row r="1469" spans="8:8">
      <c r="H1469" s="2"/>
    </row>
    <row r="1470" spans="8:8">
      <c r="H1470" s="2"/>
    </row>
    <row r="1471" spans="8:8">
      <c r="H1471" s="2"/>
    </row>
    <row r="1472" spans="8:8">
      <c r="H1472" s="2"/>
    </row>
    <row r="1473" spans="8:8">
      <c r="H1473" s="2"/>
    </row>
    <row r="1474" spans="8:8">
      <c r="H1474" s="2"/>
    </row>
    <row r="1475" spans="8:8">
      <c r="H1475" s="2"/>
    </row>
    <row r="1476" spans="8:8">
      <c r="H1476" s="2"/>
    </row>
    <row r="1477" spans="8:8">
      <c r="H1477" s="2"/>
    </row>
    <row r="1478" spans="8:8">
      <c r="H1478" s="2"/>
    </row>
    <row r="1479" spans="8:8">
      <c r="H1479" s="2"/>
    </row>
    <row r="1480" spans="8:8">
      <c r="H1480" s="2"/>
    </row>
    <row r="1481" spans="8:8">
      <c r="H1481" s="2"/>
    </row>
    <row r="1482" spans="8:8">
      <c r="H1482" s="2"/>
    </row>
    <row r="1483" spans="8:8">
      <c r="H1483" s="2"/>
    </row>
    <row r="1484" spans="8:8">
      <c r="H1484" s="2"/>
    </row>
    <row r="1485" spans="8:8">
      <c r="H1485" s="2"/>
    </row>
    <row r="1486" spans="8:8">
      <c r="H1486" s="2"/>
    </row>
    <row r="1487" spans="8:8">
      <c r="H1487" s="2"/>
    </row>
    <row r="1488" spans="8:8">
      <c r="H1488" s="2"/>
    </row>
    <row r="1489" spans="8:8">
      <c r="H1489" s="2"/>
    </row>
    <row r="1490" spans="8:8">
      <c r="H1490" s="2"/>
    </row>
    <row r="1491" spans="8:8">
      <c r="H1491" s="2"/>
    </row>
    <row r="1492" spans="8:8">
      <c r="H1492" s="2"/>
    </row>
    <row r="1493" spans="8:8">
      <c r="H1493" s="2"/>
    </row>
    <row r="1494" spans="8:8">
      <c r="H1494" s="2"/>
    </row>
    <row r="1495" spans="8:8">
      <c r="H1495" s="2"/>
    </row>
    <row r="1496" spans="8:8">
      <c r="H1496" s="2"/>
    </row>
    <row r="1497" spans="8:8">
      <c r="H1497" s="2"/>
    </row>
    <row r="1498" spans="8:8">
      <c r="H1498" s="2"/>
    </row>
    <row r="1499" spans="8:8">
      <c r="H1499" s="2"/>
    </row>
    <row r="1500" spans="8:8">
      <c r="H1500" s="2"/>
    </row>
    <row r="1501" spans="8:8">
      <c r="H1501" s="2"/>
    </row>
    <row r="1502" spans="8:8">
      <c r="H1502" s="2"/>
    </row>
    <row r="1503" spans="8:8">
      <c r="H1503" s="2"/>
    </row>
    <row r="1504" spans="8:8">
      <c r="H1504" s="2"/>
    </row>
    <row r="1505" spans="8:8">
      <c r="H1505" s="2"/>
    </row>
    <row r="1506" spans="8:8">
      <c r="H1506" s="2"/>
    </row>
    <row r="1507" spans="8:8">
      <c r="H1507" s="2"/>
    </row>
    <row r="1508" spans="8:8">
      <c r="H1508" s="2"/>
    </row>
    <row r="1509" spans="8:8">
      <c r="H1509" s="2"/>
    </row>
    <row r="1510" spans="8:8">
      <c r="H1510" s="2"/>
    </row>
    <row r="1511" spans="8:8">
      <c r="H1511" s="2"/>
    </row>
    <row r="1512" spans="8:8">
      <c r="H1512" s="2"/>
    </row>
    <row r="1513" spans="8:8">
      <c r="H1513" s="2"/>
    </row>
    <row r="1514" spans="8:8">
      <c r="H1514" s="2"/>
    </row>
    <row r="1515" spans="8:8">
      <c r="H1515" s="2"/>
    </row>
    <row r="1516" spans="8:8">
      <c r="H1516" s="2"/>
    </row>
    <row r="1517" spans="8:8">
      <c r="H1517" s="2"/>
    </row>
    <row r="1518" spans="8:8">
      <c r="H1518" s="2"/>
    </row>
    <row r="1519" spans="8:8">
      <c r="H1519" s="2"/>
    </row>
    <row r="1520" spans="8:8">
      <c r="H1520" s="2"/>
    </row>
    <row r="1521" spans="8:8">
      <c r="H1521" s="2"/>
    </row>
    <row r="1522" spans="8:8">
      <c r="H1522" s="2"/>
    </row>
    <row r="1523" spans="8:8">
      <c r="H1523" s="2"/>
    </row>
    <row r="1524" spans="8:8">
      <c r="H1524" s="2"/>
    </row>
    <row r="1525" spans="8:8">
      <c r="H1525" s="2"/>
    </row>
    <row r="1526" spans="8:8">
      <c r="H1526" s="2"/>
    </row>
    <row r="1527" spans="8:8">
      <c r="H1527" s="2"/>
    </row>
    <row r="1528" spans="8:8">
      <c r="H1528" s="2"/>
    </row>
    <row r="1529" spans="8:8">
      <c r="H1529" s="2"/>
    </row>
    <row r="1530" spans="8:8">
      <c r="H1530" s="2"/>
    </row>
    <row r="1531" spans="8:8">
      <c r="H1531" s="2"/>
    </row>
    <row r="1532" spans="8:8">
      <c r="H1532" s="2"/>
    </row>
    <row r="1533" spans="8:8">
      <c r="H1533" s="2"/>
    </row>
    <row r="1534" spans="8:8">
      <c r="H1534" s="2"/>
    </row>
    <row r="1535" spans="8:8">
      <c r="H1535" s="2"/>
    </row>
    <row r="1536" spans="8:8">
      <c r="H1536" s="2"/>
    </row>
    <row r="1537" spans="8:8">
      <c r="H1537" s="2"/>
    </row>
    <row r="1538" spans="8:8">
      <c r="H1538" s="2"/>
    </row>
    <row r="1539" spans="8:8">
      <c r="H1539" s="2"/>
    </row>
    <row r="1540" spans="8:8">
      <c r="H1540" s="2"/>
    </row>
    <row r="1541" spans="8:8">
      <c r="H1541" s="2"/>
    </row>
    <row r="1542" spans="8:8">
      <c r="H1542" s="2"/>
    </row>
    <row r="1543" spans="8:8">
      <c r="H1543" s="2"/>
    </row>
    <row r="1544" spans="8:8">
      <c r="H1544" s="2"/>
    </row>
    <row r="1545" spans="8:8">
      <c r="H1545" s="2"/>
    </row>
    <row r="1546" spans="8:8">
      <c r="H1546" s="2"/>
    </row>
    <row r="1547" spans="8:8">
      <c r="H1547" s="2"/>
    </row>
    <row r="1548" spans="8:8">
      <c r="H1548" s="2"/>
    </row>
    <row r="1549" spans="8:8">
      <c r="H1549" s="2"/>
    </row>
    <row r="1550" spans="8:8">
      <c r="H1550" s="2"/>
    </row>
    <row r="1551" spans="8:8">
      <c r="H1551" s="2"/>
    </row>
    <row r="1552" spans="8:8">
      <c r="H1552" s="2"/>
    </row>
    <row r="1553" spans="8:8">
      <c r="H1553" s="2"/>
    </row>
    <row r="1554" spans="8:8">
      <c r="H1554" s="2"/>
    </row>
    <row r="1555" spans="8:8">
      <c r="H1555" s="2"/>
    </row>
    <row r="1556" spans="8:8">
      <c r="H1556" s="2"/>
    </row>
    <row r="1557" spans="8:8">
      <c r="H1557" s="2"/>
    </row>
    <row r="1558" spans="8:8">
      <c r="H1558" s="2"/>
    </row>
    <row r="1559" spans="8:8">
      <c r="H1559" s="2"/>
    </row>
    <row r="1560" spans="8:8">
      <c r="H1560" s="2"/>
    </row>
    <row r="1561" spans="8:8">
      <c r="H1561" s="2"/>
    </row>
    <row r="1562" spans="8:8">
      <c r="H1562" s="2"/>
    </row>
    <row r="1563" spans="8:8">
      <c r="H1563" s="2"/>
    </row>
    <row r="1564" spans="8:8">
      <c r="H1564" s="2"/>
    </row>
    <row r="1565" spans="8:8">
      <c r="H1565" s="2"/>
    </row>
    <row r="1566" spans="8:8">
      <c r="H1566" s="2"/>
    </row>
    <row r="1567" spans="8:8">
      <c r="H1567" s="2"/>
    </row>
    <row r="1568" spans="8:8">
      <c r="H1568" s="2"/>
    </row>
    <row r="1569" spans="8:8">
      <c r="H1569" s="2"/>
    </row>
    <row r="1570" spans="8:8">
      <c r="H1570" s="2"/>
    </row>
    <row r="1571" spans="8:8">
      <c r="H1571" s="2"/>
    </row>
    <row r="1572" spans="8:8">
      <c r="H1572" s="2"/>
    </row>
    <row r="1573" spans="8:8">
      <c r="H1573" s="2"/>
    </row>
    <row r="1574" spans="8:8">
      <c r="H1574" s="2"/>
    </row>
    <row r="1575" spans="8:8">
      <c r="H1575" s="2"/>
    </row>
    <row r="1576" spans="8:8">
      <c r="H1576" s="2"/>
    </row>
    <row r="1577" spans="8:8">
      <c r="H1577" s="2"/>
    </row>
    <row r="1578" spans="8:8">
      <c r="H1578" s="2"/>
    </row>
    <row r="1579" spans="8:8">
      <c r="H1579" s="2"/>
    </row>
    <row r="1580" spans="8:8">
      <c r="H1580" s="2"/>
    </row>
    <row r="1581" spans="8:8">
      <c r="H1581" s="2"/>
    </row>
    <row r="1582" spans="8:8">
      <c r="H1582" s="2"/>
    </row>
    <row r="1583" spans="8:8">
      <c r="H1583" s="2"/>
    </row>
    <row r="1584" spans="8:8">
      <c r="H1584" s="2"/>
    </row>
    <row r="1585" spans="8:8">
      <c r="H1585" s="2"/>
    </row>
    <row r="1586" spans="8:8">
      <c r="H1586" s="2"/>
    </row>
    <row r="1587" spans="8:8">
      <c r="H1587" s="2"/>
    </row>
    <row r="1588" spans="8:8">
      <c r="H1588" s="2"/>
    </row>
    <row r="1589" spans="8:8">
      <c r="H1589" s="2"/>
    </row>
    <row r="1590" spans="8:8">
      <c r="H1590" s="2"/>
    </row>
    <row r="1591" spans="8:8">
      <c r="H1591" s="2"/>
    </row>
    <row r="1592" spans="8:8">
      <c r="H1592" s="2"/>
    </row>
    <row r="1593" spans="8:8">
      <c r="H1593" s="2"/>
    </row>
    <row r="1594" spans="8:8">
      <c r="H1594" s="2"/>
    </row>
    <row r="1595" spans="8:8">
      <c r="H1595" s="2"/>
    </row>
    <row r="1596" spans="8:8">
      <c r="H1596" s="2"/>
    </row>
    <row r="1597" spans="8:8">
      <c r="H1597" s="2"/>
    </row>
    <row r="1598" spans="8:8">
      <c r="H1598" s="2"/>
    </row>
    <row r="1599" spans="8:8">
      <c r="H1599" s="2"/>
    </row>
    <row r="1600" spans="8:8">
      <c r="H1600" s="2"/>
    </row>
    <row r="1601" spans="8:8">
      <c r="H1601" s="2"/>
    </row>
    <row r="1602" spans="8:8">
      <c r="H1602" s="2"/>
    </row>
    <row r="1603" spans="8:8">
      <c r="H1603" s="2"/>
    </row>
    <row r="1604" spans="8:8">
      <c r="H1604" s="2"/>
    </row>
    <row r="1605" spans="8:8">
      <c r="H1605" s="2"/>
    </row>
    <row r="1606" spans="8:8">
      <c r="H1606" s="2"/>
    </row>
    <row r="1607" spans="8:8">
      <c r="H1607" s="2"/>
    </row>
    <row r="1608" spans="8:8">
      <c r="H1608" s="2"/>
    </row>
    <row r="1609" spans="8:8">
      <c r="H1609" s="2"/>
    </row>
    <row r="1610" spans="8:8">
      <c r="H1610" s="2"/>
    </row>
    <row r="1611" spans="8:8">
      <c r="H1611" s="2"/>
    </row>
    <row r="1612" spans="8:8">
      <c r="H1612" s="2"/>
    </row>
    <row r="1613" spans="8:8">
      <c r="H1613" s="2"/>
    </row>
    <row r="1614" spans="8:8">
      <c r="H1614" s="2"/>
    </row>
    <row r="1615" spans="8:8">
      <c r="H1615" s="2"/>
    </row>
    <row r="1616" spans="8:8">
      <c r="H1616" s="2"/>
    </row>
    <row r="1617" spans="8:8">
      <c r="H1617" s="2"/>
    </row>
    <row r="1618" spans="8:8">
      <c r="H1618" s="2"/>
    </row>
    <row r="1619" spans="8:8">
      <c r="H1619" s="2"/>
    </row>
    <row r="1620" spans="8:8">
      <c r="H1620" s="2"/>
    </row>
    <row r="1621" spans="8:8">
      <c r="H1621" s="2"/>
    </row>
    <row r="1622" spans="8:8">
      <c r="H1622" s="2"/>
    </row>
    <row r="1623" spans="8:8">
      <c r="H1623" s="2"/>
    </row>
    <row r="1624" spans="8:8">
      <c r="H1624" s="2"/>
    </row>
    <row r="1625" spans="8:8">
      <c r="H1625" s="2"/>
    </row>
    <row r="1626" spans="8:8">
      <c r="H1626" s="2"/>
    </row>
    <row r="1627" spans="8:8">
      <c r="H1627" s="2"/>
    </row>
    <row r="1628" spans="8:8">
      <c r="H1628" s="2"/>
    </row>
    <row r="1629" spans="8:8">
      <c r="H1629" s="2"/>
    </row>
    <row r="1630" spans="8:8">
      <c r="H1630" s="2"/>
    </row>
    <row r="1631" spans="8:8">
      <c r="H1631" s="2"/>
    </row>
    <row r="1632" spans="8:8">
      <c r="H1632" s="2"/>
    </row>
    <row r="1633" spans="8:8">
      <c r="H1633" s="2"/>
    </row>
    <row r="1634" spans="8:8">
      <c r="H1634" s="2"/>
    </row>
    <row r="1635" spans="8:8">
      <c r="H1635" s="2"/>
    </row>
    <row r="1636" spans="8:8">
      <c r="H1636" s="2"/>
    </row>
    <row r="1637" spans="8:8">
      <c r="H1637" s="2"/>
    </row>
    <row r="1638" spans="8:8">
      <c r="H1638" s="2"/>
    </row>
    <row r="1639" spans="8:8">
      <c r="H1639" s="2"/>
    </row>
    <row r="1640" spans="8:8">
      <c r="H1640" s="2"/>
    </row>
    <row r="1641" spans="8:8">
      <c r="H1641" s="2"/>
    </row>
    <row r="1642" spans="8:8">
      <c r="H1642" s="2"/>
    </row>
    <row r="1643" spans="8:8">
      <c r="H1643" s="2"/>
    </row>
    <row r="1644" spans="8:8">
      <c r="H1644" s="2"/>
    </row>
    <row r="1645" spans="8:8">
      <c r="H1645" s="2"/>
    </row>
    <row r="1646" spans="8:8">
      <c r="H1646" s="2"/>
    </row>
    <row r="1647" spans="8:8">
      <c r="H1647" s="2"/>
    </row>
    <row r="1648" spans="8:8">
      <c r="H1648" s="2"/>
    </row>
    <row r="1649" spans="8:8">
      <c r="H1649" s="2"/>
    </row>
    <row r="1650" spans="8:8">
      <c r="H1650" s="2"/>
    </row>
    <row r="1651" spans="8:8">
      <c r="H1651" s="2"/>
    </row>
    <row r="1652" spans="8:8">
      <c r="H1652" s="2"/>
    </row>
    <row r="1653" spans="8:8">
      <c r="H1653" s="2"/>
    </row>
    <row r="1654" spans="8:8">
      <c r="H1654" s="2"/>
    </row>
    <row r="1655" spans="8:8">
      <c r="H1655" s="2"/>
    </row>
    <row r="1656" spans="8:8">
      <c r="H1656" s="2"/>
    </row>
    <row r="1657" spans="8:8">
      <c r="H1657" s="2"/>
    </row>
    <row r="1658" spans="8:8">
      <c r="H1658" s="2"/>
    </row>
    <row r="1659" spans="8:8">
      <c r="H1659" s="2"/>
    </row>
    <row r="1660" spans="8:8">
      <c r="H1660" s="2"/>
    </row>
    <row r="1661" spans="8:8">
      <c r="H1661" s="2"/>
    </row>
    <row r="1662" spans="8:8">
      <c r="H1662" s="2"/>
    </row>
    <row r="1663" spans="8:8">
      <c r="H1663" s="2"/>
    </row>
    <row r="1664" spans="8:8">
      <c r="H1664" s="2"/>
    </row>
    <row r="1665" spans="8:8">
      <c r="H1665" s="2"/>
    </row>
    <row r="1666" spans="8:8">
      <c r="H1666" s="2"/>
    </row>
    <row r="1667" spans="8:8">
      <c r="H1667" s="2"/>
    </row>
    <row r="1668" spans="8:8">
      <c r="H1668" s="2"/>
    </row>
    <row r="1669" spans="8:8">
      <c r="H1669" s="2"/>
    </row>
    <row r="1670" spans="8:8">
      <c r="H1670" s="2"/>
    </row>
    <row r="1671" spans="8:8">
      <c r="H1671" s="2"/>
    </row>
    <row r="1672" spans="8:8">
      <c r="H1672" s="2"/>
    </row>
    <row r="1673" spans="8:8">
      <c r="H1673" s="2"/>
    </row>
    <row r="1674" spans="8:8">
      <c r="H1674" s="2"/>
    </row>
    <row r="1675" spans="8:8">
      <c r="H1675" s="2"/>
    </row>
    <row r="1676" spans="8:8">
      <c r="H1676" s="2"/>
    </row>
    <row r="1677" spans="8:8">
      <c r="H1677" s="2"/>
    </row>
    <row r="1678" spans="8:8">
      <c r="H1678" s="2"/>
    </row>
    <row r="1679" spans="8:8">
      <c r="H1679" s="2"/>
    </row>
    <row r="1680" spans="8:8">
      <c r="H1680" s="2"/>
    </row>
    <row r="1681" spans="8:8">
      <c r="H1681" s="2"/>
    </row>
    <row r="1682" spans="8:8">
      <c r="H1682" s="2"/>
    </row>
    <row r="1683" spans="8:8">
      <c r="H1683" s="2"/>
    </row>
    <row r="1684" spans="8:8">
      <c r="H1684" s="2"/>
    </row>
    <row r="1685" spans="8:8">
      <c r="H1685" s="2"/>
    </row>
    <row r="1686" spans="8:8">
      <c r="H1686" s="2"/>
    </row>
    <row r="1687" spans="8:8">
      <c r="H1687" s="2"/>
    </row>
    <row r="1688" spans="8:8">
      <c r="H1688" s="2"/>
    </row>
    <row r="1689" spans="8:8">
      <c r="H1689" s="2"/>
    </row>
    <row r="1690" spans="8:8">
      <c r="H1690" s="2"/>
    </row>
    <row r="1691" spans="8:8">
      <c r="H1691" s="2"/>
    </row>
    <row r="1692" spans="8:8">
      <c r="H1692" s="2"/>
    </row>
    <row r="1693" spans="8:8">
      <c r="H1693" s="2"/>
    </row>
    <row r="1694" spans="8:8">
      <c r="H1694" s="2"/>
    </row>
    <row r="1695" spans="8:8">
      <c r="H1695" s="2"/>
    </row>
    <row r="1696" spans="8:8">
      <c r="H1696" s="2"/>
    </row>
    <row r="1697" spans="8:8">
      <c r="H1697" s="2"/>
    </row>
    <row r="1698" spans="8:8">
      <c r="H1698" s="2"/>
    </row>
    <row r="1699" spans="8:8">
      <c r="H1699" s="2"/>
    </row>
    <row r="1700" spans="8:8">
      <c r="H1700" s="2"/>
    </row>
    <row r="1701" spans="8:8">
      <c r="H1701" s="2"/>
    </row>
    <row r="1702" spans="8:8">
      <c r="H1702" s="2"/>
    </row>
    <row r="1703" spans="8:8">
      <c r="H1703" s="2"/>
    </row>
    <row r="1704" spans="8:8">
      <c r="H1704" s="2"/>
    </row>
    <row r="1705" spans="8:8">
      <c r="H1705" s="2"/>
    </row>
    <row r="1706" spans="8:8">
      <c r="H1706" s="2"/>
    </row>
    <row r="1707" spans="8:8">
      <c r="H1707" s="2"/>
    </row>
    <row r="1708" spans="8:8">
      <c r="H1708" s="2"/>
    </row>
    <row r="1709" spans="8:8">
      <c r="H1709" s="2"/>
    </row>
    <row r="1710" spans="8:8">
      <c r="H1710" s="2"/>
    </row>
    <row r="1711" spans="8:8">
      <c r="H1711" s="2"/>
    </row>
    <row r="1712" spans="8:8">
      <c r="H1712" s="2"/>
    </row>
    <row r="1713" spans="8:8">
      <c r="H1713" s="2"/>
    </row>
    <row r="1714" spans="8:8">
      <c r="H1714" s="2"/>
    </row>
    <row r="1715" spans="8:8">
      <c r="H1715" s="2"/>
    </row>
    <row r="1716" spans="8:8">
      <c r="H1716" s="2"/>
    </row>
    <row r="1717" spans="8:8">
      <c r="H1717" s="2"/>
    </row>
    <row r="1718" spans="8:8">
      <c r="H1718" s="2"/>
    </row>
    <row r="1719" spans="8:8">
      <c r="H1719" s="2"/>
    </row>
    <row r="1720" spans="8:8">
      <c r="H1720" s="2"/>
    </row>
    <row r="1721" spans="8:8">
      <c r="H1721" s="2"/>
    </row>
    <row r="1722" spans="8:8">
      <c r="H1722" s="2"/>
    </row>
    <row r="1723" spans="8:8">
      <c r="H1723" s="2"/>
    </row>
    <row r="1724" spans="8:8">
      <c r="H1724" s="2"/>
    </row>
    <row r="1725" spans="8:8">
      <c r="H1725" s="2"/>
    </row>
    <row r="1726" spans="8:8">
      <c r="H1726" s="2"/>
    </row>
    <row r="1727" spans="8:8">
      <c r="H1727" s="2"/>
    </row>
    <row r="1728" spans="8:8">
      <c r="H1728" s="2"/>
    </row>
    <row r="1729" spans="8:8">
      <c r="H1729" s="2"/>
    </row>
    <row r="1730" spans="8:8">
      <c r="H1730" s="2"/>
    </row>
    <row r="1731" spans="8:8">
      <c r="H1731" s="2"/>
    </row>
    <row r="1732" spans="8:8">
      <c r="H1732" s="2"/>
    </row>
    <row r="1733" spans="8:8">
      <c r="H1733" s="2"/>
    </row>
    <row r="1734" spans="8:8">
      <c r="H1734" s="2"/>
    </row>
    <row r="1735" spans="8:8">
      <c r="H1735" s="2"/>
    </row>
    <row r="1736" spans="8:8">
      <c r="H1736" s="2"/>
    </row>
    <row r="1737" spans="8:8">
      <c r="H1737" s="2"/>
    </row>
    <row r="1738" spans="8:8">
      <c r="H1738" s="2"/>
    </row>
    <row r="1739" spans="8:8">
      <c r="H1739" s="2"/>
    </row>
    <row r="1740" spans="8:8">
      <c r="H1740" s="2"/>
    </row>
    <row r="1741" spans="8:8">
      <c r="H1741" s="2"/>
    </row>
    <row r="1742" spans="8:8">
      <c r="H1742" s="2"/>
    </row>
    <row r="1743" spans="8:8">
      <c r="H1743" s="2"/>
    </row>
    <row r="1744" spans="8:8">
      <c r="H1744" s="2"/>
    </row>
    <row r="1745" spans="8:8">
      <c r="H1745" s="2"/>
    </row>
    <row r="1746" spans="8:8">
      <c r="H1746" s="2"/>
    </row>
    <row r="1747" spans="8:8">
      <c r="H1747" s="2"/>
    </row>
    <row r="1748" spans="8:8">
      <c r="H1748" s="2"/>
    </row>
    <row r="1749" spans="8:8">
      <c r="H1749" s="2"/>
    </row>
    <row r="1750" spans="8:8">
      <c r="H1750" s="2"/>
    </row>
    <row r="1751" spans="8:8">
      <c r="H1751" s="2"/>
    </row>
    <row r="1752" spans="8:8">
      <c r="H1752" s="2"/>
    </row>
    <row r="1753" spans="8:8">
      <c r="H1753" s="2"/>
    </row>
    <row r="1754" spans="8:8">
      <c r="H1754" s="2"/>
    </row>
    <row r="1755" spans="8:8">
      <c r="H1755" s="2"/>
    </row>
    <row r="1756" spans="8:8">
      <c r="H1756" s="2"/>
    </row>
    <row r="1757" spans="8:8">
      <c r="H1757" s="2"/>
    </row>
    <row r="1758" spans="8:8">
      <c r="H1758" s="2"/>
    </row>
    <row r="1759" spans="8:8">
      <c r="H1759" s="2"/>
    </row>
    <row r="1760" spans="8:8">
      <c r="H1760" s="2"/>
    </row>
    <row r="1761" spans="8:8">
      <c r="H1761" s="2"/>
    </row>
    <row r="1762" spans="8:8">
      <c r="H1762" s="2"/>
    </row>
    <row r="1763" spans="8:8">
      <c r="H1763" s="2"/>
    </row>
    <row r="1764" spans="8:8">
      <c r="H1764" s="2"/>
    </row>
    <row r="1765" spans="8:8">
      <c r="H1765" s="2"/>
    </row>
    <row r="1766" spans="8:8">
      <c r="H1766" s="2"/>
    </row>
    <row r="1767" spans="8:8">
      <c r="H1767" s="2"/>
    </row>
    <row r="1768" spans="8:8">
      <c r="H1768" s="2"/>
    </row>
    <row r="1769" spans="8:8">
      <c r="H1769" s="2"/>
    </row>
    <row r="1770" spans="8:8">
      <c r="H1770" s="2"/>
    </row>
    <row r="1771" spans="8:8">
      <c r="H1771" s="2"/>
    </row>
    <row r="1772" spans="8:8">
      <c r="H1772" s="2"/>
    </row>
    <row r="1773" spans="8:8">
      <c r="H1773" s="2"/>
    </row>
    <row r="1774" spans="8:8">
      <c r="H1774" s="2"/>
    </row>
    <row r="1775" spans="8:8">
      <c r="H1775" s="2"/>
    </row>
    <row r="1776" spans="8:8">
      <c r="H1776" s="2"/>
    </row>
    <row r="1777" spans="8:8">
      <c r="H1777" s="2"/>
    </row>
    <row r="1778" spans="8:8">
      <c r="H1778" s="2"/>
    </row>
    <row r="1779" spans="8:8">
      <c r="H1779" s="2"/>
    </row>
    <row r="1780" spans="8:8">
      <c r="H1780" s="2"/>
    </row>
    <row r="1781" spans="8:8">
      <c r="H1781" s="2"/>
    </row>
    <row r="1782" spans="8:8">
      <c r="H1782" s="2"/>
    </row>
    <row r="1783" spans="8:8">
      <c r="H1783" s="2"/>
    </row>
    <row r="1784" spans="8:8">
      <c r="H1784" s="2"/>
    </row>
    <row r="1785" spans="8:8">
      <c r="H1785" s="2"/>
    </row>
    <row r="1786" spans="8:8">
      <c r="H1786" s="2"/>
    </row>
    <row r="1787" spans="8:8">
      <c r="H1787" s="2"/>
    </row>
    <row r="1788" spans="8:8">
      <c r="H1788" s="2"/>
    </row>
    <row r="1789" spans="8:8">
      <c r="H1789" s="2"/>
    </row>
    <row r="1790" spans="8:8">
      <c r="H1790" s="2"/>
    </row>
    <row r="1791" spans="8:8">
      <c r="H1791" s="2"/>
    </row>
    <row r="1792" spans="8:8">
      <c r="H1792" s="2"/>
    </row>
    <row r="1793" spans="8:8">
      <c r="H1793" s="2"/>
    </row>
    <row r="1794" spans="8:8">
      <c r="H1794" s="2"/>
    </row>
    <row r="1795" spans="8:8">
      <c r="H1795" s="2"/>
    </row>
    <row r="1796" spans="8:8">
      <c r="H1796" s="2"/>
    </row>
    <row r="1797" spans="8:8">
      <c r="H1797" s="2"/>
    </row>
    <row r="1798" spans="8:8">
      <c r="H1798" s="2"/>
    </row>
    <row r="1799" spans="8:8">
      <c r="H1799" s="2"/>
    </row>
    <row r="1800" spans="8:8">
      <c r="H1800" s="2"/>
    </row>
    <row r="1801" spans="8:8">
      <c r="H1801" s="2"/>
    </row>
    <row r="1802" spans="8:8">
      <c r="H1802" s="2"/>
    </row>
    <row r="1803" spans="8:8">
      <c r="H1803" s="2"/>
    </row>
    <row r="1804" spans="8:8">
      <c r="H1804" s="2"/>
    </row>
    <row r="1805" spans="8:8">
      <c r="H1805" s="2"/>
    </row>
    <row r="1806" spans="8:8">
      <c r="H1806" s="2"/>
    </row>
    <row r="1807" spans="8:8">
      <c r="H1807" s="2"/>
    </row>
    <row r="1808" spans="8:8">
      <c r="H1808" s="2"/>
    </row>
    <row r="1809" spans="8:8">
      <c r="H1809" s="2"/>
    </row>
    <row r="1810" spans="8:8">
      <c r="H1810" s="2"/>
    </row>
    <row r="1811" spans="8:8">
      <c r="H1811" s="2"/>
    </row>
    <row r="1812" spans="8:8">
      <c r="H1812" s="2"/>
    </row>
    <row r="1813" spans="8:8">
      <c r="H1813" s="2"/>
    </row>
    <row r="1814" spans="8:8">
      <c r="H1814" s="2"/>
    </row>
    <row r="1815" spans="8:8">
      <c r="H1815" s="2"/>
    </row>
    <row r="1816" spans="8:8">
      <c r="H1816" s="2"/>
    </row>
    <row r="1817" spans="8:8">
      <c r="H1817" s="2"/>
    </row>
    <row r="1818" spans="8:8">
      <c r="H1818" s="2"/>
    </row>
    <row r="1819" spans="8:8">
      <c r="H1819" s="2"/>
    </row>
    <row r="1820" spans="8:8">
      <c r="H1820" s="2"/>
    </row>
    <row r="1821" spans="8:8">
      <c r="H1821" s="2"/>
    </row>
    <row r="1822" spans="8:8">
      <c r="H1822" s="2"/>
    </row>
    <row r="1823" spans="8:8">
      <c r="H1823" s="2"/>
    </row>
    <row r="1824" spans="8:8">
      <c r="H1824" s="2"/>
    </row>
    <row r="1825" spans="8:8">
      <c r="H1825" s="2"/>
    </row>
    <row r="1826" spans="8:8">
      <c r="H1826" s="2"/>
    </row>
    <row r="1827" spans="8:8">
      <c r="H1827" s="2"/>
    </row>
    <row r="1828" spans="8:8">
      <c r="H1828" s="2"/>
    </row>
    <row r="1829" spans="8:8">
      <c r="H1829" s="2"/>
    </row>
    <row r="1830" spans="8:8">
      <c r="H1830" s="2"/>
    </row>
    <row r="1831" spans="8:8">
      <c r="H1831" s="2"/>
    </row>
    <row r="1832" spans="8:8">
      <c r="H1832" s="2"/>
    </row>
    <row r="1833" spans="8:8">
      <c r="H1833" s="2"/>
    </row>
    <row r="1834" spans="8:8">
      <c r="H1834" s="2"/>
    </row>
    <row r="1835" spans="8:8">
      <c r="H1835" s="2"/>
    </row>
    <row r="1836" spans="8:8">
      <c r="H1836" s="2"/>
    </row>
    <row r="1837" spans="8:8">
      <c r="H1837" s="2"/>
    </row>
    <row r="1838" spans="8:8">
      <c r="H1838" s="2"/>
    </row>
    <row r="1839" spans="8:8">
      <c r="H1839" s="2"/>
    </row>
    <row r="1840" spans="8:8">
      <c r="H1840" s="2"/>
    </row>
    <row r="1841" spans="8:8">
      <c r="H1841" s="2"/>
    </row>
    <row r="1842" spans="8:8">
      <c r="H1842" s="2"/>
    </row>
    <row r="1843" spans="8:8">
      <c r="H1843" s="2"/>
    </row>
    <row r="1844" spans="8:8">
      <c r="H1844" s="2"/>
    </row>
    <row r="1845" spans="8:8">
      <c r="H1845" s="2"/>
    </row>
    <row r="1846" spans="8:8">
      <c r="H1846" s="2"/>
    </row>
    <row r="1847" spans="8:8">
      <c r="H1847" s="2"/>
    </row>
    <row r="1848" spans="8:8">
      <c r="H1848" s="2"/>
    </row>
    <row r="1849" spans="8:8">
      <c r="H1849" s="2"/>
    </row>
    <row r="1850" spans="8:8">
      <c r="H1850" s="2"/>
    </row>
    <row r="1851" spans="8:8">
      <c r="H1851" s="2"/>
    </row>
    <row r="1852" spans="8:8">
      <c r="H1852" s="2"/>
    </row>
    <row r="1853" spans="8:8">
      <c r="H1853" s="2"/>
    </row>
    <row r="1854" spans="8:8">
      <c r="H1854" s="2"/>
    </row>
    <row r="1855" spans="8:8">
      <c r="H1855" s="2"/>
    </row>
    <row r="1856" spans="8:8">
      <c r="H1856" s="2"/>
    </row>
    <row r="1857" spans="8:8">
      <c r="H1857" s="2"/>
    </row>
    <row r="1858" spans="8:8">
      <c r="H1858" s="2"/>
    </row>
    <row r="1859" spans="8:8">
      <c r="H1859" s="2"/>
    </row>
    <row r="1860" spans="8:8">
      <c r="H1860" s="2"/>
    </row>
    <row r="1861" spans="8:8">
      <c r="H1861" s="2"/>
    </row>
    <row r="1862" spans="8:8">
      <c r="H1862" s="2"/>
    </row>
    <row r="1863" spans="8:8">
      <c r="H1863" s="2"/>
    </row>
    <row r="1864" spans="8:8">
      <c r="H1864" s="2"/>
    </row>
    <row r="1865" spans="8:8">
      <c r="H1865" s="2"/>
    </row>
    <row r="1866" spans="8:8">
      <c r="H1866" s="2"/>
    </row>
    <row r="1867" spans="8:8">
      <c r="H1867" s="2"/>
    </row>
    <row r="1868" spans="8:8">
      <c r="H1868" s="2"/>
    </row>
    <row r="1869" spans="8:8">
      <c r="H1869" s="2"/>
    </row>
    <row r="1870" spans="8:8">
      <c r="H1870" s="2"/>
    </row>
    <row r="1871" spans="8:8">
      <c r="H1871" s="2"/>
    </row>
    <row r="1872" spans="8:8">
      <c r="H1872" s="2"/>
    </row>
    <row r="1873" spans="8:8">
      <c r="H1873" s="2"/>
    </row>
    <row r="1874" spans="8:8">
      <c r="H1874" s="2"/>
    </row>
    <row r="1875" spans="8:8">
      <c r="H1875" s="2"/>
    </row>
    <row r="1876" spans="8:8">
      <c r="H1876" s="2"/>
    </row>
    <row r="1877" spans="8:8">
      <c r="H1877" s="2"/>
    </row>
    <row r="1878" spans="8:8">
      <c r="H1878" s="2"/>
    </row>
    <row r="1879" spans="8:8">
      <c r="H1879" s="2"/>
    </row>
    <row r="1880" spans="8:8">
      <c r="H1880" s="2"/>
    </row>
    <row r="1881" spans="8:8">
      <c r="H1881" s="2"/>
    </row>
    <row r="1882" spans="8:8">
      <c r="H1882" s="2"/>
    </row>
    <row r="1883" spans="8:8">
      <c r="H1883" s="2"/>
    </row>
    <row r="1884" spans="8:8">
      <c r="H1884" s="2"/>
    </row>
    <row r="1885" spans="8:8">
      <c r="H1885" s="2"/>
    </row>
    <row r="1886" spans="8:8">
      <c r="H1886" s="2"/>
    </row>
    <row r="1887" spans="8:8">
      <c r="H1887" s="2"/>
    </row>
    <row r="1888" spans="8:8">
      <c r="H1888" s="2"/>
    </row>
    <row r="1889" spans="8:8">
      <c r="H1889" s="2"/>
    </row>
    <row r="1890" spans="8:8">
      <c r="H1890" s="2"/>
    </row>
    <row r="1891" spans="8:8">
      <c r="H1891" s="2"/>
    </row>
    <row r="1892" spans="8:8">
      <c r="H1892" s="2"/>
    </row>
    <row r="1893" spans="8:8">
      <c r="H1893" s="2"/>
    </row>
    <row r="1894" spans="8:8">
      <c r="H1894" s="2"/>
    </row>
    <row r="1895" spans="8:8">
      <c r="H1895" s="2"/>
    </row>
    <row r="1896" spans="8:8">
      <c r="H1896" s="2"/>
    </row>
    <row r="1897" spans="8:8">
      <c r="H1897" s="2"/>
    </row>
    <row r="1898" spans="8:8">
      <c r="H1898" s="2"/>
    </row>
    <row r="1899" spans="8:8">
      <c r="H1899" s="2"/>
    </row>
    <row r="1900" spans="8:8">
      <c r="H1900" s="2"/>
    </row>
    <row r="1901" spans="8:8">
      <c r="H1901" s="2"/>
    </row>
    <row r="1902" spans="8:8">
      <c r="H1902" s="2"/>
    </row>
    <row r="1903" spans="8:8">
      <c r="H1903" s="2"/>
    </row>
    <row r="1904" spans="8:8">
      <c r="H1904" s="2"/>
    </row>
    <row r="1905" spans="8:8">
      <c r="H1905" s="2"/>
    </row>
    <row r="1906" spans="8:8">
      <c r="H1906" s="2"/>
    </row>
    <row r="1907" spans="8:8">
      <c r="H1907" s="2"/>
    </row>
    <row r="1908" spans="8:8">
      <c r="H1908" s="2"/>
    </row>
    <row r="1909" spans="8:8">
      <c r="H1909" s="2"/>
    </row>
    <row r="1910" spans="8:8">
      <c r="H1910" s="2"/>
    </row>
    <row r="1911" spans="8:8">
      <c r="H1911" s="2"/>
    </row>
    <row r="1912" spans="8:8">
      <c r="H1912" s="2"/>
    </row>
    <row r="1913" spans="8:8">
      <c r="H1913" s="2"/>
    </row>
    <row r="1914" spans="8:8">
      <c r="H1914" s="2"/>
    </row>
    <row r="1915" spans="8:8">
      <c r="H1915" s="2"/>
    </row>
    <row r="1916" spans="8:8">
      <c r="H1916" s="2"/>
    </row>
    <row r="1917" spans="8:8">
      <c r="H1917" s="2"/>
    </row>
    <row r="1918" spans="8:8">
      <c r="H1918" s="2"/>
    </row>
    <row r="1919" spans="8:8">
      <c r="H1919" s="2"/>
    </row>
    <row r="1920" spans="8:8">
      <c r="H1920" s="2"/>
    </row>
    <row r="1921" spans="8:8">
      <c r="H1921" s="2"/>
    </row>
    <row r="1922" spans="8:8">
      <c r="H1922" s="2"/>
    </row>
    <row r="1923" spans="8:8">
      <c r="H1923" s="2"/>
    </row>
    <row r="1924" spans="8:8">
      <c r="H1924" s="2"/>
    </row>
    <row r="1925" spans="8:8">
      <c r="H1925" s="2"/>
    </row>
    <row r="1926" spans="8:8">
      <c r="H1926" s="2"/>
    </row>
    <row r="1927" spans="8:8">
      <c r="H1927" s="2"/>
    </row>
    <row r="1928" spans="8:8">
      <c r="H1928" s="2"/>
    </row>
    <row r="1929" spans="8:8">
      <c r="H1929" s="2"/>
    </row>
    <row r="1930" spans="8:8">
      <c r="H1930" s="2"/>
    </row>
    <row r="1931" spans="8:8">
      <c r="H1931" s="2"/>
    </row>
    <row r="1932" spans="8:8">
      <c r="H1932" s="2"/>
    </row>
    <row r="1933" spans="8:8">
      <c r="H1933" s="2"/>
    </row>
    <row r="1934" spans="8:8">
      <c r="H1934" s="2"/>
    </row>
    <row r="1935" spans="8:8">
      <c r="H1935" s="2"/>
    </row>
    <row r="1936" spans="8:8">
      <c r="H1936" s="2"/>
    </row>
    <row r="1937" spans="8:8">
      <c r="H1937" s="2"/>
    </row>
    <row r="1938" spans="8:8">
      <c r="H1938" s="2"/>
    </row>
    <row r="1939" spans="8:8">
      <c r="H1939" s="2"/>
    </row>
    <row r="1940" spans="8:8">
      <c r="H1940" s="2"/>
    </row>
    <row r="1941" spans="8:8">
      <c r="H1941" s="2"/>
    </row>
    <row r="1942" spans="8:8">
      <c r="H1942" s="2"/>
    </row>
    <row r="1943" spans="8:8">
      <c r="H1943" s="2"/>
    </row>
    <row r="1944" spans="8:8">
      <c r="H1944" s="2"/>
    </row>
    <row r="1945" spans="8:8">
      <c r="H1945" s="2"/>
    </row>
    <row r="1946" spans="8:8">
      <c r="H1946" s="2"/>
    </row>
    <row r="1947" spans="8:8">
      <c r="H1947" s="2"/>
    </row>
    <row r="1948" spans="8:8">
      <c r="H1948" s="2"/>
    </row>
    <row r="1949" spans="8:8">
      <c r="H1949" s="2"/>
    </row>
    <row r="1950" spans="8:8">
      <c r="H1950" s="2"/>
    </row>
    <row r="1951" spans="8:8">
      <c r="H1951" s="2"/>
    </row>
    <row r="1952" spans="8:8">
      <c r="H1952" s="2"/>
    </row>
    <row r="1953" spans="8:8">
      <c r="H1953" s="2"/>
    </row>
    <row r="1954" spans="8:8">
      <c r="H1954" s="2"/>
    </row>
    <row r="1955" spans="8:8">
      <c r="H1955" s="2"/>
    </row>
    <row r="1956" spans="8:8">
      <c r="H1956" s="2"/>
    </row>
    <row r="1957" spans="8:8">
      <c r="H1957" s="2"/>
    </row>
    <row r="1958" spans="8:8">
      <c r="H1958" s="2"/>
    </row>
    <row r="1959" spans="8:8">
      <c r="H1959" s="2"/>
    </row>
    <row r="1960" spans="8:8">
      <c r="H1960" s="2"/>
    </row>
    <row r="1961" spans="8:8">
      <c r="H1961" s="2"/>
    </row>
    <row r="1962" spans="8:8">
      <c r="H1962" s="2"/>
    </row>
    <row r="1963" spans="8:8">
      <c r="H1963" s="2"/>
    </row>
    <row r="1964" spans="8:8">
      <c r="H1964" s="2"/>
    </row>
    <row r="1965" spans="8:8">
      <c r="H1965" s="2"/>
    </row>
    <row r="1966" spans="8:8">
      <c r="H1966" s="2"/>
    </row>
    <row r="1967" spans="8:8">
      <c r="H1967" s="2"/>
    </row>
    <row r="1968" spans="8:8">
      <c r="H1968" s="2"/>
    </row>
    <row r="1969" spans="8:8">
      <c r="H1969" s="2"/>
    </row>
    <row r="1970" spans="8:8">
      <c r="H1970" s="2"/>
    </row>
    <row r="1971" spans="8:8">
      <c r="H1971" s="2"/>
    </row>
    <row r="1972" spans="8:8">
      <c r="H1972" s="2"/>
    </row>
    <row r="1973" spans="8:8">
      <c r="H1973" s="2"/>
    </row>
    <row r="1974" spans="8:8">
      <c r="H1974" s="2"/>
    </row>
    <row r="1975" spans="8:8">
      <c r="H1975" s="2"/>
    </row>
    <row r="1976" spans="8:8">
      <c r="H1976" s="2"/>
    </row>
    <row r="1977" spans="8:8">
      <c r="H1977" s="2"/>
    </row>
    <row r="1978" spans="8:8">
      <c r="H1978" s="2"/>
    </row>
    <row r="1979" spans="8:8">
      <c r="H1979" s="2"/>
    </row>
    <row r="1980" spans="8:8">
      <c r="H1980" s="2"/>
    </row>
    <row r="1981" spans="8:8">
      <c r="H1981" s="2"/>
    </row>
    <row r="1982" spans="8:8">
      <c r="H1982" s="2"/>
    </row>
    <row r="1983" spans="8:8">
      <c r="H1983" s="2"/>
    </row>
    <row r="1984" spans="8:8">
      <c r="H1984" s="2"/>
    </row>
    <row r="1985" spans="8:8">
      <c r="H1985" s="2"/>
    </row>
    <row r="1986" spans="8:8">
      <c r="H1986" s="2"/>
    </row>
    <row r="1987" spans="8:8">
      <c r="H1987" s="2"/>
    </row>
    <row r="1988" spans="8:8">
      <c r="H1988" s="2"/>
    </row>
    <row r="1989" spans="8:8">
      <c r="H1989" s="2"/>
    </row>
    <row r="1990" spans="8:8">
      <c r="H1990" s="2"/>
    </row>
    <row r="1991" spans="8:8">
      <c r="H1991" s="2"/>
    </row>
    <row r="1992" spans="8:8">
      <c r="H1992" s="2"/>
    </row>
    <row r="1993" spans="8:8">
      <c r="H1993" s="2"/>
    </row>
    <row r="1994" spans="8:8">
      <c r="H1994" s="2"/>
    </row>
    <row r="1995" spans="8:8">
      <c r="H1995" s="2"/>
    </row>
    <row r="1996" spans="8:8">
      <c r="H1996" s="2"/>
    </row>
    <row r="1997" spans="8:8">
      <c r="H1997" s="2"/>
    </row>
    <row r="1998" spans="8:8">
      <c r="H1998" s="2"/>
    </row>
    <row r="1999" spans="8:8">
      <c r="H1999" s="2"/>
    </row>
    <row r="2000" spans="8:8">
      <c r="H2000" s="2"/>
    </row>
    <row r="2001" spans="8:8">
      <c r="H2001" s="2"/>
    </row>
    <row r="2002" spans="8:8">
      <c r="H2002" s="2"/>
    </row>
    <row r="2003" spans="8:8">
      <c r="H2003" s="2"/>
    </row>
    <row r="2004" spans="8:8">
      <c r="H2004" s="2"/>
    </row>
    <row r="2005" spans="8:8">
      <c r="H2005" s="2"/>
    </row>
    <row r="2006" spans="8:8">
      <c r="H2006" s="2"/>
    </row>
    <row r="2007" spans="8:8">
      <c r="H2007" s="2"/>
    </row>
    <row r="2008" spans="8:8">
      <c r="H2008" s="2"/>
    </row>
    <row r="2009" spans="8:8">
      <c r="H2009" s="2"/>
    </row>
    <row r="2010" spans="8:8">
      <c r="H2010" s="2"/>
    </row>
    <row r="2011" spans="8:8">
      <c r="H2011" s="2"/>
    </row>
    <row r="2012" spans="8:8">
      <c r="H2012" s="2"/>
    </row>
    <row r="2013" spans="8:8">
      <c r="H2013" s="2"/>
    </row>
    <row r="2014" spans="8:8">
      <c r="H2014" s="2"/>
    </row>
    <row r="2015" spans="8:8">
      <c r="H2015" s="2"/>
    </row>
    <row r="2016" spans="8:8">
      <c r="H2016" s="2"/>
    </row>
    <row r="2017" spans="8:8">
      <c r="H2017" s="2"/>
    </row>
    <row r="2018" spans="8:8">
      <c r="H2018" s="2"/>
    </row>
    <row r="2019" spans="8:8">
      <c r="H2019" s="2"/>
    </row>
    <row r="2020" spans="8:8">
      <c r="H2020" s="2"/>
    </row>
    <row r="2021" spans="8:8">
      <c r="H2021" s="2"/>
    </row>
    <row r="2022" spans="8:8">
      <c r="H2022" s="2"/>
    </row>
    <row r="2023" spans="8:8">
      <c r="H2023" s="2"/>
    </row>
    <row r="2024" spans="8:8">
      <c r="H2024" s="2"/>
    </row>
    <row r="2025" spans="8:8">
      <c r="H2025" s="2"/>
    </row>
    <row r="2026" spans="8:8">
      <c r="H2026" s="2"/>
    </row>
    <row r="2027" spans="8:8">
      <c r="H2027" s="2"/>
    </row>
    <row r="2028" spans="8:8">
      <c r="H2028" s="2"/>
    </row>
    <row r="2029" spans="8:8">
      <c r="H2029" s="2"/>
    </row>
    <row r="2030" spans="8:8">
      <c r="H2030" s="2"/>
    </row>
    <row r="2031" spans="8:8">
      <c r="H2031" s="2"/>
    </row>
    <row r="2032" spans="8:8">
      <c r="H2032" s="2"/>
    </row>
    <row r="2033" spans="8:8">
      <c r="H2033" s="2"/>
    </row>
    <row r="2034" spans="8:8">
      <c r="H2034" s="2"/>
    </row>
    <row r="2035" spans="8:8">
      <c r="H2035" s="2"/>
    </row>
    <row r="2036" spans="8:8">
      <c r="H2036" s="2"/>
    </row>
    <row r="2037" spans="8:8">
      <c r="H2037" s="2"/>
    </row>
    <row r="2038" spans="8:8">
      <c r="H2038" s="2"/>
    </row>
    <row r="2039" spans="8:8">
      <c r="H2039" s="2"/>
    </row>
    <row r="2040" spans="8:8">
      <c r="H2040" s="2"/>
    </row>
    <row r="2041" spans="8:8">
      <c r="H2041" s="2"/>
    </row>
    <row r="2042" spans="8:8">
      <c r="H2042" s="2"/>
    </row>
    <row r="2043" spans="8:8">
      <c r="H2043" s="2"/>
    </row>
    <row r="2044" spans="8:8">
      <c r="H2044" s="2"/>
    </row>
    <row r="2045" spans="8:8">
      <c r="H2045" s="2"/>
    </row>
    <row r="2046" spans="8:8">
      <c r="H2046" s="2"/>
    </row>
    <row r="2047" spans="8:8">
      <c r="H2047" s="2"/>
    </row>
    <row r="2048" spans="8:8">
      <c r="H2048" s="2"/>
    </row>
    <row r="2049" spans="8:8">
      <c r="H2049" s="2"/>
    </row>
    <row r="2050" spans="8:8">
      <c r="H2050" s="2"/>
    </row>
    <row r="2051" spans="8:8">
      <c r="H2051" s="2"/>
    </row>
    <row r="2052" spans="8:8">
      <c r="H2052" s="2"/>
    </row>
    <row r="2053" spans="8:8">
      <c r="H2053" s="2"/>
    </row>
    <row r="2054" spans="8:8">
      <c r="H2054" s="2"/>
    </row>
    <row r="2055" spans="8:8">
      <c r="H2055" s="2"/>
    </row>
    <row r="2056" spans="8:8">
      <c r="H2056" s="2"/>
    </row>
    <row r="2057" spans="8:8">
      <c r="H2057" s="2"/>
    </row>
    <row r="2058" spans="8:8">
      <c r="H2058" s="2"/>
    </row>
    <row r="2059" spans="8:8">
      <c r="H2059" s="2"/>
    </row>
    <row r="2060" spans="8:8">
      <c r="H2060" s="2"/>
    </row>
    <row r="2061" spans="8:8">
      <c r="H2061" s="2"/>
    </row>
    <row r="2062" spans="8:8">
      <c r="H2062" s="2"/>
    </row>
    <row r="2063" spans="8:8">
      <c r="H2063" s="2"/>
    </row>
    <row r="2064" spans="8:8">
      <c r="H2064" s="2"/>
    </row>
    <row r="2065" spans="8:8">
      <c r="H2065" s="2"/>
    </row>
    <row r="2066" spans="8:8">
      <c r="H2066" s="2"/>
    </row>
    <row r="2067" spans="8:8">
      <c r="H2067" s="2"/>
    </row>
    <row r="2068" spans="8:8">
      <c r="H2068" s="2"/>
    </row>
    <row r="2069" spans="8:8">
      <c r="H2069" s="2"/>
    </row>
    <row r="2070" spans="8:8">
      <c r="H2070" s="2"/>
    </row>
    <row r="2071" spans="8:8">
      <c r="H2071" s="2"/>
    </row>
    <row r="2072" spans="8:8">
      <c r="H2072" s="2"/>
    </row>
    <row r="2073" spans="8:8">
      <c r="H2073" s="2"/>
    </row>
    <row r="2074" spans="8:8">
      <c r="H2074" s="2"/>
    </row>
    <row r="2075" spans="8:8">
      <c r="H2075" s="2"/>
    </row>
    <row r="2076" spans="8:8">
      <c r="H2076" s="2"/>
    </row>
    <row r="2077" spans="8:8">
      <c r="H2077" s="2"/>
    </row>
    <row r="2078" spans="8:8">
      <c r="H2078" s="2"/>
    </row>
    <row r="2079" spans="8:8">
      <c r="H2079" s="2"/>
    </row>
    <row r="2080" spans="8:8">
      <c r="H2080" s="2"/>
    </row>
    <row r="2081" spans="8:8">
      <c r="H2081" s="2"/>
    </row>
    <row r="2082" spans="8:8">
      <c r="H2082" s="2"/>
    </row>
    <row r="2083" spans="8:8">
      <c r="H2083" s="2"/>
    </row>
    <row r="2084" spans="8:8">
      <c r="H2084" s="2"/>
    </row>
    <row r="2085" spans="8:8">
      <c r="H2085" s="2"/>
    </row>
    <row r="2086" spans="8:8">
      <c r="H2086" s="2"/>
    </row>
    <row r="2087" spans="8:8">
      <c r="H2087" s="2"/>
    </row>
    <row r="2088" spans="8:8">
      <c r="H2088" s="2"/>
    </row>
    <row r="2089" spans="8:8">
      <c r="H2089" s="2"/>
    </row>
    <row r="2090" spans="8:8">
      <c r="H2090" s="2"/>
    </row>
    <row r="2091" spans="8:8">
      <c r="H2091" s="2"/>
    </row>
    <row r="2092" spans="8:8">
      <c r="H2092" s="2"/>
    </row>
    <row r="2093" spans="8:8">
      <c r="H2093" s="2"/>
    </row>
    <row r="2094" spans="8:8">
      <c r="H2094" s="2"/>
    </row>
    <row r="2095" spans="8:8">
      <c r="H2095" s="2"/>
    </row>
    <row r="2096" spans="8:8">
      <c r="H2096" s="2"/>
    </row>
    <row r="2097" spans="8:8">
      <c r="H2097" s="2"/>
    </row>
    <row r="2098" spans="8:8">
      <c r="H2098" s="2"/>
    </row>
    <row r="2099" spans="8:8">
      <c r="H2099" s="2"/>
    </row>
    <row r="2100" spans="8:8">
      <c r="H2100" s="2"/>
    </row>
    <row r="2101" spans="8:8">
      <c r="H2101" s="2"/>
    </row>
    <row r="2102" spans="8:8">
      <c r="H2102" s="2"/>
    </row>
    <row r="2103" spans="8:8">
      <c r="H2103" s="2"/>
    </row>
    <row r="2104" spans="8:8">
      <c r="H2104" s="2"/>
    </row>
    <row r="2105" spans="8:8">
      <c r="H2105" s="2"/>
    </row>
    <row r="2106" spans="8:8">
      <c r="H2106" s="2"/>
    </row>
    <row r="2107" spans="8:8">
      <c r="H2107" s="2"/>
    </row>
    <row r="2108" spans="8:8">
      <c r="H2108" s="2"/>
    </row>
    <row r="2109" spans="8:8">
      <c r="H2109" s="2"/>
    </row>
    <row r="2110" spans="8:8">
      <c r="H2110" s="2"/>
    </row>
    <row r="2111" spans="8:8">
      <c r="H2111" s="2"/>
    </row>
    <row r="2112" spans="8:8">
      <c r="H2112" s="2"/>
    </row>
    <row r="2113" spans="8:8">
      <c r="H2113" s="2"/>
    </row>
    <row r="2114" spans="8:8">
      <c r="H2114" s="2"/>
    </row>
    <row r="2115" spans="8:8">
      <c r="H2115" s="2"/>
    </row>
    <row r="2116" spans="8:8">
      <c r="H2116" s="2"/>
    </row>
    <row r="2117" spans="8:8">
      <c r="H2117" s="2"/>
    </row>
    <row r="2118" spans="8:8">
      <c r="H2118" s="2"/>
    </row>
    <row r="2119" spans="8:8">
      <c r="H2119" s="2"/>
    </row>
    <row r="2120" spans="8:8">
      <c r="H2120" s="2"/>
    </row>
    <row r="2121" spans="8:8">
      <c r="H2121" s="2"/>
    </row>
    <row r="2122" spans="8:8">
      <c r="H2122" s="2"/>
    </row>
    <row r="2123" spans="8:8">
      <c r="H2123" s="2"/>
    </row>
    <row r="2124" spans="8:8">
      <c r="H2124" s="2"/>
    </row>
    <row r="2125" spans="8:8">
      <c r="H2125" s="2"/>
    </row>
    <row r="2126" spans="8:8">
      <c r="H2126" s="2"/>
    </row>
    <row r="2127" spans="8:8">
      <c r="H2127" s="2"/>
    </row>
    <row r="2128" spans="8:8">
      <c r="H2128" s="2"/>
    </row>
    <row r="2129" spans="8:8">
      <c r="H2129" s="2"/>
    </row>
    <row r="2130" spans="8:8">
      <c r="H2130" s="2"/>
    </row>
    <row r="2131" spans="8:8">
      <c r="H2131" s="2"/>
    </row>
    <row r="2132" spans="8:8">
      <c r="H2132" s="2"/>
    </row>
    <row r="2133" spans="8:8">
      <c r="H2133" s="2"/>
    </row>
    <row r="2134" spans="8:8">
      <c r="H2134" s="2"/>
    </row>
    <row r="2135" spans="8:8">
      <c r="H2135" s="2"/>
    </row>
    <row r="2136" spans="8:8">
      <c r="H2136" s="2"/>
    </row>
    <row r="2137" spans="8:8">
      <c r="H2137" s="2"/>
    </row>
    <row r="2138" spans="8:8">
      <c r="H2138" s="2"/>
    </row>
    <row r="2139" spans="8:8">
      <c r="H2139" s="2"/>
    </row>
    <row r="2140" spans="8:8">
      <c r="H2140" s="2"/>
    </row>
    <row r="2141" spans="8:8">
      <c r="H2141" s="2"/>
    </row>
    <row r="2142" spans="8:8">
      <c r="H2142" s="2"/>
    </row>
    <row r="2143" spans="8:8">
      <c r="H2143" s="2"/>
    </row>
    <row r="2144" spans="8:8">
      <c r="H2144" s="2"/>
    </row>
    <row r="2145" spans="8:8">
      <c r="H2145" s="2"/>
    </row>
    <row r="2146" spans="8:8">
      <c r="H2146" s="2"/>
    </row>
    <row r="2147" spans="8:8">
      <c r="H2147" s="2"/>
    </row>
    <row r="2148" spans="8:8">
      <c r="H2148" s="2"/>
    </row>
    <row r="2149" spans="8:8">
      <c r="H2149" s="2"/>
    </row>
    <row r="2150" spans="8:8">
      <c r="H2150" s="2"/>
    </row>
    <row r="2151" spans="8:8">
      <c r="H2151" s="2"/>
    </row>
    <row r="2152" spans="8:8">
      <c r="H2152" s="2"/>
    </row>
    <row r="2153" spans="8:8">
      <c r="H2153" s="2"/>
    </row>
    <row r="2154" spans="8:8">
      <c r="H2154" s="2"/>
    </row>
    <row r="2155" spans="8:8">
      <c r="H2155" s="2"/>
    </row>
    <row r="2156" spans="8:8">
      <c r="H2156" s="2"/>
    </row>
    <row r="2157" spans="8:8">
      <c r="H2157" s="2"/>
    </row>
    <row r="2158" spans="8:8">
      <c r="H2158" s="2"/>
    </row>
    <row r="2159" spans="8:8">
      <c r="H2159" s="2"/>
    </row>
    <row r="2160" spans="8:8">
      <c r="H2160" s="2"/>
    </row>
    <row r="2161" spans="8:8">
      <c r="H2161" s="2"/>
    </row>
    <row r="2162" spans="8:8">
      <c r="H2162" s="2"/>
    </row>
    <row r="2163" spans="8:8">
      <c r="H2163" s="2"/>
    </row>
    <row r="2164" spans="8:8">
      <c r="H2164" s="2"/>
    </row>
    <row r="2165" spans="8:8">
      <c r="H2165" s="2"/>
    </row>
    <row r="2166" spans="8:8">
      <c r="H2166" s="2"/>
    </row>
    <row r="2167" spans="8:8">
      <c r="H2167" s="2"/>
    </row>
    <row r="2168" spans="8:8">
      <c r="H2168" s="2"/>
    </row>
    <row r="2169" spans="8:8">
      <c r="H2169" s="2"/>
    </row>
    <row r="2170" spans="8:8">
      <c r="H2170" s="2"/>
    </row>
    <row r="2171" spans="8:8">
      <c r="H2171" s="2"/>
    </row>
    <row r="2172" spans="8:8">
      <c r="H2172" s="2"/>
    </row>
    <row r="2173" spans="8:8">
      <c r="H2173" s="2"/>
    </row>
    <row r="2174" spans="8:8">
      <c r="H2174" s="2"/>
    </row>
    <row r="2175" spans="8:8">
      <c r="H2175" s="2"/>
    </row>
    <row r="2176" spans="8:8">
      <c r="H2176" s="2"/>
    </row>
    <row r="2177" spans="8:8">
      <c r="H2177" s="2"/>
    </row>
    <row r="2178" spans="8:8">
      <c r="H2178" s="2"/>
    </row>
    <row r="2179" spans="8:8">
      <c r="H2179" s="2"/>
    </row>
    <row r="2180" spans="8:8">
      <c r="H2180" s="2"/>
    </row>
    <row r="2181" spans="8:8">
      <c r="H2181" s="2"/>
    </row>
    <row r="2182" spans="8:8">
      <c r="H2182" s="2"/>
    </row>
    <row r="2183" spans="8:8">
      <c r="H2183" s="2"/>
    </row>
    <row r="2184" spans="8:8">
      <c r="H2184" s="2"/>
    </row>
    <row r="2185" spans="8:8">
      <c r="H2185" s="2"/>
    </row>
    <row r="2186" spans="8:8">
      <c r="H2186" s="2"/>
    </row>
    <row r="2187" spans="8:8">
      <c r="H2187" s="2"/>
    </row>
    <row r="2188" spans="8:8">
      <c r="H2188" s="2"/>
    </row>
    <row r="2189" spans="8:8">
      <c r="H2189" s="2"/>
    </row>
    <row r="2190" spans="8:8">
      <c r="H2190" s="2"/>
    </row>
    <row r="2191" spans="8:8">
      <c r="H2191" s="2"/>
    </row>
    <row r="2192" spans="8:8">
      <c r="H2192" s="2"/>
    </row>
    <row r="2193" spans="8:8">
      <c r="H2193" s="2"/>
    </row>
    <row r="2194" spans="8:8">
      <c r="H2194" s="2"/>
    </row>
    <row r="2195" spans="8:8">
      <c r="H2195" s="2"/>
    </row>
    <row r="2196" spans="8:8">
      <c r="H2196" s="2"/>
    </row>
    <row r="2197" spans="8:8">
      <c r="H2197" s="2"/>
    </row>
    <row r="2198" spans="8:8">
      <c r="H2198" s="2"/>
    </row>
    <row r="2199" spans="8:8">
      <c r="H2199" s="2"/>
    </row>
    <row r="2200" spans="8:8">
      <c r="H2200" s="2"/>
    </row>
    <row r="2201" spans="8:8">
      <c r="H2201" s="2"/>
    </row>
    <row r="2202" spans="8:8">
      <c r="H2202" s="2"/>
    </row>
    <row r="2203" spans="8:8">
      <c r="H2203" s="2"/>
    </row>
    <row r="2204" spans="8:8">
      <c r="H2204" s="2"/>
    </row>
    <row r="2205" spans="8:8">
      <c r="H2205" s="2"/>
    </row>
    <row r="2206" spans="8:8">
      <c r="H2206" s="2"/>
    </row>
    <row r="2207" spans="8:8">
      <c r="H2207" s="2"/>
    </row>
    <row r="2208" spans="8:8">
      <c r="H2208" s="2"/>
    </row>
    <row r="2209" spans="8:8">
      <c r="H2209" s="2"/>
    </row>
    <row r="2210" spans="8:8">
      <c r="H2210" s="2"/>
    </row>
    <row r="2211" spans="8:8">
      <c r="H2211" s="2"/>
    </row>
    <row r="2212" spans="8:8">
      <c r="H2212" s="2"/>
    </row>
    <row r="2213" spans="8:8">
      <c r="H2213" s="2"/>
    </row>
    <row r="2214" spans="8:8">
      <c r="H2214" s="2"/>
    </row>
    <row r="2215" spans="8:8">
      <c r="H2215" s="2"/>
    </row>
    <row r="2216" spans="8:8">
      <c r="H2216" s="2"/>
    </row>
    <row r="2217" spans="8:8">
      <c r="H2217" s="2"/>
    </row>
    <row r="2218" spans="8:8">
      <c r="H2218" s="2"/>
    </row>
    <row r="2219" spans="8:8">
      <c r="H2219" s="2"/>
    </row>
    <row r="2220" spans="8:8">
      <c r="H2220" s="2"/>
    </row>
    <row r="2221" spans="8:8">
      <c r="H2221" s="2"/>
    </row>
    <row r="2222" spans="8:8">
      <c r="H2222" s="2"/>
    </row>
    <row r="2223" spans="8:8">
      <c r="H2223" s="2"/>
    </row>
    <row r="2224" spans="8:8">
      <c r="H2224" s="2"/>
    </row>
    <row r="2225" spans="8:8">
      <c r="H2225" s="2"/>
    </row>
    <row r="2226" spans="8:8">
      <c r="H2226" s="2"/>
    </row>
    <row r="2227" spans="8:8">
      <c r="H2227" s="2"/>
    </row>
    <row r="2228" spans="8:8">
      <c r="H2228" s="2"/>
    </row>
    <row r="2229" spans="8:8">
      <c r="H2229" s="2"/>
    </row>
    <row r="2230" spans="8:8">
      <c r="H2230" s="2"/>
    </row>
    <row r="2231" spans="8:8">
      <c r="H2231" s="2"/>
    </row>
    <row r="2232" spans="8:8">
      <c r="H2232" s="2"/>
    </row>
    <row r="2233" spans="8:8">
      <c r="H2233" s="2"/>
    </row>
    <row r="2234" spans="8:8">
      <c r="H2234" s="2"/>
    </row>
    <row r="2235" spans="8:8">
      <c r="H2235" s="2"/>
    </row>
    <row r="2236" spans="8:8">
      <c r="H2236" s="2"/>
    </row>
    <row r="2237" spans="8:8">
      <c r="H2237" s="2"/>
    </row>
    <row r="2238" spans="8:8">
      <c r="H2238" s="2"/>
    </row>
    <row r="2239" spans="8:8">
      <c r="H2239" s="2"/>
    </row>
    <row r="2240" spans="8:8">
      <c r="H2240" s="2"/>
    </row>
    <row r="2241" spans="8:8">
      <c r="H22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2" spans="8:8">
      <c r="H22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3" spans="8:8">
      <c r="H22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4" spans="8:8">
      <c r="H22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5" spans="8:8">
      <c r="H22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6" spans="8:8">
      <c r="H22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7" spans="8:8">
      <c r="H22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8" spans="8:8">
      <c r="H22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9" spans="8:8">
      <c r="H22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0" spans="8:8">
      <c r="H22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1" spans="8:8">
      <c r="H22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2" spans="8:8">
      <c r="H22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3" spans="8:8">
      <c r="H22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4" spans="8:8">
      <c r="H22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5" spans="8:8">
      <c r="H22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6" spans="8:8">
      <c r="H22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7" spans="8:8">
      <c r="H22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8" spans="8:8">
      <c r="H22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9" spans="8:8">
      <c r="H22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0" spans="8:8">
      <c r="H22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1" spans="8:8">
      <c r="H22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2" spans="8:8">
      <c r="H22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3" spans="8:8">
      <c r="H22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4" spans="8:8">
      <c r="H22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5" spans="8:8">
      <c r="H22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6" spans="8:8">
      <c r="H22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7" spans="8:8">
      <c r="H22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8" spans="8:8">
      <c r="H22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9" spans="8:8">
      <c r="H22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0" spans="8:8">
      <c r="H22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1" spans="8:8">
      <c r="H22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2" spans="8:8">
      <c r="H22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3" spans="8:8">
      <c r="H22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4" spans="8:8">
      <c r="H22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5" spans="8:8">
      <c r="H22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6" spans="8:8">
      <c r="H22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7" spans="8:8">
      <c r="H22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8" spans="8:8">
      <c r="H22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9" spans="8:8">
      <c r="H22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0" spans="8:8">
      <c r="H22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1" spans="8:8">
      <c r="H22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2" spans="8:8">
      <c r="H22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3" spans="8:8">
      <c r="H22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4" spans="8:8">
      <c r="H22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5" spans="8:8">
      <c r="H22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6" spans="8:8">
      <c r="H22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7" spans="8:8">
      <c r="H22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8" spans="8:8">
      <c r="H22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9" spans="8:8">
      <c r="H22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0" spans="8:8">
      <c r="H22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1" spans="8:8">
      <c r="H22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2" spans="8:8">
      <c r="H22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3" spans="8:8">
      <c r="H22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4" spans="8:8">
      <c r="H22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5" spans="8:8">
      <c r="H22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6" spans="8:8">
      <c r="H22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7" spans="8:8">
      <c r="H22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8" spans="8:8">
      <c r="H22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9" spans="8:8">
      <c r="H22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0" spans="8:8">
      <c r="H23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1" spans="8:8">
      <c r="H23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2" spans="8:8">
      <c r="H23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3" spans="8:8">
      <c r="H23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4" spans="8:8">
      <c r="H23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5" spans="8:8">
      <c r="H23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6" spans="8:8">
      <c r="H23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7" spans="8:8">
      <c r="H23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8" spans="8:8">
      <c r="H23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9" spans="8:8">
      <c r="H23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0" spans="8:8">
      <c r="H23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1" spans="8:8">
      <c r="H23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2" spans="8:8">
      <c r="H23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3" spans="8:8">
      <c r="H23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4" spans="8:8">
      <c r="H23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5" spans="8:8">
      <c r="H23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6" spans="8:8">
      <c r="H23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7" spans="8:8">
      <c r="H23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8" spans="8:8">
      <c r="H23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9" spans="8:8">
      <c r="H23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0" spans="8:8">
      <c r="H23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1" spans="8:8">
      <c r="H23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2" spans="8:8">
      <c r="H23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3" spans="8:8">
      <c r="H23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4" spans="8:8">
      <c r="H23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5" spans="8:8">
      <c r="H23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6" spans="8:8">
      <c r="H23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7" spans="8:8">
      <c r="H23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8" spans="8:8">
      <c r="H23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9" spans="8:8">
      <c r="H23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0" spans="8:8">
      <c r="H23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1" spans="8:8">
      <c r="H23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2" spans="8:8">
      <c r="H23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3" spans="8:8">
      <c r="H23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4" spans="8:8">
      <c r="H23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5" spans="8:8">
      <c r="H23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6" spans="8:8">
      <c r="H23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7" spans="8:8">
      <c r="H23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8" spans="8:8">
      <c r="H23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9" spans="8:8">
      <c r="H23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0" spans="8:8">
      <c r="H23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1" spans="8:8">
      <c r="H23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2" spans="8:8">
      <c r="H23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3" spans="8:8">
      <c r="H23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4" spans="8:8">
      <c r="H23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5" spans="8:8">
      <c r="H23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6" spans="8:8">
      <c r="H23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7" spans="8:8">
      <c r="H23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8" spans="8:8">
      <c r="H23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9" spans="8:8">
      <c r="H23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0" spans="8:8">
      <c r="H23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1" spans="8:8">
      <c r="H23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2" spans="8:8">
      <c r="H23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3" spans="8:8">
      <c r="H23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4" spans="8:8">
      <c r="H23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5" spans="8:8">
      <c r="H23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6" spans="8:8">
      <c r="H23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7" spans="8:8">
      <c r="H23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8" spans="8:8">
      <c r="H23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9" spans="8:8">
      <c r="H23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0" spans="8:8">
      <c r="H23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1" spans="8:8">
      <c r="H23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2" spans="8:8">
      <c r="H23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3" spans="8:8">
      <c r="H23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4" spans="8:8">
      <c r="H23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5" spans="8:8">
      <c r="H23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6" spans="8:8">
      <c r="H23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7" spans="8:8">
      <c r="H23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8" spans="8:8">
      <c r="H23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9" spans="8:8">
      <c r="H23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0" spans="8:8">
      <c r="H23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1" spans="8:8">
      <c r="H23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2" spans="8:8">
      <c r="H23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3" spans="8:8">
      <c r="H23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4" spans="8:8">
      <c r="H23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5" spans="8:8">
      <c r="H23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6" spans="8:8">
      <c r="H23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7" spans="8:8">
      <c r="H23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8" spans="8:8">
      <c r="H23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9" spans="8:8">
      <c r="H23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0" spans="8:8">
      <c r="H23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1" spans="8:8">
      <c r="H23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2" spans="8:8">
      <c r="H23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3" spans="8:8">
      <c r="H23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4" spans="8:8">
      <c r="H23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5" spans="8:8">
      <c r="H23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6" spans="8:8">
      <c r="H23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7" spans="8:8">
      <c r="H23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8" spans="8:8">
      <c r="H23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9" spans="8:8">
      <c r="H23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0" spans="8:8">
      <c r="H23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1" spans="8:8">
      <c r="H23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2" spans="8:8">
      <c r="H23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3" spans="8:8">
      <c r="H23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4" spans="8:8">
      <c r="H23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5" spans="8:8">
      <c r="H23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6" spans="8:8">
      <c r="H23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7" spans="8:8">
      <c r="H23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8" spans="8:8">
      <c r="H23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9" spans="8:8">
      <c r="H23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0" spans="8:8">
      <c r="H24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1" spans="8:8">
      <c r="H24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2" spans="8:8">
      <c r="H24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3" spans="8:8">
      <c r="H24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4" spans="8:8">
      <c r="H24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5" spans="8:8">
      <c r="H24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6" spans="8:8">
      <c r="H24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7" spans="8:8">
      <c r="H24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8" spans="8:8">
      <c r="H24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9" spans="8:8">
      <c r="H24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0" spans="8:8">
      <c r="H24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1" spans="8:8">
      <c r="H24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2" spans="8:8">
      <c r="H24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3" spans="8:8">
      <c r="H24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4" spans="8:8">
      <c r="H24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5" spans="8:8">
      <c r="H24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6" spans="8:8">
      <c r="H24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7" spans="8:8">
      <c r="H24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8" spans="8:8">
      <c r="H24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9" spans="8:8">
      <c r="H24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0" spans="8:8">
      <c r="H24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1" spans="8:8">
      <c r="H24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2" spans="8:8">
      <c r="H24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3" spans="8:8">
      <c r="H24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4" spans="8:8">
      <c r="H24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5" spans="8:8">
      <c r="H24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6" spans="8:8">
      <c r="H24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7" spans="8:8">
      <c r="H24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8" spans="8:8">
      <c r="H24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9" spans="8:8">
      <c r="H24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0" spans="8:8">
      <c r="H24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1" spans="8:8">
      <c r="H24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2" spans="8:8">
      <c r="H24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3" spans="8:8">
      <c r="H24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4" spans="8:8">
      <c r="H24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5" spans="8:8">
      <c r="H24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6" spans="8:8">
      <c r="H24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7" spans="8:8">
      <c r="H24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8" spans="8:8">
      <c r="H24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9" spans="8:8">
      <c r="H24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0" spans="8:8">
      <c r="H24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1" spans="8:8">
      <c r="H24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2" spans="8:8">
      <c r="H24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3" spans="8:8">
      <c r="H24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4" spans="8:8">
      <c r="H24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5" spans="8:8">
      <c r="H24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6" spans="8:8">
      <c r="H24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7" spans="8:8">
      <c r="H24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8" spans="8:8">
      <c r="H24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9" spans="8:8">
      <c r="H24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0" spans="8:8">
      <c r="H24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1" spans="8:8">
      <c r="H24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2" spans="8:8">
      <c r="H24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3" spans="8:8">
      <c r="H24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4" spans="8:8">
      <c r="H24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5" spans="8:8">
      <c r="H24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6" spans="8:8">
      <c r="H24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7" spans="8:8">
      <c r="H24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8" spans="8:8">
      <c r="H24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9" spans="8:8">
      <c r="H24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0" spans="8:8">
      <c r="H24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1" spans="8:8">
      <c r="H24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2" spans="8:8">
      <c r="H24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3" spans="8:8">
      <c r="H24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4" spans="8:8">
      <c r="H24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5" spans="8:8">
      <c r="H24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6" spans="8:8">
      <c r="H24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7" spans="8:8">
      <c r="H24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8" spans="8:8">
      <c r="H24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9" spans="8:8">
      <c r="H24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0" spans="8:8">
      <c r="H24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1" spans="8:8">
      <c r="H24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2" spans="8:8">
      <c r="H24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3" spans="8:8">
      <c r="H24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4" spans="8:8">
      <c r="H24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5" spans="8:8">
      <c r="H24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6" spans="8:8">
      <c r="H24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7" spans="8:8">
      <c r="H24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8" spans="8:8">
      <c r="H24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9" spans="8:8">
      <c r="H24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0" spans="8:8">
      <c r="H24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1" spans="8:8">
      <c r="H24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2" spans="8:8">
      <c r="H24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3" spans="8:8">
      <c r="H24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4" spans="8:8">
      <c r="H24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5" spans="8:8">
      <c r="H24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6" spans="8:8">
      <c r="H24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7" spans="8:8">
      <c r="H24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8" spans="8:8">
      <c r="H24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9" spans="8:8">
      <c r="H24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0" spans="8:8">
      <c r="H24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1" spans="8:8">
      <c r="H24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2" spans="8:8">
      <c r="H24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3" spans="8:8">
      <c r="H24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4" spans="8:8">
      <c r="H24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5" spans="8:8">
      <c r="H24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6" spans="8:8">
      <c r="H24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7" spans="8:8">
      <c r="H24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8" spans="8:8">
      <c r="H24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9" spans="8:8">
      <c r="H24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0" spans="8:8">
      <c r="H25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1" spans="8:8">
      <c r="H25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2" spans="8:8">
      <c r="H25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3" spans="8:8">
      <c r="H25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4" spans="8:8">
      <c r="H25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5" spans="8:8">
      <c r="H25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6" spans="8:8">
      <c r="H25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7" spans="8:8">
      <c r="H25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8" spans="8:8">
      <c r="H25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9" spans="8:8">
      <c r="H25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0" spans="8:8">
      <c r="H25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1" spans="8:8">
      <c r="H25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2" spans="8:8">
      <c r="H25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3" spans="8:8">
      <c r="H25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4" spans="8:8">
      <c r="H25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5" spans="8:8">
      <c r="H25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6" spans="8:8">
      <c r="H25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7" spans="8:8">
      <c r="H25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8" spans="8:8">
      <c r="H25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9" spans="8:8">
      <c r="H25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0" spans="8:8">
      <c r="H25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1" spans="8:8">
      <c r="H25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2" spans="8:8">
      <c r="H25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3" spans="8:8">
      <c r="H25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4" spans="8:8">
      <c r="H25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5" spans="8:8">
      <c r="H25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6" spans="8:8">
      <c r="H25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7" spans="8:8">
      <c r="H25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8" spans="8:8">
      <c r="H25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9" spans="8:8">
      <c r="H25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0" spans="8:8">
      <c r="H25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1" spans="8:8">
      <c r="H25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2" spans="8:8">
      <c r="H25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3" spans="8:8">
      <c r="H25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4" spans="8:8">
      <c r="H25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5" spans="8:8">
      <c r="H25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6" spans="8:8">
      <c r="H25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7" spans="8:8">
      <c r="H25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8" spans="8:8">
      <c r="H25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9" spans="8:8">
      <c r="H25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0" spans="8:8">
      <c r="H25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1" spans="8:8">
      <c r="H25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2" spans="8:8">
      <c r="H25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3" spans="8:8">
      <c r="H25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4" spans="8:8">
      <c r="H25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5" spans="8:8">
      <c r="H25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6" spans="8:8">
      <c r="H25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7" spans="8:8">
      <c r="H25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8" spans="8:8">
      <c r="H25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9" spans="8:8">
      <c r="H25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0" spans="8:8">
      <c r="H25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1" spans="8:8">
      <c r="H25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2" spans="8:8">
      <c r="H25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3" spans="8:8">
      <c r="H25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4" spans="8:8">
      <c r="H25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5" spans="8:8">
      <c r="H25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6" spans="8:8">
      <c r="H25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7" spans="8:8">
      <c r="H25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8" spans="8:8">
      <c r="H25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9" spans="8:8">
      <c r="H25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0" spans="8:8">
      <c r="H25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1" spans="8:8">
      <c r="H25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2" spans="8:8">
      <c r="H25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3" spans="8:8">
      <c r="H25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4" spans="8:8">
      <c r="H25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5" spans="8:8">
      <c r="H25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6" spans="8:8">
      <c r="H25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7" spans="8:8">
      <c r="H25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8" spans="8:8">
      <c r="H25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9" spans="8:8">
      <c r="H25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0" spans="8:8">
      <c r="H25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1" spans="8:8">
      <c r="H25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2" spans="8:8">
      <c r="H25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3" spans="8:8">
      <c r="H25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4" spans="8:8">
      <c r="H25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5" spans="8:8">
      <c r="H25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6" spans="8:8">
      <c r="H25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7" spans="8:8">
      <c r="H25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8" spans="8:8">
      <c r="H25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9" spans="8:8">
      <c r="H25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0" spans="8:8">
      <c r="H25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1" spans="8:8">
      <c r="H25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2" spans="8:8">
      <c r="H25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3" spans="8:8">
      <c r="H25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4" spans="8:8">
      <c r="H25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5" spans="8:8">
      <c r="H25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6" spans="8:8">
      <c r="H25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7" spans="8:8">
      <c r="H25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8" spans="8:8">
      <c r="H25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9" spans="8:8">
      <c r="H25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0" spans="8:8">
      <c r="H25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1" spans="8:8">
      <c r="H25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2" spans="8:8">
      <c r="H25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3" spans="8:8">
      <c r="H25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4" spans="8:8">
      <c r="H25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5" spans="8:8">
      <c r="H25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6" spans="8:8">
      <c r="H25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7" spans="8:8">
      <c r="H25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8" spans="8:8">
      <c r="H25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9" spans="8:8">
      <c r="H25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0" spans="8:8">
      <c r="H26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1" spans="8:8">
      <c r="H26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2" spans="8:8">
      <c r="H26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3" spans="8:8">
      <c r="H26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4" spans="8:8">
      <c r="H26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5" spans="8:8">
      <c r="H26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6" spans="8:8">
      <c r="H26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7" spans="8:8">
      <c r="H26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8" spans="8:8">
      <c r="H26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9" spans="8:8">
      <c r="H26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0" spans="8:8">
      <c r="H26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1" spans="8:8">
      <c r="H26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2" spans="8:8">
      <c r="H26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3" spans="8:8">
      <c r="H26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4" spans="8:8">
      <c r="H26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5" spans="8:8">
      <c r="H26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6" spans="8:8">
      <c r="H26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7" spans="8:8">
      <c r="H26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8" spans="8:8">
      <c r="H26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9" spans="8:8">
      <c r="H26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0" spans="8:8">
      <c r="H26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1" spans="8:8">
      <c r="H26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2" spans="8:8">
      <c r="H26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3" spans="8:8">
      <c r="H26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4" spans="8:8">
      <c r="H26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5" spans="8:8">
      <c r="H26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6" spans="8:8">
      <c r="H26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7" spans="8:8">
      <c r="H26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8" spans="8:8">
      <c r="H26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9" spans="8:8">
      <c r="H26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0" spans="8:8">
      <c r="H26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1" spans="8:8">
      <c r="H26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2" spans="8:8">
      <c r="H26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3" spans="8:8">
      <c r="H26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4" spans="8:8">
      <c r="H26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5" spans="8:8">
      <c r="H26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6" spans="8:8">
      <c r="H26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7" spans="8:8">
      <c r="H26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8" spans="8:8">
      <c r="H26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9" spans="8:8">
      <c r="H26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0" spans="8:8">
      <c r="H26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1" spans="8:8">
      <c r="H26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EXPORT.C</vt:lpstr>
      <vt:lpstr>CRLF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Mostert</dc:creator>
  <cp:lastModifiedBy>Jaco Mostert</cp:lastModifiedBy>
  <dcterms:created xsi:type="dcterms:W3CDTF">2020-01-07T21:12:33Z</dcterms:created>
  <dcterms:modified xsi:type="dcterms:W3CDTF">2024-07-24T23:06:08Z</dcterms:modified>
</cp:coreProperties>
</file>