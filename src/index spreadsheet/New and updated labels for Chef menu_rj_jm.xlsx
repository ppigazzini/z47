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acomostert/Downloads/"/>
    </mc:Choice>
  </mc:AlternateContent>
  <xr:revisionPtr revIDLastSave="0" documentId="13_ncr:1_{BDF42DF0-B96E-BF48-88F9-4F810A0FF87D}" xr6:coauthVersionLast="47" xr6:coauthVersionMax="47" xr10:uidLastSave="{00000000-0000-0000-0000-000000000000}"/>
  <bookViews>
    <workbookView xWindow="660" yWindow="980" windowWidth="32760" windowHeight="20500" activeTab="1" xr2:uid="{024C4FC4-B888-4944-B532-B224FCAEABAE}"/>
  </bookViews>
  <sheets>
    <sheet name="Items and code" sheetId="1" r:id="rId1"/>
    <sheet name="Factors" sheetId="3" r:id="rId2"/>
    <sheet name="STD" sheetId="2" r:id="rId3"/>
  </sheets>
  <definedNames>
    <definedName name="stdform">STD!$A:$B</definedName>
    <definedName name="units">Factors!$C$3:$F$18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3" l="1"/>
  <c r="G54" i="3"/>
  <c r="G53" i="3"/>
  <c r="G52" i="3"/>
  <c r="G51" i="3"/>
  <c r="G50" i="3"/>
  <c r="G49" i="3"/>
  <c r="G48" i="3"/>
  <c r="G44" i="3"/>
  <c r="G43" i="3"/>
  <c r="G42" i="3"/>
  <c r="G41" i="3"/>
  <c r="G40" i="3"/>
  <c r="G39" i="3"/>
  <c r="G46" i="3"/>
  <c r="G45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2" i="3"/>
  <c r="G23" i="3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4" i="1"/>
  <c r="J55" i="3"/>
  <c r="J54" i="3"/>
  <c r="J53" i="3"/>
  <c r="J52" i="3"/>
  <c r="J51" i="3"/>
  <c r="J50" i="3"/>
  <c r="J49" i="3"/>
  <c r="N48" i="3" s="1"/>
  <c r="J48" i="3"/>
  <c r="J47" i="3"/>
  <c r="J46" i="3"/>
  <c r="J45" i="3"/>
  <c r="K45" i="3" s="1"/>
  <c r="J44" i="3"/>
  <c r="J43" i="3"/>
  <c r="J42" i="3"/>
  <c r="J41" i="3"/>
  <c r="J40" i="3"/>
  <c r="J39" i="3"/>
  <c r="J38" i="3"/>
  <c r="J37" i="3"/>
  <c r="J36" i="3"/>
  <c r="N37" i="3" s="1"/>
  <c r="J35" i="3"/>
  <c r="N34" i="3" s="1"/>
  <c r="J34" i="3"/>
  <c r="J33" i="3"/>
  <c r="J32" i="3"/>
  <c r="J31" i="3"/>
  <c r="J30" i="3"/>
  <c r="J29" i="3"/>
  <c r="J28" i="3"/>
  <c r="J27" i="3"/>
  <c r="J26" i="3"/>
  <c r="J25" i="3"/>
  <c r="J24" i="3"/>
  <c r="N25" i="3" s="1"/>
  <c r="J23" i="3"/>
  <c r="J22" i="3"/>
  <c r="N55" i="3"/>
  <c r="N54" i="3"/>
  <c r="N53" i="3"/>
  <c r="N52" i="3"/>
  <c r="N51" i="3"/>
  <c r="N50" i="3"/>
  <c r="N49" i="3"/>
  <c r="N45" i="3"/>
  <c r="N44" i="3"/>
  <c r="N43" i="3"/>
  <c r="N42" i="3"/>
  <c r="N41" i="3"/>
  <c r="N40" i="3"/>
  <c r="N39" i="3"/>
  <c r="N36" i="3"/>
  <c r="N35" i="3"/>
  <c r="N33" i="3"/>
  <c r="N32" i="3"/>
  <c r="N31" i="3"/>
  <c r="N30" i="3"/>
  <c r="N29" i="3"/>
  <c r="N28" i="3"/>
  <c r="N27" i="3"/>
  <c r="N26" i="3"/>
  <c r="N24" i="3"/>
  <c r="N23" i="3"/>
  <c r="N22" i="3"/>
  <c r="M54" i="3"/>
  <c r="M55" i="3" s="1"/>
  <c r="K55" i="3" s="1"/>
  <c r="K54" i="3"/>
  <c r="M52" i="3"/>
  <c r="M53" i="3" s="1"/>
  <c r="K53" i="3" s="1"/>
  <c r="M50" i="3"/>
  <c r="M51" i="3" s="1"/>
  <c r="K51" i="3" s="1"/>
  <c r="M48" i="3"/>
  <c r="M49" i="3" s="1"/>
  <c r="M45" i="3"/>
  <c r="M46" i="3" s="1"/>
  <c r="K46" i="3" s="1"/>
  <c r="M43" i="3"/>
  <c r="M44" i="3" s="1"/>
  <c r="M41" i="3"/>
  <c r="M42" i="3" s="1"/>
  <c r="K42" i="3" s="1"/>
  <c r="K41" i="3"/>
  <c r="M39" i="3"/>
  <c r="M40" i="3" s="1"/>
  <c r="M36" i="3"/>
  <c r="M37" i="3" s="1"/>
  <c r="M34" i="3"/>
  <c r="M35" i="3" s="1"/>
  <c r="M32" i="3"/>
  <c r="M33" i="3" s="1"/>
  <c r="M30" i="3"/>
  <c r="M31" i="3" s="1"/>
  <c r="K31" i="3" s="1"/>
  <c r="M28" i="3"/>
  <c r="M29" i="3" s="1"/>
  <c r="K29" i="3" s="1"/>
  <c r="K28" i="3"/>
  <c r="M26" i="3"/>
  <c r="M27" i="3" s="1"/>
  <c r="K27" i="3" s="1"/>
  <c r="M24" i="3"/>
  <c r="M25" i="3" s="1"/>
  <c r="M23" i="3"/>
  <c r="M22" i="3"/>
  <c r="H22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J18" i="3"/>
  <c r="J11" i="3"/>
  <c r="J10" i="3"/>
  <c r="H10" i="3"/>
  <c r="J9" i="3"/>
  <c r="H7" i="3"/>
  <c r="G7" i="3"/>
  <c r="H6" i="3"/>
  <c r="G6" i="3"/>
  <c r="J5" i="3"/>
  <c r="N4" i="3"/>
  <c r="M4" i="3"/>
  <c r="F4" i="3"/>
  <c r="J17" i="3" s="1"/>
  <c r="J3" i="3"/>
  <c r="K35" i="3" l="1"/>
  <c r="N46" i="3"/>
  <c r="K52" i="3"/>
  <c r="K49" i="3"/>
  <c r="K48" i="3"/>
  <c r="K50" i="3"/>
  <c r="K44" i="3"/>
  <c r="K43" i="3"/>
  <c r="K39" i="3"/>
  <c r="K34" i="3"/>
  <c r="K36" i="3"/>
  <c r="K33" i="3"/>
  <c r="K32" i="3"/>
  <c r="K30" i="3"/>
  <c r="K26" i="3"/>
  <c r="K24" i="3"/>
  <c r="J4" i="3"/>
  <c r="E32" i="1"/>
  <c r="L32" i="1" s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K47" i="3"/>
  <c r="K22" i="3"/>
  <c r="D24" i="1" s="1"/>
  <c r="F55" i="3"/>
  <c r="F54" i="3"/>
  <c r="F46" i="3"/>
  <c r="F39" i="3"/>
  <c r="I17" i="1" s="1"/>
  <c r="J17" i="1" s="1"/>
  <c r="E19" i="1"/>
  <c r="L19" i="1" s="1"/>
  <c r="F4" i="1"/>
  <c r="F35" i="1"/>
  <c r="F34" i="1"/>
  <c r="F33" i="1"/>
  <c r="F32" i="1"/>
  <c r="F31" i="1"/>
  <c r="F30" i="1"/>
  <c r="F29" i="1"/>
  <c r="F28" i="1"/>
  <c r="F27" i="1"/>
  <c r="F26" i="1"/>
  <c r="F25" i="1"/>
  <c r="F24" i="1"/>
  <c r="F1" i="1" s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K40" i="3" l="1"/>
  <c r="K25" i="3"/>
  <c r="D19" i="1" s="1"/>
  <c r="H19" i="1" s="1"/>
  <c r="F32" i="3"/>
  <c r="I29" i="1" s="1"/>
  <c r="J29" i="1" s="1"/>
  <c r="F33" i="3"/>
  <c r="I25" i="1"/>
  <c r="J25" i="1" s="1"/>
  <c r="E23" i="1"/>
  <c r="L23" i="1" s="1"/>
  <c r="F52" i="3"/>
  <c r="I23" i="1" s="1"/>
  <c r="J23" i="1" s="1"/>
  <c r="E31" i="1"/>
  <c r="F51" i="3"/>
  <c r="D5" i="1"/>
  <c r="N5" i="1" s="1"/>
  <c r="F27" i="3"/>
  <c r="F40" i="3"/>
  <c r="F22" i="3"/>
  <c r="I16" i="1" s="1"/>
  <c r="J16" i="1" s="1"/>
  <c r="F28" i="3"/>
  <c r="F34" i="3"/>
  <c r="F41" i="3"/>
  <c r="I18" i="1" s="1"/>
  <c r="J18" i="1" s="1"/>
  <c r="F47" i="3"/>
  <c r="F53" i="3"/>
  <c r="D33" i="1"/>
  <c r="F45" i="3"/>
  <c r="I30" i="1" s="1"/>
  <c r="J30" i="1" s="1"/>
  <c r="F23" i="3"/>
  <c r="F29" i="3"/>
  <c r="F35" i="3"/>
  <c r="F42" i="3"/>
  <c r="F48" i="3"/>
  <c r="I15" i="1" s="1"/>
  <c r="J15" i="1" s="1"/>
  <c r="D27" i="1"/>
  <c r="N27" i="1" s="1"/>
  <c r="D13" i="1"/>
  <c r="D15" i="1"/>
  <c r="N15" i="1" s="1"/>
  <c r="D18" i="1"/>
  <c r="N18" i="1" s="1"/>
  <c r="D7" i="1"/>
  <c r="N7" i="1" s="1"/>
  <c r="D8" i="1"/>
  <c r="D34" i="1"/>
  <c r="D10" i="1"/>
  <c r="F24" i="3"/>
  <c r="F30" i="3"/>
  <c r="I5" i="1" s="1"/>
  <c r="J5" i="1" s="1"/>
  <c r="F36" i="3"/>
  <c r="F43" i="3"/>
  <c r="I6" i="1" s="1"/>
  <c r="J6" i="1" s="1"/>
  <c r="F49" i="3"/>
  <c r="D11" i="1"/>
  <c r="D21" i="1"/>
  <c r="N21" i="1" s="1"/>
  <c r="D20" i="1"/>
  <c r="D6" i="1"/>
  <c r="D14" i="1"/>
  <c r="D4" i="1"/>
  <c r="D25" i="1"/>
  <c r="D31" i="1"/>
  <c r="N31" i="1" s="1"/>
  <c r="D29" i="1"/>
  <c r="D9" i="1"/>
  <c r="E7" i="1"/>
  <c r="F25" i="3"/>
  <c r="F31" i="3"/>
  <c r="F37" i="3"/>
  <c r="F44" i="3"/>
  <c r="F50" i="3"/>
  <c r="D12" i="1"/>
  <c r="D17" i="1"/>
  <c r="D23" i="1"/>
  <c r="N23" i="1" s="1"/>
  <c r="N24" i="1"/>
  <c r="D22" i="1"/>
  <c r="D30" i="1"/>
  <c r="F26" i="3"/>
  <c r="I11" i="1" s="1"/>
  <c r="J11" i="1" s="1"/>
  <c r="D28" i="1"/>
  <c r="N28" i="1" s="1"/>
  <c r="D26" i="1"/>
  <c r="N26" i="1" s="1"/>
  <c r="D35" i="1"/>
  <c r="N35" i="1" s="1"/>
  <c r="K23" i="3"/>
  <c r="D16" i="1" s="1"/>
  <c r="N16" i="1" s="1"/>
  <c r="I35" i="1"/>
  <c r="J35" i="1" s="1"/>
  <c r="E30" i="1"/>
  <c r="L30" i="1" s="1"/>
  <c r="E9" i="1"/>
  <c r="E24" i="1"/>
  <c r="E20" i="1"/>
  <c r="L20" i="1" s="1"/>
  <c r="E27" i="1"/>
  <c r="I8" i="1"/>
  <c r="J8" i="1" s="1"/>
  <c r="E34" i="1"/>
  <c r="L34" i="1" s="1"/>
  <c r="E8" i="1"/>
  <c r="L8" i="1" s="1"/>
  <c r="E10" i="1"/>
  <c r="E18" i="1"/>
  <c r="L18" i="1" s="1"/>
  <c r="E14" i="1"/>
  <c r="L14" i="1" s="1"/>
  <c r="I20" i="1"/>
  <c r="J20" i="1" s="1"/>
  <c r="I9" i="1"/>
  <c r="J9" i="1" s="1"/>
  <c r="E35" i="1"/>
  <c r="E26" i="1"/>
  <c r="E28" i="1"/>
  <c r="L28" i="1" s="1"/>
  <c r="E12" i="1"/>
  <c r="I24" i="1"/>
  <c r="J24" i="1" s="1"/>
  <c r="E16" i="1"/>
  <c r="L16" i="1" s="1"/>
  <c r="E17" i="1"/>
  <c r="L17" i="1" s="1"/>
  <c r="E21" i="1"/>
  <c r="L21" i="1" s="1"/>
  <c r="E5" i="1"/>
  <c r="E15" i="1"/>
  <c r="L15" i="1" s="1"/>
  <c r="E33" i="1"/>
  <c r="E4" i="1"/>
  <c r="E6" i="1"/>
  <c r="E11" i="1"/>
  <c r="E25" i="1"/>
  <c r="E13" i="1"/>
  <c r="E22" i="1"/>
  <c r="L22" i="1" s="1"/>
  <c r="N19" i="1" l="1"/>
  <c r="L35" i="1"/>
  <c r="L5" i="1"/>
  <c r="L9" i="1"/>
  <c r="L6" i="1"/>
  <c r="H11" i="1"/>
  <c r="L11" i="1"/>
  <c r="H33" i="1"/>
  <c r="L25" i="1"/>
  <c r="H24" i="1"/>
  <c r="L24" i="1"/>
  <c r="H4" i="1"/>
  <c r="H5" i="1"/>
  <c r="N9" i="1"/>
  <c r="H7" i="1"/>
  <c r="H28" i="1"/>
  <c r="K37" i="3"/>
  <c r="D32" i="1" s="1"/>
  <c r="H32" i="1" s="1"/>
  <c r="N4" i="1"/>
  <c r="N14" i="1"/>
  <c r="H21" i="1"/>
  <c r="N30" i="1"/>
  <c r="N22" i="1"/>
  <c r="N17" i="1"/>
  <c r="H27" i="1"/>
  <c r="N6" i="1"/>
  <c r="I7" i="1"/>
  <c r="J7" i="1" s="1"/>
  <c r="L7" i="1" s="1"/>
  <c r="H35" i="1"/>
  <c r="H15" i="1"/>
  <c r="H14" i="1"/>
  <c r="H17" i="1"/>
  <c r="H13" i="1"/>
  <c r="N29" i="1"/>
  <c r="N11" i="1"/>
  <c r="N33" i="1"/>
  <c r="H10" i="1"/>
  <c r="N20" i="1"/>
  <c r="N34" i="1"/>
  <c r="N8" i="1"/>
  <c r="I14" i="1"/>
  <c r="J14" i="1" s="1"/>
  <c r="H31" i="1"/>
  <c r="H26" i="1"/>
  <c r="N12" i="1"/>
  <c r="H8" i="1"/>
  <c r="H16" i="1"/>
  <c r="H25" i="1"/>
  <c r="H34" i="1"/>
  <c r="H18" i="1"/>
  <c r="H12" i="1"/>
  <c r="H6" i="1"/>
  <c r="H20" i="1"/>
  <c r="N25" i="1"/>
  <c r="H23" i="1"/>
  <c r="H9" i="1"/>
  <c r="H22" i="1"/>
  <c r="I26" i="1"/>
  <c r="J26" i="1" s="1"/>
  <c r="L26" i="1" s="1"/>
  <c r="I4" i="1"/>
  <c r="J4" i="1" s="1"/>
  <c r="L4" i="1" s="1"/>
  <c r="I27" i="1"/>
  <c r="J27" i="1" s="1"/>
  <c r="L27" i="1" s="1"/>
  <c r="I19" i="1"/>
  <c r="J19" i="1" s="1"/>
  <c r="H30" i="1"/>
  <c r="N10" i="1"/>
  <c r="N13" i="1"/>
  <c r="I13" i="1"/>
  <c r="J13" i="1" s="1"/>
  <c r="L13" i="1" s="1"/>
  <c r="I32" i="1"/>
  <c r="J32" i="1" s="1"/>
  <c r="I28" i="1"/>
  <c r="J28" i="1" s="1"/>
  <c r="I12" i="1"/>
  <c r="J12" i="1" s="1"/>
  <c r="L12" i="1" s="1"/>
  <c r="I33" i="1"/>
  <c r="J33" i="1" s="1"/>
  <c r="L33" i="1" s="1"/>
  <c r="I22" i="1"/>
  <c r="J22" i="1" s="1"/>
  <c r="I21" i="1"/>
  <c r="J21" i="1" s="1"/>
  <c r="I31" i="1"/>
  <c r="J31" i="1" s="1"/>
  <c r="L31" i="1" s="1"/>
  <c r="I34" i="1"/>
  <c r="J34" i="1" s="1"/>
  <c r="I10" i="1"/>
  <c r="J10" i="1" s="1"/>
  <c r="L10" i="1" s="1"/>
  <c r="E29" i="1"/>
  <c r="H29" i="1" l="1"/>
  <c r="L29" i="1"/>
  <c r="N32" i="1"/>
</calcChain>
</file>

<file path=xl/sharedStrings.xml><?xml version="1.0" encoding="utf-8"?>
<sst xmlns="http://schemas.openxmlformats.org/spreadsheetml/2006/main" count="406" uniqueCount="200">
  <si>
    <t>ITM_PINTLQtoML</t>
  </si>
  <si>
    <t>pint⒧⒤⒬→ml</t>
  </si>
  <si>
    <t>ITM_MLtoPINTLQ</t>
  </si>
  <si>
    <t>ml→pint⒧⒤⒬</t>
  </si>
  <si>
    <t>ITM_QTUStoML</t>
  </si>
  <si>
    <t>qt.␮→ml</t>
  </si>
  <si>
    <t>ITM_MLtoQTUS</t>
  </si>
  <si>
    <t>ml→qt.␮</t>
  </si>
  <si>
    <t>ITM_FZUStoCUPC</t>
  </si>
  <si>
    <t>floz␮→cup␮⒞</t>
  </si>
  <si>
    <t>ITM_CUPCtoFZUS</t>
  </si>
  <si>
    <t>cup␮⒞→floz␮</t>
  </si>
  <si>
    <t>ITM_FZUStoTBSPC</t>
  </si>
  <si>
    <t>floz␮→tbsp␮⒞</t>
  </si>
  <si>
    <t>ITM_TBSPCtoFZUS</t>
  </si>
  <si>
    <t>tbsp␮⒞→floz␮</t>
  </si>
  <si>
    <t>ITM_MLtoCUPC</t>
  </si>
  <si>
    <t>ml→cup␮⒞</t>
  </si>
  <si>
    <t>ITM_CUPCtoML</t>
  </si>
  <si>
    <t>cup␮⒞→ml</t>
  </si>
  <si>
    <t>ITM_MLtoTBSPC</t>
  </si>
  <si>
    <t>ml→tbsp␮⒞</t>
  </si>
  <si>
    <t>ITM_TBSPCtoML</t>
  </si>
  <si>
    <t>tbsp␮⒞→ml</t>
  </si>
  <si>
    <t>ITM_MLtoTSPC</t>
  </si>
  <si>
    <t>ml→tsp␮⒞</t>
  </si>
  <si>
    <t>ITM_TSPCtoML</t>
  </si>
  <si>
    <t>tsp␮⒞→ml</t>
  </si>
  <si>
    <t>ITM_PINTUKtoML</t>
  </si>
  <si>
    <t>pint␭→ml</t>
  </si>
  <si>
    <t>ITM_MLtoPINTUK</t>
  </si>
  <si>
    <t>ml→pint␭</t>
  </si>
  <si>
    <t>ITM_QTtoML</t>
  </si>
  <si>
    <t>qt.␭→ml</t>
  </si>
  <si>
    <t>ITM_MLtoQT</t>
  </si>
  <si>
    <t>ml→qt.␭</t>
  </si>
  <si>
    <t>ITM_FZUKtoCUPUK</t>
  </si>
  <si>
    <t>floz␭→cup␭</t>
  </si>
  <si>
    <t>ITM_CUPUKtoFZUK</t>
  </si>
  <si>
    <t>cup␭→floz␭</t>
  </si>
  <si>
    <t>ITM_FZUKtoTBSPUK</t>
  </si>
  <si>
    <t>floz␭→tbsp␭</t>
  </si>
  <si>
    <t>ITM_TBSPUKtoFZUK</t>
  </si>
  <si>
    <t>tbsp␭→floz␭</t>
  </si>
  <si>
    <t>ITM_MLtoCUPUK</t>
  </si>
  <si>
    <t>ml→cup␭</t>
  </si>
  <si>
    <t>ITM_CUPUKtoML</t>
  </si>
  <si>
    <t>cup␭→ml</t>
  </si>
  <si>
    <t>ITM_MLtoTBSPUK</t>
  </si>
  <si>
    <t>ml→tbsp␭</t>
  </si>
  <si>
    <t>ITM_TBSPUKtoML</t>
  </si>
  <si>
    <t>tbsp␭→ml</t>
  </si>
  <si>
    <t>ITM_MLtoTSPUK</t>
  </si>
  <si>
    <t>ml→tsp␭</t>
  </si>
  <si>
    <t>ITM_TSPUKtoML</t>
  </si>
  <si>
    <t>tsp␭→ml</t>
  </si>
  <si>
    <t>ITM_FZUStoTSPC</t>
  </si>
  <si>
    <t>floz␮→tsp␮⒞</t>
  </si>
  <si>
    <t>ITM_TSPCtoFZUS</t>
  </si>
  <si>
    <t>tsp␮⒞→floz␮</t>
  </si>
  <si>
    <t>ITM_TSPUKtoFZUK</t>
  </si>
  <si>
    <t>tsp␭→floz␭</t>
  </si>
  <si>
    <t>ITM_FZUKtoTSPUK</t>
  </si>
  <si>
    <t>floz␭→tsp␭</t>
  </si>
  <si>
    <t>Label</t>
  </si>
  <si>
    <t>ITM_LtoQT</t>
  </si>
  <si>
    <t>l→qt.␭</t>
  </si>
  <si>
    <t>ITM_QTtoL</t>
  </si>
  <si>
    <t>qt.␭→l</t>
  </si>
  <si>
    <t>Status</t>
  </si>
  <si>
    <t>new</t>
  </si>
  <si>
    <t>label updated</t>
  </si>
  <si>
    <t>FZUK</t>
  </si>
  <si>
    <t>TSPUK</t>
  </si>
  <si>
    <t>TSPUKtoFZUK</t>
  </si>
  <si>
    <t>FZUKtoTSPUK</t>
  </si>
  <si>
    <t>ML</t>
  </si>
  <si>
    <t>TSPUKtoML</t>
  </si>
  <si>
    <t>MLtoTSPUK</t>
  </si>
  <si>
    <t>TBSPUK</t>
  </si>
  <si>
    <t>TBSPUKtoML</t>
  </si>
  <si>
    <t>MLtoTBSPUK</t>
  </si>
  <si>
    <t>CUPUK</t>
  </si>
  <si>
    <t>CUPUKtoML</t>
  </si>
  <si>
    <t>MLtoCUPUK</t>
  </si>
  <si>
    <t>TBSPUKtoFZUK</t>
  </si>
  <si>
    <t>FZUKtoTBSPUK</t>
  </si>
  <si>
    <t>CUPUKtoFZUK</t>
  </si>
  <si>
    <t>FZUKtoCUPUK</t>
  </si>
  <si>
    <t>QT</t>
  </si>
  <si>
    <t>MLtoQT</t>
  </si>
  <si>
    <t>QTtoML</t>
  </si>
  <si>
    <t>PINTUK</t>
  </si>
  <si>
    <t>MLtoPINTUK</t>
  </si>
  <si>
    <t>PINTUKtoML</t>
  </si>
  <si>
    <t>FZUS</t>
  </si>
  <si>
    <t>TSPC</t>
  </si>
  <si>
    <t>TSPCtoFZUS</t>
  </si>
  <si>
    <t>FZUStoTSPC</t>
  </si>
  <si>
    <t>TSPCtoML</t>
  </si>
  <si>
    <t>MLtoTSPC</t>
  </si>
  <si>
    <t>TBSPC</t>
  </si>
  <si>
    <t>TBSPCtoML</t>
  </si>
  <si>
    <t>MLtoTBSPC</t>
  </si>
  <si>
    <t>CUPC</t>
  </si>
  <si>
    <t>CUPCtoML</t>
  </si>
  <si>
    <t>MLtoCUPC</t>
  </si>
  <si>
    <t>TBSPCtoFZUS</t>
  </si>
  <si>
    <t>FZUStoTBSPC</t>
  </si>
  <si>
    <t>CUPCtoFZUS</t>
  </si>
  <si>
    <t>FZUStoCUPC</t>
  </si>
  <si>
    <t>QTUS</t>
  </si>
  <si>
    <t>MLtoQTUS</t>
  </si>
  <si>
    <t>QTUStoML</t>
  </si>
  <si>
    <t>PINTLQ</t>
  </si>
  <si>
    <t>MLtoPINTLQ</t>
  </si>
  <si>
    <t>PINTLQtoML</t>
  </si>
  <si>
    <t>To</t>
  </si>
  <si>
    <t>From</t>
  </si>
  <si>
    <t>Factor</t>
  </si>
  <si>
    <t>UK fluid ounce</t>
  </si>
  <si>
    <t>US fluid ounce</t>
  </si>
  <si>
    <t>milliliter</t>
  </si>
  <si>
    <t>ml</t>
  </si>
  <si>
    <t>UK teaspoon</t>
  </si>
  <si>
    <t>tsp␭</t>
  </si>
  <si>
    <t>UK tablespoon</t>
  </si>
  <si>
    <t>tbsp␭</t>
  </si>
  <si>
    <t>UK cup</t>
  </si>
  <si>
    <t>cup␭</t>
  </si>
  <si>
    <t>1136,523?</t>
  </si>
  <si>
    <t>UK quart</t>
  </si>
  <si>
    <t>qt.␮</t>
  </si>
  <si>
    <t>UK pint</t>
  </si>
  <si>
    <t>pint␭</t>
  </si>
  <si>
    <t>US customary teaspoon</t>
  </si>
  <si>
    <t>tsp␮⒞</t>
  </si>
  <si>
    <t>US customary tablespoon</t>
  </si>
  <si>
    <t>tbsp␮⒞</t>
  </si>
  <si>
    <t>US customary cup</t>
  </si>
  <si>
    <t>cup␮⒞</t>
  </si>
  <si>
    <t>US quart</t>
  </si>
  <si>
    <t>US liquid pint</t>
  </si>
  <si>
    <t>pint⒧⒤⒬</t>
  </si>
  <si>
    <t>"pint" STD_SUB_l STD_SUB_i STD_SUB_q STD_RIGHT_ARROW "ml"</t>
  </si>
  <si>
    <t>"ml" STD_RIGHT_ARROW "pint" STD_SUB_l STD_SUB_i STD_SUB_q</t>
  </si>
  <si>
    <t>"qt." STD_US STD_RIGHT_ARROW "ml"</t>
  </si>
  <si>
    <t>"ml" STD_RIGHT_ARROW "qt." STD_US</t>
  </si>
  <si>
    <t>"floz" STD_US STD_RIGHT_ARROW "cup" STD_US STD_SUB_c</t>
  </si>
  <si>
    <t>"cup" STD_US STD_SUB_c STD_RIGHT_ARROW "floz" STD_US</t>
  </si>
  <si>
    <t>"floz" STD_US STD_RIGHT_ARROW "Tbsp" STD_US STD_SUB_c</t>
  </si>
  <si>
    <t>"Tbsp" STD_US STD_SUB_c STD_RIGHT_ARROW "floz" STD_US</t>
  </si>
  <si>
    <t>"ml" STD_RIGHT_ARROW "cup" STD_US STD_SUB_c</t>
  </si>
  <si>
    <t>"cup" STD_US STD_SUB_c STD_RIGHT_ARROW "ml"</t>
  </si>
  <si>
    <t>"ml" STD_RIGHT_ARROW "Tbsp" STD_US STD_SUB_c</t>
  </si>
  <si>
    <t>"Tbsp" STD_US STD_SUB_c STD_RIGHT_ARROW "ml"</t>
  </si>
  <si>
    <t>"ml" STD_RIGHT_ARROW "tsp" STD_US STD_SUB_c</t>
  </si>
  <si>
    <t>"tsp" STD_US STD_SUB_c STD_RIGHT_ARROW "ml"</t>
  </si>
  <si>
    <t>"floz" STD_US STD_RIGHT_ARROW "tsp" STD_US STD_SUB_c</t>
  </si>
  <si>
    <t>"tsp" STD_US STD_SUB_c STD_RIGHT_ARROW "floz" STD_US</t>
  </si>
  <si>
    <t>"pint" STD_UK STD_RIGHT_ARROW "ml"</t>
  </si>
  <si>
    <t>"ml" STD_RIGHT_ARROW "pint" STD_UK</t>
  </si>
  <si>
    <t>"qt." STD_UK STD_RIGHT_ARROW "ml"</t>
  </si>
  <si>
    <t>"ml" STD_RIGHT_ARROW "qt." STD_UK</t>
  </si>
  <si>
    <t>"floz" STD_UK STD_RIGHT_ARROW "cup" STD_UK</t>
  </si>
  <si>
    <t>"cup" STD_UK STD_RIGHT_ARROW "floz" STD_UK</t>
  </si>
  <si>
    <t>"floz" STD_UK STD_RIGHT_ARROW "Tbsp" STD_UK</t>
  </si>
  <si>
    <t>"Tbsp" STD_UK STD_RIGHT_ARROW "floz" STD_UK</t>
  </si>
  <si>
    <t>"ml" STD_RIGHT_ARROW "cup" STD_UK</t>
  </si>
  <si>
    <t>"cup" STD_UK STD_RIGHT_ARROW "ml"</t>
  </si>
  <si>
    <t>"ml" STD_RIGHT_ARROW "Tbsp" STD_UK</t>
  </si>
  <si>
    <t>"Tbsp" STD_UK STD_RIGHT_ARROW "ml"</t>
  </si>
  <si>
    <t>"ml" STD_RIGHT_ARROW "tsp" STD_UK</t>
  </si>
  <si>
    <t>"tsp" STD_UK STD_RIGHT_ARROW "ml"</t>
  </si>
  <si>
    <t>"floz" STD_UK STD_RIGHT_ARROW "tsp" STD_UK</t>
  </si>
  <si>
    <t>"tsp" STD_UK STD_RIGHT_ARROW "floz" STD_UK</t>
  </si>
  <si>
    <t>cup US</t>
  </si>
  <si>
    <t>pint US</t>
  </si>
  <si>
    <t>liquid</t>
  </si>
  <si>
    <t>floz US</t>
  </si>
  <si>
    <t>cup UK</t>
  </si>
  <si>
    <t>pint UK</t>
  </si>
  <si>
    <t>floz UK</t>
  </si>
  <si>
    <t>Ben: 15?</t>
  </si>
  <si>
    <t>ml     = pintuk × 568.26125</t>
  </si>
  <si>
    <t>ml     = cupuk  × 284.130625</t>
  </si>
  <si>
    <t>GLUS</t>
  </si>
  <si>
    <t>US gallon</t>
  </si>
  <si>
    <t>quart US</t>
  </si>
  <si>
    <t>ml     = tbspuk × 17.7581640625</t>
  </si>
  <si>
    <t>GLUK</t>
  </si>
  <si>
    <t>UK gallon</t>
  </si>
  <si>
    <t>quart UK</t>
  </si>
  <si>
    <t>ml     = tspuk   × 5.9193880208333...</t>
  </si>
  <si>
    <t>conversionUnits.c</t>
  </si>
  <si>
    <t>generateConstants.c</t>
  </si>
  <si>
    <t>items.c</t>
  </si>
  <si>
    <t>items.h</t>
  </si>
  <si>
    <t>conversionUnit.h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</si>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</sst>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"/>
    <numFmt numFmtId="166" formatCode="0.0000000000000"/>
  </numFmts>
  <fonts count="17"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sz val="14"/>
      <color theme="1"/>
      <name val="C47__StandardFont StandardFont"/>
    </font>
    <font>
      <sz val="14"/>
      <color rgb="FFFF0000"/>
      <name val="C47__StandardFont StandardFont"/>
    </font>
    <font>
      <b/>
      <sz val="12"/>
      <color theme="1"/>
      <name val="Aptos Narrow"/>
      <family val="2"/>
      <scheme val="minor"/>
    </font>
    <font>
      <sz val="12"/>
      <color rgb="FF0070C0"/>
      <name val="Calibri"/>
      <family val="2"/>
    </font>
    <font>
      <sz val="10"/>
      <color rgb="FF0070C0"/>
      <name val="Aptos Narrow"/>
      <family val="2"/>
      <scheme val="minor"/>
    </font>
    <font>
      <sz val="12"/>
      <color rgb="FF0070C0"/>
      <name val="Calibri (Body)"/>
    </font>
    <font>
      <sz val="14"/>
      <color theme="1"/>
      <name val="C43__StandardFont StandardFont"/>
    </font>
    <font>
      <sz val="14"/>
      <color rgb="FFFF0000"/>
      <name val="C43__StandardFont StandardFont"/>
    </font>
    <font>
      <b/>
      <sz val="12"/>
      <color rgb="FFFF0000"/>
      <name val="Calibri"/>
      <family val="2"/>
    </font>
    <font>
      <sz val="12"/>
      <color rgb="FFFF0000"/>
      <name val="Consolas"/>
      <family val="2"/>
    </font>
    <font>
      <sz val="12"/>
      <color rgb="FF00B050"/>
      <name val="Calibri"/>
      <family val="2"/>
    </font>
    <font>
      <sz val="12"/>
      <color theme="8" tint="-0.249977111117893"/>
      <name val="Menlo Regular"/>
    </font>
    <font>
      <sz val="12"/>
      <color rgb="FF7030A0"/>
      <name val="Calibri"/>
      <family val="2"/>
    </font>
    <font>
      <sz val="12"/>
      <color theme="5" tint="-0.49998474074526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1" xfId="0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164" fontId="6" fillId="3" borderId="0" xfId="0" applyNumberFormat="1" applyFont="1" applyFill="1"/>
    <xf numFmtId="0" fontId="3" fillId="3" borderId="3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indent="1"/>
    </xf>
    <xf numFmtId="0" fontId="3" fillId="3" borderId="5" xfId="0" applyFont="1" applyFill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3" fillId="3" borderId="7" xfId="0" applyFont="1" applyFill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164" fontId="6" fillId="0" borderId="0" xfId="0" applyNumberFormat="1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left" indent="1"/>
    </xf>
    <xf numFmtId="0" fontId="0" fillId="0" borderId="9" xfId="0" applyBorder="1" applyAlignment="1">
      <alignment horizontal="center"/>
    </xf>
    <xf numFmtId="0" fontId="9" fillId="0" borderId="10" xfId="0" applyFont="1" applyBorder="1" applyAlignment="1">
      <alignment horizontal="left" vertical="center" indent="1"/>
    </xf>
    <xf numFmtId="0" fontId="3" fillId="3" borderId="10" xfId="0" applyFont="1" applyFill="1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2" fillId="0" borderId="6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11" fillId="4" borderId="6" xfId="0" applyFont="1" applyFill="1" applyBorder="1" applyAlignment="1">
      <alignment horizontal="center" vertical="center"/>
    </xf>
    <xf numFmtId="164" fontId="0" fillId="0" borderId="0" xfId="0" applyNumberFormat="1"/>
    <xf numFmtId="0" fontId="9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5" borderId="6" xfId="0" applyFont="1" applyFill="1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0" fontId="3" fillId="6" borderId="1" xfId="0" applyFont="1" applyFill="1" applyBorder="1" applyAlignment="1">
      <alignment horizontal="left" vertical="center" indent="1"/>
    </xf>
    <xf numFmtId="0" fontId="9" fillId="0" borderId="11" xfId="0" applyFont="1" applyBorder="1" applyAlignment="1">
      <alignment horizontal="left" vertical="center" indent="1"/>
    </xf>
    <xf numFmtId="0" fontId="3" fillId="3" borderId="11" xfId="0" applyFont="1" applyFill="1" applyBorder="1" applyAlignment="1">
      <alignment horizontal="left" vertical="center" indent="1"/>
    </xf>
    <xf numFmtId="0" fontId="2" fillId="0" borderId="8" xfId="0" applyFont="1" applyBorder="1" applyAlignment="1">
      <alignment horizontal="center" vertical="center"/>
    </xf>
    <xf numFmtId="0" fontId="6" fillId="3" borderId="0" xfId="0" applyFont="1" applyFill="1"/>
    <xf numFmtId="165" fontId="13" fillId="0" borderId="0" xfId="0" applyNumberFormat="1" applyFont="1"/>
    <xf numFmtId="0" fontId="13" fillId="0" borderId="0" xfId="0" applyFont="1"/>
    <xf numFmtId="165" fontId="0" fillId="0" borderId="0" xfId="0" applyNumberFormat="1"/>
    <xf numFmtId="165" fontId="1" fillId="0" borderId="0" xfId="0" applyNumberFormat="1" applyFont="1"/>
    <xf numFmtId="0" fontId="1" fillId="0" borderId="0" xfId="0" applyFont="1"/>
    <xf numFmtId="0" fontId="3" fillId="6" borderId="5" xfId="0" applyFont="1" applyFill="1" applyBorder="1" applyAlignment="1">
      <alignment horizontal="left" vertical="center" indent="1"/>
    </xf>
    <xf numFmtId="11" fontId="0" fillId="0" borderId="0" xfId="0" applyNumberFormat="1"/>
    <xf numFmtId="0" fontId="12" fillId="7" borderId="0" xfId="0" applyFont="1" applyFill="1"/>
    <xf numFmtId="0" fontId="14" fillId="7" borderId="0" xfId="0" applyFont="1" applyFill="1"/>
    <xf numFmtId="0" fontId="2" fillId="8" borderId="1" xfId="0" applyFont="1" applyFill="1" applyBorder="1" applyAlignment="1">
      <alignment horizontal="left" indent="1"/>
    </xf>
    <xf numFmtId="0" fontId="0" fillId="8" borderId="0" xfId="0" applyFill="1"/>
    <xf numFmtId="166" fontId="1" fillId="0" borderId="0" xfId="0" applyNumberFormat="1" applyFont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6" fontId="1" fillId="3" borderId="6" xfId="0" applyNumberFormat="1" applyFont="1" applyFill="1" applyBorder="1" applyAlignment="1">
      <alignment horizontal="right"/>
    </xf>
    <xf numFmtId="166" fontId="0" fillId="0" borderId="0" xfId="0" applyNumberFormat="1"/>
    <xf numFmtId="166" fontId="1" fillId="0" borderId="9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6" fontId="1" fillId="0" borderId="2" xfId="0" applyNumberFormat="1" applyFont="1" applyBorder="1" applyAlignment="1">
      <alignment horizontal="right"/>
    </xf>
    <xf numFmtId="166" fontId="0" fillId="0" borderId="0" xfId="0" applyNumberFormat="1" applyAlignment="1">
      <alignment horizontal="center"/>
    </xf>
    <xf numFmtId="0" fontId="0" fillId="5" borderId="0" xfId="0" applyFill="1"/>
    <xf numFmtId="0" fontId="0" fillId="9" borderId="0" xfId="0" applyFill="1"/>
    <xf numFmtId="0" fontId="15" fillId="5" borderId="0" xfId="0" applyFont="1" applyFill="1"/>
    <xf numFmtId="0" fontId="0" fillId="0" borderId="0" xfId="0" applyFill="1"/>
    <xf numFmtId="0" fontId="16" fillId="7" borderId="0" xfId="0" applyFont="1" applyFill="1"/>
    <xf numFmtId="0" fontId="1" fillId="10" borderId="0" xfId="0" applyFont="1" applyFill="1"/>
    <xf numFmtId="0" fontId="0" fillId="11" borderId="1" xfId="0" applyFill="1" applyBorder="1" applyAlignment="1">
      <alignment horizontal="left" indent="1"/>
    </xf>
    <xf numFmtId="0" fontId="3" fillId="11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E2D2-A619-CD41-963B-CA5F79ED1F95}">
  <dimension ref="A1:N38"/>
  <sheetViews>
    <sheetView zoomScale="75" workbookViewId="0">
      <pane ySplit="1" topLeftCell="A2" activePane="bottomLeft" state="frozen"/>
      <selection pane="bottomLeft" activeCell="D12" sqref="D12"/>
    </sheetView>
  </sheetViews>
  <sheetFormatPr baseColWidth="10" defaultRowHeight="18"/>
  <cols>
    <col min="1" max="1" width="19.5" style="1" bestFit="1" customWidth="1"/>
    <col min="2" max="2" width="16.6640625" style="2" bestFit="1" customWidth="1"/>
    <col min="3" max="3" width="13.83203125" bestFit="1" customWidth="1"/>
    <col min="4" max="5" width="20.83203125" customWidth="1"/>
    <col min="6" max="6" width="58.83203125" bestFit="1" customWidth="1"/>
    <col min="7" max="7" width="58.83203125" customWidth="1"/>
    <col min="8" max="8" width="225" bestFit="1" customWidth="1"/>
    <col min="9" max="9" width="20.5" customWidth="1"/>
    <col min="12" max="12" width="144.83203125" bestFit="1" customWidth="1"/>
    <col min="14" max="14" width="39.33203125" bestFit="1" customWidth="1"/>
  </cols>
  <sheetData>
    <row r="1" spans="1:14" ht="16">
      <c r="A1"/>
      <c r="B1"/>
      <c r="F1">
        <f>LEN(F24)</f>
        <v>57</v>
      </c>
      <c r="H1">
        <v>60</v>
      </c>
    </row>
    <row r="2" spans="1:14" ht="16">
      <c r="A2"/>
      <c r="B2"/>
    </row>
    <row r="3" spans="1:14" ht="16">
      <c r="A3" s="53" t="s">
        <v>197</v>
      </c>
      <c r="B3" s="6" t="s">
        <v>64</v>
      </c>
      <c r="C3" s="6" t="s">
        <v>69</v>
      </c>
      <c r="D3" s="54" t="s">
        <v>198</v>
      </c>
      <c r="E3" s="69" t="s">
        <v>199</v>
      </c>
      <c r="F3" s="69" t="s">
        <v>199</v>
      </c>
      <c r="G3" s="69" t="s">
        <v>199</v>
      </c>
      <c r="H3" s="54" t="s">
        <v>196</v>
      </c>
      <c r="I3" s="69" t="s">
        <v>199</v>
      </c>
      <c r="J3" s="69" t="s">
        <v>199</v>
      </c>
      <c r="K3" s="69" t="s">
        <v>199</v>
      </c>
      <c r="L3" s="54" t="s">
        <v>195</v>
      </c>
      <c r="N3" s="54" t="s">
        <v>194</v>
      </c>
    </row>
    <row r="4" spans="1:14">
      <c r="A4" s="70" t="s">
        <v>10</v>
      </c>
      <c r="B4" s="71" t="s">
        <v>11</v>
      </c>
      <c r="C4" s="70" t="s">
        <v>70</v>
      </c>
      <c r="D4" s="66" t="str">
        <f>VLOOKUP(A4,Factors!D:K,8,0)</f>
        <v>constFactorCupcFzus</v>
      </c>
      <c r="E4" t="str">
        <f>VLOOKUP(A4,Factors!D:N,10,0)</f>
        <v>multiply</v>
      </c>
      <c r="F4" s="43" t="str">
        <f t="shared" ref="F4:F35" si="0" xml:space="preserve"> VLOOKUP(A4,stdform,2,0)</f>
        <v>"cup" STD_US STD_SUB_c STD_RIGHT_ARROW "floz" STD_US</v>
      </c>
      <c r="G4" s="43" t="str">
        <f>MID(F4,1,SEARCH("STD_RIGHT_ARROW",F4)-2)&amp;" STD_RIGHT_ARROW"</f>
        <v>"cup" STD_US STD_SUB_c STD_RIGHT_ARROW</v>
      </c>
      <c r="H4" s="51" t="str">
        <f>"/* NNNN */  UNIT_CONV("&amp;D4&amp;","&amp;REPT(CHAR(32),21-LEN(D4))&amp;"    "&amp;E4&amp;",      "&amp;F4&amp;","&amp;REPT(CHAR(32),60-LEN(F4))&amp;G4&amp;REPT(CHAR(32),60-LEN(G4))&amp;"),"</f>
        <v>/* NNNN */  UNIT_CONV(constFactorCupcFzus,      multiply,      "cup" STD_US STD_SUB_c STD_RIGHT_ARROW "floz" STD_US,        "cup" STD_US STD_SUB_c STD_RIGHT_ARROW                      ),</v>
      </c>
      <c r="I4" s="50">
        <f>VLOOKUP(A4,Factors!D:G,4,0)</f>
        <v>8.0000079970243636</v>
      </c>
      <c r="J4" t="str">
        <f>SUBSTITUTE(TEXT(I4,"0.000000000000000000000000000000000000000000000000000000E+00"),"E","e")</f>
        <v>8.000007997024360000000000000000000000000000000000000000e+00</v>
      </c>
      <c r="K4" s="50" t="str">
        <f>VLOOKUP(A4,Factors!D:N,11,0)</f>
        <v>CupcFzus</v>
      </c>
      <c r="L4" s="52" t="str">
        <f>IF(E4="multiply","  generateConstantArray("&amp;CHAR(34)&amp;K4&amp;CHAR(34)&amp;","&amp;REPT(CHAR(32),14-LEN(K4))&amp;CHAR(34)&amp;"+"&amp;J4&amp;CHAR(34)&amp;");","")</f>
        <v xml:space="preserve">  generateConstantArray("CupcFzus",      "+8.000007997024360000000000000000000000000000000000000000e+00");</v>
      </c>
      <c r="N4" s="68" t="str">
        <f>"    ["&amp;D4&amp;"] = "&amp;CHAR(38)&amp;"const_"&amp;K4&amp;","</f>
        <v xml:space="preserve">    [constFactorCupcFzus] = &amp;const_CupcFzus,</v>
      </c>
    </row>
    <row r="5" spans="1:14">
      <c r="A5" s="70" t="s">
        <v>18</v>
      </c>
      <c r="B5" s="71" t="s">
        <v>19</v>
      </c>
      <c r="C5" s="70" t="s">
        <v>70</v>
      </c>
      <c r="D5" s="66" t="str">
        <f>VLOOKUP(A5,Factors!D:K,8,0)</f>
        <v>constFactorCupcMl</v>
      </c>
      <c r="E5" t="str">
        <f>VLOOKUP(A5,Factors!D:N,10,0)</f>
        <v>multiply</v>
      </c>
      <c r="F5" s="43" t="str">
        <f t="shared" si="0"/>
        <v>"cup" STD_US STD_SUB_c STD_RIGHT_ARROW "ml"</v>
      </c>
      <c r="G5" s="43" t="str">
        <f t="shared" ref="G5:G35" si="1">MID(F5,1,SEARCH("STD_RIGHT_ARROW",F5)-2)&amp;" STD_RIGHT_ARROW"</f>
        <v>"cup" STD_US STD_SUB_c STD_RIGHT_ARROW</v>
      </c>
      <c r="H5" s="51" t="str">
        <f t="shared" ref="H5:H35" si="2">"/* NNNN */  UNIT_CONV("&amp;D5&amp;","&amp;REPT(CHAR(32),21-LEN(D5))&amp;"    "&amp;E5&amp;",      "&amp;F5&amp;","&amp;REPT(CHAR(32),60-LEN(F5))&amp;G5&amp;REPT(CHAR(32),60-LEN(G5))&amp;"),"</f>
        <v>/* NNNN */  UNIT_CONV(constFactorCupcMl,        multiply,      "cup" STD_US STD_SUB_c STD_RIGHT_ARROW "ml",                 "cup" STD_US STD_SUB_c STD_RIGHT_ARROW                      ),</v>
      </c>
      <c r="I5">
        <f>VLOOKUP(A5,Factors!D:G,4,0)</f>
        <v>236.58823649999999</v>
      </c>
      <c r="J5" t="str">
        <f t="shared" ref="J5:J35" si="3">SUBSTITUTE(TEXT(I5,"0.000000000000000000000000000000000000000000000000000000E+00"),"E","e")</f>
        <v>2.365882365000000000000000000000000000000000000000000000e+02</v>
      </c>
      <c r="K5" s="50" t="str">
        <f>VLOOKUP(A5,Factors!D:N,11,0)</f>
        <v>CupcMl</v>
      </c>
      <c r="L5" s="52" t="str">
        <f t="shared" ref="L5:L35" si="4">IF(E5="multiply","  generateConstantArray("&amp;CHAR(34)&amp;K5&amp;CHAR(34)&amp;","&amp;REPT(CHAR(32),14-LEN(K5))&amp;CHAR(34)&amp;"+"&amp;J5&amp;CHAR(34)&amp;");","")</f>
        <v xml:space="preserve">  generateConstantArray("CupcMl",        "+2.365882365000000000000000000000000000000000000000000000e+02");</v>
      </c>
      <c r="N5" s="68" t="str">
        <f t="shared" ref="N5:N35" si="5">"    ["&amp;D5&amp;"] = "&amp;CHAR(38)&amp;"const_"&amp;K5&amp;","</f>
        <v xml:space="preserve">    [constFactorCupcMl] = &amp;const_CupcMl,</v>
      </c>
    </row>
    <row r="6" spans="1:14">
      <c r="A6" s="70" t="s">
        <v>38</v>
      </c>
      <c r="B6" s="71" t="s">
        <v>39</v>
      </c>
      <c r="C6" s="70" t="s">
        <v>70</v>
      </c>
      <c r="D6" s="66" t="str">
        <f>VLOOKUP(A6,Factors!D:K,8,0)</f>
        <v>constFactorCupukFzuk</v>
      </c>
      <c r="E6" t="str">
        <f>VLOOKUP(A6,Factors!D:N,10,0)</f>
        <v>multiply</v>
      </c>
      <c r="F6" s="43" t="str">
        <f t="shared" si="0"/>
        <v>"cup" STD_UK STD_RIGHT_ARROW "floz" STD_UK</v>
      </c>
      <c r="G6" s="43" t="str">
        <f t="shared" si="1"/>
        <v>"cup" STD_UK STD_RIGHT_ARROW</v>
      </c>
      <c r="H6" s="51" t="str">
        <f t="shared" si="2"/>
        <v>/* NNNN */  UNIT_CONV(constFactorCupukFzuk,     multiply,      "cup" STD_UK STD_RIGHT_ARROW "floz" STD_UK,                  "cup" STD_UK STD_RIGHT_ARROW                                ),</v>
      </c>
      <c r="I6">
        <f>VLOOKUP(A6,Factors!D:G,4,0)</f>
        <v>9.9999868018625211</v>
      </c>
      <c r="J6" t="str">
        <f t="shared" si="3"/>
        <v>9.999986801862520000000000000000000000000000000000000000e+00</v>
      </c>
      <c r="K6" s="50" t="str">
        <f>VLOOKUP(A6,Factors!D:N,11,0)</f>
        <v>CupukFzuk</v>
      </c>
      <c r="L6" s="52" t="str">
        <f t="shared" si="4"/>
        <v xml:space="preserve">  generateConstantArray("CupukFzuk",     "+9.999986801862520000000000000000000000000000000000000000e+00");</v>
      </c>
      <c r="N6" s="68" t="str">
        <f t="shared" si="5"/>
        <v xml:space="preserve">    [constFactorCupukFzuk] = &amp;const_CupukFzuk,</v>
      </c>
    </row>
    <row r="7" spans="1:14">
      <c r="A7" s="70" t="s">
        <v>46</v>
      </c>
      <c r="B7" s="71" t="s">
        <v>47</v>
      </c>
      <c r="C7" s="70" t="s">
        <v>70</v>
      </c>
      <c r="D7" s="66" t="str">
        <f>VLOOKUP(A7,Factors!D:K,8,0)</f>
        <v>constFactorCupukMl</v>
      </c>
      <c r="E7" t="str">
        <f>VLOOKUP(A7,Factors!D:N,10,0)</f>
        <v>multiply</v>
      </c>
      <c r="F7" s="43" t="str">
        <f t="shared" si="0"/>
        <v>"cup" STD_UK STD_RIGHT_ARROW "ml"</v>
      </c>
      <c r="G7" s="43" t="str">
        <f t="shared" si="1"/>
        <v>"cup" STD_UK STD_RIGHT_ARROW</v>
      </c>
      <c r="H7" s="51" t="str">
        <f t="shared" si="2"/>
        <v>/* NNNN */  UNIT_CONV(constFactorCupukMl,       multiply,      "cup" STD_UK STD_RIGHT_ARROW "ml",                           "cup" STD_UK STD_RIGHT_ARROW                                ),</v>
      </c>
      <c r="I7">
        <f>VLOOKUP(A7,Factors!D:G,4,0)</f>
        <v>284.13062500000001</v>
      </c>
      <c r="J7" t="str">
        <f t="shared" si="3"/>
        <v>2.841306250000000000000000000000000000000000000000000000e+02</v>
      </c>
      <c r="K7" s="50" t="str">
        <f>VLOOKUP(A7,Factors!D:N,11,0)</f>
        <v>CupukMl</v>
      </c>
      <c r="L7" s="52" t="str">
        <f t="shared" si="4"/>
        <v xml:space="preserve">  generateConstantArray("CupukMl",       "+2.841306250000000000000000000000000000000000000000000000e+02");</v>
      </c>
      <c r="N7" s="68" t="str">
        <f t="shared" si="5"/>
        <v xml:space="preserve">    [constFactorCupukMl] = &amp;const_CupukMl,</v>
      </c>
    </row>
    <row r="8" spans="1:14">
      <c r="A8" s="70" t="s">
        <v>36</v>
      </c>
      <c r="B8" s="71" t="s">
        <v>37</v>
      </c>
      <c r="C8" s="70" t="s">
        <v>70</v>
      </c>
      <c r="D8" s="66" t="str">
        <f>VLOOKUP(A8,Factors!D:K,8,0)</f>
        <v>constFactorFzukCupuk</v>
      </c>
      <c r="E8" t="str">
        <f>VLOOKUP(A8,Factors!D:N,10,0)</f>
        <v xml:space="preserve">  divide</v>
      </c>
      <c r="F8" s="43" t="str">
        <f t="shared" si="0"/>
        <v>"floz" STD_UK STD_RIGHT_ARROW "cup" STD_UK</v>
      </c>
      <c r="G8" s="43" t="str">
        <f t="shared" si="1"/>
        <v>"floz" STD_UK STD_RIGHT_ARROW</v>
      </c>
      <c r="H8" s="51" t="str">
        <f t="shared" si="2"/>
        <v>/* NNNN */  UNIT_CONV(constFactorFzukCupuk,       divide,      "floz" STD_UK STD_RIGHT_ARROW "cup" STD_UK,                  "floz" STD_UK STD_RIGHT_ARROW                               ),</v>
      </c>
      <c r="I8">
        <f>VLOOKUP(A8,Factors!D:G,4,0)</f>
        <v>9.9999868018625211</v>
      </c>
      <c r="J8" t="str">
        <f t="shared" si="3"/>
        <v>9.999986801862520000000000000000000000000000000000000000e+00</v>
      </c>
      <c r="K8" s="50" t="str">
        <f>VLOOKUP(A8,Factors!D:N,11,0)</f>
        <v>CupukFzuk</v>
      </c>
      <c r="L8" s="52" t="str">
        <f t="shared" si="4"/>
        <v/>
      </c>
      <c r="N8" s="68" t="str">
        <f t="shared" si="5"/>
        <v xml:space="preserve">    [constFactorFzukCupuk] = &amp;const_CupukFzuk,</v>
      </c>
    </row>
    <row r="9" spans="1:14">
      <c r="A9" s="70" t="s">
        <v>40</v>
      </c>
      <c r="B9" s="71" t="s">
        <v>41</v>
      </c>
      <c r="C9" s="70" t="s">
        <v>70</v>
      </c>
      <c r="D9" s="66" t="str">
        <f>VLOOKUP(A9,Factors!D:K,8,0)</f>
        <v>constFactorFzukTbspuk</v>
      </c>
      <c r="E9" t="str">
        <f>VLOOKUP(A9,Factors!D:N,10,0)</f>
        <v>multiply</v>
      </c>
      <c r="F9" s="43" t="str">
        <f t="shared" si="0"/>
        <v>"floz" STD_UK STD_RIGHT_ARROW "Tbsp" STD_UK</v>
      </c>
      <c r="G9" s="43" t="str">
        <f t="shared" si="1"/>
        <v>"floz" STD_UK STD_RIGHT_ARROW</v>
      </c>
      <c r="H9" s="51" t="str">
        <f t="shared" si="2"/>
        <v>/* NNNN */  UNIT_CONV(constFactorFzukTbspuk,    multiply,      "floz" STD_UK STD_RIGHT_ARROW "Tbsp" STD_UK,                 "floz" STD_UK STD_RIGHT_ARROW                               ),</v>
      </c>
      <c r="I9">
        <f>VLOOKUP(A9,Factors!D:G,4,0)</f>
        <v>1.6000021117047836</v>
      </c>
      <c r="J9" t="str">
        <f t="shared" si="3"/>
        <v>1.600002111704780000000000000000000000000000000000000000e+00</v>
      </c>
      <c r="K9" s="50" t="str">
        <f>VLOOKUP(A9,Factors!D:N,11,0)</f>
        <v>FzukTbspuk</v>
      </c>
      <c r="L9" s="52" t="str">
        <f t="shared" si="4"/>
        <v xml:space="preserve">  generateConstantArray("FzukTbspuk",    "+1.600002111704780000000000000000000000000000000000000000e+00");</v>
      </c>
      <c r="N9" s="68" t="str">
        <f t="shared" si="5"/>
        <v xml:space="preserve">    [constFactorFzukTbspuk] = &amp;const_FzukTbspuk,</v>
      </c>
    </row>
    <row r="10" spans="1:14">
      <c r="A10" s="70" t="s">
        <v>62</v>
      </c>
      <c r="B10" s="71" t="s">
        <v>63</v>
      </c>
      <c r="C10" s="70" t="s">
        <v>70</v>
      </c>
      <c r="D10" s="66" t="str">
        <f>VLOOKUP(A10,Factors!D:K,8,0)</f>
        <v>constFactorFzukTspuk</v>
      </c>
      <c r="E10" t="str">
        <f>VLOOKUP(A10,Factors!D:N,10,0)</f>
        <v>multiply</v>
      </c>
      <c r="F10" s="43" t="str">
        <f t="shared" si="0"/>
        <v>"floz" STD_UK STD_RIGHT_ARROW "tsp" STD_UK</v>
      </c>
      <c r="G10" s="43" t="str">
        <f t="shared" si="1"/>
        <v>"floz" STD_UK STD_RIGHT_ARROW</v>
      </c>
      <c r="H10" s="51" t="str">
        <f t="shared" si="2"/>
        <v>/* NNNN */  UNIT_CONV(constFactorFzukTspuk,     multiply,      "floz" STD_UK STD_RIGHT_ARROW "tsp" STD_UK,                  "floz" STD_UK STD_RIGHT_ARROW                               ),</v>
      </c>
      <c r="I10">
        <f>VLOOKUP(A10,Factors!D:G,4,0)</f>
        <v>4.8000063351143778</v>
      </c>
      <c r="J10" t="str">
        <f t="shared" si="3"/>
        <v>4.800006335114380000000000000000000000000000000000000000e+00</v>
      </c>
      <c r="K10" s="50" t="str">
        <f>VLOOKUP(A10,Factors!D:N,11,0)</f>
        <v>FzukTspuk</v>
      </c>
      <c r="L10" s="52" t="str">
        <f t="shared" si="4"/>
        <v xml:space="preserve">  generateConstantArray("FzukTspuk",     "+4.800006335114380000000000000000000000000000000000000000e+00");</v>
      </c>
      <c r="N10" s="68" t="str">
        <f t="shared" si="5"/>
        <v xml:space="preserve">    [constFactorFzukTspuk] = &amp;const_FzukTspuk,</v>
      </c>
    </row>
    <row r="11" spans="1:14">
      <c r="A11" s="70" t="s">
        <v>8</v>
      </c>
      <c r="B11" s="71" t="s">
        <v>9</v>
      </c>
      <c r="C11" s="70" t="s">
        <v>70</v>
      </c>
      <c r="D11" s="66" t="str">
        <f>VLOOKUP(A11,Factors!D:K,8,0)</f>
        <v>constFactorFzusCupc</v>
      </c>
      <c r="E11" t="str">
        <f>VLOOKUP(A11,Factors!D:N,10,0)</f>
        <v xml:space="preserve">  divide</v>
      </c>
      <c r="F11" s="43" t="str">
        <f t="shared" si="0"/>
        <v>"floz" STD_US STD_RIGHT_ARROW "cup" STD_US STD_SUB_c</v>
      </c>
      <c r="G11" s="43" t="str">
        <f t="shared" si="1"/>
        <v>"floz" STD_US STD_RIGHT_ARROW</v>
      </c>
      <c r="H11" s="51" t="str">
        <f t="shared" si="2"/>
        <v>/* NNNN */  UNIT_CONV(constFactorFzusCupc,        divide,      "floz" STD_US STD_RIGHT_ARROW "cup" STD_US STD_SUB_c,        "floz" STD_US STD_RIGHT_ARROW                               ),</v>
      </c>
      <c r="I11">
        <f>VLOOKUP(A11,Factors!D:G,4,0)</f>
        <v>8.0000079970243636</v>
      </c>
      <c r="J11" t="str">
        <f t="shared" si="3"/>
        <v>8.000007997024360000000000000000000000000000000000000000e+00</v>
      </c>
      <c r="K11" s="50" t="str">
        <f>VLOOKUP(A11,Factors!D:N,11,0)</f>
        <v>CupcFzus</v>
      </c>
      <c r="L11" s="52" t="str">
        <f t="shared" si="4"/>
        <v/>
      </c>
      <c r="N11" s="68" t="str">
        <f t="shared" si="5"/>
        <v xml:space="preserve">    [constFactorFzusCupc] = &amp;const_CupcFzus,</v>
      </c>
    </row>
    <row r="12" spans="1:14">
      <c r="A12" s="70" t="s">
        <v>12</v>
      </c>
      <c r="B12" s="71" t="s">
        <v>13</v>
      </c>
      <c r="C12" s="70" t="s">
        <v>70</v>
      </c>
      <c r="D12" s="66" t="str">
        <f>VLOOKUP(A12,Factors!D:K,8,0)</f>
        <v>constFactorFzusTbspc</v>
      </c>
      <c r="E12" t="str">
        <f>VLOOKUP(A12,Factors!D:N,10,0)</f>
        <v>multiply</v>
      </c>
      <c r="F12" s="43" t="str">
        <f t="shared" si="0"/>
        <v>"floz" STD_US STD_RIGHT_ARROW "Tbsp" STD_US STD_SUB_c</v>
      </c>
      <c r="G12" s="43" t="str">
        <f t="shared" si="1"/>
        <v>"floz" STD_US STD_RIGHT_ARROW</v>
      </c>
      <c r="H12" s="51" t="str">
        <f t="shared" si="2"/>
        <v>/* NNNN */  UNIT_CONV(constFactorFzusTbspc,     multiply,      "floz" STD_US STD_RIGHT_ARROW "Tbsp" STD_US STD_SUB_c,       "floz" STD_US STD_RIGHT_ARROW                               ),</v>
      </c>
      <c r="I12">
        <f>VLOOKUP(A12,Factors!D:G,4,0)</f>
        <v>1.9999980007459077</v>
      </c>
      <c r="J12" t="str">
        <f t="shared" si="3"/>
        <v>1.999998000745910000000000000000000000000000000000000000e+00</v>
      </c>
      <c r="K12" s="50" t="str">
        <f>VLOOKUP(A12,Factors!D:N,11,0)</f>
        <v>FzusTbspc</v>
      </c>
      <c r="L12" s="52" t="str">
        <f t="shared" si="4"/>
        <v xml:space="preserve">  generateConstantArray("FzusTbspc",     "+1.999998000745910000000000000000000000000000000000000000e+00");</v>
      </c>
      <c r="N12" s="68" t="str">
        <f t="shared" si="5"/>
        <v xml:space="preserve">    [constFactorFzusTbspc] = &amp;const_FzusTbspc,</v>
      </c>
    </row>
    <row r="13" spans="1:14">
      <c r="A13" s="70" t="s">
        <v>56</v>
      </c>
      <c r="B13" s="71" t="s">
        <v>57</v>
      </c>
      <c r="C13" s="70" t="s">
        <v>70</v>
      </c>
      <c r="D13" s="66" t="str">
        <f>VLOOKUP(A13,Factors!D:K,8,0)</f>
        <v>constFactorFzusTspc</v>
      </c>
      <c r="E13" t="str">
        <f>VLOOKUP(A13,Factors!D:N,10,0)</f>
        <v>multiply</v>
      </c>
      <c r="F13" s="43" t="str">
        <f t="shared" si="0"/>
        <v>"floz" STD_US STD_RIGHT_ARROW "tsp" STD_US STD_SUB_c</v>
      </c>
      <c r="G13" s="43" t="str">
        <f t="shared" si="1"/>
        <v>"floz" STD_US STD_RIGHT_ARROW</v>
      </c>
      <c r="H13" s="51" t="str">
        <f t="shared" si="2"/>
        <v>/* NNNN */  UNIT_CONV(constFactorFzusTspc,      multiply,      "floz" STD_US STD_RIGHT_ARROW "tsp" STD_US STD_SUB_c,        "floz" STD_US STD_RIGHT_ARROW                               ),</v>
      </c>
      <c r="I13">
        <f>VLOOKUP(A13,Factors!D:G,4,0)</f>
        <v>5.9999940022377229</v>
      </c>
      <c r="J13" t="str">
        <f t="shared" si="3"/>
        <v>5.999994002237720000000000000000000000000000000000000000e+00</v>
      </c>
      <c r="K13" s="50" t="str">
        <f>VLOOKUP(A13,Factors!D:N,11,0)</f>
        <v>FzusTspc</v>
      </c>
      <c r="L13" s="52" t="str">
        <f t="shared" si="4"/>
        <v xml:space="preserve">  generateConstantArray("FzusTspc",      "+5.999994002237720000000000000000000000000000000000000000e+00");</v>
      </c>
      <c r="N13" s="68" t="str">
        <f t="shared" si="5"/>
        <v xml:space="preserve">    [constFactorFzusTspc] = &amp;const_FzusTspc,</v>
      </c>
    </row>
    <row r="14" spans="1:14">
      <c r="A14" s="70" t="s">
        <v>16</v>
      </c>
      <c r="B14" s="71" t="s">
        <v>17</v>
      </c>
      <c r="C14" s="70" t="s">
        <v>70</v>
      </c>
      <c r="D14" s="66" t="str">
        <f>VLOOKUP(A14,Factors!D:K,8,0)</f>
        <v>constFactorMlCupc</v>
      </c>
      <c r="E14" t="str">
        <f>VLOOKUP(A14,Factors!D:N,10,0)</f>
        <v xml:space="preserve">  divide</v>
      </c>
      <c r="F14" s="43" t="str">
        <f t="shared" si="0"/>
        <v>"ml" STD_RIGHT_ARROW "cup" STD_US STD_SUB_c</v>
      </c>
      <c r="G14" s="43" t="str">
        <f t="shared" si="1"/>
        <v>"ml" STD_RIGHT_ARROW</v>
      </c>
      <c r="H14" s="51" t="str">
        <f t="shared" si="2"/>
        <v>/* NNNN */  UNIT_CONV(constFactorMlCupc,          divide,      "ml" STD_RIGHT_ARROW "cup" STD_US STD_SUB_c,                 "ml" STD_RIGHT_ARROW                                        ),</v>
      </c>
      <c r="I14">
        <f>VLOOKUP(A14,Factors!D:G,4,0)</f>
        <v>236.58823649999999</v>
      </c>
      <c r="J14" t="str">
        <f t="shared" si="3"/>
        <v>2.365882365000000000000000000000000000000000000000000000e+02</v>
      </c>
      <c r="K14" s="50" t="str">
        <f>VLOOKUP(A14,Factors!D:N,11,0)</f>
        <v>CupcMl</v>
      </c>
      <c r="L14" s="52" t="str">
        <f t="shared" si="4"/>
        <v/>
      </c>
      <c r="N14" s="68" t="str">
        <f t="shared" si="5"/>
        <v xml:space="preserve">    [constFactorMlCupc] = &amp;const_CupcMl,</v>
      </c>
    </row>
    <row r="15" spans="1:14">
      <c r="A15" s="70" t="s">
        <v>44</v>
      </c>
      <c r="B15" s="71" t="s">
        <v>45</v>
      </c>
      <c r="C15" s="70" t="s">
        <v>70</v>
      </c>
      <c r="D15" s="66" t="str">
        <f>VLOOKUP(A15,Factors!D:K,8,0)</f>
        <v>constFactorMlCupuk</v>
      </c>
      <c r="E15" t="str">
        <f>VLOOKUP(A15,Factors!D:N,10,0)</f>
        <v xml:space="preserve">  divide</v>
      </c>
      <c r="F15" s="43" t="str">
        <f t="shared" si="0"/>
        <v>"ml" STD_RIGHT_ARROW "cup" STD_UK</v>
      </c>
      <c r="G15" s="43" t="str">
        <f t="shared" si="1"/>
        <v>"ml" STD_RIGHT_ARROW</v>
      </c>
      <c r="H15" s="51" t="str">
        <f t="shared" si="2"/>
        <v>/* NNNN */  UNIT_CONV(constFactorMlCupuk,         divide,      "ml" STD_RIGHT_ARROW "cup" STD_UK,                           "ml" STD_RIGHT_ARROW                                        ),</v>
      </c>
      <c r="I15">
        <f>VLOOKUP(A15,Factors!D:G,4,0)</f>
        <v>284.13062500000001</v>
      </c>
      <c r="J15" t="str">
        <f t="shared" si="3"/>
        <v>2.841306250000000000000000000000000000000000000000000000e+02</v>
      </c>
      <c r="K15" s="50" t="str">
        <f>VLOOKUP(A15,Factors!D:N,11,0)</f>
        <v>CupukMl</v>
      </c>
      <c r="L15" s="52" t="str">
        <f t="shared" si="4"/>
        <v/>
      </c>
      <c r="N15" s="68" t="str">
        <f t="shared" si="5"/>
        <v xml:space="preserve">    [constFactorMlCupuk] = &amp;const_CupukMl,</v>
      </c>
    </row>
    <row r="16" spans="1:14">
      <c r="A16" s="70" t="s">
        <v>2</v>
      </c>
      <c r="B16" s="71" t="s">
        <v>3</v>
      </c>
      <c r="C16" s="70" t="s">
        <v>70</v>
      </c>
      <c r="D16" s="66" t="str">
        <f>VLOOKUP(A16,Factors!D:K,8,0)</f>
        <v>constFactorMlPintlq</v>
      </c>
      <c r="E16" t="str">
        <f>VLOOKUP(A16,Factors!D:N,10,0)</f>
        <v xml:space="preserve">  divide</v>
      </c>
      <c r="F16" s="43" t="str">
        <f t="shared" si="0"/>
        <v>"ml" STD_RIGHT_ARROW "pint" STD_SUB_l STD_SUB_i STD_SUB_q</v>
      </c>
      <c r="G16" s="43" t="str">
        <f t="shared" si="1"/>
        <v>"ml" STD_RIGHT_ARROW</v>
      </c>
      <c r="H16" s="51" t="str">
        <f t="shared" si="2"/>
        <v>/* NNNN */  UNIT_CONV(constFactorMlPintlq,        divide,      "ml" STD_RIGHT_ARROW "pint" STD_SUB_l STD_SUB_i STD_SUB_q,   "ml" STD_RIGHT_ARROW                                        ),</v>
      </c>
      <c r="I16">
        <f>VLOOKUP(A16,Factors!D:G,4,0)</f>
        <v>473.17647299999999</v>
      </c>
      <c r="J16" t="str">
        <f t="shared" si="3"/>
        <v>4.731764730000000000000000000000000000000000000000000000e+02</v>
      </c>
      <c r="K16" s="50" t="str">
        <f>VLOOKUP(A16,Factors!D:N,11,0)</f>
        <v>PintlqMl</v>
      </c>
      <c r="L16" s="52" t="str">
        <f t="shared" si="4"/>
        <v/>
      </c>
      <c r="N16" s="68" t="str">
        <f t="shared" si="5"/>
        <v xml:space="preserve">    [constFactorMlPintlq] = &amp;const_PintlqMl,</v>
      </c>
    </row>
    <row r="17" spans="1:14">
      <c r="A17" s="70" t="s">
        <v>30</v>
      </c>
      <c r="B17" s="71" t="s">
        <v>31</v>
      </c>
      <c r="C17" s="70" t="s">
        <v>70</v>
      </c>
      <c r="D17" s="66" t="str">
        <f>VLOOKUP(A17,Factors!D:K,8,0)</f>
        <v>constFactorMlPintuk</v>
      </c>
      <c r="E17" t="str">
        <f>VLOOKUP(A17,Factors!D:N,10,0)</f>
        <v xml:space="preserve">  divide</v>
      </c>
      <c r="F17" s="43" t="str">
        <f t="shared" si="0"/>
        <v>"ml" STD_RIGHT_ARROW "pint" STD_UK</v>
      </c>
      <c r="G17" s="43" t="str">
        <f t="shared" si="1"/>
        <v>"ml" STD_RIGHT_ARROW</v>
      </c>
      <c r="H17" s="51" t="str">
        <f t="shared" si="2"/>
        <v>/* NNNN */  UNIT_CONV(constFactorMlPintuk,        divide,      "ml" STD_RIGHT_ARROW "pint" STD_UK,                          "ml" STD_RIGHT_ARROW                                        ),</v>
      </c>
      <c r="I17">
        <f>VLOOKUP(A17,Factors!D:G,4,0)</f>
        <v>568.26125000000002</v>
      </c>
      <c r="J17" t="str">
        <f t="shared" si="3"/>
        <v>5.682612500000000000000000000000000000000000000000000000e+02</v>
      </c>
      <c r="K17" s="50" t="str">
        <f>VLOOKUP(A17,Factors!D:N,11,0)</f>
        <v>PintukMl</v>
      </c>
      <c r="L17" s="52" t="str">
        <f t="shared" si="4"/>
        <v/>
      </c>
      <c r="N17" s="68" t="str">
        <f t="shared" si="5"/>
        <v xml:space="preserve">    [constFactorMlPintuk] = &amp;const_PintukMl,</v>
      </c>
    </row>
    <row r="18" spans="1:14">
      <c r="A18" s="70" t="s">
        <v>34</v>
      </c>
      <c r="B18" s="71" t="s">
        <v>35</v>
      </c>
      <c r="C18" s="70" t="s">
        <v>70</v>
      </c>
      <c r="D18" s="66" t="str">
        <f>VLOOKUP(A18,Factors!D:K,8,0)</f>
        <v>constFactorMlQt</v>
      </c>
      <c r="E18" t="str">
        <f>VLOOKUP(A18,Factors!D:N,10,0)</f>
        <v xml:space="preserve">  divide</v>
      </c>
      <c r="F18" s="43" t="str">
        <f t="shared" si="0"/>
        <v>"ml" STD_RIGHT_ARROW "qt." STD_UK</v>
      </c>
      <c r="G18" s="43" t="str">
        <f t="shared" si="1"/>
        <v>"ml" STD_RIGHT_ARROW</v>
      </c>
      <c r="H18" s="51" t="str">
        <f t="shared" si="2"/>
        <v>/* NNNN */  UNIT_CONV(constFactorMlQt,            divide,      "ml" STD_RIGHT_ARROW "qt." STD_UK,                           "ml" STD_RIGHT_ARROW                                        ),</v>
      </c>
      <c r="I18">
        <f>VLOOKUP(A18,Factors!D:G,4,0)</f>
        <v>1136.5225</v>
      </c>
      <c r="J18" t="str">
        <f t="shared" si="3"/>
        <v>1.136522500000000000000000000000000000000000000000000000e+03</v>
      </c>
      <c r="K18" s="50" t="str">
        <f>VLOOKUP(A18,Factors!D:N,11,0)</f>
        <v>QtMl</v>
      </c>
      <c r="L18" s="52" t="str">
        <f t="shared" si="4"/>
        <v/>
      </c>
      <c r="N18" s="68" t="str">
        <f t="shared" si="5"/>
        <v xml:space="preserve">    [constFactorMlQt] = &amp;const_QtMl,</v>
      </c>
    </row>
    <row r="19" spans="1:14">
      <c r="A19" s="70" t="s">
        <v>6</v>
      </c>
      <c r="B19" s="71" t="s">
        <v>7</v>
      </c>
      <c r="C19" s="70" t="s">
        <v>70</v>
      </c>
      <c r="D19" s="66" t="str">
        <f>VLOOKUP(A19,Factors!D:K,8,0)</f>
        <v>constFactorMlQtus</v>
      </c>
      <c r="E19" t="str">
        <f>VLOOKUP(A19,Factors!D:N,10,0)</f>
        <v xml:space="preserve">  divide</v>
      </c>
      <c r="F19" s="43" t="str">
        <f t="shared" si="0"/>
        <v>"ml" STD_RIGHT_ARROW "qt." STD_US</v>
      </c>
      <c r="G19" s="43" t="str">
        <f t="shared" si="1"/>
        <v>"ml" STD_RIGHT_ARROW</v>
      </c>
      <c r="H19" s="51" t="str">
        <f t="shared" si="2"/>
        <v>/* NNNN */  UNIT_CONV(constFactorMlQtus,          divide,      "ml" STD_RIGHT_ARROW "qt." STD_US,                           "ml" STD_RIGHT_ARROW                                        ),</v>
      </c>
      <c r="I19">
        <f>VLOOKUP(A19,Factors!D:G,4,0)</f>
        <v>946.35294599999997</v>
      </c>
      <c r="J19" t="str">
        <f t="shared" si="3"/>
        <v>9.463529460000000000000000000000000000000000000000000000e+02</v>
      </c>
      <c r="K19" s="50" t="str">
        <f>VLOOKUP(A19,Factors!D:N,11,0)</f>
        <v>QtusMl</v>
      </c>
      <c r="L19" s="52" t="str">
        <f t="shared" si="4"/>
        <v/>
      </c>
      <c r="N19" s="68" t="str">
        <f t="shared" si="5"/>
        <v xml:space="preserve">    [constFactorMlQtus] = &amp;const_QtusMl,</v>
      </c>
    </row>
    <row r="20" spans="1:14">
      <c r="A20" s="70" t="s">
        <v>20</v>
      </c>
      <c r="B20" s="71" t="s">
        <v>21</v>
      </c>
      <c r="C20" s="70" t="s">
        <v>70</v>
      </c>
      <c r="D20" s="66" t="str">
        <f>VLOOKUP(A20,Factors!D:K,8,0)</f>
        <v>constFactorMlTbspc</v>
      </c>
      <c r="E20" t="str">
        <f>VLOOKUP(A20,Factors!D:N,10,0)</f>
        <v xml:space="preserve">  divide</v>
      </c>
      <c r="F20" s="43" t="str">
        <f t="shared" si="0"/>
        <v>"ml" STD_RIGHT_ARROW "Tbsp" STD_US STD_SUB_c</v>
      </c>
      <c r="G20" s="43" t="str">
        <f t="shared" si="1"/>
        <v>"ml" STD_RIGHT_ARROW</v>
      </c>
      <c r="H20" s="51" t="str">
        <f t="shared" si="2"/>
        <v>/* NNNN */  UNIT_CONV(constFactorMlTbspc,         divide,      "ml" STD_RIGHT_ARROW "Tbsp" STD_US STD_SUB_c,                "ml" STD_RIGHT_ARROW                                        ),</v>
      </c>
      <c r="I20">
        <f>VLOOKUP(A20,Factors!D:G,4,0)</f>
        <v>14.78676478125</v>
      </c>
      <c r="J20" t="str">
        <f t="shared" si="3"/>
        <v>1.478676478125000000000000000000000000000000000000000000e+01</v>
      </c>
      <c r="K20" s="50" t="str">
        <f>VLOOKUP(A20,Factors!D:N,11,0)</f>
        <v>TbspcMl</v>
      </c>
      <c r="L20" s="52" t="str">
        <f t="shared" si="4"/>
        <v/>
      </c>
      <c r="N20" s="68" t="str">
        <f t="shared" si="5"/>
        <v xml:space="preserve">    [constFactorMlTbspc] = &amp;const_TbspcMl,</v>
      </c>
    </row>
    <row r="21" spans="1:14">
      <c r="A21" s="70" t="s">
        <v>48</v>
      </c>
      <c r="B21" s="71" t="s">
        <v>49</v>
      </c>
      <c r="C21" s="70" t="s">
        <v>70</v>
      </c>
      <c r="D21" s="66" t="str">
        <f>VLOOKUP(A21,Factors!D:K,8,0)</f>
        <v>constFactorMlTbspuk</v>
      </c>
      <c r="E21" t="str">
        <f>VLOOKUP(A21,Factors!D:N,10,0)</f>
        <v xml:space="preserve">  divide</v>
      </c>
      <c r="F21" s="43" t="str">
        <f t="shared" si="0"/>
        <v>"ml" STD_RIGHT_ARROW "Tbsp" STD_UK</v>
      </c>
      <c r="G21" s="43" t="str">
        <f t="shared" si="1"/>
        <v>"ml" STD_RIGHT_ARROW</v>
      </c>
      <c r="H21" s="51" t="str">
        <f t="shared" si="2"/>
        <v>/* NNNN */  UNIT_CONV(constFactorMlTbspuk,        divide,      "ml" STD_RIGHT_ARROW "Tbsp" STD_UK,                          "ml" STD_RIGHT_ARROW                                        ),</v>
      </c>
      <c r="I21">
        <f>VLOOKUP(A21,Factors!D:G,4,0)</f>
        <v>17.758164062500001</v>
      </c>
      <c r="J21" t="str">
        <f t="shared" si="3"/>
        <v>1.775816406250000000000000000000000000000000000000000000e+01</v>
      </c>
      <c r="K21" s="50" t="str">
        <f>VLOOKUP(A21,Factors!D:N,11,0)</f>
        <v>TbspukMl</v>
      </c>
      <c r="L21" s="52" t="str">
        <f t="shared" si="4"/>
        <v/>
      </c>
      <c r="N21" s="68" t="str">
        <f t="shared" si="5"/>
        <v xml:space="preserve">    [constFactorMlTbspuk] = &amp;const_TbspukMl,</v>
      </c>
    </row>
    <row r="22" spans="1:14">
      <c r="A22" s="70" t="s">
        <v>24</v>
      </c>
      <c r="B22" s="71" t="s">
        <v>25</v>
      </c>
      <c r="C22" s="70" t="s">
        <v>70</v>
      </c>
      <c r="D22" s="66" t="str">
        <f>VLOOKUP(A22,Factors!D:K,8,0)</f>
        <v>constFactorMlTspc</v>
      </c>
      <c r="E22" t="str">
        <f>VLOOKUP(A22,Factors!D:N,10,0)</f>
        <v xml:space="preserve">  divide</v>
      </c>
      <c r="F22" s="43" t="str">
        <f t="shared" si="0"/>
        <v>"ml" STD_RIGHT_ARROW "tsp" STD_US STD_SUB_c</v>
      </c>
      <c r="G22" s="43" t="str">
        <f t="shared" si="1"/>
        <v>"ml" STD_RIGHT_ARROW</v>
      </c>
      <c r="H22" s="51" t="str">
        <f t="shared" si="2"/>
        <v>/* NNNN */  UNIT_CONV(constFactorMlTspc,          divide,      "ml" STD_RIGHT_ARROW "tsp" STD_US STD_SUB_c,                 "ml" STD_RIGHT_ARROW                                        ),</v>
      </c>
      <c r="I22">
        <f>VLOOKUP(A22,Factors!D:G,4,0)</f>
        <v>4.9289215937500002</v>
      </c>
      <c r="J22" t="str">
        <f t="shared" si="3"/>
        <v>4.928921593750000000000000000000000000000000000000000000e+00</v>
      </c>
      <c r="K22" s="50" t="str">
        <f>VLOOKUP(A22,Factors!D:N,11,0)</f>
        <v>TspcMl</v>
      </c>
      <c r="L22" s="52" t="str">
        <f t="shared" si="4"/>
        <v/>
      </c>
      <c r="N22" s="68" t="str">
        <f t="shared" si="5"/>
        <v xml:space="preserve">    [constFactorMlTspc] = &amp;const_TspcMl,</v>
      </c>
    </row>
    <row r="23" spans="1:14">
      <c r="A23" s="70" t="s">
        <v>52</v>
      </c>
      <c r="B23" s="71" t="s">
        <v>53</v>
      </c>
      <c r="C23" s="70" t="s">
        <v>70</v>
      </c>
      <c r="D23" s="66" t="str">
        <f>VLOOKUP(A23,Factors!D:K,8,0)</f>
        <v>constFactorMlTspuk</v>
      </c>
      <c r="E23" t="str">
        <f>VLOOKUP(A23,Factors!D:N,10,0)</f>
        <v xml:space="preserve">  divide</v>
      </c>
      <c r="F23" s="43" t="str">
        <f t="shared" si="0"/>
        <v>"ml" STD_RIGHT_ARROW "tsp" STD_UK</v>
      </c>
      <c r="G23" s="43" t="str">
        <f t="shared" si="1"/>
        <v>"ml" STD_RIGHT_ARROW</v>
      </c>
      <c r="H23" s="51" t="str">
        <f t="shared" si="2"/>
        <v>/* NNNN */  UNIT_CONV(constFactorMlTspuk,         divide,      "ml" STD_RIGHT_ARROW "tsp" STD_UK,                           "ml" STD_RIGHT_ARROW                                        ),</v>
      </c>
      <c r="I23">
        <f>VLOOKUP(A23,Factors!D:G,4,0)</f>
        <v>5.9193880208333001</v>
      </c>
      <c r="J23" t="str">
        <f t="shared" si="3"/>
        <v>5.919388020833300000000000000000000000000000000000000000e+00</v>
      </c>
      <c r="K23" s="50" t="str">
        <f>VLOOKUP(A23,Factors!D:N,11,0)</f>
        <v>TspukMl</v>
      </c>
      <c r="L23" s="52" t="str">
        <f t="shared" si="4"/>
        <v/>
      </c>
      <c r="N23" s="68" t="str">
        <f t="shared" si="5"/>
        <v xml:space="preserve">    [constFactorMlTspuk] = &amp;const_TspukMl,</v>
      </c>
    </row>
    <row r="24" spans="1:14">
      <c r="A24" s="70" t="s">
        <v>0</v>
      </c>
      <c r="B24" s="71" t="s">
        <v>1</v>
      </c>
      <c r="C24" s="70" t="s">
        <v>70</v>
      </c>
      <c r="D24" s="66" t="str">
        <f>VLOOKUP(A24,Factors!D:K,8,0)</f>
        <v>constFactorPintlqMl</v>
      </c>
      <c r="E24" t="str">
        <f>VLOOKUP(A24,Factors!D:N,10,0)</f>
        <v>multiply</v>
      </c>
      <c r="F24" s="43" t="str">
        <f t="shared" si="0"/>
        <v>"pint" STD_SUB_l STD_SUB_i STD_SUB_q STD_RIGHT_ARROW "ml"</v>
      </c>
      <c r="G24" s="43" t="str">
        <f t="shared" si="1"/>
        <v>"pint" STD_SUB_l STD_SUB_i STD_SUB_q STD_RIGHT_ARROW</v>
      </c>
      <c r="H24" s="51" t="str">
        <f t="shared" si="2"/>
        <v>/* NNNN */  UNIT_CONV(constFactorPintlqMl,      multiply,      "pint" STD_SUB_l STD_SUB_i STD_SUB_q STD_RIGHT_ARROW "ml",   "pint" STD_SUB_l STD_SUB_i STD_SUB_q STD_RIGHT_ARROW        ),</v>
      </c>
      <c r="I24">
        <f>VLOOKUP(A24,Factors!D:G,4,0)</f>
        <v>473.17647299999999</v>
      </c>
      <c r="J24" t="str">
        <f t="shared" si="3"/>
        <v>4.731764730000000000000000000000000000000000000000000000e+02</v>
      </c>
      <c r="K24" s="50" t="str">
        <f>VLOOKUP(A24,Factors!D:N,11,0)</f>
        <v>PintlqMl</v>
      </c>
      <c r="L24" s="52" t="str">
        <f t="shared" si="4"/>
        <v xml:space="preserve">  generateConstantArray("PintlqMl",      "+4.731764730000000000000000000000000000000000000000000000e+02");</v>
      </c>
      <c r="N24" s="68" t="str">
        <f t="shared" si="5"/>
        <v xml:space="preserve">    [constFactorPintlqMl] = &amp;const_PintlqMl,</v>
      </c>
    </row>
    <row r="25" spans="1:14">
      <c r="A25" s="70" t="s">
        <v>28</v>
      </c>
      <c r="B25" s="71" t="s">
        <v>29</v>
      </c>
      <c r="C25" s="70" t="s">
        <v>70</v>
      </c>
      <c r="D25" s="66" t="str">
        <f>VLOOKUP(A25,Factors!D:K,8,0)</f>
        <v>constFactorPintukMl</v>
      </c>
      <c r="E25" t="str">
        <f>VLOOKUP(A25,Factors!D:N,10,0)</f>
        <v>multiply</v>
      </c>
      <c r="F25" s="43" t="str">
        <f t="shared" si="0"/>
        <v>"pint" STD_UK STD_RIGHT_ARROW "ml"</v>
      </c>
      <c r="G25" s="43" t="str">
        <f t="shared" si="1"/>
        <v>"pint" STD_UK STD_RIGHT_ARROW</v>
      </c>
      <c r="H25" s="51" t="str">
        <f t="shared" si="2"/>
        <v>/* NNNN */  UNIT_CONV(constFactorPintukMl,      multiply,      "pint" STD_UK STD_RIGHT_ARROW "ml",                          "pint" STD_UK STD_RIGHT_ARROW                               ),</v>
      </c>
      <c r="I25">
        <f>VLOOKUP(A25,Factors!D:G,4,0)</f>
        <v>568.26125000000002</v>
      </c>
      <c r="J25" t="str">
        <f t="shared" si="3"/>
        <v>5.682612500000000000000000000000000000000000000000000000e+02</v>
      </c>
      <c r="K25" s="50" t="str">
        <f>VLOOKUP(A25,Factors!D:N,11,0)</f>
        <v>PintukMl</v>
      </c>
      <c r="L25" s="52" t="str">
        <f t="shared" si="4"/>
        <v xml:space="preserve">  generateConstantArray("PintukMl",      "+5.682612500000000000000000000000000000000000000000000000e+02");</v>
      </c>
      <c r="N25" s="68" t="str">
        <f t="shared" si="5"/>
        <v xml:space="preserve">    [constFactorPintukMl] = &amp;const_PintukMl,</v>
      </c>
    </row>
    <row r="26" spans="1:14">
      <c r="A26" s="70" t="s">
        <v>32</v>
      </c>
      <c r="B26" s="71" t="s">
        <v>33</v>
      </c>
      <c r="C26" s="70" t="s">
        <v>70</v>
      </c>
      <c r="D26" s="66" t="str">
        <f>VLOOKUP(A26,Factors!D:K,8,0)</f>
        <v>constFactorQtMl</v>
      </c>
      <c r="E26" t="str">
        <f>VLOOKUP(A26,Factors!D:N,10,0)</f>
        <v>multiply</v>
      </c>
      <c r="F26" s="43" t="str">
        <f t="shared" si="0"/>
        <v>"qt." STD_UK STD_RIGHT_ARROW "ml"</v>
      </c>
      <c r="G26" s="43" t="str">
        <f t="shared" si="1"/>
        <v>"qt." STD_UK STD_RIGHT_ARROW</v>
      </c>
      <c r="H26" s="51" t="str">
        <f t="shared" si="2"/>
        <v>/* NNNN */  UNIT_CONV(constFactorQtMl,          multiply,      "qt." STD_UK STD_RIGHT_ARROW "ml",                           "qt." STD_UK STD_RIGHT_ARROW                                ),</v>
      </c>
      <c r="I26">
        <f>VLOOKUP(A26,Factors!D:G,4,0)</f>
        <v>1136.5225</v>
      </c>
      <c r="J26" t="str">
        <f t="shared" si="3"/>
        <v>1.136522500000000000000000000000000000000000000000000000e+03</v>
      </c>
      <c r="K26" s="50" t="str">
        <f>VLOOKUP(A26,Factors!D:N,11,0)</f>
        <v>QtMl</v>
      </c>
      <c r="L26" s="52" t="str">
        <f t="shared" si="4"/>
        <v xml:space="preserve">  generateConstantArray("QtMl",          "+1.136522500000000000000000000000000000000000000000000000e+03");</v>
      </c>
      <c r="N26" s="68" t="str">
        <f t="shared" si="5"/>
        <v xml:space="preserve">    [constFactorQtMl] = &amp;const_QtMl,</v>
      </c>
    </row>
    <row r="27" spans="1:14">
      <c r="A27" s="70" t="s">
        <v>4</v>
      </c>
      <c r="B27" s="71" t="s">
        <v>5</v>
      </c>
      <c r="C27" s="70" t="s">
        <v>70</v>
      </c>
      <c r="D27" s="66" t="str">
        <f>VLOOKUP(A27,Factors!D:K,8,0)</f>
        <v>constFactorQtusMl</v>
      </c>
      <c r="E27" t="str">
        <f>VLOOKUP(A27,Factors!D:N,10,0)</f>
        <v>multiply</v>
      </c>
      <c r="F27" s="43" t="str">
        <f t="shared" si="0"/>
        <v>"qt." STD_US STD_RIGHT_ARROW "ml"</v>
      </c>
      <c r="G27" s="43" t="str">
        <f t="shared" si="1"/>
        <v>"qt." STD_US STD_RIGHT_ARROW</v>
      </c>
      <c r="H27" s="51" t="str">
        <f t="shared" si="2"/>
        <v>/* NNNN */  UNIT_CONV(constFactorQtusMl,        multiply,      "qt." STD_US STD_RIGHT_ARROW "ml",                           "qt." STD_US STD_RIGHT_ARROW                                ),</v>
      </c>
      <c r="I27">
        <f>VLOOKUP(A27,Factors!D:G,4,0)</f>
        <v>946.35294599999997</v>
      </c>
      <c r="J27" t="str">
        <f t="shared" si="3"/>
        <v>9.463529460000000000000000000000000000000000000000000000e+02</v>
      </c>
      <c r="K27" s="50" t="str">
        <f>VLOOKUP(A27,Factors!D:N,11,0)</f>
        <v>QtusMl</v>
      </c>
      <c r="L27" s="52" t="str">
        <f t="shared" si="4"/>
        <v xml:space="preserve">  generateConstantArray("QtusMl",        "+9.463529460000000000000000000000000000000000000000000000e+02");</v>
      </c>
      <c r="N27" s="68" t="str">
        <f t="shared" si="5"/>
        <v xml:space="preserve">    [constFactorQtusMl] = &amp;const_QtusMl,</v>
      </c>
    </row>
    <row r="28" spans="1:14">
      <c r="A28" s="70" t="s">
        <v>14</v>
      </c>
      <c r="B28" s="71" t="s">
        <v>15</v>
      </c>
      <c r="C28" s="70" t="s">
        <v>70</v>
      </c>
      <c r="D28" s="66" t="str">
        <f>VLOOKUP(A28,Factors!D:K,8,0)</f>
        <v>constFactorTbspcFzus</v>
      </c>
      <c r="E28" t="str">
        <f>VLOOKUP(A28,Factors!D:N,10,0)</f>
        <v xml:space="preserve">  divide</v>
      </c>
      <c r="F28" s="43" t="str">
        <f t="shared" si="0"/>
        <v>"Tbsp" STD_US STD_SUB_c STD_RIGHT_ARROW "floz" STD_US</v>
      </c>
      <c r="G28" s="43" t="str">
        <f t="shared" si="1"/>
        <v>"Tbsp" STD_US STD_SUB_c STD_RIGHT_ARROW</v>
      </c>
      <c r="H28" s="51" t="str">
        <f t="shared" si="2"/>
        <v>/* NNNN */  UNIT_CONV(constFactorTbspcFzus,       divide,      "Tbsp" STD_US STD_SUB_c STD_RIGHT_ARROW "floz" STD_US,       "Tbsp" STD_US STD_SUB_c STD_RIGHT_ARROW                     ),</v>
      </c>
      <c r="I28">
        <f>VLOOKUP(A28,Factors!D:G,4,0)</f>
        <v>1.9999980007459077</v>
      </c>
      <c r="J28" t="str">
        <f t="shared" si="3"/>
        <v>1.999998000745910000000000000000000000000000000000000000e+00</v>
      </c>
      <c r="K28" s="50" t="str">
        <f>VLOOKUP(A28,Factors!D:N,11,0)</f>
        <v>FzusTbspc</v>
      </c>
      <c r="L28" s="52" t="str">
        <f t="shared" si="4"/>
        <v/>
      </c>
      <c r="N28" s="68" t="str">
        <f t="shared" si="5"/>
        <v xml:space="preserve">    [constFactorTbspcFzus] = &amp;const_FzusTbspc,</v>
      </c>
    </row>
    <row r="29" spans="1:14">
      <c r="A29" s="70" t="s">
        <v>22</v>
      </c>
      <c r="B29" s="71" t="s">
        <v>23</v>
      </c>
      <c r="C29" s="70" t="s">
        <v>70</v>
      </c>
      <c r="D29" s="66" t="str">
        <f>VLOOKUP(A29,Factors!D:K,8,0)</f>
        <v>constFactorTbspcMl</v>
      </c>
      <c r="E29" t="str">
        <f>VLOOKUP(A29,Factors!D:N,10,0)</f>
        <v>multiply</v>
      </c>
      <c r="F29" s="43" t="str">
        <f t="shared" si="0"/>
        <v>"Tbsp" STD_US STD_SUB_c STD_RIGHT_ARROW "ml"</v>
      </c>
      <c r="G29" s="43" t="str">
        <f t="shared" si="1"/>
        <v>"Tbsp" STD_US STD_SUB_c STD_RIGHT_ARROW</v>
      </c>
      <c r="H29" s="51" t="str">
        <f t="shared" si="2"/>
        <v>/* NNNN */  UNIT_CONV(constFactorTbspcMl,       multiply,      "Tbsp" STD_US STD_SUB_c STD_RIGHT_ARROW "ml",                "Tbsp" STD_US STD_SUB_c STD_RIGHT_ARROW                     ),</v>
      </c>
      <c r="I29">
        <f>VLOOKUP(A29,Factors!D:G,4,0)</f>
        <v>14.78676478125</v>
      </c>
      <c r="J29" t="str">
        <f t="shared" si="3"/>
        <v>1.478676478125000000000000000000000000000000000000000000e+01</v>
      </c>
      <c r="K29" s="50" t="str">
        <f>VLOOKUP(A29,Factors!D:N,11,0)</f>
        <v>TbspcMl</v>
      </c>
      <c r="L29" s="52" t="str">
        <f t="shared" si="4"/>
        <v xml:space="preserve">  generateConstantArray("TbspcMl",       "+1.478676478125000000000000000000000000000000000000000000e+01");</v>
      </c>
      <c r="N29" s="68" t="str">
        <f t="shared" si="5"/>
        <v xml:space="preserve">    [constFactorTbspcMl] = &amp;const_TbspcMl,</v>
      </c>
    </row>
    <row r="30" spans="1:14">
      <c r="A30" s="70" t="s">
        <v>42</v>
      </c>
      <c r="B30" s="71" t="s">
        <v>43</v>
      </c>
      <c r="C30" s="70" t="s">
        <v>70</v>
      </c>
      <c r="D30" s="66" t="str">
        <f>VLOOKUP(A30,Factors!D:K,8,0)</f>
        <v>constFactorTbspukFzuk</v>
      </c>
      <c r="E30" t="str">
        <f>VLOOKUP(A30,Factors!D:N,10,0)</f>
        <v xml:space="preserve">  divide</v>
      </c>
      <c r="F30" s="43" t="str">
        <f t="shared" si="0"/>
        <v>"Tbsp" STD_UK STD_RIGHT_ARROW "floz" STD_UK</v>
      </c>
      <c r="G30" s="43" t="str">
        <f t="shared" si="1"/>
        <v>"Tbsp" STD_UK STD_RIGHT_ARROW</v>
      </c>
      <c r="H30" s="51" t="str">
        <f t="shared" si="2"/>
        <v>/* NNNN */  UNIT_CONV(constFactorTbspukFzuk,      divide,      "Tbsp" STD_UK STD_RIGHT_ARROW "floz" STD_UK,                 "Tbsp" STD_UK STD_RIGHT_ARROW                               ),</v>
      </c>
      <c r="I30">
        <f>VLOOKUP(A30,Factors!D:G,4,0)</f>
        <v>1.6000021117047836</v>
      </c>
      <c r="J30" t="str">
        <f t="shared" si="3"/>
        <v>1.600002111704780000000000000000000000000000000000000000e+00</v>
      </c>
      <c r="K30" s="50" t="str">
        <f>VLOOKUP(A30,Factors!D:N,11,0)</f>
        <v>FzukTbspuk</v>
      </c>
      <c r="L30" s="52" t="str">
        <f t="shared" si="4"/>
        <v/>
      </c>
      <c r="N30" s="68" t="str">
        <f t="shared" si="5"/>
        <v xml:space="preserve">    [constFactorTbspukFzuk] = &amp;const_FzukTbspuk,</v>
      </c>
    </row>
    <row r="31" spans="1:14">
      <c r="A31" s="70" t="s">
        <v>50</v>
      </c>
      <c r="B31" s="71" t="s">
        <v>51</v>
      </c>
      <c r="C31" s="70" t="s">
        <v>70</v>
      </c>
      <c r="D31" s="66" t="str">
        <f>VLOOKUP(A31,Factors!D:K,8,0)</f>
        <v>constFactorTbspukMl</v>
      </c>
      <c r="E31" t="str">
        <f>VLOOKUP(A31,Factors!D:N,10,0)</f>
        <v>multiply</v>
      </c>
      <c r="F31" s="43" t="str">
        <f t="shared" si="0"/>
        <v>"Tbsp" STD_UK STD_RIGHT_ARROW "ml"</v>
      </c>
      <c r="G31" s="43" t="str">
        <f t="shared" si="1"/>
        <v>"Tbsp" STD_UK STD_RIGHT_ARROW</v>
      </c>
      <c r="H31" s="51" t="str">
        <f t="shared" si="2"/>
        <v>/* NNNN */  UNIT_CONV(constFactorTbspukMl,      multiply,      "Tbsp" STD_UK STD_RIGHT_ARROW "ml",                          "Tbsp" STD_UK STD_RIGHT_ARROW                               ),</v>
      </c>
      <c r="I31">
        <f>VLOOKUP(A31,Factors!D:G,4,0)</f>
        <v>17.758164062500001</v>
      </c>
      <c r="J31" t="str">
        <f t="shared" si="3"/>
        <v>1.775816406250000000000000000000000000000000000000000000e+01</v>
      </c>
      <c r="K31" s="50" t="str">
        <f>VLOOKUP(A31,Factors!D:N,11,0)</f>
        <v>TbspukMl</v>
      </c>
      <c r="L31" s="52" t="str">
        <f t="shared" si="4"/>
        <v xml:space="preserve">  generateConstantArray("TbspukMl",      "+1.775816406250000000000000000000000000000000000000000000e+01");</v>
      </c>
      <c r="N31" s="68" t="str">
        <f t="shared" si="5"/>
        <v xml:space="preserve">    [constFactorTbspukMl] = &amp;const_TbspukMl,</v>
      </c>
    </row>
    <row r="32" spans="1:14">
      <c r="A32" s="70" t="s">
        <v>58</v>
      </c>
      <c r="B32" s="71" t="s">
        <v>59</v>
      </c>
      <c r="C32" s="70" t="s">
        <v>70</v>
      </c>
      <c r="D32" s="66" t="str">
        <f>VLOOKUP(A32,Factors!D:K,8,0)</f>
        <v>constFactorTspcFzus</v>
      </c>
      <c r="E32" t="str">
        <f>VLOOKUP(A32,Factors!D:N,10,0)</f>
        <v xml:space="preserve">  divide</v>
      </c>
      <c r="F32" s="43" t="str">
        <f t="shared" si="0"/>
        <v>"tsp" STD_US STD_SUB_c STD_RIGHT_ARROW "floz" STD_US</v>
      </c>
      <c r="G32" s="43" t="str">
        <f t="shared" si="1"/>
        <v>"tsp" STD_US STD_SUB_c STD_RIGHT_ARROW</v>
      </c>
      <c r="H32" s="51" t="str">
        <f t="shared" si="2"/>
        <v>/* NNNN */  UNIT_CONV(constFactorTspcFzus,        divide,      "tsp" STD_US STD_SUB_c STD_RIGHT_ARROW "floz" STD_US,        "tsp" STD_US STD_SUB_c STD_RIGHT_ARROW                      ),</v>
      </c>
      <c r="I32">
        <f>VLOOKUP(A32,Factors!D:G,4,0)</f>
        <v>5.9999940022377229</v>
      </c>
      <c r="J32" t="str">
        <f t="shared" si="3"/>
        <v>5.999994002237720000000000000000000000000000000000000000e+00</v>
      </c>
      <c r="K32" s="50" t="str">
        <f>VLOOKUP(A32,Factors!D:N,11,0)</f>
        <v>FzusTspc</v>
      </c>
      <c r="L32" s="52" t="str">
        <f t="shared" si="4"/>
        <v/>
      </c>
      <c r="N32" s="68" t="str">
        <f t="shared" si="5"/>
        <v xml:space="preserve">    [constFactorTspcFzus] = &amp;const_FzusTspc,</v>
      </c>
    </row>
    <row r="33" spans="1:14">
      <c r="A33" s="70" t="s">
        <v>26</v>
      </c>
      <c r="B33" s="71" t="s">
        <v>27</v>
      </c>
      <c r="C33" s="70" t="s">
        <v>70</v>
      </c>
      <c r="D33" s="66" t="str">
        <f>VLOOKUP(A33,Factors!D:K,8,0)</f>
        <v>constFactorTspcMl</v>
      </c>
      <c r="E33" t="str">
        <f>VLOOKUP(A33,Factors!D:N,10,0)</f>
        <v>multiply</v>
      </c>
      <c r="F33" s="43" t="str">
        <f t="shared" si="0"/>
        <v>"tsp" STD_US STD_SUB_c STD_RIGHT_ARROW "ml"</v>
      </c>
      <c r="G33" s="43" t="str">
        <f t="shared" si="1"/>
        <v>"tsp" STD_US STD_SUB_c STD_RIGHT_ARROW</v>
      </c>
      <c r="H33" s="51" t="str">
        <f t="shared" si="2"/>
        <v>/* NNNN */  UNIT_CONV(constFactorTspcMl,        multiply,      "tsp" STD_US STD_SUB_c STD_RIGHT_ARROW "ml",                 "tsp" STD_US STD_SUB_c STD_RIGHT_ARROW                      ),</v>
      </c>
      <c r="I33">
        <f>VLOOKUP(A33,Factors!D:G,4,0)</f>
        <v>4.9289215937500002</v>
      </c>
      <c r="J33" t="str">
        <f t="shared" si="3"/>
        <v>4.928921593750000000000000000000000000000000000000000000e+00</v>
      </c>
      <c r="K33" s="50" t="str">
        <f>VLOOKUP(A33,Factors!D:N,11,0)</f>
        <v>TspcMl</v>
      </c>
      <c r="L33" s="52" t="str">
        <f t="shared" si="4"/>
        <v xml:space="preserve">  generateConstantArray("TspcMl",        "+4.928921593750000000000000000000000000000000000000000000e+00");</v>
      </c>
      <c r="N33" s="68" t="str">
        <f t="shared" si="5"/>
        <v xml:space="preserve">    [constFactorTspcMl] = &amp;const_TspcMl,</v>
      </c>
    </row>
    <row r="34" spans="1:14">
      <c r="A34" s="70" t="s">
        <v>60</v>
      </c>
      <c r="B34" s="71" t="s">
        <v>61</v>
      </c>
      <c r="C34" s="70" t="s">
        <v>70</v>
      </c>
      <c r="D34" s="66" t="str">
        <f>VLOOKUP(A34,Factors!D:K,8,0)</f>
        <v>constFactorTspukFzuk</v>
      </c>
      <c r="E34" t="str">
        <f>VLOOKUP(A34,Factors!D:N,10,0)</f>
        <v xml:space="preserve">  divide</v>
      </c>
      <c r="F34" s="43" t="str">
        <f t="shared" si="0"/>
        <v>"tsp" STD_UK STD_RIGHT_ARROW "floz" STD_UK</v>
      </c>
      <c r="G34" s="43" t="str">
        <f t="shared" si="1"/>
        <v>"tsp" STD_UK STD_RIGHT_ARROW</v>
      </c>
      <c r="H34" s="51" t="str">
        <f t="shared" si="2"/>
        <v>/* NNNN */  UNIT_CONV(constFactorTspukFzuk,       divide,      "tsp" STD_UK STD_RIGHT_ARROW "floz" STD_UK,                  "tsp" STD_UK STD_RIGHT_ARROW                                ),</v>
      </c>
      <c r="I34">
        <f>VLOOKUP(A34,Factors!D:G,4,0)</f>
        <v>4.8000063351143778</v>
      </c>
      <c r="J34" t="str">
        <f t="shared" si="3"/>
        <v>4.800006335114380000000000000000000000000000000000000000e+00</v>
      </c>
      <c r="K34" s="50" t="str">
        <f>VLOOKUP(A34,Factors!D:N,11,0)</f>
        <v>FzukTspuk</v>
      </c>
      <c r="L34" s="52" t="str">
        <f t="shared" si="4"/>
        <v/>
      </c>
      <c r="N34" s="68" t="str">
        <f t="shared" si="5"/>
        <v xml:space="preserve">    [constFactorTspukFzuk] = &amp;const_FzukTspuk,</v>
      </c>
    </row>
    <row r="35" spans="1:14">
      <c r="A35" s="70" t="s">
        <v>54</v>
      </c>
      <c r="B35" s="71" t="s">
        <v>55</v>
      </c>
      <c r="C35" s="70" t="s">
        <v>70</v>
      </c>
      <c r="D35" s="66" t="str">
        <f>VLOOKUP(A35,Factors!D:K,8,0)</f>
        <v>constFactorTspukMl</v>
      </c>
      <c r="E35" t="str">
        <f>VLOOKUP(A35,Factors!D:N,10,0)</f>
        <v>multiply</v>
      </c>
      <c r="F35" s="43" t="str">
        <f t="shared" si="0"/>
        <v>"tsp" STD_UK STD_RIGHT_ARROW "ml"</v>
      </c>
      <c r="G35" s="43" t="str">
        <f t="shared" si="1"/>
        <v>"tsp" STD_UK STD_RIGHT_ARROW</v>
      </c>
      <c r="H35" s="51" t="str">
        <f t="shared" si="2"/>
        <v>/* NNNN */  UNIT_CONV(constFactorTspukMl,       multiply,      "tsp" STD_UK STD_RIGHT_ARROW "ml",                           "tsp" STD_UK STD_RIGHT_ARROW                                ),</v>
      </c>
      <c r="I35">
        <f>VLOOKUP(A35,Factors!D:G,4,0)</f>
        <v>5.9193880208333001</v>
      </c>
      <c r="J35" t="str">
        <f t="shared" si="3"/>
        <v>5.919388020833300000000000000000000000000000000000000000e+00</v>
      </c>
      <c r="K35" s="50" t="str">
        <f>VLOOKUP(A35,Factors!D:N,11,0)</f>
        <v>TspukMl</v>
      </c>
      <c r="L35" s="52" t="str">
        <f t="shared" si="4"/>
        <v xml:space="preserve">  generateConstantArray("TspukMl",       "+5.919388020833300000000000000000000000000000000000000000e+00");</v>
      </c>
      <c r="N35" s="68" t="str">
        <f t="shared" si="5"/>
        <v xml:space="preserve">    [constFactorTspukMl] = &amp;const_TspukMl,</v>
      </c>
    </row>
    <row r="37" spans="1:14">
      <c r="A37" s="4" t="s">
        <v>65</v>
      </c>
      <c r="B37" s="5" t="s">
        <v>66</v>
      </c>
      <c r="C37" s="3" t="s">
        <v>71</v>
      </c>
    </row>
    <row r="38" spans="1:14">
      <c r="A38" s="4" t="s">
        <v>67</v>
      </c>
      <c r="B38" s="5" t="s">
        <v>68</v>
      </c>
      <c r="C38" s="3" t="s">
        <v>71</v>
      </c>
    </row>
  </sheetData>
  <sortState xmlns:xlrd2="http://schemas.microsoft.com/office/spreadsheetml/2017/richdata2" ref="A4:B39">
    <sortCondition ref="A4:A39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B5F5-5A0E-F540-8CD7-68987B744E5F}">
  <dimension ref="A1:N55"/>
  <sheetViews>
    <sheetView tabSelected="1" topLeftCell="A2" workbookViewId="0">
      <selection activeCell="N35" sqref="N35"/>
    </sheetView>
  </sheetViews>
  <sheetFormatPr baseColWidth="10" defaultRowHeight="16"/>
  <cols>
    <col min="1" max="1" width="12.6640625" bestFit="1" customWidth="1"/>
    <col min="2" max="2" width="6.33203125" style="7" bestFit="1" customWidth="1"/>
    <col min="3" max="3" width="7.83203125" style="7" bestFit="1" customWidth="1"/>
    <col min="4" max="4" width="19" style="1" bestFit="1" customWidth="1"/>
    <col min="5" max="5" width="29" style="1" bestFit="1" customWidth="1"/>
    <col min="6" max="6" width="18.83203125" style="8" bestFit="1" customWidth="1"/>
    <col min="7" max="7" width="15.6640625" style="7" bestFit="1" customWidth="1"/>
    <col min="8" max="8" width="15.83203125" bestFit="1" customWidth="1"/>
    <col min="9" max="9" width="15.6640625" bestFit="1" customWidth="1"/>
    <col min="11" max="11" width="12.33203125" bestFit="1" customWidth="1"/>
  </cols>
  <sheetData>
    <row r="1" spans="3:14">
      <c r="F1" s="55"/>
    </row>
    <row r="2" spans="3:14" ht="17" thickBot="1">
      <c r="F2" s="55" t="s">
        <v>122</v>
      </c>
    </row>
    <row r="3" spans="3:14" ht="18">
      <c r="C3" s="42" t="s">
        <v>114</v>
      </c>
      <c r="D3" s="41" t="s">
        <v>143</v>
      </c>
      <c r="E3" s="40" t="s">
        <v>142</v>
      </c>
      <c r="F3" s="56">
        <v>473.17647299999999</v>
      </c>
      <c r="J3" s="44">
        <f>F3/F5</f>
        <v>2</v>
      </c>
      <c r="K3" s="45" t="s">
        <v>176</v>
      </c>
    </row>
    <row r="4" spans="3:14" ht="18">
      <c r="C4" s="30" t="s">
        <v>111</v>
      </c>
      <c r="D4" s="39" t="s">
        <v>132</v>
      </c>
      <c r="E4" s="28" t="s">
        <v>141</v>
      </c>
      <c r="F4" s="57">
        <f xml:space="preserve"> 2 * F3</f>
        <v>946.35294599999997</v>
      </c>
      <c r="J4" s="44">
        <f>F4/F3</f>
        <v>2</v>
      </c>
      <c r="K4" s="45" t="s">
        <v>177</v>
      </c>
      <c r="L4" s="45" t="s">
        <v>178</v>
      </c>
      <c r="M4">
        <f>F4/F5</f>
        <v>4</v>
      </c>
      <c r="N4">
        <f>F4/F15</f>
        <v>32.000031988097454</v>
      </c>
    </row>
    <row r="5" spans="3:14" ht="18">
      <c r="C5" s="30" t="s">
        <v>104</v>
      </c>
      <c r="D5" s="29" t="s">
        <v>140</v>
      </c>
      <c r="E5" s="28" t="s">
        <v>139</v>
      </c>
      <c r="F5" s="56">
        <v>236.58823649999999</v>
      </c>
      <c r="J5" s="44">
        <f>F5/F15</f>
        <v>8.0000079970243636</v>
      </c>
      <c r="K5" s="45" t="s">
        <v>179</v>
      </c>
    </row>
    <row r="6" spans="3:14" ht="18">
      <c r="C6" s="30" t="s">
        <v>101</v>
      </c>
      <c r="D6" s="29" t="s">
        <v>138</v>
      </c>
      <c r="E6" s="28" t="s">
        <v>137</v>
      </c>
      <c r="F6" s="56">
        <v>14.78676478125</v>
      </c>
      <c r="G6" s="38" t="str">
        <f xml:space="preserve"> "1/16"</f>
        <v>1/16</v>
      </c>
      <c r="H6" t="str">
        <f>E5</f>
        <v>US customary cup</v>
      </c>
      <c r="J6" s="46"/>
    </row>
    <row r="7" spans="3:14" ht="18">
      <c r="C7" s="30" t="s">
        <v>96</v>
      </c>
      <c r="D7" s="29" t="s">
        <v>136</v>
      </c>
      <c r="E7" s="28" t="s">
        <v>135</v>
      </c>
      <c r="F7" s="56">
        <v>4.9289215937500002</v>
      </c>
      <c r="G7" s="7" t="str">
        <f xml:space="preserve"> "1/48"</f>
        <v>1/48</v>
      </c>
      <c r="H7" t="str">
        <f>E5</f>
        <v>US customary cup</v>
      </c>
      <c r="J7" s="46"/>
    </row>
    <row r="8" spans="3:14" ht="18">
      <c r="C8" s="37"/>
      <c r="D8" s="36"/>
      <c r="E8" s="35"/>
      <c r="F8" s="58"/>
      <c r="J8" s="46"/>
    </row>
    <row r="9" spans="3:14" ht="18">
      <c r="C9" s="30" t="s">
        <v>92</v>
      </c>
      <c r="D9" s="29" t="s">
        <v>134</v>
      </c>
      <c r="E9" s="28" t="s">
        <v>133</v>
      </c>
      <c r="F9" s="56">
        <v>568.26125000000002</v>
      </c>
      <c r="H9" s="34">
        <v>568.26125000000002</v>
      </c>
      <c r="J9" s="47">
        <f>F9/F11</f>
        <v>2</v>
      </c>
      <c r="K9" s="48" t="s">
        <v>180</v>
      </c>
    </row>
    <row r="10" spans="3:14" ht="18">
      <c r="C10" s="33" t="s">
        <v>89</v>
      </c>
      <c r="D10" s="32" t="s">
        <v>132</v>
      </c>
      <c r="E10" s="31" t="s">
        <v>131</v>
      </c>
      <c r="F10" s="56">
        <v>1136.5225</v>
      </c>
      <c r="G10" s="7" t="s">
        <v>130</v>
      </c>
      <c r="H10" s="34">
        <f>2*H9</f>
        <v>1136.5225</v>
      </c>
      <c r="J10" s="44">
        <f>F10/F9</f>
        <v>2</v>
      </c>
      <c r="K10" s="45" t="s">
        <v>181</v>
      </c>
    </row>
    <row r="11" spans="3:14" ht="18">
      <c r="C11" s="30" t="s">
        <v>82</v>
      </c>
      <c r="D11" s="29" t="s">
        <v>129</v>
      </c>
      <c r="E11" s="28" t="s">
        <v>128</v>
      </c>
      <c r="F11" s="56">
        <v>284.13062500000001</v>
      </c>
      <c r="H11" s="34">
        <v>284.13062500000001</v>
      </c>
      <c r="J11" s="47">
        <f>F11/F16</f>
        <v>9.9999868018625211</v>
      </c>
      <c r="K11" s="48" t="s">
        <v>182</v>
      </c>
    </row>
    <row r="12" spans="3:14" ht="18">
      <c r="C12" s="30" t="s">
        <v>79</v>
      </c>
      <c r="D12" s="29" t="s">
        <v>127</v>
      </c>
      <c r="E12" s="28" t="s">
        <v>126</v>
      </c>
      <c r="F12" s="56">
        <v>17.758164062500001</v>
      </c>
      <c r="G12" s="7" t="s">
        <v>183</v>
      </c>
      <c r="H12" s="34">
        <v>177.58164062500001</v>
      </c>
      <c r="J12" s="46"/>
    </row>
    <row r="13" spans="3:14" ht="19" thickBot="1">
      <c r="C13" s="27" t="s">
        <v>73</v>
      </c>
      <c r="D13" s="26" t="s">
        <v>125</v>
      </c>
      <c r="E13" s="25" t="s">
        <v>124</v>
      </c>
      <c r="F13" s="56">
        <v>5.9193880208333001</v>
      </c>
      <c r="H13" s="34">
        <v>5.9193880208333001</v>
      </c>
      <c r="J13" s="46"/>
    </row>
    <row r="14" spans="3:14">
      <c r="C14" s="24" t="s">
        <v>76</v>
      </c>
      <c r="D14" s="23" t="s">
        <v>123</v>
      </c>
      <c r="E14" s="23" t="s">
        <v>122</v>
      </c>
      <c r="F14" s="59">
        <v>1</v>
      </c>
      <c r="J14" s="46"/>
    </row>
    <row r="15" spans="3:14">
      <c r="C15" s="22" t="s">
        <v>95</v>
      </c>
      <c r="D15" s="3"/>
      <c r="E15" s="3" t="s">
        <v>121</v>
      </c>
      <c r="F15" s="60">
        <v>29.573499999999999</v>
      </c>
      <c r="J15" s="46"/>
      <c r="N15" t="s">
        <v>184</v>
      </c>
    </row>
    <row r="16" spans="3:14">
      <c r="C16" s="22" t="s">
        <v>72</v>
      </c>
      <c r="D16" s="3"/>
      <c r="E16" s="3" t="s">
        <v>120</v>
      </c>
      <c r="F16" s="60">
        <v>28.4131</v>
      </c>
      <c r="J16" s="46"/>
      <c r="N16" t="s">
        <v>185</v>
      </c>
    </row>
    <row r="17" spans="1:14">
      <c r="C17" s="7" t="s">
        <v>186</v>
      </c>
      <c r="E17" s="1" t="s">
        <v>187</v>
      </c>
      <c r="F17" s="55">
        <v>3785.51</v>
      </c>
      <c r="J17" s="44">
        <f>F17/F4</f>
        <v>4.0001037836891777</v>
      </c>
      <c r="K17" s="45" t="s">
        <v>188</v>
      </c>
      <c r="N17" t="s">
        <v>189</v>
      </c>
    </row>
    <row r="18" spans="1:14">
      <c r="C18" s="7" t="s">
        <v>190</v>
      </c>
      <c r="E18" s="1" t="s">
        <v>191</v>
      </c>
      <c r="F18" s="55">
        <v>4545.09</v>
      </c>
      <c r="J18" s="44">
        <f>F18/F10</f>
        <v>3.9991201230068039</v>
      </c>
      <c r="K18" s="45" t="s">
        <v>192</v>
      </c>
      <c r="N18" t="s">
        <v>193</v>
      </c>
    </row>
    <row r="19" spans="1:14">
      <c r="F19" s="55"/>
    </row>
    <row r="20" spans="1:14">
      <c r="F20" s="55"/>
    </row>
    <row r="21" spans="1:14" ht="17" thickBot="1">
      <c r="F21" s="61" t="s">
        <v>119</v>
      </c>
      <c r="H21" s="21" t="s">
        <v>118</v>
      </c>
      <c r="I21" s="21" t="s">
        <v>117</v>
      </c>
    </row>
    <row r="22" spans="1:14" ht="18">
      <c r="A22" s="13" t="s">
        <v>116</v>
      </c>
      <c r="B22" s="12" t="s">
        <v>114</v>
      </c>
      <c r="C22" s="12" t="s">
        <v>76</v>
      </c>
      <c r="D22" s="17" t="s">
        <v>0</v>
      </c>
      <c r="E22" s="16" t="s">
        <v>1</v>
      </c>
      <c r="F22" s="62">
        <f>H22/I22</f>
        <v>473.17647299999999</v>
      </c>
      <c r="G22" s="64">
        <f>IF(M22="multiply",F22,F23)</f>
        <v>473.17647299999999</v>
      </c>
      <c r="H22" s="9">
        <f xml:space="preserve"> VLOOKUP(B22,units,4,0)</f>
        <v>473.17647299999999</v>
      </c>
      <c r="I22" s="9">
        <f t="shared" ref="I22:I37" si="0" xml:space="preserve"> VLOOKUP(C22,units,4,0)</f>
        <v>1</v>
      </c>
      <c r="J22" s="67" t="str">
        <f>PROPER(B22)&amp;PROPER(C22)</f>
        <v>PintlqMl</v>
      </c>
      <c r="K22" t="str">
        <f>"constFactor"&amp;J22</f>
        <v>constFactorPintlqMl</v>
      </c>
      <c r="M22" s="64" t="str">
        <f>IF(H22&gt;I22,"multiply","  divide")</f>
        <v>multiply</v>
      </c>
      <c r="N22" s="64" t="str">
        <f>IF(M22="multiply",PROPER(B22)&amp;PROPER(C22),J23)</f>
        <v>PintlqMl</v>
      </c>
    </row>
    <row r="23" spans="1:14" ht="18">
      <c r="A23" s="13" t="s">
        <v>115</v>
      </c>
      <c r="B23" s="12" t="s">
        <v>76</v>
      </c>
      <c r="C23" s="12" t="s">
        <v>114</v>
      </c>
      <c r="D23" s="15" t="s">
        <v>2</v>
      </c>
      <c r="E23" s="14" t="s">
        <v>3</v>
      </c>
      <c r="F23" s="62">
        <f t="shared" ref="F23:F55" si="1">H23/I23</f>
        <v>2.1133764188651875E-3</v>
      </c>
      <c r="G23" s="64">
        <f>IF(M23="multiply",F23,F22)</f>
        <v>473.17647299999999</v>
      </c>
      <c r="H23" s="9">
        <f t="shared" ref="H22:H37" si="2" xml:space="preserve"> VLOOKUP(B23,units,4,0)</f>
        <v>1</v>
      </c>
      <c r="I23" s="9">
        <f t="shared" si="0"/>
        <v>473.17647299999999</v>
      </c>
      <c r="J23" s="67" t="str">
        <f t="shared" ref="J23:J55" si="3">PROPER(B23)&amp;PROPER(C23)</f>
        <v>MlPintlq</v>
      </c>
      <c r="K23" t="str">
        <f t="shared" ref="K23:K55" si="4">"constFactor"&amp;J23</f>
        <v>constFactorMlPintlq</v>
      </c>
      <c r="M23" s="64" t="str">
        <f>IF(M22="multiply","  divide","multiply")</f>
        <v xml:space="preserve">  divide</v>
      </c>
      <c r="N23" s="64" t="str">
        <f>IF(M23="multiply",PROPER(B23)&amp;PROPER(C23),J22)</f>
        <v>PintlqMl</v>
      </c>
    </row>
    <row r="24" spans="1:14" ht="18">
      <c r="A24" s="13" t="s">
        <v>113</v>
      </c>
      <c r="B24" s="12" t="s">
        <v>111</v>
      </c>
      <c r="C24" s="12" t="s">
        <v>76</v>
      </c>
      <c r="D24" s="15" t="s">
        <v>4</v>
      </c>
      <c r="E24" s="14" t="s">
        <v>5</v>
      </c>
      <c r="F24" s="62">
        <f t="shared" si="1"/>
        <v>946.35294599999997</v>
      </c>
      <c r="G24" s="65">
        <f>IF(M24="multiply",F24,F25)</f>
        <v>946.35294599999997</v>
      </c>
      <c r="H24" s="9">
        <f t="shared" si="2"/>
        <v>946.35294599999997</v>
      </c>
      <c r="I24" s="9">
        <f t="shared" si="0"/>
        <v>1</v>
      </c>
      <c r="J24" s="67" t="str">
        <f t="shared" si="3"/>
        <v>QtusMl</v>
      </c>
      <c r="K24" t="str">
        <f>"constFactor"&amp;J24</f>
        <v>constFactorQtusMl</v>
      </c>
      <c r="M24" s="65" t="str">
        <f>IF(H24&gt;I24,"multiply","  divide")</f>
        <v>multiply</v>
      </c>
      <c r="N24" s="65" t="str">
        <f>IF(M24="multiply",PROPER(B24)&amp;PROPER(C24),J25)</f>
        <v>QtusMl</v>
      </c>
    </row>
    <row r="25" spans="1:14" ht="18">
      <c r="A25" s="13" t="s">
        <v>112</v>
      </c>
      <c r="B25" s="12" t="s">
        <v>76</v>
      </c>
      <c r="C25" s="12" t="s">
        <v>111</v>
      </c>
      <c r="D25" s="15" t="s">
        <v>6</v>
      </c>
      <c r="E25" s="14" t="s">
        <v>7</v>
      </c>
      <c r="F25" s="62">
        <f t="shared" si="1"/>
        <v>1.0566882094325937E-3</v>
      </c>
      <c r="G25" s="65">
        <f>IF(M25="multiply",F25,F24)</f>
        <v>946.35294599999997</v>
      </c>
      <c r="H25" s="9">
        <f t="shared" si="2"/>
        <v>1</v>
      </c>
      <c r="I25" s="9">
        <f t="shared" si="0"/>
        <v>946.35294599999997</v>
      </c>
      <c r="J25" s="67" t="str">
        <f t="shared" si="3"/>
        <v>MlQtus</v>
      </c>
      <c r="K25" t="str">
        <f t="shared" ref="K25" si="5">"constFactor"&amp;J25</f>
        <v>constFactorMlQtus</v>
      </c>
      <c r="M25" s="65" t="str">
        <f>IF(M24="multiply","  divide","multiply")</f>
        <v xml:space="preserve">  divide</v>
      </c>
      <c r="N25" s="65" t="str">
        <f>IF(M25="multiply",PROPER(B25)&amp;PROPER(C25),J24)</f>
        <v>QtusMl</v>
      </c>
    </row>
    <row r="26" spans="1:14" ht="18">
      <c r="A26" s="13" t="s">
        <v>110</v>
      </c>
      <c r="B26" s="12" t="s">
        <v>95</v>
      </c>
      <c r="C26" s="12" t="s">
        <v>104</v>
      </c>
      <c r="D26" s="15" t="s">
        <v>8</v>
      </c>
      <c r="E26" s="14" t="s">
        <v>9</v>
      </c>
      <c r="F26" s="62">
        <f t="shared" si="1"/>
        <v>0.12499987504661923</v>
      </c>
      <c r="G26" s="64">
        <f>IF(M26="multiply",F26,F27)</f>
        <v>8.0000079970243636</v>
      </c>
      <c r="H26" s="9">
        <f t="shared" si="2"/>
        <v>29.573499999999999</v>
      </c>
      <c r="I26" s="9">
        <f t="shared" si="0"/>
        <v>236.58823649999999</v>
      </c>
      <c r="J26" s="67" t="str">
        <f t="shared" si="3"/>
        <v>FzusCupc</v>
      </c>
      <c r="K26" t="str">
        <f>"constFactor"&amp;J26</f>
        <v>constFactorFzusCupc</v>
      </c>
      <c r="M26" s="64" t="str">
        <f>IF(H26&gt;I26,"multiply","  divide")</f>
        <v xml:space="preserve">  divide</v>
      </c>
      <c r="N26" s="64" t="str">
        <f>IF(M26="multiply",PROPER(B26)&amp;PROPER(C26),J27)</f>
        <v>CupcFzus</v>
      </c>
    </row>
    <row r="27" spans="1:14" ht="18">
      <c r="A27" s="13" t="s">
        <v>109</v>
      </c>
      <c r="B27" s="12" t="s">
        <v>104</v>
      </c>
      <c r="C27" s="12" t="s">
        <v>95</v>
      </c>
      <c r="D27" s="15" t="s">
        <v>10</v>
      </c>
      <c r="E27" s="14" t="s">
        <v>11</v>
      </c>
      <c r="F27" s="62">
        <f t="shared" si="1"/>
        <v>8.0000079970243636</v>
      </c>
      <c r="G27" s="64">
        <f>IF(M27="multiply",F27,F26)</f>
        <v>8.0000079970243636</v>
      </c>
      <c r="H27" s="9">
        <f t="shared" si="2"/>
        <v>236.58823649999999</v>
      </c>
      <c r="I27" s="9">
        <f t="shared" si="0"/>
        <v>29.573499999999999</v>
      </c>
      <c r="J27" s="67" t="str">
        <f t="shared" si="3"/>
        <v>CupcFzus</v>
      </c>
      <c r="K27" t="str">
        <f t="shared" ref="K27:K29" si="6">"constFactor"&amp;J27</f>
        <v>constFactorCupcFzus</v>
      </c>
      <c r="M27" s="64" t="str">
        <f>IF(M26="multiply","  divide","multiply")</f>
        <v>multiply</v>
      </c>
      <c r="N27" s="64" t="str">
        <f>IF(M27="multiply",PROPER(B27)&amp;PROPER(C27),J26)</f>
        <v>CupcFzus</v>
      </c>
    </row>
    <row r="28" spans="1:14" ht="18">
      <c r="A28" s="13" t="s">
        <v>108</v>
      </c>
      <c r="B28" s="12" t="s">
        <v>95</v>
      </c>
      <c r="C28" s="12" t="s">
        <v>101</v>
      </c>
      <c r="D28" s="15" t="s">
        <v>12</v>
      </c>
      <c r="E28" s="14" t="s">
        <v>13</v>
      </c>
      <c r="F28" s="62">
        <f t="shared" si="1"/>
        <v>1.9999980007459077</v>
      </c>
      <c r="G28" s="65">
        <f>IF(M28="multiply",F28,F29)</f>
        <v>1.9999980007459077</v>
      </c>
      <c r="H28" s="9">
        <f t="shared" si="2"/>
        <v>29.573499999999999</v>
      </c>
      <c r="I28" s="9">
        <f t="shared" si="0"/>
        <v>14.78676478125</v>
      </c>
      <c r="J28" s="67" t="str">
        <f t="shared" si="3"/>
        <v>FzusTbspc</v>
      </c>
      <c r="K28" t="str">
        <f>"constFactor"&amp;J28</f>
        <v>constFactorFzusTbspc</v>
      </c>
      <c r="M28" s="65" t="str">
        <f>IF(H28&gt;I28,"multiply","  divide")</f>
        <v>multiply</v>
      </c>
      <c r="N28" s="65" t="str">
        <f>IF(M28="multiply",PROPER(B28)&amp;PROPER(C28),J29)</f>
        <v>FzusTbspc</v>
      </c>
    </row>
    <row r="29" spans="1:14" ht="18">
      <c r="A29" s="13" t="s">
        <v>107</v>
      </c>
      <c r="B29" s="12" t="s">
        <v>101</v>
      </c>
      <c r="C29" s="12" t="s">
        <v>95</v>
      </c>
      <c r="D29" s="15" t="s">
        <v>14</v>
      </c>
      <c r="E29" s="49" t="s">
        <v>15</v>
      </c>
      <c r="F29" s="62">
        <f t="shared" si="1"/>
        <v>0.50000049981402273</v>
      </c>
      <c r="G29" s="65">
        <f>IF(M29="multiply",F29,F28)</f>
        <v>1.9999980007459077</v>
      </c>
      <c r="H29" s="9">
        <f t="shared" si="2"/>
        <v>14.78676478125</v>
      </c>
      <c r="I29" s="9">
        <f t="shared" si="0"/>
        <v>29.573499999999999</v>
      </c>
      <c r="J29" s="67" t="str">
        <f t="shared" si="3"/>
        <v>TbspcFzus</v>
      </c>
      <c r="K29" t="str">
        <f t="shared" ref="K29" si="7">"constFactor"&amp;J29</f>
        <v>constFactorTbspcFzus</v>
      </c>
      <c r="M29" s="65" t="str">
        <f>IF(M28="multiply","  divide","multiply")</f>
        <v xml:space="preserve">  divide</v>
      </c>
      <c r="N29" s="65" t="str">
        <f>IF(M29="multiply",PROPER(B29)&amp;PROPER(C29),J28)</f>
        <v>FzusTbspc</v>
      </c>
    </row>
    <row r="30" spans="1:14" ht="18">
      <c r="A30" s="13" t="s">
        <v>106</v>
      </c>
      <c r="B30" s="12" t="s">
        <v>76</v>
      </c>
      <c r="C30" s="12" t="s">
        <v>104</v>
      </c>
      <c r="D30" s="15" t="s">
        <v>16</v>
      </c>
      <c r="E30" s="14" t="s">
        <v>17</v>
      </c>
      <c r="F30" s="62">
        <f t="shared" si="1"/>
        <v>4.2267528377303749E-3</v>
      </c>
      <c r="G30" s="64">
        <f>IF(M30="multiply",F30,F31)</f>
        <v>236.58823649999999</v>
      </c>
      <c r="H30" s="9">
        <f t="shared" si="2"/>
        <v>1</v>
      </c>
      <c r="I30" s="9">
        <f t="shared" si="0"/>
        <v>236.58823649999999</v>
      </c>
      <c r="J30" s="67" t="str">
        <f t="shared" si="3"/>
        <v>MlCupc</v>
      </c>
      <c r="K30" t="str">
        <f>"constFactor"&amp;J30</f>
        <v>constFactorMlCupc</v>
      </c>
      <c r="M30" s="64" t="str">
        <f>IF(H30&gt;I30,"multiply","  divide")</f>
        <v xml:space="preserve">  divide</v>
      </c>
      <c r="N30" s="64" t="str">
        <f>IF(M30="multiply",PROPER(B30)&amp;PROPER(C30),J31)</f>
        <v>CupcMl</v>
      </c>
    </row>
    <row r="31" spans="1:14" ht="18">
      <c r="A31" s="13" t="s">
        <v>105</v>
      </c>
      <c r="B31" s="12" t="s">
        <v>104</v>
      </c>
      <c r="C31" s="12" t="s">
        <v>76</v>
      </c>
      <c r="D31" s="15" t="s">
        <v>18</v>
      </c>
      <c r="E31" s="14" t="s">
        <v>19</v>
      </c>
      <c r="F31" s="62">
        <f t="shared" si="1"/>
        <v>236.58823649999999</v>
      </c>
      <c r="G31" s="64">
        <f>IF(M31="multiply",F31,F30)</f>
        <v>236.58823649999999</v>
      </c>
      <c r="H31" s="9">
        <f t="shared" si="2"/>
        <v>236.58823649999999</v>
      </c>
      <c r="I31" s="9">
        <f t="shared" si="0"/>
        <v>1</v>
      </c>
      <c r="J31" s="67" t="str">
        <f t="shared" si="3"/>
        <v>CupcMl</v>
      </c>
      <c r="K31" t="str">
        <f t="shared" ref="K31:K33" si="8">"constFactor"&amp;J31</f>
        <v>constFactorCupcMl</v>
      </c>
      <c r="M31" s="64" t="str">
        <f>IF(M30="multiply","  divide","multiply")</f>
        <v>multiply</v>
      </c>
      <c r="N31" s="64" t="str">
        <f>IF(M31="multiply",PROPER(B31)&amp;PROPER(C31),J30)</f>
        <v>CupcMl</v>
      </c>
    </row>
    <row r="32" spans="1:14" ht="18">
      <c r="A32" s="13" t="s">
        <v>103</v>
      </c>
      <c r="B32" s="12" t="s">
        <v>76</v>
      </c>
      <c r="C32" s="12" t="s">
        <v>101</v>
      </c>
      <c r="D32" s="15" t="s">
        <v>20</v>
      </c>
      <c r="E32" s="14" t="s">
        <v>21</v>
      </c>
      <c r="F32" s="62">
        <f t="shared" si="1"/>
        <v>6.7628045403685999E-2</v>
      </c>
      <c r="G32" s="65">
        <f>IF(M32="multiply",F32,F33)</f>
        <v>14.78676478125</v>
      </c>
      <c r="H32" s="9">
        <f t="shared" si="2"/>
        <v>1</v>
      </c>
      <c r="I32" s="9">
        <f t="shared" si="0"/>
        <v>14.78676478125</v>
      </c>
      <c r="J32" s="67" t="str">
        <f t="shared" si="3"/>
        <v>MlTbspc</v>
      </c>
      <c r="K32" t="str">
        <f>"constFactor"&amp;J32</f>
        <v>constFactorMlTbspc</v>
      </c>
      <c r="M32" s="65" t="str">
        <f>IF(H32&gt;I32,"multiply","  divide")</f>
        <v xml:space="preserve">  divide</v>
      </c>
      <c r="N32" s="65" t="str">
        <f>IF(M32="multiply",PROPER(B32)&amp;PROPER(C32),J33)</f>
        <v>TbspcMl</v>
      </c>
    </row>
    <row r="33" spans="1:14" ht="18">
      <c r="A33" s="13" t="s">
        <v>102</v>
      </c>
      <c r="B33" s="12" t="s">
        <v>101</v>
      </c>
      <c r="C33" s="12" t="s">
        <v>76</v>
      </c>
      <c r="D33" s="15" t="s">
        <v>22</v>
      </c>
      <c r="E33" s="49" t="s">
        <v>23</v>
      </c>
      <c r="F33" s="62">
        <f t="shared" si="1"/>
        <v>14.78676478125</v>
      </c>
      <c r="G33" s="65">
        <f>IF(M33="multiply",F33,F32)</f>
        <v>14.78676478125</v>
      </c>
      <c r="H33" s="9">
        <f t="shared" si="2"/>
        <v>14.78676478125</v>
      </c>
      <c r="I33" s="9">
        <f t="shared" si="0"/>
        <v>1</v>
      </c>
      <c r="J33" s="67" t="str">
        <f t="shared" si="3"/>
        <v>TbspcMl</v>
      </c>
      <c r="K33" t="str">
        <f t="shared" ref="K33" si="9">"constFactor"&amp;J33</f>
        <v>constFactorTbspcMl</v>
      </c>
      <c r="M33" s="65" t="str">
        <f>IF(M32="multiply","  divide","multiply")</f>
        <v>multiply</v>
      </c>
      <c r="N33" s="65" t="str">
        <f>IF(M33="multiply",PROPER(B33)&amp;PROPER(C33),J32)</f>
        <v>TbspcMl</v>
      </c>
    </row>
    <row r="34" spans="1:14" ht="18">
      <c r="A34" s="13" t="s">
        <v>100</v>
      </c>
      <c r="B34" s="12" t="s">
        <v>76</v>
      </c>
      <c r="C34" s="12" t="s">
        <v>96</v>
      </c>
      <c r="D34" s="15" t="s">
        <v>24</v>
      </c>
      <c r="E34" s="14" t="s">
        <v>25</v>
      </c>
      <c r="F34" s="62">
        <f t="shared" si="1"/>
        <v>0.20288413621105797</v>
      </c>
      <c r="G34" s="64">
        <f>IF(M34="multiply",F34,F35)</f>
        <v>4.9289215937500002</v>
      </c>
      <c r="H34" s="9">
        <f t="shared" si="2"/>
        <v>1</v>
      </c>
      <c r="I34" s="9">
        <f t="shared" si="0"/>
        <v>4.9289215937500002</v>
      </c>
      <c r="J34" s="67" t="str">
        <f t="shared" si="3"/>
        <v>MlTspc</v>
      </c>
      <c r="K34" t="str">
        <f>"constFactor"&amp;J34</f>
        <v>constFactorMlTspc</v>
      </c>
      <c r="M34" s="64" t="str">
        <f>IF(H34&gt;I34,"multiply","  divide")</f>
        <v xml:space="preserve">  divide</v>
      </c>
      <c r="N34" s="64" t="str">
        <f>IF(M34="multiply",PROPER(B34)&amp;PROPER(C34),J35)</f>
        <v>TspcMl</v>
      </c>
    </row>
    <row r="35" spans="1:14" ht="18">
      <c r="A35" s="13" t="s">
        <v>99</v>
      </c>
      <c r="B35" s="12" t="s">
        <v>96</v>
      </c>
      <c r="C35" s="12" t="s">
        <v>76</v>
      </c>
      <c r="D35" s="15" t="s">
        <v>26</v>
      </c>
      <c r="E35" s="14" t="s">
        <v>27</v>
      </c>
      <c r="F35" s="62">
        <f t="shared" si="1"/>
        <v>4.9289215937500002</v>
      </c>
      <c r="G35" s="64">
        <f>IF(M35="multiply",F35,F34)</f>
        <v>4.9289215937500002</v>
      </c>
      <c r="H35" s="9">
        <f t="shared" si="2"/>
        <v>4.9289215937500002</v>
      </c>
      <c r="I35" s="9">
        <f t="shared" si="0"/>
        <v>1</v>
      </c>
      <c r="J35" s="67" t="str">
        <f t="shared" si="3"/>
        <v>TspcMl</v>
      </c>
      <c r="K35" t="str">
        <f t="shared" ref="K35:K37" si="10">"constFactor"&amp;J35</f>
        <v>constFactorTspcMl</v>
      </c>
      <c r="M35" s="64" t="str">
        <f>IF(M34="multiply","  divide","multiply")</f>
        <v>multiply</v>
      </c>
      <c r="N35" s="64" t="str">
        <f>IF(M35="multiply",PROPER(B35)&amp;PROPER(C35),J34)</f>
        <v>TspcMl</v>
      </c>
    </row>
    <row r="36" spans="1:14" ht="18">
      <c r="A36" s="13" t="s">
        <v>98</v>
      </c>
      <c r="B36" s="12" t="s">
        <v>95</v>
      </c>
      <c r="C36" s="12" t="s">
        <v>96</v>
      </c>
      <c r="D36" s="15" t="s">
        <v>56</v>
      </c>
      <c r="E36" s="14" t="s">
        <v>57</v>
      </c>
      <c r="F36" s="62">
        <f t="shared" si="1"/>
        <v>5.9999940022377229</v>
      </c>
      <c r="G36" s="65">
        <f>IF(M36="multiply",F36,F37)</f>
        <v>5.9999940022377229</v>
      </c>
      <c r="H36" s="9">
        <f t="shared" si="2"/>
        <v>29.573499999999999</v>
      </c>
      <c r="I36" s="9">
        <f t="shared" si="0"/>
        <v>4.9289215937500002</v>
      </c>
      <c r="J36" s="67" t="str">
        <f t="shared" si="3"/>
        <v>FzusTspc</v>
      </c>
      <c r="K36" t="str">
        <f>"constFactor"&amp;J36</f>
        <v>constFactorFzusTspc</v>
      </c>
      <c r="M36" s="65" t="str">
        <f>IF(H36&gt;I36,"multiply","  divide")</f>
        <v>multiply</v>
      </c>
      <c r="N36" s="65" t="str">
        <f>IF(M36="multiply",PROPER(B36)&amp;PROPER(C36),J37)</f>
        <v>FzusTspc</v>
      </c>
    </row>
    <row r="37" spans="1:14" ht="19" thickBot="1">
      <c r="A37" s="13" t="s">
        <v>97</v>
      </c>
      <c r="B37" s="12" t="s">
        <v>96</v>
      </c>
      <c r="C37" s="12" t="s">
        <v>95</v>
      </c>
      <c r="D37" s="11" t="s">
        <v>58</v>
      </c>
      <c r="E37" s="10" t="s">
        <v>59</v>
      </c>
      <c r="F37" s="62">
        <f t="shared" si="1"/>
        <v>0.16666683327134091</v>
      </c>
      <c r="G37" s="65">
        <f>IF(M37="multiply",F37,F36)</f>
        <v>5.9999940022377229</v>
      </c>
      <c r="H37" s="9">
        <f t="shared" si="2"/>
        <v>4.9289215937500002</v>
      </c>
      <c r="I37" s="9">
        <f t="shared" si="0"/>
        <v>29.573499999999999</v>
      </c>
      <c r="J37" s="67" t="str">
        <f t="shared" si="3"/>
        <v>TspcFzus</v>
      </c>
      <c r="K37" t="str">
        <f t="shared" ref="K37" si="11">"constFactor"&amp;J37</f>
        <v>constFactorTspcFzus</v>
      </c>
      <c r="M37" s="65" t="str">
        <f>IF(M36="multiply","  divide","multiply")</f>
        <v xml:space="preserve">  divide</v>
      </c>
      <c r="N37" s="65" t="str">
        <f>IF(M37="multiply",PROPER(B37)&amp;PROPER(C37),J36)</f>
        <v>FzusTspc</v>
      </c>
    </row>
    <row r="38" spans="1:14" ht="17" thickBot="1">
      <c r="A38" s="19"/>
      <c r="B38" s="20"/>
      <c r="C38" s="20"/>
      <c r="D38" s="19"/>
      <c r="E38" s="19"/>
      <c r="F38" s="63"/>
      <c r="G38"/>
      <c r="H38" s="18"/>
      <c r="I38" s="18"/>
      <c r="J38" s="67" t="str">
        <f t="shared" si="3"/>
        <v/>
      </c>
    </row>
    <row r="39" spans="1:14" ht="18">
      <c r="A39" s="13" t="s">
        <v>94</v>
      </c>
      <c r="B39" s="12" t="s">
        <v>92</v>
      </c>
      <c r="C39" s="12" t="s">
        <v>76</v>
      </c>
      <c r="D39" s="17" t="s">
        <v>28</v>
      </c>
      <c r="E39" s="16" t="s">
        <v>29</v>
      </c>
      <c r="F39" s="62">
        <f t="shared" si="1"/>
        <v>568.26125000000002</v>
      </c>
      <c r="G39" s="64">
        <f>IF(M39="multiply",F39,F40)</f>
        <v>568.26125000000002</v>
      </c>
      <c r="H39" s="9">
        <f t="shared" ref="H39:H55" si="12" xml:space="preserve"> VLOOKUP(B39,units,4,0)</f>
        <v>568.26125000000002</v>
      </c>
      <c r="I39" s="9">
        <f t="shared" ref="I39:I55" si="13" xml:space="preserve"> VLOOKUP(C39,units,4,0)</f>
        <v>1</v>
      </c>
      <c r="J39" s="67" t="str">
        <f t="shared" si="3"/>
        <v>PintukMl</v>
      </c>
      <c r="K39" t="str">
        <f>"constFactor"&amp;J39</f>
        <v>constFactorPintukMl</v>
      </c>
      <c r="M39" s="64" t="str">
        <f>IF(H39&gt;I39,"multiply","  divide")</f>
        <v>multiply</v>
      </c>
      <c r="N39" s="64" t="str">
        <f>IF(M39="multiply",PROPER(B39)&amp;PROPER(C39),J40)</f>
        <v>PintukMl</v>
      </c>
    </row>
    <row r="40" spans="1:14" ht="18">
      <c r="A40" s="13" t="s">
        <v>93</v>
      </c>
      <c r="B40" s="12" t="s">
        <v>76</v>
      </c>
      <c r="C40" s="12" t="s">
        <v>92</v>
      </c>
      <c r="D40" s="15" t="s">
        <v>30</v>
      </c>
      <c r="E40" s="14" t="s">
        <v>31</v>
      </c>
      <c r="F40" s="62">
        <f t="shared" si="1"/>
        <v>1.7597539863927023E-3</v>
      </c>
      <c r="G40" s="64">
        <f>IF(M40="multiply",F40,F39)</f>
        <v>568.26125000000002</v>
      </c>
      <c r="H40" s="9">
        <f t="shared" si="12"/>
        <v>1</v>
      </c>
      <c r="I40" s="9">
        <f t="shared" si="13"/>
        <v>568.26125000000002</v>
      </c>
      <c r="J40" s="67" t="str">
        <f t="shared" si="3"/>
        <v>MlPintuk</v>
      </c>
      <c r="K40" t="str">
        <f t="shared" ref="K40:K42" si="14">"constFactor"&amp;J40</f>
        <v>constFactorMlPintuk</v>
      </c>
      <c r="M40" s="64" t="str">
        <f>IF(M39="multiply","  divide","multiply")</f>
        <v xml:space="preserve">  divide</v>
      </c>
      <c r="N40" s="64" t="str">
        <f>IF(M40="multiply",PROPER(B40)&amp;PROPER(C40),J39)</f>
        <v>PintukMl</v>
      </c>
    </row>
    <row r="41" spans="1:14" ht="18">
      <c r="A41" s="13" t="s">
        <v>91</v>
      </c>
      <c r="B41" s="12" t="s">
        <v>89</v>
      </c>
      <c r="C41" s="12" t="s">
        <v>76</v>
      </c>
      <c r="D41" s="15" t="s">
        <v>32</v>
      </c>
      <c r="E41" s="14" t="s">
        <v>33</v>
      </c>
      <c r="F41" s="62">
        <f t="shared" si="1"/>
        <v>1136.5225</v>
      </c>
      <c r="G41" s="65">
        <f>IF(M41="multiply",F41,F42)</f>
        <v>1136.5225</v>
      </c>
      <c r="H41" s="9">
        <f t="shared" si="12"/>
        <v>1136.5225</v>
      </c>
      <c r="I41" s="9">
        <f t="shared" si="13"/>
        <v>1</v>
      </c>
      <c r="J41" s="67" t="str">
        <f t="shared" si="3"/>
        <v>QtMl</v>
      </c>
      <c r="K41" t="str">
        <f>"constFactor"&amp;J41</f>
        <v>constFactorQtMl</v>
      </c>
      <c r="M41" s="65" t="str">
        <f>IF(H41&gt;I41,"multiply","  divide")</f>
        <v>multiply</v>
      </c>
      <c r="N41" s="65" t="str">
        <f>IF(M41="multiply",PROPER(B41)&amp;PROPER(C41),J42)</f>
        <v>QtMl</v>
      </c>
    </row>
    <row r="42" spans="1:14" ht="18">
      <c r="A42" s="13" t="s">
        <v>90</v>
      </c>
      <c r="B42" s="12" t="s">
        <v>76</v>
      </c>
      <c r="C42" s="12" t="s">
        <v>89</v>
      </c>
      <c r="D42" s="15" t="s">
        <v>34</v>
      </c>
      <c r="E42" s="14" t="s">
        <v>35</v>
      </c>
      <c r="F42" s="62">
        <f t="shared" si="1"/>
        <v>8.7987699319635115E-4</v>
      </c>
      <c r="G42" s="65">
        <f>IF(M42="multiply",F42,F41)</f>
        <v>1136.5225</v>
      </c>
      <c r="H42" s="9">
        <f t="shared" si="12"/>
        <v>1</v>
      </c>
      <c r="I42" s="9">
        <f t="shared" si="13"/>
        <v>1136.5225</v>
      </c>
      <c r="J42" s="67" t="str">
        <f t="shared" si="3"/>
        <v>MlQt</v>
      </c>
      <c r="K42" t="str">
        <f t="shared" ref="K42" si="15">"constFactor"&amp;J42</f>
        <v>constFactorMlQt</v>
      </c>
      <c r="M42" s="65" t="str">
        <f>IF(M41="multiply","  divide","multiply")</f>
        <v xml:space="preserve">  divide</v>
      </c>
      <c r="N42" s="65" t="str">
        <f>IF(M42="multiply",PROPER(B42)&amp;PROPER(C42),J41)</f>
        <v>QtMl</v>
      </c>
    </row>
    <row r="43" spans="1:14" ht="18">
      <c r="A43" s="13" t="s">
        <v>88</v>
      </c>
      <c r="B43" s="12" t="s">
        <v>72</v>
      </c>
      <c r="C43" s="12" t="s">
        <v>82</v>
      </c>
      <c r="D43" s="15" t="s">
        <v>36</v>
      </c>
      <c r="E43" s="14" t="s">
        <v>37</v>
      </c>
      <c r="F43" s="62">
        <f t="shared" si="1"/>
        <v>0.10000013198154897</v>
      </c>
      <c r="G43" s="64">
        <f>IF(M43="multiply",F43,F44)</f>
        <v>9.9999868018625211</v>
      </c>
      <c r="H43" s="9">
        <f t="shared" si="12"/>
        <v>28.4131</v>
      </c>
      <c r="I43" s="9">
        <f t="shared" si="13"/>
        <v>284.13062500000001</v>
      </c>
      <c r="J43" s="67" t="str">
        <f t="shared" si="3"/>
        <v>FzukCupuk</v>
      </c>
      <c r="K43" t="str">
        <f>"constFactor"&amp;J43</f>
        <v>constFactorFzukCupuk</v>
      </c>
      <c r="M43" s="64" t="str">
        <f>IF(H43&gt;I43,"multiply","  divide")</f>
        <v xml:space="preserve">  divide</v>
      </c>
      <c r="N43" s="64" t="str">
        <f>IF(M43="multiply",PROPER(B43)&amp;PROPER(C43),J44)</f>
        <v>CupukFzuk</v>
      </c>
    </row>
    <row r="44" spans="1:14" ht="18">
      <c r="A44" s="13" t="s">
        <v>87</v>
      </c>
      <c r="B44" s="12" t="s">
        <v>82</v>
      </c>
      <c r="C44" s="12" t="s">
        <v>72</v>
      </c>
      <c r="D44" s="15" t="s">
        <v>38</v>
      </c>
      <c r="E44" s="14" t="s">
        <v>39</v>
      </c>
      <c r="F44" s="62">
        <f t="shared" si="1"/>
        <v>9.9999868018625211</v>
      </c>
      <c r="G44" s="64">
        <f>IF(M44="multiply",F44,F43)</f>
        <v>9.9999868018625211</v>
      </c>
      <c r="H44" s="9">
        <f t="shared" si="12"/>
        <v>284.13062500000001</v>
      </c>
      <c r="I44" s="9">
        <f t="shared" si="13"/>
        <v>28.4131</v>
      </c>
      <c r="J44" s="67" t="str">
        <f t="shared" si="3"/>
        <v>CupukFzuk</v>
      </c>
      <c r="K44" t="str">
        <f t="shared" ref="K44:K46" si="16">"constFactor"&amp;J44</f>
        <v>constFactorCupukFzuk</v>
      </c>
      <c r="M44" s="64" t="str">
        <f>IF(M43="multiply","  divide","multiply")</f>
        <v>multiply</v>
      </c>
      <c r="N44" s="64" t="str">
        <f>IF(M44="multiply",PROPER(B44)&amp;PROPER(C44),J43)</f>
        <v>CupukFzuk</v>
      </c>
    </row>
    <row r="45" spans="1:14" ht="18">
      <c r="A45" s="13" t="s">
        <v>86</v>
      </c>
      <c r="B45" s="12" t="s">
        <v>72</v>
      </c>
      <c r="C45" s="12" t="s">
        <v>79</v>
      </c>
      <c r="D45" s="15" t="s">
        <v>40</v>
      </c>
      <c r="E45" s="14" t="s">
        <v>41</v>
      </c>
      <c r="F45" s="62">
        <f t="shared" si="1"/>
        <v>1.6000021117047836</v>
      </c>
      <c r="G45" s="65">
        <f>IF(M45="multiply",F45,F46)</f>
        <v>1.6000021117047836</v>
      </c>
      <c r="H45" s="9">
        <f t="shared" si="12"/>
        <v>28.4131</v>
      </c>
      <c r="I45" s="9">
        <f t="shared" si="13"/>
        <v>17.758164062500001</v>
      </c>
      <c r="J45" s="67" t="str">
        <f t="shared" si="3"/>
        <v>FzukTbspuk</v>
      </c>
      <c r="K45" t="str">
        <f>"constFactor"&amp;J45</f>
        <v>constFactorFzukTbspuk</v>
      </c>
      <c r="M45" s="65" t="str">
        <f>IF(H45&gt;I45,"multiply","  divide")</f>
        <v>multiply</v>
      </c>
      <c r="N45" s="65" t="str">
        <f>IF(M45="multiply",PROPER(B45)&amp;PROPER(C45),J46)</f>
        <v>FzukTbspuk</v>
      </c>
    </row>
    <row r="46" spans="1:14" ht="18">
      <c r="A46" s="13" t="s">
        <v>85</v>
      </c>
      <c r="B46" s="12" t="s">
        <v>79</v>
      </c>
      <c r="C46" s="12" t="s">
        <v>72</v>
      </c>
      <c r="D46" s="15" t="s">
        <v>42</v>
      </c>
      <c r="E46" s="49" t="s">
        <v>43</v>
      </c>
      <c r="F46" s="62">
        <f t="shared" si="1"/>
        <v>0.62499917511640757</v>
      </c>
      <c r="G46" s="65">
        <f>IF(M46="multiply",F46,F45)</f>
        <v>1.6000021117047836</v>
      </c>
      <c r="H46" s="9">
        <f t="shared" si="12"/>
        <v>17.758164062500001</v>
      </c>
      <c r="I46" s="9">
        <f t="shared" si="13"/>
        <v>28.4131</v>
      </c>
      <c r="J46" s="67" t="str">
        <f t="shared" si="3"/>
        <v>TbspukFzuk</v>
      </c>
      <c r="K46" t="str">
        <f t="shared" ref="K46" si="17">"constFactor"&amp;J46</f>
        <v>constFactorTbspukFzuk</v>
      </c>
      <c r="M46" s="65" t="str">
        <f>IF(M45="multiply","  divide","multiply")</f>
        <v xml:space="preserve">  divide</v>
      </c>
      <c r="N46" s="65" t="str">
        <f>IF(M46="multiply",PROPER(B46)&amp;PROPER(C46),J45)</f>
        <v>FzukTbspuk</v>
      </c>
    </row>
    <row r="47" spans="1:14" ht="18">
      <c r="A47" s="13" t="s">
        <v>85</v>
      </c>
      <c r="B47" s="12" t="s">
        <v>79</v>
      </c>
      <c r="C47" s="12" t="s">
        <v>72</v>
      </c>
      <c r="D47" s="15" t="s">
        <v>42</v>
      </c>
      <c r="E47" s="49" t="s">
        <v>43</v>
      </c>
      <c r="F47" s="62">
        <f t="shared" si="1"/>
        <v>0.62499917511640757</v>
      </c>
      <c r="G47"/>
      <c r="H47" s="9">
        <f t="shared" si="12"/>
        <v>17.758164062500001</v>
      </c>
      <c r="I47" s="9">
        <f t="shared" si="13"/>
        <v>28.4131</v>
      </c>
      <c r="J47" s="67" t="str">
        <f t="shared" si="3"/>
        <v>TbspukFzuk</v>
      </c>
      <c r="K47" t="str">
        <f t="shared" si="4"/>
        <v>constFactorTbspukFzuk</v>
      </c>
    </row>
    <row r="48" spans="1:14" ht="18">
      <c r="A48" s="13" t="s">
        <v>84</v>
      </c>
      <c r="B48" s="12" t="s">
        <v>76</v>
      </c>
      <c r="C48" s="12" t="s">
        <v>82</v>
      </c>
      <c r="D48" s="15" t="s">
        <v>44</v>
      </c>
      <c r="E48" s="14" t="s">
        <v>45</v>
      </c>
      <c r="F48" s="62">
        <f t="shared" si="1"/>
        <v>3.5195079727854046E-3</v>
      </c>
      <c r="G48" s="64">
        <f>IF(M48="multiply",F48,F49)</f>
        <v>284.13062500000001</v>
      </c>
      <c r="H48" s="9">
        <f t="shared" si="12"/>
        <v>1</v>
      </c>
      <c r="I48" s="9">
        <f t="shared" si="13"/>
        <v>284.13062500000001</v>
      </c>
      <c r="J48" s="67" t="str">
        <f t="shared" si="3"/>
        <v>MlCupuk</v>
      </c>
      <c r="K48" t="str">
        <f>"constFactor"&amp;J48</f>
        <v>constFactorMlCupuk</v>
      </c>
      <c r="M48" s="64" t="str">
        <f>IF(H48&gt;I48,"multiply","  divide")</f>
        <v xml:space="preserve">  divide</v>
      </c>
      <c r="N48" s="64" t="str">
        <f>IF(M48="multiply",PROPER(B48)&amp;PROPER(C48),J49)</f>
        <v>CupukMl</v>
      </c>
    </row>
    <row r="49" spans="1:14" ht="18">
      <c r="A49" s="13" t="s">
        <v>83</v>
      </c>
      <c r="B49" s="12" t="s">
        <v>82</v>
      </c>
      <c r="C49" s="12" t="s">
        <v>76</v>
      </c>
      <c r="D49" s="15" t="s">
        <v>46</v>
      </c>
      <c r="E49" s="14" t="s">
        <v>47</v>
      </c>
      <c r="F49" s="62">
        <f t="shared" si="1"/>
        <v>284.13062500000001</v>
      </c>
      <c r="G49" s="64">
        <f>IF(M49="multiply",F49,F48)</f>
        <v>284.13062500000001</v>
      </c>
      <c r="H49" s="9">
        <f t="shared" si="12"/>
        <v>284.13062500000001</v>
      </c>
      <c r="I49" s="9">
        <f t="shared" si="13"/>
        <v>1</v>
      </c>
      <c r="J49" s="67" t="str">
        <f t="shared" si="3"/>
        <v>CupukMl</v>
      </c>
      <c r="K49" t="str">
        <f t="shared" ref="K49:K51" si="18">"constFactor"&amp;J49</f>
        <v>constFactorCupukMl</v>
      </c>
      <c r="M49" s="64" t="str">
        <f>IF(M48="multiply","  divide","multiply")</f>
        <v>multiply</v>
      </c>
      <c r="N49" s="64" t="str">
        <f>IF(M49="multiply",PROPER(B49)&amp;PROPER(C49),J48)</f>
        <v>CupukMl</v>
      </c>
    </row>
    <row r="50" spans="1:14" ht="18">
      <c r="A50" s="13" t="s">
        <v>81</v>
      </c>
      <c r="B50" s="12" t="s">
        <v>76</v>
      </c>
      <c r="C50" s="12" t="s">
        <v>79</v>
      </c>
      <c r="D50" s="15" t="s">
        <v>48</v>
      </c>
      <c r="E50" s="14" t="s">
        <v>49</v>
      </c>
      <c r="F50" s="62">
        <f t="shared" si="1"/>
        <v>5.6312127564566473E-2</v>
      </c>
      <c r="G50" s="65">
        <f>IF(M50="multiply",F50,F51)</f>
        <v>17.758164062500001</v>
      </c>
      <c r="H50" s="9">
        <f t="shared" si="12"/>
        <v>1</v>
      </c>
      <c r="I50" s="9">
        <f t="shared" si="13"/>
        <v>17.758164062500001</v>
      </c>
      <c r="J50" s="67" t="str">
        <f t="shared" si="3"/>
        <v>MlTbspuk</v>
      </c>
      <c r="K50" t="str">
        <f>"constFactor"&amp;J50</f>
        <v>constFactorMlTbspuk</v>
      </c>
      <c r="M50" s="65" t="str">
        <f>IF(H50&gt;I50,"multiply","  divide")</f>
        <v xml:space="preserve">  divide</v>
      </c>
      <c r="N50" s="65" t="str">
        <f>IF(M50="multiply",PROPER(B50)&amp;PROPER(C50),J51)</f>
        <v>TbspukMl</v>
      </c>
    </row>
    <row r="51" spans="1:14" ht="18">
      <c r="A51" s="13" t="s">
        <v>80</v>
      </c>
      <c r="B51" s="12" t="s">
        <v>79</v>
      </c>
      <c r="C51" s="12" t="s">
        <v>76</v>
      </c>
      <c r="D51" s="15" t="s">
        <v>50</v>
      </c>
      <c r="E51" s="14" t="s">
        <v>51</v>
      </c>
      <c r="F51" s="62">
        <f t="shared" si="1"/>
        <v>17.758164062500001</v>
      </c>
      <c r="G51" s="65">
        <f>IF(M51="multiply",F51,F50)</f>
        <v>17.758164062500001</v>
      </c>
      <c r="H51" s="9">
        <f t="shared" si="12"/>
        <v>17.758164062500001</v>
      </c>
      <c r="I51" s="9">
        <f t="shared" si="13"/>
        <v>1</v>
      </c>
      <c r="J51" s="67" t="str">
        <f t="shared" si="3"/>
        <v>TbspukMl</v>
      </c>
      <c r="K51" t="str">
        <f t="shared" ref="K51" si="19">"constFactor"&amp;J51</f>
        <v>constFactorTbspukMl</v>
      </c>
      <c r="M51" s="65" t="str">
        <f>IF(M50="multiply","  divide","multiply")</f>
        <v>multiply</v>
      </c>
      <c r="N51" s="65" t="str">
        <f>IF(M51="multiply",PROPER(B51)&amp;PROPER(C51),J50)</f>
        <v>TbspukMl</v>
      </c>
    </row>
    <row r="52" spans="1:14" ht="18">
      <c r="A52" s="13" t="s">
        <v>78</v>
      </c>
      <c r="B52" s="12" t="s">
        <v>76</v>
      </c>
      <c r="C52" s="12" t="s">
        <v>73</v>
      </c>
      <c r="D52" s="15" t="s">
        <v>52</v>
      </c>
      <c r="E52" s="14" t="s">
        <v>53</v>
      </c>
      <c r="F52" s="62">
        <f t="shared" si="1"/>
        <v>0.16893638269370037</v>
      </c>
      <c r="G52" s="64">
        <f>IF(M52="multiply",F52,F53)</f>
        <v>5.9193880208333001</v>
      </c>
      <c r="H52" s="9">
        <f t="shared" si="12"/>
        <v>1</v>
      </c>
      <c r="I52" s="9">
        <f t="shared" si="13"/>
        <v>5.9193880208333001</v>
      </c>
      <c r="J52" s="67" t="str">
        <f t="shared" si="3"/>
        <v>MlTspuk</v>
      </c>
      <c r="K52" t="str">
        <f>"constFactor"&amp;J52</f>
        <v>constFactorMlTspuk</v>
      </c>
      <c r="M52" s="64" t="str">
        <f>IF(H52&gt;I52,"multiply","  divide")</f>
        <v xml:space="preserve">  divide</v>
      </c>
      <c r="N52" s="64" t="str">
        <f>IF(M52="multiply",PROPER(B52)&amp;PROPER(C52),J53)</f>
        <v>TspukMl</v>
      </c>
    </row>
    <row r="53" spans="1:14" ht="18">
      <c r="A53" s="13" t="s">
        <v>77</v>
      </c>
      <c r="B53" s="12" t="s">
        <v>73</v>
      </c>
      <c r="C53" s="12" t="s">
        <v>76</v>
      </c>
      <c r="D53" s="15" t="s">
        <v>54</v>
      </c>
      <c r="E53" s="14" t="s">
        <v>55</v>
      </c>
      <c r="F53" s="62">
        <f t="shared" si="1"/>
        <v>5.9193880208333001</v>
      </c>
      <c r="G53" s="64">
        <f>IF(M53="multiply",F53,F52)</f>
        <v>5.9193880208333001</v>
      </c>
      <c r="H53" s="9">
        <f t="shared" si="12"/>
        <v>5.9193880208333001</v>
      </c>
      <c r="I53" s="9">
        <f t="shared" si="13"/>
        <v>1</v>
      </c>
      <c r="J53" s="67" t="str">
        <f t="shared" si="3"/>
        <v>TspukMl</v>
      </c>
      <c r="K53" t="str">
        <f t="shared" ref="K53:K55" si="20">"constFactor"&amp;J53</f>
        <v>constFactorTspukMl</v>
      </c>
      <c r="M53" s="64" t="str">
        <f>IF(M52="multiply","  divide","multiply")</f>
        <v>multiply</v>
      </c>
      <c r="N53" s="64" t="str">
        <f>IF(M53="multiply",PROPER(B53)&amp;PROPER(C53),J52)</f>
        <v>TspukMl</v>
      </c>
    </row>
    <row r="54" spans="1:14" ht="18">
      <c r="A54" s="13" t="s">
        <v>75</v>
      </c>
      <c r="B54" s="12" t="s">
        <v>72</v>
      </c>
      <c r="C54" s="12" t="s">
        <v>73</v>
      </c>
      <c r="D54" s="15" t="s">
        <v>62</v>
      </c>
      <c r="E54" s="14" t="s">
        <v>63</v>
      </c>
      <c r="F54" s="62">
        <f t="shared" si="1"/>
        <v>4.8000063351143778</v>
      </c>
      <c r="G54" s="65">
        <f>IF(M54="multiply",F54,F55)</f>
        <v>4.8000063351143778</v>
      </c>
      <c r="H54" s="9">
        <f t="shared" si="12"/>
        <v>28.4131</v>
      </c>
      <c r="I54" s="9">
        <f t="shared" si="13"/>
        <v>5.9193880208333001</v>
      </c>
      <c r="J54" s="67" t="str">
        <f t="shared" si="3"/>
        <v>FzukTspuk</v>
      </c>
      <c r="K54" t="str">
        <f>"constFactor"&amp;J54</f>
        <v>constFactorFzukTspuk</v>
      </c>
      <c r="M54" s="65" t="str">
        <f>IF(H54&gt;I54,"multiply","  divide")</f>
        <v>multiply</v>
      </c>
      <c r="N54" s="65" t="str">
        <f>IF(M54="multiply",PROPER(B54)&amp;PROPER(C54),J55)</f>
        <v>FzukTspuk</v>
      </c>
    </row>
    <row r="55" spans="1:14" ht="19" thickBot="1">
      <c r="A55" s="13" t="s">
        <v>74</v>
      </c>
      <c r="B55" s="12" t="s">
        <v>73</v>
      </c>
      <c r="C55" s="12" t="s">
        <v>72</v>
      </c>
      <c r="D55" s="11" t="s">
        <v>60</v>
      </c>
      <c r="E55" s="10" t="s">
        <v>61</v>
      </c>
      <c r="F55" s="62">
        <f t="shared" si="1"/>
        <v>0.2083330583721347</v>
      </c>
      <c r="G55" s="65">
        <f>IF(M55="multiply",F55,F54)</f>
        <v>4.8000063351143778</v>
      </c>
      <c r="H55" s="9">
        <f t="shared" si="12"/>
        <v>5.9193880208333001</v>
      </c>
      <c r="I55" s="9">
        <f t="shared" si="13"/>
        <v>28.4131</v>
      </c>
      <c r="J55" s="67" t="str">
        <f t="shared" si="3"/>
        <v>TspukFzuk</v>
      </c>
      <c r="K55" t="str">
        <f t="shared" ref="K55" si="21">"constFactor"&amp;J55</f>
        <v>constFactorTspukFzuk</v>
      </c>
      <c r="M55" s="65" t="str">
        <f>IF(M54="multiply","  divide","multiply")</f>
        <v xml:space="preserve">  divide</v>
      </c>
      <c r="N55" s="65" t="str">
        <f>IF(M55="multiply",PROPER(B55)&amp;PROPER(C55),J54)</f>
        <v>FzukTspuk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49E5-C5CF-EF45-BD21-7588D88F54A2}">
  <dimension ref="A1:B34"/>
  <sheetViews>
    <sheetView workbookViewId="0">
      <selection activeCell="L19" sqref="L19"/>
    </sheetView>
  </sheetViews>
  <sheetFormatPr baseColWidth="10" defaultRowHeight="16"/>
  <cols>
    <col min="1" max="1" width="18" bestFit="1" customWidth="1"/>
    <col min="2" max="2" width="58.83203125" bestFit="1" customWidth="1"/>
  </cols>
  <sheetData>
    <row r="1" spans="1:2">
      <c r="A1" t="s">
        <v>0</v>
      </c>
      <c r="B1" t="s">
        <v>144</v>
      </c>
    </row>
    <row r="2" spans="1:2">
      <c r="A2" t="s">
        <v>2</v>
      </c>
      <c r="B2" t="s">
        <v>145</v>
      </c>
    </row>
    <row r="3" spans="1:2">
      <c r="A3" t="s">
        <v>4</v>
      </c>
      <c r="B3" t="s">
        <v>146</v>
      </c>
    </row>
    <row r="4" spans="1:2">
      <c r="A4" t="s">
        <v>6</v>
      </c>
      <c r="B4" t="s">
        <v>147</v>
      </c>
    </row>
    <row r="5" spans="1:2">
      <c r="A5" t="s">
        <v>8</v>
      </c>
      <c r="B5" t="s">
        <v>148</v>
      </c>
    </row>
    <row r="6" spans="1:2">
      <c r="A6" t="s">
        <v>10</v>
      </c>
      <c r="B6" t="s">
        <v>149</v>
      </c>
    </row>
    <row r="7" spans="1:2">
      <c r="A7" t="s">
        <v>12</v>
      </c>
      <c r="B7" t="s">
        <v>150</v>
      </c>
    </row>
    <row r="8" spans="1:2">
      <c r="A8" t="s">
        <v>14</v>
      </c>
      <c r="B8" t="s">
        <v>151</v>
      </c>
    </row>
    <row r="9" spans="1:2">
      <c r="A9" t="s">
        <v>16</v>
      </c>
      <c r="B9" t="s">
        <v>152</v>
      </c>
    </row>
    <row r="10" spans="1:2">
      <c r="A10" t="s">
        <v>18</v>
      </c>
      <c r="B10" t="s">
        <v>153</v>
      </c>
    </row>
    <row r="11" spans="1:2">
      <c r="A11" t="s">
        <v>20</v>
      </c>
      <c r="B11" t="s">
        <v>154</v>
      </c>
    </row>
    <row r="12" spans="1:2">
      <c r="A12" t="s">
        <v>22</v>
      </c>
      <c r="B12" t="s">
        <v>155</v>
      </c>
    </row>
    <row r="13" spans="1:2">
      <c r="A13" t="s">
        <v>24</v>
      </c>
      <c r="B13" t="s">
        <v>156</v>
      </c>
    </row>
    <row r="14" spans="1:2">
      <c r="A14" t="s">
        <v>26</v>
      </c>
      <c r="B14" t="s">
        <v>157</v>
      </c>
    </row>
    <row r="15" spans="1:2">
      <c r="A15" t="s">
        <v>56</v>
      </c>
      <c r="B15" t="s">
        <v>158</v>
      </c>
    </row>
    <row r="16" spans="1:2">
      <c r="A16" t="s">
        <v>58</v>
      </c>
      <c r="B16" t="s">
        <v>159</v>
      </c>
    </row>
    <row r="18" spans="1:2">
      <c r="A18" t="s">
        <v>28</v>
      </c>
      <c r="B18" t="s">
        <v>160</v>
      </c>
    </row>
    <row r="19" spans="1:2">
      <c r="A19" t="s">
        <v>30</v>
      </c>
      <c r="B19" t="s">
        <v>161</v>
      </c>
    </row>
    <row r="20" spans="1:2">
      <c r="A20" t="s">
        <v>32</v>
      </c>
      <c r="B20" t="s">
        <v>162</v>
      </c>
    </row>
    <row r="21" spans="1:2">
      <c r="A21" t="s">
        <v>34</v>
      </c>
      <c r="B21" t="s">
        <v>163</v>
      </c>
    </row>
    <row r="22" spans="1:2">
      <c r="A22" t="s">
        <v>36</v>
      </c>
      <c r="B22" t="s">
        <v>164</v>
      </c>
    </row>
    <row r="23" spans="1:2">
      <c r="A23" t="s">
        <v>38</v>
      </c>
      <c r="B23" t="s">
        <v>165</v>
      </c>
    </row>
    <row r="24" spans="1:2">
      <c r="A24" t="s">
        <v>40</v>
      </c>
      <c r="B24" t="s">
        <v>166</v>
      </c>
    </row>
    <row r="25" spans="1:2">
      <c r="A25" t="s">
        <v>42</v>
      </c>
      <c r="B25" t="s">
        <v>167</v>
      </c>
    </row>
    <row r="26" spans="1:2">
      <c r="A26" t="s">
        <v>42</v>
      </c>
      <c r="B26" t="s">
        <v>167</v>
      </c>
    </row>
    <row r="27" spans="1:2">
      <c r="A27" t="s">
        <v>44</v>
      </c>
      <c r="B27" t="s">
        <v>168</v>
      </c>
    </row>
    <row r="28" spans="1:2">
      <c r="A28" t="s">
        <v>46</v>
      </c>
      <c r="B28" t="s">
        <v>169</v>
      </c>
    </row>
    <row r="29" spans="1:2">
      <c r="A29" t="s">
        <v>48</v>
      </c>
      <c r="B29" t="s">
        <v>170</v>
      </c>
    </row>
    <row r="30" spans="1:2">
      <c r="A30" t="s">
        <v>50</v>
      </c>
      <c r="B30" t="s">
        <v>171</v>
      </c>
    </row>
    <row r="31" spans="1:2">
      <c r="A31" t="s">
        <v>52</v>
      </c>
      <c r="B31" t="s">
        <v>172</v>
      </c>
    </row>
    <row r="32" spans="1:2">
      <c r="A32" t="s">
        <v>54</v>
      </c>
      <c r="B32" t="s">
        <v>173</v>
      </c>
    </row>
    <row r="33" spans="1:2">
      <c r="A33" t="s">
        <v>62</v>
      </c>
      <c r="B33" t="s">
        <v>174</v>
      </c>
    </row>
    <row r="34" spans="1:2">
      <c r="A34" t="s">
        <v>60</v>
      </c>
      <c r="B3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Items and code</vt:lpstr>
      <vt:lpstr>Factors</vt:lpstr>
      <vt:lpstr>STD</vt:lpstr>
      <vt:lpstr>stdform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RJvM</dc:creator>
  <cp:lastModifiedBy>Jaco Mostert</cp:lastModifiedBy>
  <dcterms:created xsi:type="dcterms:W3CDTF">2024-12-08T12:55:56Z</dcterms:created>
  <dcterms:modified xsi:type="dcterms:W3CDTF">2024-12-10T00:02:12Z</dcterms:modified>
</cp:coreProperties>
</file>