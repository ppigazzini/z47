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omostert/wp43s/src/index spreadsheet/"/>
    </mc:Choice>
  </mc:AlternateContent>
  <xr:revisionPtr revIDLastSave="0" documentId="13_ncr:1_{F1A17667-D90C-5142-956F-69BAABAE2262}" xr6:coauthVersionLast="47" xr6:coauthVersionMax="47" xr10:uidLastSave="{00000000-0000-0000-0000-000000000000}"/>
  <bookViews>
    <workbookView xWindow="5560" yWindow="2960" windowWidth="28040" windowHeight="17440" xr2:uid="{6E744F0C-E143-0F4E-B8F2-0B8E632776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4" i="1" l="1"/>
  <c r="N2" i="1"/>
  <c r="N93" i="1"/>
  <c r="N92" i="1"/>
  <c r="N91" i="1"/>
  <c r="N90" i="1"/>
  <c r="N40" i="1"/>
  <c r="N39" i="1"/>
  <c r="N38" i="1"/>
  <c r="N37" i="1"/>
  <c r="N36" i="1"/>
  <c r="N35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413" i="1"/>
  <c r="L34" i="1" l="1"/>
  <c r="J34" i="1" s="1"/>
  <c r="N34" i="1" s="1"/>
  <c r="L33" i="1"/>
  <c r="J33" i="1" s="1"/>
  <c r="N33" i="1" s="1"/>
  <c r="L32" i="1"/>
  <c r="J32" i="1" s="1"/>
  <c r="N32" i="1" s="1"/>
  <c r="L89" i="1"/>
  <c r="J89" i="1" s="1"/>
  <c r="N89" i="1" s="1"/>
  <c r="L88" i="1"/>
  <c r="J88" i="1" s="1"/>
  <c r="N88" i="1" s="1"/>
  <c r="L87" i="1"/>
  <c r="J87" i="1" s="1"/>
  <c r="N87" i="1" s="1"/>
  <c r="L86" i="1"/>
  <c r="J86" i="1" s="1"/>
  <c r="N86" i="1" s="1"/>
  <c r="L85" i="1"/>
  <c r="J85" i="1" s="1"/>
  <c r="N85" i="1" s="1"/>
  <c r="L84" i="1"/>
  <c r="J84" i="1" s="1"/>
  <c r="N84" i="1" s="1"/>
  <c r="L83" i="1"/>
  <c r="J83" i="1" s="1"/>
  <c r="N83" i="1" s="1"/>
  <c r="L82" i="1"/>
  <c r="J82" i="1" s="1"/>
  <c r="N82" i="1" s="1"/>
  <c r="L81" i="1"/>
  <c r="J81" i="1" s="1"/>
  <c r="N81" i="1" s="1"/>
  <c r="L80" i="1"/>
  <c r="J80" i="1" s="1"/>
  <c r="N80" i="1" s="1"/>
  <c r="L79" i="1"/>
  <c r="J79" i="1" s="1"/>
  <c r="N79" i="1" s="1"/>
  <c r="L78" i="1"/>
  <c r="J78" i="1" s="1"/>
  <c r="N78" i="1" s="1"/>
  <c r="L77" i="1"/>
  <c r="J77" i="1" s="1"/>
  <c r="N77" i="1" s="1"/>
  <c r="L76" i="1"/>
  <c r="J76" i="1" s="1"/>
  <c r="N76" i="1" s="1"/>
  <c r="L75" i="1"/>
  <c r="J75" i="1" s="1"/>
  <c r="N75" i="1" s="1"/>
  <c r="L74" i="1"/>
  <c r="J74" i="1" s="1"/>
  <c r="N74" i="1" s="1"/>
  <c r="L73" i="1"/>
  <c r="J73" i="1" s="1"/>
  <c r="N73" i="1" s="1"/>
  <c r="L72" i="1"/>
  <c r="J72" i="1" s="1"/>
  <c r="N72" i="1" s="1"/>
  <c r="L71" i="1"/>
  <c r="J71" i="1" s="1"/>
  <c r="N71" i="1" s="1"/>
  <c r="L70" i="1"/>
  <c r="J70" i="1" s="1"/>
  <c r="N70" i="1" s="1"/>
  <c r="L69" i="1"/>
  <c r="J69" i="1" s="1"/>
  <c r="N69" i="1" s="1"/>
  <c r="L68" i="1"/>
  <c r="J68" i="1" s="1"/>
  <c r="N68" i="1" s="1"/>
  <c r="L67" i="1"/>
  <c r="J67" i="1" s="1"/>
  <c r="N67" i="1" s="1"/>
  <c r="L66" i="1"/>
  <c r="J66" i="1" s="1"/>
  <c r="N66" i="1" s="1"/>
  <c r="L65" i="1"/>
  <c r="J65" i="1" s="1"/>
  <c r="N65" i="1" s="1"/>
  <c r="L64" i="1"/>
  <c r="J64" i="1" s="1"/>
  <c r="N64" i="1" s="1"/>
  <c r="L63" i="1"/>
  <c r="J63" i="1" s="1"/>
  <c r="N63" i="1" s="1"/>
  <c r="L62" i="1"/>
  <c r="J62" i="1" s="1"/>
  <c r="N62" i="1" s="1"/>
  <c r="L61" i="1"/>
  <c r="J61" i="1" s="1"/>
  <c r="N61" i="1" s="1"/>
  <c r="L60" i="1"/>
  <c r="J60" i="1" s="1"/>
  <c r="N60" i="1" s="1"/>
  <c r="L59" i="1"/>
  <c r="J59" i="1" s="1"/>
  <c r="N59" i="1" s="1"/>
  <c r="L58" i="1"/>
  <c r="J58" i="1" s="1"/>
  <c r="N58" i="1" s="1"/>
  <c r="L57" i="1"/>
  <c r="J57" i="1" s="1"/>
  <c r="N57" i="1" s="1"/>
  <c r="L56" i="1"/>
  <c r="J56" i="1" s="1"/>
  <c r="N56" i="1" s="1"/>
  <c r="L55" i="1"/>
  <c r="J55" i="1" s="1"/>
  <c r="N55" i="1" s="1"/>
  <c r="L54" i="1"/>
  <c r="J54" i="1" s="1"/>
  <c r="N54" i="1" s="1"/>
  <c r="L53" i="1"/>
  <c r="J53" i="1" s="1"/>
  <c r="N53" i="1" s="1"/>
  <c r="L52" i="1"/>
  <c r="J52" i="1" s="1"/>
  <c r="N52" i="1" s="1"/>
  <c r="L51" i="1"/>
  <c r="J51" i="1" s="1"/>
  <c r="N51" i="1" s="1"/>
  <c r="L50" i="1"/>
  <c r="J50" i="1" s="1"/>
  <c r="N50" i="1" s="1"/>
  <c r="L49" i="1"/>
  <c r="J49" i="1" s="1"/>
  <c r="N49" i="1" s="1"/>
  <c r="L48" i="1"/>
  <c r="J48" i="1" s="1"/>
  <c r="N48" i="1" s="1"/>
  <c r="L47" i="1"/>
  <c r="J47" i="1" s="1"/>
  <c r="N47" i="1" s="1"/>
  <c r="L46" i="1"/>
  <c r="J46" i="1" s="1"/>
  <c r="N46" i="1" s="1"/>
  <c r="L45" i="1"/>
  <c r="J45" i="1" s="1"/>
  <c r="N45" i="1" s="1"/>
  <c r="L44" i="1"/>
  <c r="J44" i="1" s="1"/>
  <c r="N44" i="1" s="1"/>
  <c r="L43" i="1"/>
  <c r="J43" i="1" s="1"/>
  <c r="N43" i="1" s="1"/>
  <c r="L42" i="1"/>
  <c r="J42" i="1" s="1"/>
  <c r="N42" i="1" s="1"/>
  <c r="L41" i="1"/>
  <c r="J41" i="1" s="1"/>
  <c r="N41" i="1" s="1"/>
  <c r="M1" i="1" l="1"/>
</calcChain>
</file>

<file path=xl/sharedStrings.xml><?xml version="1.0" encoding="utf-8"?>
<sst xmlns="http://schemas.openxmlformats.org/spreadsheetml/2006/main" count="655" uniqueCount="117">
  <si>
    <t>//TVM</t>
  </si>
  <si>
    <t>//variable</t>
  </si>
  <si>
    <t>n/a</t>
  </si>
  <si>
    <t>Reset</t>
  </si>
  <si>
    <t>HP35</t>
  </si>
  <si>
    <t>JM</t>
  </si>
  <si>
    <t>RJ</t>
  </si>
  <si>
    <t>C47</t>
  </si>
  <si>
    <t>DefltSB</t>
  </si>
  <si>
    <t>TVM</t>
  </si>
  <si>
    <t>xxx</t>
  </si>
  <si>
    <t>ID_DP</t>
  </si>
  <si>
    <t>ID_43S</t>
  </si>
  <si>
    <t>amDegree</t>
  </si>
  <si>
    <t>amRadian</t>
  </si>
  <si>
    <t>_gprl</t>
  </si>
  <si>
    <t>_gprr</t>
  </si>
  <si>
    <t>_gpr1</t>
  </si>
  <si>
    <t>_gpr1x</t>
  </si>
  <si>
    <t>RB_FGLNOFF</t>
  </si>
  <si>
    <t>RB_FGLNFUL</t>
  </si>
  <si>
    <t>CF_NORMAL</t>
  </si>
  <si>
    <t>RESERVED_VARIABLE_FV</t>
  </si>
  <si>
    <t>RESERVED_VARIABLE_IPONA</t>
  </si>
  <si>
    <t>RESERVED_VARIABLE_NPPER</t>
  </si>
  <si>
    <t>RESERVED_VARIABLE_PMT</t>
  </si>
  <si>
    <t>RESERVED_VARIABLE_PV</t>
  </si>
  <si>
    <t>RESERVED_VARIABLE_PPERONA</t>
  </si>
  <si>
    <t>RESERVED_VARIABLE_CPERONA</t>
  </si>
  <si>
    <t>FLAG_TVM_I_KNOWN</t>
  </si>
  <si>
    <t>FLAG_TVM_I_CHANGES</t>
  </si>
  <si>
    <t>FLAG_ENDPMT</t>
  </si>
  <si>
    <t>//Setsetting</t>
  </si>
  <si>
    <t>SS_4</t>
  </si>
  <si>
    <t>SS_8</t>
  </si>
  <si>
    <t>//SetSetting</t>
  </si>
  <si>
    <t>ITM_CPXRES0</t>
  </si>
  <si>
    <t>ITM_CPXRES1</t>
  </si>
  <si>
    <t>ITM_SPCRES0</t>
  </si>
  <si>
    <t>ITM_SPCRES1</t>
  </si>
  <si>
    <t>JC_IRFRAC</t>
  </si>
  <si>
    <t>//FLAG</t>
  </si>
  <si>
    <t>set/clear</t>
  </si>
  <si>
    <t>FLAG_FRCYC</t>
  </si>
  <si>
    <t>FLAG_MONIT</t>
  </si>
  <si>
    <t>FLAG_HPCONV</t>
  </si>
  <si>
    <t>FLAG_SH_LONGPRESS</t>
  </si>
  <si>
    <t>FLAG_USER</t>
  </si>
  <si>
    <t>FLAG_SBdate</t>
  </si>
  <si>
    <t>FLAG_SBtime</t>
  </si>
  <si>
    <t>FLAG_SBcr</t>
  </si>
  <si>
    <t>FLAG_SBcpx</t>
  </si>
  <si>
    <t>FLAG_SBang</t>
  </si>
  <si>
    <t>FLAG_SBfrac</t>
  </si>
  <si>
    <t>FLAG_SBint</t>
  </si>
  <si>
    <t>FLAG_SBmx</t>
  </si>
  <si>
    <t>FLAG_SBtvm</t>
  </si>
  <si>
    <t>FLAG_SBoc</t>
  </si>
  <si>
    <t>FLAG_SBss</t>
  </si>
  <si>
    <t>FLAG_SBclk</t>
  </si>
  <si>
    <t>FLAG_SBser</t>
  </si>
  <si>
    <t>FLAG_SBprn</t>
  </si>
  <si>
    <t>FLAG_SBbatV</t>
  </si>
  <si>
    <t>FLAG_SBshfR</t>
  </si>
  <si>
    <t>FLAG_FRACT</t>
  </si>
  <si>
    <t>FLAG_DENANY</t>
  </si>
  <si>
    <t>FLAG_MULTx</t>
  </si>
  <si>
    <t>FLAG_AUTOFF</t>
  </si>
  <si>
    <t>FLAG_ASLIFT</t>
  </si>
  <si>
    <t>FLAG_PROPFR</t>
  </si>
  <si>
    <t>FLAG_HPRP</t>
  </si>
  <si>
    <t>FLAG_HPBASE</t>
  </si>
  <si>
    <t>FLAG_2TO10</t>
  </si>
  <si>
    <t>FLAG_POLAR</t>
  </si>
  <si>
    <t>FLAG_CPXj</t>
  </si>
  <si>
    <t>FLAG_FRCSRN</t>
  </si>
  <si>
    <t>FLAG_CPXRES</t>
  </si>
  <si>
    <t>FLAG_SSIZE8</t>
  </si>
  <si>
    <t>FLAG_DENFIX</t>
  </si>
  <si>
    <t>FLAG_SPCRES</t>
  </si>
  <si>
    <t>ITM_NULL</t>
  </si>
  <si>
    <t>//fnSetGapChar</t>
  </si>
  <si>
    <t>32768+ITM_SPACE_PUNCTUATION</t>
  </si>
  <si>
    <t>ITM_NULL+32768</t>
  </si>
  <si>
    <t>32768+ITM_NULL</t>
  </si>
  <si>
    <t>32768+_gapr</t>
  </si>
  <si>
    <t>49152+ITM_PERIOD</t>
  </si>
  <si>
    <t>ITM_WDOT+49152</t>
  </si>
  <si>
    <t>49152+ITM_WCOMMA</t>
  </si>
  <si>
    <t>49152+_gaprx</t>
  </si>
  <si>
    <t>0+ITM_SPACE_PUNCTUATION</t>
  </si>
  <si>
    <t>0+ITM_SPACE_4_PER_EM</t>
  </si>
  <si>
    <t>0+_gapl</t>
  </si>
  <si>
    <t>Comment</t>
  </si>
  <si>
    <t>InputDefaultDataType</t>
  </si>
  <si>
    <t>SigFigNumberOfDigits</t>
  </si>
  <si>
    <t>AllNumberOfDigits</t>
  </si>
  <si>
    <t>FixNumberOfDigits</t>
  </si>
  <si>
    <t>MymB</t>
  </si>
  <si>
    <t>HomeB</t>
  </si>
  <si>
    <t>RNG</t>
  </si>
  <si>
    <t>SDIGS</t>
  </si>
  <si>
    <t>DSTACK</t>
  </si>
  <si>
    <t>CACHEDDSTACK</t>
  </si>
  <si>
    <t>ADM</t>
  </si>
  <si>
    <t>IPGRP</t>
  </si>
  <si>
    <t>FPGRP</t>
  </si>
  <si>
    <t>IPGRP1</t>
  </si>
  <si>
    <t>IPGRP1x</t>
  </si>
  <si>
    <t>ERPN</t>
  </si>
  <si>
    <t>fgLongPressSetting</t>
  </si>
  <si>
    <t>IRFRAC</t>
  </si>
  <si>
    <t>IRFRACMODE</t>
  </si>
  <si>
    <t>IRFRACON</t>
  </si>
  <si>
    <t>DenMaX</t>
  </si>
  <si>
    <t>CHECK LENGTHS!</t>
  </si>
  <si>
    <t>//END MARKER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</si>
</sst>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sz val="12"/>
      <color theme="0" tint="-0.34998626667073579"/>
      <name val="Calibri"/>
      <family val="2"/>
      <scheme val="minor"/>
    </font>
    <font>
      <sz val="12"/>
      <color theme="1"/>
      <name val="C47__StandardFont StandardFont"/>
    </font>
    <font>
      <b/>
      <sz val="12"/>
      <color theme="1"/>
      <name val="C47__StandardFont StandardFont"/>
    </font>
    <font>
      <sz val="9"/>
      <color theme="1"/>
      <name val="Menlo Regular"/>
    </font>
    <font>
      <sz val="9"/>
      <color theme="5"/>
      <name val="Menlo Regular"/>
    </font>
    <font>
      <sz val="12"/>
      <color theme="0" tint="-0.34998626667073579"/>
      <name val="C47__StandardFont StandardFont"/>
    </font>
    <font>
      <b/>
      <sz val="12"/>
      <color rgb="FF0070C0"/>
      <name val="C47__StandardFont StandardFont"/>
    </font>
    <font>
      <sz val="12"/>
      <color rgb="FF0070C0"/>
      <name val="C47__StandardFont StandardFont"/>
    </font>
    <font>
      <sz val="12"/>
      <color rgb="FFFF0000"/>
      <name val="C47__StandardFont StandardFont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quotePrefix="1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left"/>
    </xf>
    <xf numFmtId="0" fontId="1" fillId="3" borderId="0" xfId="0" applyFont="1" applyFill="1"/>
    <xf numFmtId="0" fontId="2" fillId="4" borderId="0" xfId="0" applyFont="1" applyFill="1" applyAlignment="1">
      <alignment horizontal="left"/>
    </xf>
    <xf numFmtId="0" fontId="6" fillId="4" borderId="0" xfId="0" applyFont="1" applyFill="1" applyAlignment="1">
      <alignment horizontal="left"/>
    </xf>
    <xf numFmtId="0" fontId="5" fillId="4" borderId="0" xfId="0" quotePrefix="1" applyFont="1" applyFill="1" applyAlignment="1">
      <alignment horizontal="left" vertical="center" wrapText="1"/>
    </xf>
    <xf numFmtId="0" fontId="3" fillId="6" borderId="0" xfId="0" applyFont="1" applyFill="1" applyAlignment="1">
      <alignment horizontal="left"/>
    </xf>
    <xf numFmtId="0" fontId="3" fillId="7" borderId="0" xfId="0" applyFont="1" applyFill="1" applyAlignment="1">
      <alignment horizontal="left"/>
    </xf>
    <xf numFmtId="0" fontId="7" fillId="5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</cellXfs>
  <cellStyles count="1">
    <cellStyle name="Normal" xfId="0" builtinId="0"/>
  </cellStyles>
  <dxfs count="5">
    <dxf>
      <fill>
        <patternFill>
          <bgColor theme="7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14996795556505021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1B956-3A7D-A54E-9169-CB58BF048D40}">
  <dimension ref="A1:N413"/>
  <sheetViews>
    <sheetView tabSelected="1" topLeftCell="L1" workbookViewId="0">
      <selection activeCell="L17" sqref="L17"/>
    </sheetView>
  </sheetViews>
  <sheetFormatPr baseColWidth="10" defaultRowHeight="16"/>
  <cols>
    <col min="1" max="1" width="26.83203125" style="1" bestFit="1" customWidth="1"/>
    <col min="2" max="2" width="9.33203125" style="1" bestFit="1" customWidth="1"/>
    <col min="3" max="3" width="28" style="1" bestFit="1" customWidth="1"/>
    <col min="4" max="4" width="14.33203125" style="1" bestFit="1" customWidth="1"/>
    <col min="5" max="5" width="18.33203125" style="1" bestFit="1" customWidth="1"/>
    <col min="6" max="6" width="21.1640625" style="1" bestFit="1" customWidth="1"/>
    <col min="7" max="7" width="12.33203125" style="1" bestFit="1" customWidth="1"/>
    <col min="8" max="8" width="12" style="1" bestFit="1" customWidth="1"/>
    <col min="9" max="9" width="19.5" style="1" bestFit="1" customWidth="1"/>
    <col min="10" max="10" width="32" style="1" bestFit="1" customWidth="1"/>
    <col min="11" max="11" width="15" style="9" bestFit="1" customWidth="1"/>
    <col min="12" max="12" width="19.5" style="8" bestFit="1" customWidth="1"/>
    <col min="13" max="13" width="2" style="8" bestFit="1" customWidth="1"/>
    <col min="14" max="14" width="200.5" style="5" bestFit="1" customWidth="1"/>
    <col min="15" max="16384" width="10.83203125" style="1"/>
  </cols>
  <sheetData>
    <row r="1" spans="1:14" s="3" customFormat="1" ht="15">
      <c r="A1" s="8">
        <v>35</v>
      </c>
      <c r="B1" s="8">
        <v>10</v>
      </c>
      <c r="C1" s="8">
        <v>30</v>
      </c>
      <c r="D1" s="8">
        <v>15</v>
      </c>
      <c r="E1" s="8">
        <v>20</v>
      </c>
      <c r="F1" s="8">
        <v>22</v>
      </c>
      <c r="G1" s="8">
        <v>15</v>
      </c>
      <c r="H1" s="8">
        <v>15</v>
      </c>
      <c r="I1" s="8">
        <v>20</v>
      </c>
      <c r="J1" s="8">
        <v>35</v>
      </c>
      <c r="K1" s="8" t="s">
        <v>115</v>
      </c>
      <c r="L1" s="8"/>
      <c r="M1" s="8">
        <f>COUNTIF(N:N,"#VALUE!")</f>
        <v>0</v>
      </c>
      <c r="N1" s="4"/>
    </row>
    <row r="2" spans="1:14" ht="15">
      <c r="A2" s="2" t="s">
        <v>1</v>
      </c>
      <c r="B2" s="2" t="s">
        <v>2</v>
      </c>
      <c r="C2" s="14" t="s">
        <v>3</v>
      </c>
      <c r="D2" s="2" t="s">
        <v>4</v>
      </c>
      <c r="E2" s="13" t="s">
        <v>5</v>
      </c>
      <c r="F2" s="15" t="s">
        <v>6</v>
      </c>
      <c r="G2" s="2" t="s">
        <v>7</v>
      </c>
      <c r="H2" s="2" t="s">
        <v>8</v>
      </c>
      <c r="I2" s="2" t="s">
        <v>9</v>
      </c>
      <c r="J2" s="2" t="s">
        <v>93</v>
      </c>
      <c r="K2" s="8"/>
      <c r="N2" s="6" t="str">
        <f>A2&amp;", "&amp;REPT(" ",$A$1-LEN(A2))&amp;
B2&amp;", "&amp;REPT(" ",$B$1-LEN(B2))&amp;
C2&amp;", "&amp;REPT(" ",$C$1-LEN(C2))&amp;
D2&amp;", "&amp;REPT(" ",$D$1-LEN(D2))&amp;
E2&amp;", "&amp;REPT(" ",$E$1-LEN(E2))&amp;
F2&amp;", "&amp;REPT(" ",$F$1-LEN(F2))&amp;
G2&amp;", "&amp;REPT(" ",$G$1-LEN(G2))&amp;
H2&amp;", "&amp;REPT(" ",$H$1-LEN(H2))&amp;
I2&amp;", "&amp;REPT(" ",$I$1-LEN(I2))&amp;
J2</f>
        <v>//variable,                          n/a,        Reset,                          HP35,            JM,                   RJ,                     C47,             DefltSB,         TVM,                  Comment</v>
      </c>
    </row>
    <row r="3" spans="1:14" ht="15">
      <c r="A3" s="1" t="s">
        <v>94</v>
      </c>
      <c r="B3" s="1" t="s">
        <v>10</v>
      </c>
      <c r="C3" s="1" t="s">
        <v>10</v>
      </c>
      <c r="D3" s="1" t="s">
        <v>11</v>
      </c>
      <c r="E3" s="17" t="s">
        <v>12</v>
      </c>
      <c r="F3" s="17" t="s">
        <v>12</v>
      </c>
      <c r="G3" s="1" t="s">
        <v>12</v>
      </c>
      <c r="H3" s="1" t="s">
        <v>10</v>
      </c>
      <c r="I3" s="1" t="s">
        <v>10</v>
      </c>
      <c r="K3" s="8"/>
      <c r="N3" s="6" t="str">
        <f>A3&amp;", "&amp;REPT(" ",$A$1-LEN(A3))&amp;
B3&amp;", "&amp;REPT(" ",$B$1-LEN(B3))&amp;
C3&amp;", "&amp;REPT(" ",$C$1-LEN(C3))&amp;
D3&amp;", "&amp;REPT(" ",$D$1-LEN(D3))&amp;
E3&amp;", "&amp;REPT(" ",$E$1-LEN(E3))&amp;
F3&amp;", "&amp;REPT(" ",$F$1-LEN(F3))&amp;
G3&amp;", "&amp;REPT(" ",$G$1-LEN(G3))&amp;
H3&amp;", "&amp;REPT(" ",$H$1-LEN(H3))&amp;
I3&amp;", "&amp;REPT(" ",$I$1-LEN(I3))&amp;
J3</f>
        <v xml:space="preserve">InputDefaultDataType,                xxx,        xxx,                            ID_DP,           ID_43S,               ID_43S,                 ID_43S,          xxx,             xxx,                  </v>
      </c>
    </row>
    <row r="4" spans="1:14" ht="15">
      <c r="A4" s="1" t="s">
        <v>95</v>
      </c>
      <c r="B4" s="1" t="s">
        <v>10</v>
      </c>
      <c r="C4" s="1" t="s">
        <v>10</v>
      </c>
      <c r="D4" s="1">
        <v>9</v>
      </c>
      <c r="E4" s="1">
        <v>3</v>
      </c>
      <c r="F4" s="16" t="s">
        <v>10</v>
      </c>
      <c r="G4" s="1" t="s">
        <v>10</v>
      </c>
      <c r="H4" s="1" t="s">
        <v>10</v>
      </c>
      <c r="I4" s="1" t="s">
        <v>10</v>
      </c>
      <c r="K4" s="8"/>
      <c r="N4" s="6" t="str">
        <f t="shared" ref="N4:N67" si="0">A4&amp;", "&amp;REPT(" ",$A$1-LEN(A4))&amp;
B4&amp;", "&amp;REPT(" ",$B$1-LEN(B4))&amp;
C4&amp;", "&amp;REPT(" ",$C$1-LEN(C4))&amp;
D4&amp;", "&amp;REPT(" ",$D$1-LEN(D4))&amp;
E4&amp;", "&amp;REPT(" ",$E$1-LEN(E4))&amp;
F4&amp;", "&amp;REPT(" ",$F$1-LEN(F4))&amp;
G4&amp;", "&amp;REPT(" ",$G$1-LEN(G4))&amp;
H4&amp;", "&amp;REPT(" ",$H$1-LEN(H4))&amp;
I4&amp;", "&amp;REPT(" ",$I$1-LEN(I4))&amp;
J4</f>
        <v xml:space="preserve">SigFigNumberOfDigits,                xxx,        xxx,                            9,               3,                    xxx,                    xxx,             xxx,             xxx,                  </v>
      </c>
    </row>
    <row r="5" spans="1:14" ht="15">
      <c r="A5" s="1" t="s">
        <v>96</v>
      </c>
      <c r="B5" s="1" t="s">
        <v>10</v>
      </c>
      <c r="C5" s="1" t="s">
        <v>10</v>
      </c>
      <c r="D5" s="1" t="s">
        <v>10</v>
      </c>
      <c r="E5" s="1" t="s">
        <v>10</v>
      </c>
      <c r="F5" s="16" t="s">
        <v>10</v>
      </c>
      <c r="G5" s="1">
        <v>3</v>
      </c>
      <c r="H5" s="1" t="s">
        <v>10</v>
      </c>
      <c r="I5" s="1" t="s">
        <v>10</v>
      </c>
      <c r="K5" s="8"/>
      <c r="N5" s="6" t="str">
        <f t="shared" si="0"/>
        <v xml:space="preserve">AllNumberOfDigits,                   xxx,        xxx,                            xxx,             xxx,                  xxx,                    3,               xxx,             xxx,                  </v>
      </c>
    </row>
    <row r="6" spans="1:14" ht="15">
      <c r="A6" s="1" t="s">
        <v>97</v>
      </c>
      <c r="B6" s="1" t="s">
        <v>10</v>
      </c>
      <c r="C6" s="1" t="s">
        <v>10</v>
      </c>
      <c r="D6" s="1" t="s">
        <v>10</v>
      </c>
      <c r="E6" s="1" t="s">
        <v>10</v>
      </c>
      <c r="F6" s="16">
        <v>3</v>
      </c>
      <c r="G6" s="1" t="s">
        <v>10</v>
      </c>
      <c r="H6" s="1" t="s">
        <v>10</v>
      </c>
      <c r="I6" s="1" t="s">
        <v>10</v>
      </c>
      <c r="K6" s="8"/>
      <c r="N6" s="6" t="str">
        <f t="shared" si="0"/>
        <v xml:space="preserve">FixNumberOfDigits,                   xxx,        xxx,                            xxx,             xxx,                  3,                      xxx,             xxx,             xxx,                  </v>
      </c>
    </row>
    <row r="7" spans="1:14" ht="15">
      <c r="A7" s="1" t="s">
        <v>98</v>
      </c>
      <c r="B7" s="1" t="s">
        <v>10</v>
      </c>
      <c r="C7" s="1">
        <v>1</v>
      </c>
      <c r="D7" s="1">
        <v>0</v>
      </c>
      <c r="E7" s="17">
        <v>1</v>
      </c>
      <c r="F7" s="17">
        <v>1</v>
      </c>
      <c r="G7" s="1">
        <v>1</v>
      </c>
      <c r="H7" s="1" t="s">
        <v>10</v>
      </c>
      <c r="I7" s="1" t="s">
        <v>10</v>
      </c>
      <c r="K7" s="8"/>
      <c r="N7" s="6" t="str">
        <f t="shared" si="0"/>
        <v xml:space="preserve">MymB,                                xxx,        1,                              0,               1,                    1,                      1,               xxx,             xxx,                  </v>
      </c>
    </row>
    <row r="8" spans="1:14" ht="15">
      <c r="A8" s="1" t="s">
        <v>99</v>
      </c>
      <c r="B8" s="1" t="s">
        <v>10</v>
      </c>
      <c r="C8" s="1">
        <v>0</v>
      </c>
      <c r="D8" s="1">
        <v>0</v>
      </c>
      <c r="E8" s="17">
        <v>0</v>
      </c>
      <c r="F8" s="17">
        <v>0</v>
      </c>
      <c r="G8" s="1">
        <v>0</v>
      </c>
      <c r="H8" s="1" t="s">
        <v>10</v>
      </c>
      <c r="I8" s="1" t="s">
        <v>10</v>
      </c>
      <c r="K8" s="8"/>
      <c r="N8" s="6" t="str">
        <f t="shared" si="0"/>
        <v xml:space="preserve">HomeB,                               xxx,        0,                              0,               0,                    0,                      0,               xxx,             xxx,                  </v>
      </c>
    </row>
    <row r="9" spans="1:14" ht="15">
      <c r="A9" s="1" t="s">
        <v>100</v>
      </c>
      <c r="B9" s="1" t="s">
        <v>10</v>
      </c>
      <c r="C9" s="1">
        <v>6145</v>
      </c>
      <c r="D9" s="1">
        <v>99</v>
      </c>
      <c r="E9" s="17">
        <v>6145</v>
      </c>
      <c r="F9" s="17">
        <v>6145</v>
      </c>
      <c r="G9" s="1">
        <v>6145</v>
      </c>
      <c r="H9" s="1" t="s">
        <v>10</v>
      </c>
      <c r="I9" s="1" t="s">
        <v>10</v>
      </c>
      <c r="K9" s="8"/>
      <c r="N9" s="6" t="str">
        <f t="shared" si="0"/>
        <v xml:space="preserve">RNG,                                 xxx,        6145,                           99,              6145,                 6145,                   6145,            xxx,             xxx,                  </v>
      </c>
    </row>
    <row r="10" spans="1:14" ht="15">
      <c r="A10" s="1" t="s">
        <v>101</v>
      </c>
      <c r="B10" s="1" t="s">
        <v>10</v>
      </c>
      <c r="C10" s="1">
        <v>0</v>
      </c>
      <c r="D10" s="1">
        <v>16</v>
      </c>
      <c r="E10" s="17">
        <v>0</v>
      </c>
      <c r="F10" s="17">
        <v>0</v>
      </c>
      <c r="G10" s="1">
        <v>34</v>
      </c>
      <c r="H10" s="1" t="s">
        <v>10</v>
      </c>
      <c r="I10" s="1" t="s">
        <v>10</v>
      </c>
      <c r="K10" s="8"/>
      <c r="N10" s="6" t="str">
        <f t="shared" si="0"/>
        <v xml:space="preserve">SDIGS,                               xxx,        0,                              16,              0,                    0,                      34,              xxx,             xxx,                  </v>
      </c>
    </row>
    <row r="11" spans="1:14" ht="15">
      <c r="A11" s="1" t="s">
        <v>102</v>
      </c>
      <c r="B11" s="1" t="s">
        <v>10</v>
      </c>
      <c r="C11" s="1">
        <v>4</v>
      </c>
      <c r="D11" s="1">
        <v>1</v>
      </c>
      <c r="E11" s="17">
        <v>4</v>
      </c>
      <c r="F11" s="17">
        <v>4</v>
      </c>
      <c r="G11" s="1">
        <v>4</v>
      </c>
      <c r="H11" s="1" t="s">
        <v>10</v>
      </c>
      <c r="I11" s="1" t="s">
        <v>10</v>
      </c>
      <c r="K11" s="8"/>
      <c r="N11" s="6" t="str">
        <f t="shared" si="0"/>
        <v xml:space="preserve">DSTACK,                              xxx,        4,                              1,               4,                    4,                      4,               xxx,             xxx,                  </v>
      </c>
    </row>
    <row r="12" spans="1:14" ht="15">
      <c r="A12" s="1" t="s">
        <v>103</v>
      </c>
      <c r="B12" s="1" t="s">
        <v>10</v>
      </c>
      <c r="C12" s="1">
        <v>4</v>
      </c>
      <c r="D12" s="1">
        <v>1</v>
      </c>
      <c r="E12" s="17">
        <v>4</v>
      </c>
      <c r="F12" s="17">
        <v>4</v>
      </c>
      <c r="G12" s="1">
        <v>4</v>
      </c>
      <c r="H12" s="1" t="s">
        <v>10</v>
      </c>
      <c r="I12" s="1" t="s">
        <v>10</v>
      </c>
      <c r="K12" s="8"/>
      <c r="N12" s="6" t="str">
        <f t="shared" si="0"/>
        <v xml:space="preserve">CACHEDDSTACK,                        xxx,        4,                              1,               4,                    4,                      4,               xxx,             xxx,                  </v>
      </c>
    </row>
    <row r="13" spans="1:14" ht="15">
      <c r="A13" s="1" t="s">
        <v>104</v>
      </c>
      <c r="B13" s="1" t="s">
        <v>10</v>
      </c>
      <c r="C13" s="1" t="s">
        <v>13</v>
      </c>
      <c r="D13" s="1" t="s">
        <v>14</v>
      </c>
      <c r="E13" s="1" t="s">
        <v>13</v>
      </c>
      <c r="F13" s="16" t="s">
        <v>14</v>
      </c>
      <c r="G13" s="1" t="s">
        <v>13</v>
      </c>
      <c r="H13" s="1" t="s">
        <v>10</v>
      </c>
      <c r="I13" s="1" t="s">
        <v>10</v>
      </c>
      <c r="K13" s="8"/>
      <c r="N13" s="6" t="str">
        <f t="shared" si="0"/>
        <v xml:space="preserve">ADM,                                 xxx,        amDegree,                       amRadian,        amDegree,             amRadian,               amDegree,        xxx,             xxx,                  </v>
      </c>
    </row>
    <row r="14" spans="1:14" ht="15">
      <c r="A14" s="1" t="s">
        <v>105</v>
      </c>
      <c r="B14" s="1" t="s">
        <v>10</v>
      </c>
      <c r="C14" s="1">
        <v>3</v>
      </c>
      <c r="D14" s="1">
        <v>3</v>
      </c>
      <c r="E14" s="17" t="s">
        <v>15</v>
      </c>
      <c r="F14" s="16">
        <v>3</v>
      </c>
      <c r="G14" s="1" t="s">
        <v>15</v>
      </c>
      <c r="H14" s="1" t="s">
        <v>10</v>
      </c>
      <c r="I14" s="1" t="s">
        <v>10</v>
      </c>
      <c r="K14" s="8"/>
      <c r="N14" s="6" t="str">
        <f t="shared" si="0"/>
        <v xml:space="preserve">IPGRP,                               xxx,        3,                              3,               _gprl,                3,                      _gprl,           xxx,             xxx,                  </v>
      </c>
    </row>
    <row r="15" spans="1:14" ht="15">
      <c r="A15" s="1" t="s">
        <v>106</v>
      </c>
      <c r="B15" s="1" t="s">
        <v>10</v>
      </c>
      <c r="C15" s="1">
        <v>3</v>
      </c>
      <c r="D15" s="1">
        <v>3</v>
      </c>
      <c r="E15" s="17" t="s">
        <v>16</v>
      </c>
      <c r="F15" s="16">
        <v>3</v>
      </c>
      <c r="G15" s="1" t="s">
        <v>16</v>
      </c>
      <c r="H15" s="1" t="s">
        <v>10</v>
      </c>
      <c r="I15" s="1" t="s">
        <v>10</v>
      </c>
      <c r="K15" s="8"/>
      <c r="N15" s="6" t="str">
        <f t="shared" si="0"/>
        <v xml:space="preserve">FPGRP,                               xxx,        3,                              3,               _gprr,                3,                      _gprr,           xxx,             xxx,                  </v>
      </c>
    </row>
    <row r="16" spans="1:14" ht="15">
      <c r="A16" s="1" t="s">
        <v>107</v>
      </c>
      <c r="B16" s="1" t="s">
        <v>10</v>
      </c>
      <c r="C16" s="1">
        <v>0</v>
      </c>
      <c r="D16" s="1">
        <v>0</v>
      </c>
      <c r="E16" s="17" t="s">
        <v>17</v>
      </c>
      <c r="F16" s="16">
        <v>0</v>
      </c>
      <c r="G16" s="1" t="s">
        <v>17</v>
      </c>
      <c r="H16" s="1" t="s">
        <v>10</v>
      </c>
      <c r="I16" s="1" t="s">
        <v>10</v>
      </c>
      <c r="K16" s="8"/>
      <c r="N16" s="6" t="str">
        <f t="shared" si="0"/>
        <v xml:space="preserve">IPGRP1,                              xxx,        0,                              0,               _gpr1,                0,                      _gpr1,           xxx,             xxx,                  </v>
      </c>
    </row>
    <row r="17" spans="1:14" ht="15">
      <c r="A17" s="1" t="s">
        <v>108</v>
      </c>
      <c r="B17" s="1" t="s">
        <v>10</v>
      </c>
      <c r="C17" s="1">
        <v>0</v>
      </c>
      <c r="D17" s="1">
        <v>0</v>
      </c>
      <c r="E17" s="17" t="s">
        <v>18</v>
      </c>
      <c r="F17" s="16">
        <v>1</v>
      </c>
      <c r="G17" s="1" t="s">
        <v>18</v>
      </c>
      <c r="H17" s="1" t="s">
        <v>10</v>
      </c>
      <c r="I17" s="1" t="s">
        <v>10</v>
      </c>
      <c r="K17" s="8"/>
      <c r="N17" s="6" t="str">
        <f t="shared" si="0"/>
        <v xml:space="preserve">IPGRP1x,                             xxx,        0,                              0,               _gpr1x,               1,                      _gpr1x,          xxx,             xxx,                  </v>
      </c>
    </row>
    <row r="18" spans="1:14" ht="15">
      <c r="A18" s="1" t="s">
        <v>109</v>
      </c>
      <c r="B18" s="1" t="s">
        <v>10</v>
      </c>
      <c r="C18" s="1">
        <v>1</v>
      </c>
      <c r="D18" s="1">
        <v>0</v>
      </c>
      <c r="E18" s="17">
        <v>1</v>
      </c>
      <c r="F18" s="17">
        <v>1</v>
      </c>
      <c r="G18" s="1">
        <v>1</v>
      </c>
      <c r="H18" s="1" t="s">
        <v>10</v>
      </c>
      <c r="I18" s="1" t="s">
        <v>10</v>
      </c>
      <c r="K18" s="8"/>
      <c r="N18" s="6" t="str">
        <f t="shared" si="0"/>
        <v xml:space="preserve">ERPN,                                xxx,        1,                              0,               1,                    1,                      1,               xxx,             xxx,                  </v>
      </c>
    </row>
    <row r="19" spans="1:14" ht="15">
      <c r="A19" s="1" t="s">
        <v>110</v>
      </c>
      <c r="B19" s="1" t="s">
        <v>10</v>
      </c>
      <c r="C19" s="1" t="s">
        <v>10</v>
      </c>
      <c r="D19" s="1" t="s">
        <v>19</v>
      </c>
      <c r="E19" s="17" t="s">
        <v>20</v>
      </c>
      <c r="F19" s="17" t="s">
        <v>20</v>
      </c>
      <c r="G19" s="1" t="s">
        <v>20</v>
      </c>
      <c r="H19" s="1" t="s">
        <v>10</v>
      </c>
      <c r="I19" s="1" t="s">
        <v>10</v>
      </c>
      <c r="K19" s="8"/>
      <c r="N19" s="6" t="str">
        <f t="shared" si="0"/>
        <v xml:space="preserve">fgLongPressSetting,                  xxx,        xxx,                            RB_FGLNOFF,      RB_FGLNFUL,           RB_FGLNFUL,             RB_FGLNFUL,      xxx,             xxx,                  </v>
      </c>
    </row>
    <row r="20" spans="1:14" ht="15">
      <c r="A20" s="1" t="s">
        <v>111</v>
      </c>
      <c r="B20" s="1" t="s">
        <v>10</v>
      </c>
      <c r="C20" s="1">
        <v>0</v>
      </c>
      <c r="D20" s="1" t="s">
        <v>10</v>
      </c>
      <c r="E20" s="1" t="s">
        <v>10</v>
      </c>
      <c r="F20" s="16">
        <v>0</v>
      </c>
      <c r="G20" s="1" t="s">
        <v>10</v>
      </c>
      <c r="H20" s="1" t="s">
        <v>10</v>
      </c>
      <c r="I20" s="1" t="s">
        <v>10</v>
      </c>
      <c r="K20" s="8"/>
      <c r="N20" s="6" t="str">
        <f t="shared" si="0"/>
        <v xml:space="preserve">IRFRAC,                              xxx,        0,                              xxx,             xxx,                  0,                      xxx,             xxx,             xxx,                  </v>
      </c>
    </row>
    <row r="21" spans="1:14" ht="15">
      <c r="A21" s="1" t="s">
        <v>112</v>
      </c>
      <c r="B21" s="1" t="s">
        <v>10</v>
      </c>
      <c r="C21" s="1" t="s">
        <v>21</v>
      </c>
      <c r="D21" s="1" t="s">
        <v>10</v>
      </c>
      <c r="E21" s="1" t="s">
        <v>10</v>
      </c>
      <c r="F21" s="16" t="s">
        <v>10</v>
      </c>
      <c r="G21" s="1" t="s">
        <v>10</v>
      </c>
      <c r="H21" s="1" t="s">
        <v>10</v>
      </c>
      <c r="I21" s="1" t="s">
        <v>10</v>
      </c>
      <c r="K21" s="8"/>
      <c r="N21" s="6" t="str">
        <f t="shared" si="0"/>
        <v xml:space="preserve">IRFRACMODE,                          xxx,        CF_NORMAL,                      xxx,             xxx,                  xxx,                    xxx,             xxx,             xxx,                  </v>
      </c>
    </row>
    <row r="22" spans="1:14" ht="15">
      <c r="A22" s="1" t="s">
        <v>113</v>
      </c>
      <c r="B22" s="1" t="s">
        <v>10</v>
      </c>
      <c r="C22" s="1">
        <v>0</v>
      </c>
      <c r="D22" s="1" t="s">
        <v>10</v>
      </c>
      <c r="E22" s="1" t="s">
        <v>10</v>
      </c>
      <c r="F22" s="16" t="s">
        <v>10</v>
      </c>
      <c r="G22" s="1" t="s">
        <v>10</v>
      </c>
      <c r="H22" s="1" t="s">
        <v>10</v>
      </c>
      <c r="I22" s="1" t="s">
        <v>10</v>
      </c>
      <c r="K22" s="8"/>
      <c r="N22" s="6" t="str">
        <f t="shared" si="0"/>
        <v xml:space="preserve">IRFRACON,                            xxx,        0,                              xxx,             xxx,                  xxx,                    xxx,             xxx,             xxx,                  </v>
      </c>
    </row>
    <row r="23" spans="1:14" ht="15">
      <c r="A23" s="1" t="s">
        <v>114</v>
      </c>
      <c r="B23" s="1" t="s">
        <v>10</v>
      </c>
      <c r="C23" s="1">
        <v>64</v>
      </c>
      <c r="D23" s="1" t="s">
        <v>10</v>
      </c>
      <c r="E23" s="17">
        <v>64</v>
      </c>
      <c r="F23" s="16">
        <v>9999</v>
      </c>
      <c r="G23" s="1">
        <v>64</v>
      </c>
      <c r="H23" s="1" t="s">
        <v>10</v>
      </c>
      <c r="I23" s="1" t="s">
        <v>10</v>
      </c>
      <c r="K23" s="8"/>
      <c r="N23" s="6" t="str">
        <f t="shared" si="0"/>
        <v xml:space="preserve">DenMaX,                              xxx,        64,                             xxx,             64,                   9999,                   64,              xxx,             xxx,                  </v>
      </c>
    </row>
    <row r="24" spans="1:14" ht="15">
      <c r="A24" s="2" t="s">
        <v>0</v>
      </c>
      <c r="B24" s="2" t="s">
        <v>2</v>
      </c>
      <c r="C24" s="14" t="s">
        <v>3</v>
      </c>
      <c r="D24" s="2" t="s">
        <v>4</v>
      </c>
      <c r="E24" s="13" t="s">
        <v>5</v>
      </c>
      <c r="F24" s="15" t="s">
        <v>6</v>
      </c>
      <c r="G24" s="2" t="s">
        <v>7</v>
      </c>
      <c r="H24" s="2" t="s">
        <v>8</v>
      </c>
      <c r="I24" s="2" t="s">
        <v>9</v>
      </c>
      <c r="J24" s="2"/>
      <c r="K24" s="8"/>
      <c r="N24" s="6" t="str">
        <f t="shared" si="0"/>
        <v xml:space="preserve">//TVM,                               n/a,        Reset,                          HP35,            JM,                   RJ,                     C47,             DefltSB,         TVM,                  </v>
      </c>
    </row>
    <row r="25" spans="1:14" ht="15">
      <c r="A25" s="1" t="s">
        <v>22</v>
      </c>
      <c r="B25" s="1" t="s">
        <v>10</v>
      </c>
      <c r="C25" s="1">
        <v>0</v>
      </c>
      <c r="D25" s="1" t="s">
        <v>10</v>
      </c>
      <c r="E25" s="1" t="s">
        <v>10</v>
      </c>
      <c r="F25" s="16" t="s">
        <v>10</v>
      </c>
      <c r="G25" s="1" t="s">
        <v>10</v>
      </c>
      <c r="H25" s="1" t="s">
        <v>10</v>
      </c>
      <c r="I25" s="1">
        <v>0</v>
      </c>
      <c r="K25" s="8"/>
      <c r="N25" s="6" t="str">
        <f t="shared" si="0"/>
        <v xml:space="preserve">RESERVED_VARIABLE_FV,                xxx,        0,                              xxx,             xxx,                  xxx,                    xxx,             xxx,             0,                    </v>
      </c>
    </row>
    <row r="26" spans="1:14" ht="15">
      <c r="A26" s="1" t="s">
        <v>23</v>
      </c>
      <c r="B26" s="1" t="s">
        <v>10</v>
      </c>
      <c r="C26" s="1">
        <v>0</v>
      </c>
      <c r="D26" s="1" t="s">
        <v>10</v>
      </c>
      <c r="E26" s="1" t="s">
        <v>10</v>
      </c>
      <c r="F26" s="16" t="s">
        <v>10</v>
      </c>
      <c r="G26" s="1" t="s">
        <v>10</v>
      </c>
      <c r="H26" s="1" t="s">
        <v>10</v>
      </c>
      <c r="I26" s="1">
        <v>0</v>
      </c>
      <c r="K26" s="8"/>
      <c r="N26" s="6" t="str">
        <f t="shared" si="0"/>
        <v xml:space="preserve">RESERVED_VARIABLE_IPONA,             xxx,        0,                              xxx,             xxx,                  xxx,                    xxx,             xxx,             0,                    </v>
      </c>
    </row>
    <row r="27" spans="1:14" ht="15">
      <c r="A27" s="1" t="s">
        <v>24</v>
      </c>
      <c r="B27" s="1" t="s">
        <v>10</v>
      </c>
      <c r="C27" s="1">
        <v>0</v>
      </c>
      <c r="D27" s="1" t="s">
        <v>10</v>
      </c>
      <c r="E27" s="1" t="s">
        <v>10</v>
      </c>
      <c r="F27" s="16" t="s">
        <v>10</v>
      </c>
      <c r="G27" s="1" t="s">
        <v>10</v>
      </c>
      <c r="H27" s="1" t="s">
        <v>10</v>
      </c>
      <c r="I27" s="1">
        <v>0</v>
      </c>
      <c r="K27" s="8"/>
      <c r="N27" s="6" t="str">
        <f t="shared" si="0"/>
        <v xml:space="preserve">RESERVED_VARIABLE_NPPER,             xxx,        0,                              xxx,             xxx,                  xxx,                    xxx,             xxx,             0,                    </v>
      </c>
    </row>
    <row r="28" spans="1:14" ht="15">
      <c r="A28" s="1" t="s">
        <v>25</v>
      </c>
      <c r="B28" s="1" t="s">
        <v>10</v>
      </c>
      <c r="C28" s="1">
        <v>0</v>
      </c>
      <c r="D28" s="1" t="s">
        <v>10</v>
      </c>
      <c r="E28" s="1" t="s">
        <v>10</v>
      </c>
      <c r="F28" s="16" t="s">
        <v>10</v>
      </c>
      <c r="G28" s="1" t="s">
        <v>10</v>
      </c>
      <c r="H28" s="1" t="s">
        <v>10</v>
      </c>
      <c r="I28" s="1">
        <v>0</v>
      </c>
      <c r="K28" s="8"/>
      <c r="N28" s="6" t="str">
        <f t="shared" si="0"/>
        <v xml:space="preserve">RESERVED_VARIABLE_PMT,               xxx,        0,                              xxx,             xxx,                  xxx,                    xxx,             xxx,             0,                    </v>
      </c>
    </row>
    <row r="29" spans="1:14" ht="15">
      <c r="A29" s="1" t="s">
        <v>26</v>
      </c>
      <c r="B29" s="1" t="s">
        <v>10</v>
      </c>
      <c r="C29" s="1">
        <v>0</v>
      </c>
      <c r="D29" s="1" t="s">
        <v>10</v>
      </c>
      <c r="E29" s="1" t="s">
        <v>10</v>
      </c>
      <c r="F29" s="16" t="s">
        <v>10</v>
      </c>
      <c r="G29" s="1" t="s">
        <v>10</v>
      </c>
      <c r="H29" s="1" t="s">
        <v>10</v>
      </c>
      <c r="I29" s="1">
        <v>0</v>
      </c>
      <c r="K29" s="8"/>
      <c r="N29" s="6" t="str">
        <f t="shared" si="0"/>
        <v xml:space="preserve">RESERVED_VARIABLE_PV,                xxx,        0,                              xxx,             xxx,                  xxx,                    xxx,             xxx,             0,                    </v>
      </c>
    </row>
    <row r="30" spans="1:14" ht="15">
      <c r="A30" s="1" t="s">
        <v>27</v>
      </c>
      <c r="B30" s="1" t="s">
        <v>10</v>
      </c>
      <c r="C30" s="1">
        <v>12</v>
      </c>
      <c r="D30" s="1" t="s">
        <v>10</v>
      </c>
      <c r="E30" s="1" t="s">
        <v>10</v>
      </c>
      <c r="F30" s="16" t="s">
        <v>10</v>
      </c>
      <c r="G30" s="1" t="s">
        <v>10</v>
      </c>
      <c r="H30" s="1" t="s">
        <v>10</v>
      </c>
      <c r="I30" s="1">
        <v>12</v>
      </c>
      <c r="K30" s="8"/>
      <c r="N30" s="6" t="str">
        <f t="shared" si="0"/>
        <v xml:space="preserve">RESERVED_VARIABLE_PPERONA,           xxx,        12,                             xxx,             xxx,                  xxx,                    xxx,             xxx,             12,                   </v>
      </c>
    </row>
    <row r="31" spans="1:14" ht="15">
      <c r="A31" s="1" t="s">
        <v>28</v>
      </c>
      <c r="B31" s="1" t="s">
        <v>10</v>
      </c>
      <c r="C31" s="1">
        <v>12</v>
      </c>
      <c r="D31" s="1" t="s">
        <v>10</v>
      </c>
      <c r="E31" s="1" t="s">
        <v>10</v>
      </c>
      <c r="F31" s="16" t="s">
        <v>10</v>
      </c>
      <c r="G31" s="1" t="s">
        <v>10</v>
      </c>
      <c r="H31" s="1" t="s">
        <v>10</v>
      </c>
      <c r="I31" s="1">
        <v>12</v>
      </c>
      <c r="K31" s="8"/>
      <c r="N31" s="6" t="str">
        <f t="shared" si="0"/>
        <v xml:space="preserve">RESERVED_VARIABLE_CPERONA,           xxx,        12,                             xxx,             xxx,                  xxx,                    xxx,             xxx,             12,                   </v>
      </c>
    </row>
    <row r="32" spans="1:14" ht="15">
      <c r="A32" s="1">
        <v>3</v>
      </c>
      <c r="B32" s="1">
        <v>0</v>
      </c>
      <c r="C32" s="1" t="s">
        <v>29</v>
      </c>
      <c r="D32" s="1" t="s">
        <v>10</v>
      </c>
      <c r="E32" s="1" t="s">
        <v>10</v>
      </c>
      <c r="F32" s="16" t="s">
        <v>10</v>
      </c>
      <c r="G32" s="1" t="s">
        <v>10</v>
      </c>
      <c r="H32" s="1" t="s">
        <v>10</v>
      </c>
      <c r="I32" s="1" t="s">
        <v>29</v>
      </c>
      <c r="J32" s="1" t="str">
        <f>IF(B32=0,"// Clear flag "&amp;L32,"// Set flag  "&amp;L32)</f>
        <v>// Clear flag FLAG_TVM_I_KNOWN</v>
      </c>
      <c r="K32" s="8"/>
      <c r="L32" s="8" t="str">
        <f>IF(NOT(C32="xxx"),C32,IF(NOT(D32="xxx"),D32,IF(NOT(E32="xxx"),E32,IF(NOT(F32="xxx"),F32,IF(NOT(G32="xxx"),G32,IF(NOT(H32="xxx"),H32,IF(NOT(I32="xxx"),I32)))))))</f>
        <v>FLAG_TVM_I_KNOWN</v>
      </c>
      <c r="N32" s="6" t="str">
        <f t="shared" si="0"/>
        <v>3,                                   0,          FLAG_TVM_I_KNOWN,               xxx,             xxx,                  xxx,                    xxx,             xxx,             FLAG_TVM_I_KNOWN,     // Clear flag FLAG_TVM_I_KNOWN</v>
      </c>
    </row>
    <row r="33" spans="1:14" ht="15">
      <c r="A33" s="1">
        <v>3</v>
      </c>
      <c r="B33" s="1">
        <v>0</v>
      </c>
      <c r="C33" s="1" t="s">
        <v>30</v>
      </c>
      <c r="D33" s="1" t="s">
        <v>10</v>
      </c>
      <c r="E33" s="1" t="s">
        <v>10</v>
      </c>
      <c r="F33" s="16" t="s">
        <v>10</v>
      </c>
      <c r="G33" s="1" t="s">
        <v>10</v>
      </c>
      <c r="H33" s="1" t="s">
        <v>10</v>
      </c>
      <c r="I33" s="1" t="s">
        <v>30</v>
      </c>
      <c r="J33" s="1" t="str">
        <f t="shared" ref="J33:J34" si="1">IF(B33=0,"// Clear flag "&amp;L33,"// Set flag  "&amp;L33)</f>
        <v>// Clear flag FLAG_TVM_I_CHANGES</v>
      </c>
      <c r="K33" s="8"/>
      <c r="L33" s="8" t="str">
        <f>IF(NOT(C33="xxx"),C33,IF(NOT(D33="xxx"),D33,IF(NOT(E33="xxx"),E33,IF(NOT(F33="xxx"),F33,IF(NOT(G33="xxx"),G33,IF(NOT(H33="xxx"),H33,IF(NOT(I33="xxx"),I33)))))))</f>
        <v>FLAG_TVM_I_CHANGES</v>
      </c>
      <c r="N33" s="6" t="str">
        <f t="shared" si="0"/>
        <v>3,                                   0,          FLAG_TVM_I_CHANGES,             xxx,             xxx,                  xxx,                    xxx,             xxx,             FLAG_TVM_I_CHANGES,   // Clear flag FLAG_TVM_I_CHANGES</v>
      </c>
    </row>
    <row r="34" spans="1:14" ht="15">
      <c r="A34" s="1">
        <v>3</v>
      </c>
      <c r="B34" s="1">
        <v>1</v>
      </c>
      <c r="C34" s="1" t="s">
        <v>31</v>
      </c>
      <c r="D34" s="1" t="s">
        <v>10</v>
      </c>
      <c r="E34" s="1" t="s">
        <v>10</v>
      </c>
      <c r="F34" s="16" t="s">
        <v>10</v>
      </c>
      <c r="G34" s="1" t="s">
        <v>10</v>
      </c>
      <c r="H34" s="1" t="s">
        <v>10</v>
      </c>
      <c r="I34" s="1" t="s">
        <v>31</v>
      </c>
      <c r="J34" s="1" t="str">
        <f t="shared" si="1"/>
        <v>// Set flag  FLAG_ENDPMT</v>
      </c>
      <c r="K34" s="8"/>
      <c r="L34" s="8" t="str">
        <f>IF(NOT(C34="xxx"),C34,IF(NOT(D34="xxx"),D34,IF(NOT(E34="xxx"),E34,IF(NOT(F34="xxx"),F34,IF(NOT(G34="xxx"),G34,IF(NOT(H34="xxx"),H34,IF(NOT(I34="xxx"),I34)))))))</f>
        <v>FLAG_ENDPMT</v>
      </c>
      <c r="N34" s="6" t="str">
        <f t="shared" si="0"/>
        <v>3,                                   1,          FLAG_ENDPMT,                    xxx,             xxx,                  xxx,                    xxx,             xxx,             FLAG_ENDPMT,          // Set flag  FLAG_ENDPMT</v>
      </c>
    </row>
    <row r="35" spans="1:14" ht="15">
      <c r="A35" s="2" t="s">
        <v>32</v>
      </c>
      <c r="B35" s="2" t="s">
        <v>2</v>
      </c>
      <c r="C35" s="14" t="s">
        <v>3</v>
      </c>
      <c r="D35" s="2" t="s">
        <v>4</v>
      </c>
      <c r="E35" s="13" t="s">
        <v>5</v>
      </c>
      <c r="F35" s="15" t="s">
        <v>6</v>
      </c>
      <c r="G35" s="2" t="s">
        <v>7</v>
      </c>
      <c r="H35" s="2" t="s">
        <v>8</v>
      </c>
      <c r="I35" s="2" t="s">
        <v>9</v>
      </c>
      <c r="J35" s="2"/>
      <c r="K35" s="8"/>
      <c r="N35" s="6" t="str">
        <f t="shared" si="0"/>
        <v xml:space="preserve">//Setsetting,                        n/a,        Reset,                          HP35,            JM,                   RJ,                     C47,             DefltSB,         TVM,                  </v>
      </c>
    </row>
    <row r="36" spans="1:14" ht="15">
      <c r="A36" s="1">
        <v>2</v>
      </c>
      <c r="B36" s="1" t="s">
        <v>10</v>
      </c>
      <c r="C36" s="1" t="s">
        <v>10</v>
      </c>
      <c r="D36" s="1" t="s">
        <v>33</v>
      </c>
      <c r="E36" s="1" t="s">
        <v>34</v>
      </c>
      <c r="F36" s="16" t="s">
        <v>34</v>
      </c>
      <c r="G36" s="1" t="s">
        <v>34</v>
      </c>
      <c r="H36" s="1" t="s">
        <v>10</v>
      </c>
      <c r="I36" s="1" t="s">
        <v>10</v>
      </c>
      <c r="J36" s="1" t="s">
        <v>35</v>
      </c>
      <c r="K36" s="8"/>
      <c r="N36" s="6" t="str">
        <f t="shared" si="0"/>
        <v>2,                                   xxx,        xxx,                            SS_4,            SS_8,                 SS_8,                   SS_8,            xxx,             xxx,                  //SetSetting</v>
      </c>
    </row>
    <row r="37" spans="1:14" ht="15">
      <c r="A37" s="1">
        <v>2</v>
      </c>
      <c r="B37" s="1" t="s">
        <v>10</v>
      </c>
      <c r="C37" s="1" t="s">
        <v>10</v>
      </c>
      <c r="D37" s="1" t="s">
        <v>36</v>
      </c>
      <c r="E37" s="1" t="s">
        <v>37</v>
      </c>
      <c r="F37" s="16" t="s">
        <v>37</v>
      </c>
      <c r="G37" s="1" t="s">
        <v>37</v>
      </c>
      <c r="H37" s="1" t="s">
        <v>10</v>
      </c>
      <c r="I37" s="1" t="s">
        <v>10</v>
      </c>
      <c r="J37" s="1" t="s">
        <v>35</v>
      </c>
      <c r="K37" s="8"/>
      <c r="N37" s="6" t="str">
        <f t="shared" si="0"/>
        <v>2,                                   xxx,        xxx,                            ITM_CPXRES0,     ITM_CPXRES1,          ITM_CPXRES1,            ITM_CPXRES1,     xxx,             xxx,                  //SetSetting</v>
      </c>
    </row>
    <row r="38" spans="1:14" ht="15">
      <c r="A38" s="1">
        <v>2</v>
      </c>
      <c r="B38" s="1" t="s">
        <v>10</v>
      </c>
      <c r="C38" s="1" t="s">
        <v>10</v>
      </c>
      <c r="D38" s="1" t="s">
        <v>38</v>
      </c>
      <c r="E38" s="1" t="s">
        <v>39</v>
      </c>
      <c r="F38" s="16" t="s">
        <v>39</v>
      </c>
      <c r="G38" s="1" t="s">
        <v>39</v>
      </c>
      <c r="H38" s="1" t="s">
        <v>10</v>
      </c>
      <c r="I38" s="1" t="s">
        <v>10</v>
      </c>
      <c r="J38" s="1" t="s">
        <v>35</v>
      </c>
      <c r="K38" s="8"/>
      <c r="N38" s="6" t="str">
        <f t="shared" si="0"/>
        <v>2,                                   xxx,        xxx,                            ITM_SPCRES0,     ITM_SPCRES1,          ITM_SPCRES1,            ITM_SPCRES1,     xxx,             xxx,                  //SetSetting</v>
      </c>
    </row>
    <row r="39" spans="1:14" ht="15">
      <c r="A39" s="1">
        <v>2</v>
      </c>
      <c r="B39" s="1" t="s">
        <v>10</v>
      </c>
      <c r="C39" s="1" t="s">
        <v>10</v>
      </c>
      <c r="D39" s="1" t="s">
        <v>10</v>
      </c>
      <c r="E39" s="17" t="s">
        <v>40</v>
      </c>
      <c r="F39" s="16" t="s">
        <v>40</v>
      </c>
      <c r="G39" s="1" t="s">
        <v>10</v>
      </c>
      <c r="H39" s="1" t="s">
        <v>10</v>
      </c>
      <c r="I39" s="1" t="s">
        <v>10</v>
      </c>
      <c r="J39" s="1" t="s">
        <v>35</v>
      </c>
      <c r="K39" s="8"/>
      <c r="N39" s="6" t="str">
        <f t="shared" si="0"/>
        <v>2,                                   xxx,        xxx,                            xxx,             JC_IRFRAC,            JC_IRFRAC,              xxx,             xxx,             xxx,                  //SetSetting</v>
      </c>
    </row>
    <row r="40" spans="1:14" ht="15">
      <c r="A40" s="2" t="s">
        <v>41</v>
      </c>
      <c r="B40" s="2" t="s">
        <v>42</v>
      </c>
      <c r="C40" s="14" t="s">
        <v>3</v>
      </c>
      <c r="D40" s="2" t="s">
        <v>4</v>
      </c>
      <c r="E40" s="13" t="s">
        <v>5</v>
      </c>
      <c r="F40" s="15" t="s">
        <v>6</v>
      </c>
      <c r="G40" s="2" t="s">
        <v>7</v>
      </c>
      <c r="H40" s="2" t="s">
        <v>8</v>
      </c>
      <c r="I40" s="2" t="s">
        <v>9</v>
      </c>
      <c r="J40" s="2"/>
      <c r="K40" s="8"/>
      <c r="N40" s="6" t="str">
        <f t="shared" si="0"/>
        <v xml:space="preserve">//FLAG,                              set/clear,  Reset,                          HP35,            JM,                   RJ,                     C47,             DefltSB,         TVM,                  </v>
      </c>
    </row>
    <row r="41" spans="1:14" ht="15">
      <c r="A41" s="1">
        <v>3</v>
      </c>
      <c r="B41" s="1">
        <v>0</v>
      </c>
      <c r="C41" s="1" t="s">
        <v>43</v>
      </c>
      <c r="D41" s="1" t="s">
        <v>10</v>
      </c>
      <c r="E41" s="1" t="s">
        <v>10</v>
      </c>
      <c r="F41" s="16" t="s">
        <v>10</v>
      </c>
      <c r="G41" s="1" t="s">
        <v>10</v>
      </c>
      <c r="H41" s="1" t="s">
        <v>10</v>
      </c>
      <c r="I41" s="1" t="s">
        <v>10</v>
      </c>
      <c r="J41" s="1" t="str">
        <f t="shared" ref="J41:J89" si="2">IF(B41=0,"// Clear flag "&amp;L41,"// Set flag  "&amp;L41)</f>
        <v>// Clear flag FLAG_FRCYC</v>
      </c>
      <c r="K41" s="8"/>
      <c r="L41" s="8" t="str">
        <f t="shared" ref="L41:L70" si="3">IF(NOT(C41="xxx"),C41,IF(NOT(D41="xxx"),D41,IF(NOT(E41="xxx"),E41,IF(NOT(F41="xxx"),F41,IF(NOT(G41="xxx"),G41,IF(NOT(H41="xxx"),H41,IF(NOT(I41="xxx"),I41)))))))</f>
        <v>FLAG_FRCYC</v>
      </c>
      <c r="N41" s="6" t="str">
        <f t="shared" si="0"/>
        <v>3,                                   0,          FLAG_FRCYC,                     xxx,             xxx,                  xxx,                    xxx,             xxx,             xxx,                  // Clear flag FLAG_FRCYC</v>
      </c>
    </row>
    <row r="42" spans="1:14" ht="15">
      <c r="A42" s="1">
        <v>3</v>
      </c>
      <c r="B42" s="1">
        <v>1</v>
      </c>
      <c r="C42" s="1" t="s">
        <v>44</v>
      </c>
      <c r="D42" s="1" t="s">
        <v>10</v>
      </c>
      <c r="E42" s="1" t="s">
        <v>10</v>
      </c>
      <c r="F42" s="16" t="s">
        <v>10</v>
      </c>
      <c r="G42" s="1" t="s">
        <v>10</v>
      </c>
      <c r="H42" s="1" t="s">
        <v>10</v>
      </c>
      <c r="I42" s="1" t="s">
        <v>10</v>
      </c>
      <c r="J42" s="1" t="str">
        <f t="shared" si="2"/>
        <v>// Set flag  FLAG_MONIT</v>
      </c>
      <c r="K42" s="8"/>
      <c r="L42" s="8" t="str">
        <f t="shared" si="3"/>
        <v>FLAG_MONIT</v>
      </c>
      <c r="N42" s="6" t="str">
        <f t="shared" si="0"/>
        <v>3,                                   1,          FLAG_MONIT,                     xxx,             xxx,                  xxx,                    xxx,             xxx,             xxx,                  // Set flag  FLAG_MONIT</v>
      </c>
    </row>
    <row r="43" spans="1:14" ht="15">
      <c r="A43" s="1">
        <v>3</v>
      </c>
      <c r="B43" s="1">
        <v>0</v>
      </c>
      <c r="C43" s="1" t="s">
        <v>10</v>
      </c>
      <c r="D43" s="1" t="s">
        <v>10</v>
      </c>
      <c r="E43" s="1" t="s">
        <v>45</v>
      </c>
      <c r="F43" s="16" t="s">
        <v>45</v>
      </c>
      <c r="G43" s="1" t="s">
        <v>10</v>
      </c>
      <c r="H43" s="1" t="s">
        <v>10</v>
      </c>
      <c r="I43" s="1" t="s">
        <v>10</v>
      </c>
      <c r="J43" s="1" t="str">
        <f t="shared" si="2"/>
        <v>// Clear flag FLAG_HPCONV</v>
      </c>
      <c r="K43" s="8"/>
      <c r="L43" s="8" t="str">
        <f t="shared" si="3"/>
        <v>FLAG_HPCONV</v>
      </c>
      <c r="N43" s="6" t="str">
        <f t="shared" si="0"/>
        <v>3,                                   0,          xxx,                            xxx,             FLAG_HPCONV,          FLAG_HPCONV,            xxx,             xxx,             xxx,                  // Clear flag FLAG_HPCONV</v>
      </c>
    </row>
    <row r="44" spans="1:14" ht="15">
      <c r="A44" s="1">
        <v>3</v>
      </c>
      <c r="B44" s="1">
        <v>1</v>
      </c>
      <c r="C44" s="1" t="s">
        <v>45</v>
      </c>
      <c r="D44" s="1" t="s">
        <v>10</v>
      </c>
      <c r="E44" s="1" t="s">
        <v>10</v>
      </c>
      <c r="F44" s="16" t="s">
        <v>10</v>
      </c>
      <c r="G44" s="1" t="s">
        <v>10</v>
      </c>
      <c r="H44" s="1" t="s">
        <v>10</v>
      </c>
      <c r="I44" s="1" t="s">
        <v>10</v>
      </c>
      <c r="J44" s="1" t="str">
        <f t="shared" si="2"/>
        <v>// Set flag  FLAG_HPCONV</v>
      </c>
      <c r="K44" s="8"/>
      <c r="L44" s="8" t="str">
        <f t="shared" si="3"/>
        <v>FLAG_HPCONV</v>
      </c>
      <c r="N44" s="6" t="str">
        <f t="shared" si="0"/>
        <v>3,                                   1,          FLAG_HPCONV,                    xxx,             xxx,                  xxx,                    xxx,             xxx,             xxx,                  // Set flag  FLAG_HPCONV</v>
      </c>
    </row>
    <row r="45" spans="1:14" ht="15">
      <c r="A45" s="1">
        <v>3</v>
      </c>
      <c r="B45" s="1">
        <v>1</v>
      </c>
      <c r="C45" s="1" t="s">
        <v>46</v>
      </c>
      <c r="D45" s="1" t="s">
        <v>10</v>
      </c>
      <c r="E45" s="1" t="s">
        <v>46</v>
      </c>
      <c r="F45" s="16" t="s">
        <v>46</v>
      </c>
      <c r="G45" s="1" t="s">
        <v>10</v>
      </c>
      <c r="H45" s="1" t="s">
        <v>10</v>
      </c>
      <c r="I45" s="1" t="s">
        <v>10</v>
      </c>
      <c r="J45" s="1" t="str">
        <f t="shared" si="2"/>
        <v>// Set flag  FLAG_SH_LONGPRESS</v>
      </c>
      <c r="K45" s="8"/>
      <c r="L45" s="8" t="str">
        <f t="shared" si="3"/>
        <v>FLAG_SH_LONGPRESS</v>
      </c>
      <c r="N45" s="6" t="str">
        <f t="shared" si="0"/>
        <v>3,                                   1,          FLAG_SH_LONGPRESS,              xxx,             FLAG_SH_LONGPRESS,    FLAG_SH_LONGPRESS,      xxx,             xxx,             xxx,                  // Set flag  FLAG_SH_LONGPRESS</v>
      </c>
    </row>
    <row r="46" spans="1:14" ht="15">
      <c r="A46" s="1">
        <v>3</v>
      </c>
      <c r="B46" s="1">
        <v>0</v>
      </c>
      <c r="C46" s="1" t="s">
        <v>10</v>
      </c>
      <c r="D46" s="1" t="s">
        <v>10</v>
      </c>
      <c r="E46" s="1" t="s">
        <v>47</v>
      </c>
      <c r="F46" s="16" t="s">
        <v>47</v>
      </c>
      <c r="G46" s="1" t="s">
        <v>10</v>
      </c>
      <c r="H46" s="1" t="s">
        <v>10</v>
      </c>
      <c r="I46" s="1" t="s">
        <v>10</v>
      </c>
      <c r="J46" s="1" t="str">
        <f t="shared" si="2"/>
        <v>// Clear flag FLAG_USER</v>
      </c>
      <c r="K46" s="8"/>
      <c r="L46" s="8" t="str">
        <f t="shared" si="3"/>
        <v>FLAG_USER</v>
      </c>
      <c r="N46" s="6" t="str">
        <f t="shared" si="0"/>
        <v>3,                                   0,          xxx,                            xxx,             FLAG_USER,            FLAG_USER,              xxx,             xxx,             xxx,                  // Clear flag FLAG_USER</v>
      </c>
    </row>
    <row r="47" spans="1:14" ht="15">
      <c r="A47" s="1">
        <v>3</v>
      </c>
      <c r="B47" s="1">
        <v>1</v>
      </c>
      <c r="C47" s="1" t="s">
        <v>48</v>
      </c>
      <c r="D47" s="1" t="s">
        <v>10</v>
      </c>
      <c r="E47" s="1" t="s">
        <v>10</v>
      </c>
      <c r="F47" s="16" t="s">
        <v>10</v>
      </c>
      <c r="G47" s="1" t="s">
        <v>10</v>
      </c>
      <c r="H47" s="1" t="s">
        <v>48</v>
      </c>
      <c r="I47" s="1" t="s">
        <v>10</v>
      </c>
      <c r="J47" s="1" t="str">
        <f t="shared" si="2"/>
        <v>// Set flag  FLAG_SBdate</v>
      </c>
      <c r="K47" s="8"/>
      <c r="L47" s="8" t="str">
        <f t="shared" si="3"/>
        <v>FLAG_SBdate</v>
      </c>
      <c r="N47" s="6" t="str">
        <f t="shared" si="0"/>
        <v>3,                                   1,          FLAG_SBdate,                    xxx,             xxx,                  xxx,                    xxx,             FLAG_SBdate,     xxx,                  // Set flag  FLAG_SBdate</v>
      </c>
    </row>
    <row r="48" spans="1:14" ht="15">
      <c r="A48" s="1">
        <v>3</v>
      </c>
      <c r="B48" s="1">
        <v>0</v>
      </c>
      <c r="C48" s="1" t="s">
        <v>49</v>
      </c>
      <c r="D48" s="1" t="s">
        <v>10</v>
      </c>
      <c r="E48" s="17" t="s">
        <v>49</v>
      </c>
      <c r="F48" s="16" t="s">
        <v>10</v>
      </c>
      <c r="G48" s="1" t="s">
        <v>10</v>
      </c>
      <c r="H48" s="1" t="s">
        <v>49</v>
      </c>
      <c r="I48" s="1" t="s">
        <v>10</v>
      </c>
      <c r="J48" s="1" t="str">
        <f t="shared" si="2"/>
        <v>// Clear flag FLAG_SBtime</v>
      </c>
      <c r="K48" s="8"/>
      <c r="L48" s="8" t="str">
        <f t="shared" si="3"/>
        <v>FLAG_SBtime</v>
      </c>
      <c r="N48" s="6" t="str">
        <f t="shared" si="0"/>
        <v>3,                                   0,          FLAG_SBtime,                    xxx,             FLAG_SBtime,          xxx,                    xxx,             FLAG_SBtime,     xxx,                  // Clear flag FLAG_SBtime</v>
      </c>
    </row>
    <row r="49" spans="1:14" ht="15">
      <c r="A49" s="1">
        <v>3</v>
      </c>
      <c r="B49" s="1">
        <v>0</v>
      </c>
      <c r="C49" s="1" t="s">
        <v>50</v>
      </c>
      <c r="D49" s="1" t="s">
        <v>10</v>
      </c>
      <c r="E49" s="1" t="s">
        <v>10</v>
      </c>
      <c r="F49" s="16" t="s">
        <v>10</v>
      </c>
      <c r="G49" s="1" t="s">
        <v>10</v>
      </c>
      <c r="H49" s="1" t="s">
        <v>50</v>
      </c>
      <c r="I49" s="1" t="s">
        <v>10</v>
      </c>
      <c r="J49" s="1" t="str">
        <f t="shared" si="2"/>
        <v>// Clear flag FLAG_SBcr</v>
      </c>
      <c r="K49" s="8"/>
      <c r="L49" s="8" t="str">
        <f t="shared" si="3"/>
        <v>FLAG_SBcr</v>
      </c>
      <c r="N49" s="6" t="str">
        <f t="shared" si="0"/>
        <v>3,                                   0,          FLAG_SBcr,                      xxx,             xxx,                  xxx,                    xxx,             FLAG_SBcr,       xxx,                  // Clear flag FLAG_SBcr</v>
      </c>
    </row>
    <row r="50" spans="1:14" ht="15">
      <c r="A50" s="1">
        <v>3</v>
      </c>
      <c r="B50" s="1">
        <v>1</v>
      </c>
      <c r="C50" s="1" t="s">
        <v>10</v>
      </c>
      <c r="D50" s="1" t="s">
        <v>10</v>
      </c>
      <c r="E50" s="1" t="s">
        <v>10</v>
      </c>
      <c r="F50" s="16" t="s">
        <v>50</v>
      </c>
      <c r="G50" s="1" t="s">
        <v>10</v>
      </c>
      <c r="H50" s="1" t="s">
        <v>10</v>
      </c>
      <c r="I50" s="1" t="s">
        <v>10</v>
      </c>
      <c r="J50" s="1" t="str">
        <f t="shared" si="2"/>
        <v>// Set flag  FLAG_SBcr</v>
      </c>
      <c r="K50" s="8"/>
      <c r="L50" s="8" t="str">
        <f t="shared" si="3"/>
        <v>FLAG_SBcr</v>
      </c>
      <c r="N50" s="6" t="str">
        <f t="shared" si="0"/>
        <v>3,                                   1,          xxx,                            xxx,             xxx,                  FLAG_SBcr,              xxx,             xxx,             xxx,                  // Set flag  FLAG_SBcr</v>
      </c>
    </row>
    <row r="51" spans="1:14" ht="15">
      <c r="A51" s="1">
        <v>3</v>
      </c>
      <c r="B51" s="1">
        <v>1</v>
      </c>
      <c r="C51" s="1" t="s">
        <v>51</v>
      </c>
      <c r="D51" s="1" t="s">
        <v>10</v>
      </c>
      <c r="E51" s="1" t="s">
        <v>10</v>
      </c>
      <c r="F51" s="16" t="s">
        <v>10</v>
      </c>
      <c r="G51" s="1" t="s">
        <v>10</v>
      </c>
      <c r="H51" s="1" t="s">
        <v>51</v>
      </c>
      <c r="I51" s="1" t="s">
        <v>10</v>
      </c>
      <c r="J51" s="1" t="str">
        <f t="shared" si="2"/>
        <v>// Set flag  FLAG_SBcpx</v>
      </c>
      <c r="K51" s="8"/>
      <c r="L51" s="8" t="str">
        <f t="shared" si="3"/>
        <v>FLAG_SBcpx</v>
      </c>
      <c r="N51" s="6" t="str">
        <f t="shared" si="0"/>
        <v>3,                                   1,          FLAG_SBcpx,                     xxx,             xxx,                  xxx,                    xxx,             FLAG_SBcpx,      xxx,                  // Set flag  FLAG_SBcpx</v>
      </c>
    </row>
    <row r="52" spans="1:14" ht="15">
      <c r="A52" s="1">
        <v>3</v>
      </c>
      <c r="B52" s="1">
        <v>0</v>
      </c>
      <c r="C52" s="1" t="s">
        <v>52</v>
      </c>
      <c r="D52" s="1" t="s">
        <v>10</v>
      </c>
      <c r="E52" s="1" t="s">
        <v>10</v>
      </c>
      <c r="F52" s="16" t="s">
        <v>10</v>
      </c>
      <c r="G52" s="1" t="s">
        <v>10</v>
      </c>
      <c r="H52" s="1" t="s">
        <v>52</v>
      </c>
      <c r="I52" s="1" t="s">
        <v>10</v>
      </c>
      <c r="J52" s="1" t="str">
        <f t="shared" si="2"/>
        <v>// Clear flag FLAG_SBang</v>
      </c>
      <c r="K52" s="8"/>
      <c r="L52" s="8" t="str">
        <f t="shared" si="3"/>
        <v>FLAG_SBang</v>
      </c>
      <c r="N52" s="6" t="str">
        <f t="shared" si="0"/>
        <v>3,                                   0,          FLAG_SBang,                     xxx,             xxx,                  xxx,                    xxx,             FLAG_SBang,      xxx,                  // Clear flag FLAG_SBang</v>
      </c>
    </row>
    <row r="53" spans="1:14" ht="15">
      <c r="A53" s="1">
        <v>3</v>
      </c>
      <c r="B53" s="1">
        <v>1</v>
      </c>
      <c r="C53" s="1" t="s">
        <v>53</v>
      </c>
      <c r="D53" s="1" t="s">
        <v>10</v>
      </c>
      <c r="E53" s="1" t="s">
        <v>10</v>
      </c>
      <c r="F53" s="16" t="s">
        <v>10</v>
      </c>
      <c r="G53" s="1" t="s">
        <v>10</v>
      </c>
      <c r="H53" s="1" t="s">
        <v>53</v>
      </c>
      <c r="I53" s="1" t="s">
        <v>10</v>
      </c>
      <c r="J53" s="1" t="str">
        <f t="shared" si="2"/>
        <v>// Set flag  FLAG_SBfrac</v>
      </c>
      <c r="K53" s="8"/>
      <c r="L53" s="8" t="str">
        <f t="shared" si="3"/>
        <v>FLAG_SBfrac</v>
      </c>
      <c r="N53" s="6" t="str">
        <f t="shared" si="0"/>
        <v>3,                                   1,          FLAG_SBfrac,                    xxx,             xxx,                  xxx,                    xxx,             FLAG_SBfrac,     xxx,                  // Set flag  FLAG_SBfrac</v>
      </c>
    </row>
    <row r="54" spans="1:14" ht="15">
      <c r="A54" s="1">
        <v>3</v>
      </c>
      <c r="B54" s="1">
        <v>1</v>
      </c>
      <c r="C54" s="1" t="s">
        <v>54</v>
      </c>
      <c r="D54" s="1" t="s">
        <v>10</v>
      </c>
      <c r="E54" s="1" t="s">
        <v>10</v>
      </c>
      <c r="F54" s="16" t="s">
        <v>10</v>
      </c>
      <c r="G54" s="1" t="s">
        <v>10</v>
      </c>
      <c r="H54" s="1" t="s">
        <v>54</v>
      </c>
      <c r="I54" s="1" t="s">
        <v>10</v>
      </c>
      <c r="J54" s="1" t="str">
        <f t="shared" si="2"/>
        <v>// Set flag  FLAG_SBint</v>
      </c>
      <c r="K54" s="8"/>
      <c r="L54" s="8" t="str">
        <f t="shared" si="3"/>
        <v>FLAG_SBint</v>
      </c>
      <c r="N54" s="6" t="str">
        <f t="shared" si="0"/>
        <v>3,                                   1,          FLAG_SBint,                     xxx,             xxx,                  xxx,                    xxx,             FLAG_SBint,      xxx,                  // Set flag  FLAG_SBint</v>
      </c>
    </row>
    <row r="55" spans="1:14" ht="15">
      <c r="A55" s="1">
        <v>3</v>
      </c>
      <c r="B55" s="1">
        <v>0</v>
      </c>
      <c r="C55" s="1" t="s">
        <v>10</v>
      </c>
      <c r="D55" s="1" t="s">
        <v>10</v>
      </c>
      <c r="E55" s="1" t="s">
        <v>10</v>
      </c>
      <c r="F55" s="16" t="s">
        <v>54</v>
      </c>
      <c r="G55" s="1" t="s">
        <v>10</v>
      </c>
      <c r="H55" s="1" t="s">
        <v>10</v>
      </c>
      <c r="I55" s="1" t="s">
        <v>10</v>
      </c>
      <c r="J55" s="1" t="str">
        <f t="shared" si="2"/>
        <v>// Clear flag FLAG_SBint</v>
      </c>
      <c r="K55" s="8"/>
      <c r="L55" s="8" t="str">
        <f t="shared" si="3"/>
        <v>FLAG_SBint</v>
      </c>
      <c r="N55" s="6" t="str">
        <f t="shared" si="0"/>
        <v>3,                                   0,          xxx,                            xxx,             xxx,                  FLAG_SBint,             xxx,             xxx,             xxx,                  // Clear flag FLAG_SBint</v>
      </c>
    </row>
    <row r="56" spans="1:14" ht="15">
      <c r="A56" s="1">
        <v>3</v>
      </c>
      <c r="B56" s="1">
        <v>0</v>
      </c>
      <c r="C56" s="1" t="s">
        <v>55</v>
      </c>
      <c r="D56" s="1" t="s">
        <v>10</v>
      </c>
      <c r="E56" s="1" t="s">
        <v>10</v>
      </c>
      <c r="F56" s="16" t="s">
        <v>10</v>
      </c>
      <c r="G56" s="1" t="s">
        <v>10</v>
      </c>
      <c r="H56" s="1" t="s">
        <v>55</v>
      </c>
      <c r="I56" s="1" t="s">
        <v>10</v>
      </c>
      <c r="J56" s="1" t="str">
        <f t="shared" si="2"/>
        <v>// Clear flag FLAG_SBmx</v>
      </c>
      <c r="K56" s="8"/>
      <c r="L56" s="8" t="str">
        <f t="shared" si="3"/>
        <v>FLAG_SBmx</v>
      </c>
      <c r="N56" s="6" t="str">
        <f t="shared" si="0"/>
        <v>3,                                   0,          FLAG_SBmx,                      xxx,             xxx,                  xxx,                    xxx,             FLAG_SBmx,       xxx,                  // Clear flag FLAG_SBmx</v>
      </c>
    </row>
    <row r="57" spans="1:14" ht="15">
      <c r="A57" s="1">
        <v>3</v>
      </c>
      <c r="B57" s="1">
        <v>1</v>
      </c>
      <c r="C57" s="1" t="s">
        <v>10</v>
      </c>
      <c r="D57" s="1" t="s">
        <v>10</v>
      </c>
      <c r="E57" s="1" t="s">
        <v>10</v>
      </c>
      <c r="F57" s="16" t="s">
        <v>55</v>
      </c>
      <c r="G57" s="1" t="s">
        <v>10</v>
      </c>
      <c r="H57" s="1" t="s">
        <v>10</v>
      </c>
      <c r="I57" s="1" t="s">
        <v>10</v>
      </c>
      <c r="J57" s="1" t="str">
        <f t="shared" si="2"/>
        <v>// Set flag  FLAG_SBmx</v>
      </c>
      <c r="K57" s="8"/>
      <c r="L57" s="8" t="str">
        <f t="shared" si="3"/>
        <v>FLAG_SBmx</v>
      </c>
      <c r="N57" s="6" t="str">
        <f t="shared" si="0"/>
        <v>3,                                   1,          xxx,                            xxx,             xxx,                  FLAG_SBmx,              xxx,             xxx,             xxx,                  // Set flag  FLAG_SBmx</v>
      </c>
    </row>
    <row r="58" spans="1:14" ht="15">
      <c r="A58" s="1">
        <v>3</v>
      </c>
      <c r="B58" s="1">
        <v>1</v>
      </c>
      <c r="C58" s="1" t="s">
        <v>56</v>
      </c>
      <c r="D58" s="1" t="s">
        <v>10</v>
      </c>
      <c r="E58" s="1" t="s">
        <v>10</v>
      </c>
      <c r="F58" s="16" t="s">
        <v>10</v>
      </c>
      <c r="G58" s="1" t="s">
        <v>10</v>
      </c>
      <c r="H58" s="1" t="s">
        <v>56</v>
      </c>
      <c r="I58" s="1" t="s">
        <v>10</v>
      </c>
      <c r="J58" s="1" t="str">
        <f t="shared" si="2"/>
        <v>// Set flag  FLAG_SBtvm</v>
      </c>
      <c r="K58" s="8"/>
      <c r="L58" s="8" t="str">
        <f t="shared" si="3"/>
        <v>FLAG_SBtvm</v>
      </c>
      <c r="N58" s="6" t="str">
        <f t="shared" si="0"/>
        <v>3,                                   1,          FLAG_SBtvm,                     xxx,             xxx,                  xxx,                    xxx,             FLAG_SBtvm,      xxx,                  // Set flag  FLAG_SBtvm</v>
      </c>
    </row>
    <row r="59" spans="1:14" ht="15">
      <c r="A59" s="1">
        <v>3</v>
      </c>
      <c r="B59" s="1">
        <v>1</v>
      </c>
      <c r="C59" s="1" t="s">
        <v>57</v>
      </c>
      <c r="D59" s="1" t="s">
        <v>10</v>
      </c>
      <c r="E59" s="1" t="s">
        <v>10</v>
      </c>
      <c r="F59" s="16" t="s">
        <v>10</v>
      </c>
      <c r="G59" s="1" t="s">
        <v>10</v>
      </c>
      <c r="H59" s="1" t="s">
        <v>57</v>
      </c>
      <c r="I59" s="1" t="s">
        <v>10</v>
      </c>
      <c r="J59" s="1" t="str">
        <f t="shared" si="2"/>
        <v>// Set flag  FLAG_SBoc</v>
      </c>
      <c r="K59" s="8"/>
      <c r="L59" s="8" t="str">
        <f t="shared" si="3"/>
        <v>FLAG_SBoc</v>
      </c>
      <c r="N59" s="6" t="str">
        <f t="shared" si="0"/>
        <v>3,                                   1,          FLAG_SBoc,                      xxx,             xxx,                  xxx,                    xxx,             FLAG_SBoc,       xxx,                  // Set flag  FLAG_SBoc</v>
      </c>
    </row>
    <row r="60" spans="1:14" ht="15">
      <c r="A60" s="1">
        <v>3</v>
      </c>
      <c r="B60" s="1">
        <v>0</v>
      </c>
      <c r="C60" s="1" t="s">
        <v>58</v>
      </c>
      <c r="D60" s="1" t="s">
        <v>10</v>
      </c>
      <c r="E60" s="1" t="s">
        <v>10</v>
      </c>
      <c r="F60" s="16" t="s">
        <v>10</v>
      </c>
      <c r="G60" s="1" t="s">
        <v>10</v>
      </c>
      <c r="H60" s="1" t="s">
        <v>58</v>
      </c>
      <c r="I60" s="1" t="s">
        <v>10</v>
      </c>
      <c r="J60" s="1" t="str">
        <f t="shared" si="2"/>
        <v>// Clear flag FLAG_SBss</v>
      </c>
      <c r="K60" s="8"/>
      <c r="L60" s="8" t="str">
        <f t="shared" si="3"/>
        <v>FLAG_SBss</v>
      </c>
      <c r="N60" s="6" t="str">
        <f t="shared" si="0"/>
        <v>3,                                   0,          FLAG_SBss,                      xxx,             xxx,                  xxx,                    xxx,             FLAG_SBss,       xxx,                  // Clear flag FLAG_SBss</v>
      </c>
    </row>
    <row r="61" spans="1:14" ht="15">
      <c r="A61" s="1">
        <v>3</v>
      </c>
      <c r="B61" s="1">
        <v>1</v>
      </c>
      <c r="C61" s="1" t="s">
        <v>59</v>
      </c>
      <c r="D61" s="1" t="s">
        <v>10</v>
      </c>
      <c r="E61" s="1" t="s">
        <v>10</v>
      </c>
      <c r="F61" s="16" t="s">
        <v>10</v>
      </c>
      <c r="G61" s="1" t="s">
        <v>10</v>
      </c>
      <c r="H61" s="1" t="s">
        <v>59</v>
      </c>
      <c r="I61" s="1" t="s">
        <v>10</v>
      </c>
      <c r="J61" s="1" t="str">
        <f t="shared" si="2"/>
        <v>// Set flag  FLAG_SBclk</v>
      </c>
      <c r="K61" s="8"/>
      <c r="L61" s="8" t="str">
        <f t="shared" si="3"/>
        <v>FLAG_SBclk</v>
      </c>
      <c r="N61" s="6" t="str">
        <f t="shared" si="0"/>
        <v>3,                                   1,          FLAG_SBclk,                     xxx,             xxx,                  xxx,                    xxx,             FLAG_SBclk,      xxx,                  // Set flag  FLAG_SBclk</v>
      </c>
    </row>
    <row r="62" spans="1:14" ht="15">
      <c r="A62" s="1">
        <v>3</v>
      </c>
      <c r="B62" s="1">
        <v>0</v>
      </c>
      <c r="C62" s="1" t="s">
        <v>10</v>
      </c>
      <c r="D62" s="1" t="s">
        <v>10</v>
      </c>
      <c r="E62" s="1" t="s">
        <v>10</v>
      </c>
      <c r="F62" s="16" t="s">
        <v>59</v>
      </c>
      <c r="G62" s="1" t="s">
        <v>10</v>
      </c>
      <c r="H62" s="1" t="s">
        <v>10</v>
      </c>
      <c r="I62" s="1" t="s">
        <v>10</v>
      </c>
      <c r="J62" s="1" t="str">
        <f t="shared" si="2"/>
        <v>// Clear flag FLAG_SBclk</v>
      </c>
      <c r="K62" s="8"/>
      <c r="L62" s="8" t="str">
        <f t="shared" si="3"/>
        <v>FLAG_SBclk</v>
      </c>
      <c r="N62" s="6" t="str">
        <f t="shared" si="0"/>
        <v>3,                                   0,          xxx,                            xxx,             xxx,                  FLAG_SBclk,             xxx,             xxx,             xxx,                  // Clear flag FLAG_SBclk</v>
      </c>
    </row>
    <row r="63" spans="1:14" ht="15">
      <c r="A63" s="1">
        <v>3</v>
      </c>
      <c r="B63" s="1">
        <v>1</v>
      </c>
      <c r="C63" s="1" t="s">
        <v>60</v>
      </c>
      <c r="D63" s="1" t="s">
        <v>10</v>
      </c>
      <c r="E63" s="1" t="s">
        <v>10</v>
      </c>
      <c r="F63" s="16" t="s">
        <v>10</v>
      </c>
      <c r="G63" s="1" t="s">
        <v>10</v>
      </c>
      <c r="H63" s="1" t="s">
        <v>60</v>
      </c>
      <c r="I63" s="1" t="s">
        <v>10</v>
      </c>
      <c r="J63" s="1" t="str">
        <f t="shared" si="2"/>
        <v>// Set flag  FLAG_SBser</v>
      </c>
      <c r="K63" s="8"/>
      <c r="L63" s="8" t="str">
        <f t="shared" si="3"/>
        <v>FLAG_SBser</v>
      </c>
      <c r="N63" s="6" t="str">
        <f t="shared" si="0"/>
        <v>3,                                   1,          FLAG_SBser,                     xxx,             xxx,                  xxx,                    xxx,             FLAG_SBser,      xxx,                  // Set flag  FLAG_SBser</v>
      </c>
    </row>
    <row r="64" spans="1:14" ht="15">
      <c r="A64" s="1">
        <v>3</v>
      </c>
      <c r="B64" s="1">
        <v>1</v>
      </c>
      <c r="C64" s="1" t="s">
        <v>61</v>
      </c>
      <c r="D64" s="1" t="s">
        <v>10</v>
      </c>
      <c r="E64" s="1" t="s">
        <v>10</v>
      </c>
      <c r="F64" s="16" t="s">
        <v>10</v>
      </c>
      <c r="G64" s="1" t="s">
        <v>10</v>
      </c>
      <c r="H64" s="1" t="s">
        <v>61</v>
      </c>
      <c r="I64" s="1" t="s">
        <v>10</v>
      </c>
      <c r="J64" s="1" t="str">
        <f t="shared" si="2"/>
        <v>// Set flag  FLAG_SBprn</v>
      </c>
      <c r="K64" s="8"/>
      <c r="L64" s="8" t="str">
        <f t="shared" si="3"/>
        <v>FLAG_SBprn</v>
      </c>
      <c r="N64" s="6" t="str">
        <f t="shared" si="0"/>
        <v>3,                                   1,          FLAG_SBprn,                     xxx,             xxx,                  xxx,                    xxx,             FLAG_SBprn,      xxx,                  // Set flag  FLAG_SBprn</v>
      </c>
    </row>
    <row r="65" spans="1:14" ht="15">
      <c r="A65" s="1">
        <v>3</v>
      </c>
      <c r="B65" s="1">
        <v>0</v>
      </c>
      <c r="C65" s="1" t="s">
        <v>62</v>
      </c>
      <c r="D65" s="1" t="s">
        <v>10</v>
      </c>
      <c r="E65" s="1" t="s">
        <v>10</v>
      </c>
      <c r="F65" s="16" t="s">
        <v>10</v>
      </c>
      <c r="G65" s="1" t="s">
        <v>10</v>
      </c>
      <c r="H65" s="1" t="s">
        <v>62</v>
      </c>
      <c r="I65" s="1" t="s">
        <v>10</v>
      </c>
      <c r="J65" s="1" t="str">
        <f t="shared" si="2"/>
        <v>// Clear flag FLAG_SBbatV</v>
      </c>
      <c r="K65" s="8"/>
      <c r="L65" s="8" t="str">
        <f t="shared" si="3"/>
        <v>FLAG_SBbatV</v>
      </c>
      <c r="N65" s="6" t="str">
        <f t="shared" si="0"/>
        <v>3,                                   0,          FLAG_SBbatV,                    xxx,             xxx,                  xxx,                    xxx,             FLAG_SBbatV,     xxx,                  // Clear flag FLAG_SBbatV</v>
      </c>
    </row>
    <row r="66" spans="1:14" ht="15">
      <c r="A66" s="1">
        <v>3</v>
      </c>
      <c r="B66" s="1">
        <v>1</v>
      </c>
      <c r="C66" s="1" t="s">
        <v>10</v>
      </c>
      <c r="D66" s="1" t="s">
        <v>10</v>
      </c>
      <c r="E66" s="1" t="s">
        <v>62</v>
      </c>
      <c r="F66" s="16" t="s">
        <v>62</v>
      </c>
      <c r="G66" s="1" t="s">
        <v>10</v>
      </c>
      <c r="H66" s="1" t="s">
        <v>10</v>
      </c>
      <c r="I66" s="1" t="s">
        <v>10</v>
      </c>
      <c r="J66" s="1" t="str">
        <f t="shared" si="2"/>
        <v>// Set flag  FLAG_SBbatV</v>
      </c>
      <c r="K66" s="8"/>
      <c r="L66" s="8" t="str">
        <f t="shared" si="3"/>
        <v>FLAG_SBbatV</v>
      </c>
      <c r="N66" s="6" t="str">
        <f t="shared" si="0"/>
        <v>3,                                   1,          xxx,                            xxx,             FLAG_SBbatV,          FLAG_SBbatV,            xxx,             xxx,             xxx,                  // Set flag  FLAG_SBbatV</v>
      </c>
    </row>
    <row r="67" spans="1:14" ht="15">
      <c r="A67" s="1">
        <v>3</v>
      </c>
      <c r="B67" s="1">
        <v>0</v>
      </c>
      <c r="C67" s="1" t="s">
        <v>63</v>
      </c>
      <c r="D67" s="1" t="s">
        <v>10</v>
      </c>
      <c r="E67" s="1" t="s">
        <v>10</v>
      </c>
      <c r="F67" s="16" t="s">
        <v>10</v>
      </c>
      <c r="G67" s="1" t="s">
        <v>10</v>
      </c>
      <c r="H67" s="1" t="s">
        <v>63</v>
      </c>
      <c r="I67" s="1" t="s">
        <v>10</v>
      </c>
      <c r="J67" s="1" t="str">
        <f t="shared" si="2"/>
        <v>// Clear flag FLAG_SBshfR</v>
      </c>
      <c r="K67" s="8"/>
      <c r="L67" s="8" t="str">
        <f t="shared" si="3"/>
        <v>FLAG_SBshfR</v>
      </c>
      <c r="N67" s="6" t="str">
        <f t="shared" si="0"/>
        <v>3,                                   0,          FLAG_SBshfR,                    xxx,             xxx,                  xxx,                    xxx,             FLAG_SBshfR,     xxx,                  // Clear flag FLAG_SBshfR</v>
      </c>
    </row>
    <row r="68" spans="1:14" ht="15">
      <c r="A68" s="1">
        <v>3</v>
      </c>
      <c r="B68" s="1">
        <v>0</v>
      </c>
      <c r="C68" s="1" t="s">
        <v>64</v>
      </c>
      <c r="D68" s="1" t="s">
        <v>10</v>
      </c>
      <c r="E68" s="1" t="s">
        <v>10</v>
      </c>
      <c r="F68" s="16" t="s">
        <v>10</v>
      </c>
      <c r="G68" s="1" t="s">
        <v>10</v>
      </c>
      <c r="H68" s="1" t="s">
        <v>10</v>
      </c>
      <c r="I68" s="1" t="s">
        <v>10</v>
      </c>
      <c r="J68" s="1" t="str">
        <f t="shared" si="2"/>
        <v>// Clear flag FLAG_FRACT</v>
      </c>
      <c r="K68" s="8"/>
      <c r="L68" s="8" t="str">
        <f t="shared" si="3"/>
        <v>FLAG_FRACT</v>
      </c>
      <c r="N68" s="6" t="str">
        <f t="shared" ref="N68:N94" si="4">A68&amp;", "&amp;REPT(" ",$A$1-LEN(A68))&amp;
B68&amp;", "&amp;REPT(" ",$B$1-LEN(B68))&amp;
C68&amp;", "&amp;REPT(" ",$C$1-LEN(C68))&amp;
D68&amp;", "&amp;REPT(" ",$D$1-LEN(D68))&amp;
E68&amp;", "&amp;REPT(" ",$E$1-LEN(E68))&amp;
F68&amp;", "&amp;REPT(" ",$F$1-LEN(F68))&amp;
G68&amp;", "&amp;REPT(" ",$G$1-LEN(G68))&amp;
H68&amp;", "&amp;REPT(" ",$H$1-LEN(H68))&amp;
I68&amp;", "&amp;REPT(" ",$I$1-LEN(I68))&amp;
J68</f>
        <v>3,                                   0,          FLAG_FRACT,                     xxx,             xxx,                  xxx,                    xxx,             xxx,             xxx,                  // Clear flag FLAG_FRACT</v>
      </c>
    </row>
    <row r="69" spans="1:14" ht="15">
      <c r="A69" s="1">
        <v>3</v>
      </c>
      <c r="B69" s="1">
        <v>1</v>
      </c>
      <c r="C69" s="1" t="s">
        <v>66</v>
      </c>
      <c r="D69" s="1" t="s">
        <v>10</v>
      </c>
      <c r="E69" s="1" t="s">
        <v>10</v>
      </c>
      <c r="F69" s="16" t="s">
        <v>10</v>
      </c>
      <c r="G69" s="1" t="s">
        <v>10</v>
      </c>
      <c r="H69" s="1" t="s">
        <v>10</v>
      </c>
      <c r="I69" s="1" t="s">
        <v>10</v>
      </c>
      <c r="J69" s="1" t="str">
        <f t="shared" si="2"/>
        <v>// Set flag  FLAG_MULTx</v>
      </c>
      <c r="K69" s="8"/>
      <c r="L69" s="8" t="str">
        <f t="shared" si="3"/>
        <v>FLAG_MULTx</v>
      </c>
      <c r="N69" s="6" t="str">
        <f t="shared" si="4"/>
        <v>3,                                   1,          FLAG_MULTx,                     xxx,             xxx,                  xxx,                    xxx,             xxx,             xxx,                  // Set flag  FLAG_MULTx</v>
      </c>
    </row>
    <row r="70" spans="1:14" ht="15">
      <c r="A70" s="1">
        <v>3</v>
      </c>
      <c r="B70" s="1">
        <v>1</v>
      </c>
      <c r="C70" s="1" t="s">
        <v>67</v>
      </c>
      <c r="D70" s="1" t="s">
        <v>10</v>
      </c>
      <c r="E70" s="1" t="s">
        <v>10</v>
      </c>
      <c r="F70" s="16" t="s">
        <v>10</v>
      </c>
      <c r="G70" s="1" t="s">
        <v>10</v>
      </c>
      <c r="H70" s="1" t="s">
        <v>10</v>
      </c>
      <c r="I70" s="1" t="s">
        <v>10</v>
      </c>
      <c r="J70" s="1" t="str">
        <f t="shared" si="2"/>
        <v>// Set flag  FLAG_AUTOFF</v>
      </c>
      <c r="K70" s="8"/>
      <c r="L70" s="8" t="str">
        <f t="shared" si="3"/>
        <v>FLAG_AUTOFF</v>
      </c>
      <c r="N70" s="6" t="str">
        <f t="shared" si="4"/>
        <v>3,                                   1,          FLAG_AUTOFF,                    xxx,             xxx,                  xxx,                    xxx,             xxx,             xxx,                  // Set flag  FLAG_AUTOFF</v>
      </c>
    </row>
    <row r="71" spans="1:14" ht="15">
      <c r="A71" s="1">
        <v>3</v>
      </c>
      <c r="B71" s="1">
        <v>1</v>
      </c>
      <c r="C71" s="1" t="s">
        <v>69</v>
      </c>
      <c r="D71" s="1" t="s">
        <v>10</v>
      </c>
      <c r="E71" s="1" t="s">
        <v>10</v>
      </c>
      <c r="F71" s="16" t="s">
        <v>10</v>
      </c>
      <c r="G71" s="1" t="s">
        <v>10</v>
      </c>
      <c r="H71" s="1" t="s">
        <v>10</v>
      </c>
      <c r="I71" s="1" t="s">
        <v>10</v>
      </c>
      <c r="J71" s="1" t="str">
        <f t="shared" si="2"/>
        <v>// Set flag  FLAG_PROPFR</v>
      </c>
      <c r="K71" s="8"/>
      <c r="L71" s="8" t="str">
        <f t="shared" ref="L71:L89" si="5">IF(NOT(C71="xxx"),C71,IF(NOT(D71="xxx"),D71,IF(NOT(E71="xxx"),E71,IF(NOT(F71="xxx"),F71,IF(NOT(G71="xxx"),G71,IF(NOT(H71="xxx"),H71,IF(NOT(I71="xxx"),I71)))))))</f>
        <v>FLAG_PROPFR</v>
      </c>
      <c r="N71" s="6" t="str">
        <f t="shared" si="4"/>
        <v>3,                                   1,          FLAG_PROPFR,                    xxx,             xxx,                  xxx,                    xxx,             xxx,             xxx,                  // Set flag  FLAG_PROPFR</v>
      </c>
    </row>
    <row r="72" spans="1:14" ht="15">
      <c r="A72" s="1">
        <v>3</v>
      </c>
      <c r="B72" s="1">
        <v>1</v>
      </c>
      <c r="C72" s="1" t="s">
        <v>31</v>
      </c>
      <c r="D72" s="1" t="s">
        <v>10</v>
      </c>
      <c r="E72" s="1" t="s">
        <v>10</v>
      </c>
      <c r="F72" s="16" t="s">
        <v>10</v>
      </c>
      <c r="G72" s="1" t="s">
        <v>10</v>
      </c>
      <c r="H72" s="1" t="s">
        <v>10</v>
      </c>
      <c r="I72" s="1" t="s">
        <v>10</v>
      </c>
      <c r="J72" s="1" t="str">
        <f t="shared" si="2"/>
        <v>// Set flag  FLAG_ENDPMT</v>
      </c>
      <c r="K72" s="8"/>
      <c r="L72" s="8" t="str">
        <f t="shared" si="5"/>
        <v>FLAG_ENDPMT</v>
      </c>
      <c r="N72" s="6" t="str">
        <f t="shared" si="4"/>
        <v>3,                                   1,          FLAG_ENDPMT,                    xxx,             xxx,                  xxx,                    xxx,             xxx,             xxx,                  // Set flag  FLAG_ENDPMT</v>
      </c>
    </row>
    <row r="73" spans="1:14" ht="15">
      <c r="A73" s="1">
        <v>3</v>
      </c>
      <c r="B73" s="1">
        <v>1</v>
      </c>
      <c r="C73" s="1" t="s">
        <v>70</v>
      </c>
      <c r="D73" s="1" t="s">
        <v>10</v>
      </c>
      <c r="E73" s="1" t="s">
        <v>10</v>
      </c>
      <c r="F73" s="16" t="s">
        <v>10</v>
      </c>
      <c r="G73" s="1" t="s">
        <v>10</v>
      </c>
      <c r="H73" s="1" t="s">
        <v>10</v>
      </c>
      <c r="I73" s="1" t="s">
        <v>10</v>
      </c>
      <c r="J73" s="1" t="str">
        <f t="shared" si="2"/>
        <v>// Set flag  FLAG_HPRP</v>
      </c>
      <c r="K73" s="8"/>
      <c r="L73" s="8" t="str">
        <f t="shared" si="5"/>
        <v>FLAG_HPRP</v>
      </c>
      <c r="N73" s="6" t="str">
        <f t="shared" si="4"/>
        <v>3,                                   1,          FLAG_HPRP,                      xxx,             xxx,                  xxx,                    xxx,             xxx,             xxx,                  // Set flag  FLAG_HPRP</v>
      </c>
    </row>
    <row r="74" spans="1:14" ht="15">
      <c r="A74" s="1">
        <v>3</v>
      </c>
      <c r="B74" s="1">
        <v>0</v>
      </c>
      <c r="C74" s="1" t="s">
        <v>10</v>
      </c>
      <c r="D74" s="1" t="s">
        <v>10</v>
      </c>
      <c r="E74" s="1" t="s">
        <v>70</v>
      </c>
      <c r="F74" s="16" t="s">
        <v>70</v>
      </c>
      <c r="G74" s="1" t="s">
        <v>10</v>
      </c>
      <c r="H74" s="1" t="s">
        <v>10</v>
      </c>
      <c r="I74" s="1" t="s">
        <v>10</v>
      </c>
      <c r="J74" s="1" t="str">
        <f t="shared" si="2"/>
        <v>// Clear flag FLAG_HPRP</v>
      </c>
      <c r="K74" s="8"/>
      <c r="L74" s="8" t="str">
        <f t="shared" si="5"/>
        <v>FLAG_HPRP</v>
      </c>
      <c r="N74" s="6" t="str">
        <f t="shared" si="4"/>
        <v>3,                                   0,          xxx,                            xxx,             FLAG_HPRP,            FLAG_HPRP,              xxx,             xxx,             xxx,                  // Clear flag FLAG_HPRP</v>
      </c>
    </row>
    <row r="75" spans="1:14" ht="15">
      <c r="A75" s="1">
        <v>3</v>
      </c>
      <c r="B75" s="1">
        <v>1</v>
      </c>
      <c r="C75" s="1" t="s">
        <v>71</v>
      </c>
      <c r="D75" s="1" t="s">
        <v>10</v>
      </c>
      <c r="E75" s="1" t="s">
        <v>71</v>
      </c>
      <c r="F75" s="16" t="s">
        <v>10</v>
      </c>
      <c r="G75" s="1" t="s">
        <v>10</v>
      </c>
      <c r="H75" s="1" t="s">
        <v>10</v>
      </c>
      <c r="I75" s="1" t="s">
        <v>10</v>
      </c>
      <c r="J75" s="1" t="str">
        <f t="shared" si="2"/>
        <v>// Set flag  FLAG_HPBASE</v>
      </c>
      <c r="K75" s="8"/>
      <c r="L75" s="8" t="str">
        <f t="shared" si="5"/>
        <v>FLAG_HPBASE</v>
      </c>
      <c r="N75" s="6" t="str">
        <f t="shared" si="4"/>
        <v>3,                                   1,          FLAG_HPBASE,                    xxx,             FLAG_HPBASE,          xxx,                    xxx,             xxx,             xxx,                  // Set flag  FLAG_HPBASE</v>
      </c>
    </row>
    <row r="76" spans="1:14" ht="15">
      <c r="A76" s="1">
        <v>3</v>
      </c>
      <c r="B76" s="1">
        <v>0</v>
      </c>
      <c r="C76" s="1" t="s">
        <v>10</v>
      </c>
      <c r="D76" s="1" t="s">
        <v>10</v>
      </c>
      <c r="E76" s="1" t="s">
        <v>10</v>
      </c>
      <c r="F76" s="16" t="s">
        <v>71</v>
      </c>
      <c r="G76" s="1" t="s">
        <v>10</v>
      </c>
      <c r="H76" s="1" t="s">
        <v>10</v>
      </c>
      <c r="I76" s="1" t="s">
        <v>10</v>
      </c>
      <c r="J76" s="1" t="str">
        <f t="shared" si="2"/>
        <v>// Clear flag FLAG_HPBASE</v>
      </c>
      <c r="K76" s="8"/>
      <c r="L76" s="8" t="str">
        <f t="shared" si="5"/>
        <v>FLAG_HPBASE</v>
      </c>
      <c r="N76" s="6" t="str">
        <f t="shared" si="4"/>
        <v>3,                                   0,          xxx,                            xxx,             xxx,                  FLAG_HPBASE,            xxx,             xxx,             xxx,                  // Clear flag FLAG_HPBASE</v>
      </c>
    </row>
    <row r="77" spans="1:14" ht="15">
      <c r="A77" s="1">
        <v>3</v>
      </c>
      <c r="B77" s="1">
        <v>0</v>
      </c>
      <c r="C77" s="1" t="s">
        <v>72</v>
      </c>
      <c r="D77" s="1" t="s">
        <v>10</v>
      </c>
      <c r="E77" s="1" t="s">
        <v>72</v>
      </c>
      <c r="F77" s="16" t="s">
        <v>72</v>
      </c>
      <c r="G77" s="1" t="s">
        <v>10</v>
      </c>
      <c r="H77" s="1" t="s">
        <v>10</v>
      </c>
      <c r="I77" s="1" t="s">
        <v>10</v>
      </c>
      <c r="J77" s="1" t="str">
        <f t="shared" si="2"/>
        <v>// Clear flag FLAG_2TO10</v>
      </c>
      <c r="K77" s="8"/>
      <c r="L77" s="8" t="str">
        <f t="shared" si="5"/>
        <v>FLAG_2TO10</v>
      </c>
      <c r="N77" s="6" t="str">
        <f t="shared" si="4"/>
        <v>3,                                   0,          FLAG_2TO10,                     xxx,             FLAG_2TO10,           FLAG_2TO10,             xxx,             xxx,             xxx,                  // Clear flag FLAG_2TO10</v>
      </c>
    </row>
    <row r="78" spans="1:14" ht="15">
      <c r="A78" s="1">
        <v>3</v>
      </c>
      <c r="B78" s="1">
        <v>0</v>
      </c>
      <c r="C78" s="1" t="s">
        <v>10</v>
      </c>
      <c r="D78" s="1" t="s">
        <v>10</v>
      </c>
      <c r="E78" s="1" t="s">
        <v>73</v>
      </c>
      <c r="F78" s="16" t="s">
        <v>10</v>
      </c>
      <c r="G78" s="1" t="s">
        <v>10</v>
      </c>
      <c r="H78" s="1" t="s">
        <v>10</v>
      </c>
      <c r="I78" s="1" t="s">
        <v>10</v>
      </c>
      <c r="J78" s="1" t="str">
        <f t="shared" si="2"/>
        <v>// Clear flag FLAG_POLAR</v>
      </c>
      <c r="K78" s="8"/>
      <c r="L78" s="8" t="str">
        <f t="shared" si="5"/>
        <v>FLAG_POLAR</v>
      </c>
      <c r="N78" s="6" t="str">
        <f t="shared" si="4"/>
        <v>3,                                   0,          xxx,                            xxx,             FLAG_POLAR,           xxx,                    xxx,             xxx,             xxx,                  // Clear flag FLAG_POLAR</v>
      </c>
    </row>
    <row r="79" spans="1:14" ht="15">
      <c r="A79" s="1">
        <v>3</v>
      </c>
      <c r="B79" s="1">
        <v>0</v>
      </c>
      <c r="C79" s="1" t="s">
        <v>10</v>
      </c>
      <c r="D79" s="1" t="s">
        <v>10</v>
      </c>
      <c r="E79" s="1" t="s">
        <v>10</v>
      </c>
      <c r="F79" s="16" t="s">
        <v>10</v>
      </c>
      <c r="G79" s="1" t="s">
        <v>74</v>
      </c>
      <c r="H79" s="1" t="s">
        <v>10</v>
      </c>
      <c r="I79" s="1" t="s">
        <v>10</v>
      </c>
      <c r="J79" s="1" t="str">
        <f t="shared" si="2"/>
        <v>// Clear flag FLAG_CPXj</v>
      </c>
      <c r="K79" s="8"/>
      <c r="L79" s="8" t="str">
        <f t="shared" si="5"/>
        <v>FLAG_CPXj</v>
      </c>
      <c r="N79" s="6" t="str">
        <f t="shared" si="4"/>
        <v>3,                                   0,          xxx,                            xxx,             xxx,                  xxx,                    FLAG_CPXj,       xxx,             xxx,                  // Clear flag FLAG_CPXj</v>
      </c>
    </row>
    <row r="80" spans="1:14" ht="15">
      <c r="A80" s="1">
        <v>3</v>
      </c>
      <c r="B80" s="1">
        <v>1</v>
      </c>
      <c r="C80" s="1" t="s">
        <v>10</v>
      </c>
      <c r="D80" s="1" t="s">
        <v>10</v>
      </c>
      <c r="E80" s="1" t="s">
        <v>74</v>
      </c>
      <c r="F80" s="16" t="s">
        <v>10</v>
      </c>
      <c r="G80" s="1" t="s">
        <v>10</v>
      </c>
      <c r="H80" s="1" t="s">
        <v>10</v>
      </c>
      <c r="I80" s="1" t="s">
        <v>10</v>
      </c>
      <c r="J80" s="1" t="str">
        <f t="shared" si="2"/>
        <v>// Set flag  FLAG_CPXj</v>
      </c>
      <c r="K80" s="8"/>
      <c r="L80" s="8" t="str">
        <f t="shared" si="5"/>
        <v>FLAG_CPXj</v>
      </c>
      <c r="N80" s="6" t="str">
        <f t="shared" si="4"/>
        <v>3,                                   1,          xxx,                            xxx,             FLAG_CPXj,            xxx,                    xxx,             xxx,             xxx,                  // Set flag  FLAG_CPXj</v>
      </c>
    </row>
    <row r="81" spans="1:14" ht="15">
      <c r="A81" s="1">
        <v>3</v>
      </c>
      <c r="B81" s="1">
        <v>0</v>
      </c>
      <c r="C81" s="1" t="s">
        <v>75</v>
      </c>
      <c r="D81" s="1" t="s">
        <v>10</v>
      </c>
      <c r="E81" s="1" t="s">
        <v>10</v>
      </c>
      <c r="F81" s="16" t="s">
        <v>10</v>
      </c>
      <c r="G81" s="1" t="s">
        <v>10</v>
      </c>
      <c r="H81" s="1" t="s">
        <v>10</v>
      </c>
      <c r="I81" s="1" t="s">
        <v>10</v>
      </c>
      <c r="J81" s="1" t="str">
        <f t="shared" si="2"/>
        <v>// Clear flag FLAG_FRCSRN</v>
      </c>
      <c r="K81" s="8"/>
      <c r="L81" s="8" t="str">
        <f t="shared" si="5"/>
        <v>FLAG_FRCSRN</v>
      </c>
      <c r="N81" s="6" t="str">
        <f t="shared" si="4"/>
        <v>3,                                   0,          FLAG_FRCSRN,                    xxx,             xxx,                  xxx,                    xxx,             xxx,             xxx,                  // Clear flag FLAG_FRCSRN</v>
      </c>
    </row>
    <row r="82" spans="1:14" ht="15">
      <c r="A82" s="1">
        <v>3</v>
      </c>
      <c r="B82" s="1">
        <v>1</v>
      </c>
      <c r="C82" s="1" t="s">
        <v>10</v>
      </c>
      <c r="D82" s="1" t="s">
        <v>10</v>
      </c>
      <c r="E82" s="1" t="s">
        <v>75</v>
      </c>
      <c r="F82" s="16" t="s">
        <v>10</v>
      </c>
      <c r="G82" s="1" t="s">
        <v>10</v>
      </c>
      <c r="H82" s="1" t="s">
        <v>10</v>
      </c>
      <c r="I82" s="1" t="s">
        <v>10</v>
      </c>
      <c r="J82" s="1" t="str">
        <f t="shared" si="2"/>
        <v>// Set flag  FLAG_FRCSRN</v>
      </c>
      <c r="K82" s="8"/>
      <c r="L82" s="8" t="str">
        <f t="shared" si="5"/>
        <v>FLAG_FRCSRN</v>
      </c>
      <c r="N82" s="6" t="str">
        <f t="shared" si="4"/>
        <v>3,                                   1,          xxx,                            xxx,             FLAG_FRCSRN,          xxx,                    xxx,             xxx,             xxx,                  // Set flag  FLAG_FRCSRN</v>
      </c>
    </row>
    <row r="83" spans="1:14" ht="15">
      <c r="A83" s="1">
        <v>3</v>
      </c>
      <c r="B83" s="1">
        <v>1</v>
      </c>
      <c r="C83" s="1" t="s">
        <v>76</v>
      </c>
      <c r="D83" s="1" t="s">
        <v>10</v>
      </c>
      <c r="E83" s="1" t="s">
        <v>10</v>
      </c>
      <c r="F83" s="16" t="s">
        <v>10</v>
      </c>
      <c r="G83" s="1" t="s">
        <v>10</v>
      </c>
      <c r="H83" s="1" t="s">
        <v>10</v>
      </c>
      <c r="I83" s="1" t="s">
        <v>10</v>
      </c>
      <c r="J83" s="1" t="str">
        <f t="shared" si="2"/>
        <v>// Set flag  FLAG_CPXRES</v>
      </c>
      <c r="K83" s="8"/>
      <c r="L83" s="8" t="str">
        <f t="shared" si="5"/>
        <v>FLAG_CPXRES</v>
      </c>
      <c r="N83" s="6" t="str">
        <f t="shared" si="4"/>
        <v>3,                                   1,          FLAG_CPXRES,                    xxx,             xxx,                  xxx,                    xxx,             xxx,             xxx,                  // Set flag  FLAG_CPXRES</v>
      </c>
    </row>
    <row r="84" spans="1:14" ht="15">
      <c r="A84" s="1">
        <v>3</v>
      </c>
      <c r="B84" s="1">
        <v>1</v>
      </c>
      <c r="C84" s="1" t="s">
        <v>77</v>
      </c>
      <c r="D84" s="1" t="s">
        <v>10</v>
      </c>
      <c r="E84" s="1" t="s">
        <v>10</v>
      </c>
      <c r="F84" s="16" t="s">
        <v>10</v>
      </c>
      <c r="G84" s="1" t="s">
        <v>10</v>
      </c>
      <c r="H84" s="1" t="s">
        <v>10</v>
      </c>
      <c r="I84" s="1" t="s">
        <v>10</v>
      </c>
      <c r="J84" s="1" t="str">
        <f t="shared" si="2"/>
        <v>// Set flag  FLAG_SSIZE8</v>
      </c>
      <c r="K84" s="8"/>
      <c r="L84" s="8" t="str">
        <f t="shared" si="5"/>
        <v>FLAG_SSIZE8</v>
      </c>
      <c r="N84" s="6" t="str">
        <f t="shared" si="4"/>
        <v>3,                                   1,          FLAG_SSIZE8,                    xxx,             xxx,                  xxx,                    xxx,             xxx,             xxx,                  // Set flag  FLAG_SSIZE8</v>
      </c>
    </row>
    <row r="85" spans="1:14" ht="15">
      <c r="A85" s="1">
        <v>3</v>
      </c>
      <c r="B85" s="1">
        <v>0</v>
      </c>
      <c r="C85" s="1" t="s">
        <v>65</v>
      </c>
      <c r="D85" s="1" t="s">
        <v>10</v>
      </c>
      <c r="E85" s="1" t="s">
        <v>10</v>
      </c>
      <c r="F85" s="16" t="s">
        <v>10</v>
      </c>
      <c r="G85" s="1" t="s">
        <v>10</v>
      </c>
      <c r="H85" s="1" t="s">
        <v>10</v>
      </c>
      <c r="I85" s="1" t="s">
        <v>10</v>
      </c>
      <c r="J85" s="1" t="str">
        <f t="shared" si="2"/>
        <v>// Clear flag FLAG_DENANY</v>
      </c>
      <c r="K85" s="8"/>
      <c r="L85" s="8" t="str">
        <f t="shared" si="5"/>
        <v>FLAG_DENANY</v>
      </c>
      <c r="N85" s="6" t="str">
        <f t="shared" si="4"/>
        <v>3,                                   0,          FLAG_DENANY,                    xxx,             xxx,                  xxx,                    xxx,             xxx,             xxx,                  // Clear flag FLAG_DENANY</v>
      </c>
    </row>
    <row r="86" spans="1:14" ht="15">
      <c r="A86" s="1">
        <v>3</v>
      </c>
      <c r="B86" s="1">
        <v>1</v>
      </c>
      <c r="C86" s="1" t="s">
        <v>10</v>
      </c>
      <c r="D86" s="1" t="s">
        <v>10</v>
      </c>
      <c r="E86" s="1" t="s">
        <v>10</v>
      </c>
      <c r="F86" s="16" t="s">
        <v>65</v>
      </c>
      <c r="G86" s="1" t="s">
        <v>10</v>
      </c>
      <c r="H86" s="1" t="s">
        <v>10</v>
      </c>
      <c r="I86" s="1" t="s">
        <v>10</v>
      </c>
      <c r="J86" s="1" t="str">
        <f t="shared" si="2"/>
        <v>// Set flag  FLAG_DENANY</v>
      </c>
      <c r="K86" s="8"/>
      <c r="L86" s="8" t="str">
        <f t="shared" si="5"/>
        <v>FLAG_DENANY</v>
      </c>
      <c r="N86" s="6" t="str">
        <f t="shared" si="4"/>
        <v>3,                                   1,          xxx,                            xxx,             xxx,                  FLAG_DENANY,            xxx,             xxx,             xxx,                  // Set flag  FLAG_DENANY</v>
      </c>
    </row>
    <row r="87" spans="1:14" ht="15">
      <c r="A87" s="1">
        <v>3</v>
      </c>
      <c r="B87" s="1">
        <v>0</v>
      </c>
      <c r="C87" s="1" t="s">
        <v>68</v>
      </c>
      <c r="D87" s="1" t="s">
        <v>10</v>
      </c>
      <c r="E87" s="1" t="s">
        <v>10</v>
      </c>
      <c r="F87" s="16" t="s">
        <v>10</v>
      </c>
      <c r="G87" s="1" t="s">
        <v>10</v>
      </c>
      <c r="H87" s="1" t="s">
        <v>10</v>
      </c>
      <c r="I87" s="1" t="s">
        <v>10</v>
      </c>
      <c r="J87" s="1" t="str">
        <f t="shared" si="2"/>
        <v>// Clear flag FLAG_ASLIFT</v>
      </c>
      <c r="K87" s="8"/>
      <c r="L87" s="8" t="str">
        <f t="shared" si="5"/>
        <v>FLAG_ASLIFT</v>
      </c>
      <c r="N87" s="6" t="str">
        <f t="shared" si="4"/>
        <v>3,                                   0,          FLAG_ASLIFT,                    xxx,             xxx,                  xxx,                    xxx,             xxx,             xxx,                  // Clear flag FLAG_ASLIFT</v>
      </c>
    </row>
    <row r="88" spans="1:14" ht="15">
      <c r="A88" s="1">
        <v>3</v>
      </c>
      <c r="B88" s="1">
        <v>0</v>
      </c>
      <c r="C88" s="1" t="s">
        <v>78</v>
      </c>
      <c r="D88" s="1" t="s">
        <v>10</v>
      </c>
      <c r="E88" s="1" t="s">
        <v>10</v>
      </c>
      <c r="F88" s="16" t="s">
        <v>10</v>
      </c>
      <c r="G88" s="1" t="s">
        <v>10</v>
      </c>
      <c r="H88" s="1" t="s">
        <v>10</v>
      </c>
      <c r="I88" s="1" t="s">
        <v>10</v>
      </c>
      <c r="J88" s="1" t="str">
        <f t="shared" si="2"/>
        <v>// Clear flag FLAG_DENFIX</v>
      </c>
      <c r="K88" s="8"/>
      <c r="L88" s="8" t="str">
        <f t="shared" si="5"/>
        <v>FLAG_DENFIX</v>
      </c>
      <c r="N88" s="6" t="str">
        <f t="shared" si="4"/>
        <v>3,                                   0,          FLAG_DENFIX,                    xxx,             xxx,                  xxx,                    xxx,             xxx,             xxx,                  // Clear flag FLAG_DENFIX</v>
      </c>
    </row>
    <row r="89" spans="1:14" ht="15">
      <c r="A89" s="1">
        <v>3</v>
      </c>
      <c r="B89" s="1">
        <v>1</v>
      </c>
      <c r="C89" s="1" t="s">
        <v>79</v>
      </c>
      <c r="D89" s="1" t="s">
        <v>10</v>
      </c>
      <c r="E89" s="1" t="s">
        <v>10</v>
      </c>
      <c r="F89" s="16" t="s">
        <v>10</v>
      </c>
      <c r="G89" s="1" t="s">
        <v>10</v>
      </c>
      <c r="H89" s="1" t="s">
        <v>10</v>
      </c>
      <c r="I89" s="1" t="s">
        <v>10</v>
      </c>
      <c r="J89" s="1" t="str">
        <f t="shared" si="2"/>
        <v>// Set flag  FLAG_SPCRES</v>
      </c>
      <c r="K89" s="8"/>
      <c r="L89" s="8" t="str">
        <f t="shared" si="5"/>
        <v>FLAG_SPCRES</v>
      </c>
      <c r="N89" s="6" t="str">
        <f t="shared" si="4"/>
        <v>3,                                   1,          FLAG_SPCRES,                    xxx,             xxx,                  xxx,                    xxx,             xxx,             xxx,                  // Set flag  FLAG_SPCRES</v>
      </c>
    </row>
    <row r="90" spans="1:14" ht="15">
      <c r="A90" s="2" t="s">
        <v>81</v>
      </c>
      <c r="B90" s="2" t="s">
        <v>2</v>
      </c>
      <c r="C90" s="14" t="s">
        <v>3</v>
      </c>
      <c r="D90" s="2" t="s">
        <v>4</v>
      </c>
      <c r="E90" s="13" t="s">
        <v>5</v>
      </c>
      <c r="F90" s="15" t="s">
        <v>6</v>
      </c>
      <c r="G90" s="2" t="s">
        <v>7</v>
      </c>
      <c r="H90" s="2" t="s">
        <v>8</v>
      </c>
      <c r="I90" s="2" t="s">
        <v>9</v>
      </c>
      <c r="J90" s="2"/>
      <c r="K90" s="8"/>
      <c r="N90" s="6" t="str">
        <f t="shared" si="4"/>
        <v xml:space="preserve">//fnSetGapChar,                      n/a,        Reset,                          HP35,            JM,                   RJ,                     C47,             DefltSB,         TVM,                  </v>
      </c>
    </row>
    <row r="91" spans="1:14" ht="15">
      <c r="A91" s="1">
        <v>4</v>
      </c>
      <c r="B91" s="1" t="s">
        <v>10</v>
      </c>
      <c r="C91" s="1" t="s">
        <v>90</v>
      </c>
      <c r="D91" s="1" t="s">
        <v>80</v>
      </c>
      <c r="E91" s="17" t="s">
        <v>92</v>
      </c>
      <c r="F91" s="16" t="s">
        <v>91</v>
      </c>
      <c r="G91" s="1" t="s">
        <v>92</v>
      </c>
      <c r="H91" s="1" t="s">
        <v>10</v>
      </c>
      <c r="I91" s="1" t="s">
        <v>10</v>
      </c>
      <c r="J91" s="1" t="s">
        <v>81</v>
      </c>
      <c r="K91" s="8"/>
      <c r="N91" s="6" t="str">
        <f t="shared" si="4"/>
        <v>4,                                   xxx,        0+ITM_SPACE_PUNCTUATION,        ITM_NULL,        0+_gapl,              0+ITM_SPACE_4_PER_EM,   0+_gapl,         xxx,             xxx,                  //fnSetGapChar</v>
      </c>
    </row>
    <row r="92" spans="1:14" ht="15">
      <c r="A92" s="1">
        <v>4</v>
      </c>
      <c r="B92" s="1" t="s">
        <v>10</v>
      </c>
      <c r="C92" s="1" t="s">
        <v>82</v>
      </c>
      <c r="D92" s="1" t="s">
        <v>83</v>
      </c>
      <c r="E92" s="17" t="s">
        <v>85</v>
      </c>
      <c r="F92" s="16" t="s">
        <v>84</v>
      </c>
      <c r="G92" s="1" t="s">
        <v>85</v>
      </c>
      <c r="H92" s="1" t="s">
        <v>10</v>
      </c>
      <c r="I92" s="1" t="s">
        <v>10</v>
      </c>
      <c r="J92" s="1" t="s">
        <v>81</v>
      </c>
      <c r="K92" s="8"/>
      <c r="N92" s="6" t="str">
        <f t="shared" si="4"/>
        <v>4,                                   xxx,        32768+ITM_SPACE_PUNCTUATION,    ITM_NULL+32768,  32768+_gapr,          32768+ITM_NULL,         32768+_gapr,     xxx,             xxx,                  //fnSetGapChar</v>
      </c>
    </row>
    <row r="93" spans="1:14" ht="15">
      <c r="A93" s="1">
        <v>4</v>
      </c>
      <c r="B93" s="1" t="s">
        <v>10</v>
      </c>
      <c r="C93" s="1" t="s">
        <v>86</v>
      </c>
      <c r="D93" s="1" t="s">
        <v>87</v>
      </c>
      <c r="E93" s="17" t="s">
        <v>89</v>
      </c>
      <c r="F93" s="16" t="s">
        <v>88</v>
      </c>
      <c r="G93" s="1" t="s">
        <v>89</v>
      </c>
      <c r="H93" s="1" t="s">
        <v>10</v>
      </c>
      <c r="I93" s="1" t="s">
        <v>10</v>
      </c>
      <c r="J93" s="1" t="s">
        <v>81</v>
      </c>
      <c r="K93" s="8"/>
      <c r="N93" s="6" t="str">
        <f t="shared" si="4"/>
        <v>4,                                   xxx,        49152+ITM_PERIOD,               ITM_WDOT+49152,  49152+_gaprx,         49152+ITM_WCOMMA,       49152+_gaprx,    xxx,             xxx,                  //fnSetGapChar</v>
      </c>
    </row>
    <row r="94" spans="1:14" ht="15">
      <c r="A94" s="10">
        <v>0</v>
      </c>
      <c r="B94" s="10">
        <v>0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 t="s">
        <v>116</v>
      </c>
      <c r="K94" s="11"/>
      <c r="L94" s="11"/>
      <c r="M94" s="11"/>
      <c r="N94" s="12" t="str">
        <f t="shared" si="4"/>
        <v>0,                                   0,          0,                              0,               0,                    0,                      0,               0,               0,                    //END MARKER</v>
      </c>
    </row>
    <row r="95" spans="1:14" ht="15">
      <c r="K95" s="8"/>
    </row>
    <row r="96" spans="1:14" ht="15">
      <c r="K96" s="8"/>
    </row>
    <row r="97" spans="11:11" ht="15">
      <c r="K97" s="8"/>
    </row>
    <row r="98" spans="11:11" ht="15">
      <c r="K98" s="8"/>
    </row>
    <row r="99" spans="11:11" ht="15">
      <c r="K99" s="8"/>
    </row>
    <row r="100" spans="11:11" ht="15">
      <c r="K100" s="8"/>
    </row>
    <row r="101" spans="11:11" ht="15">
      <c r="K101" s="8"/>
    </row>
    <row r="102" spans="11:11" ht="15">
      <c r="K102" s="8"/>
    </row>
    <row r="103" spans="11:11" ht="15">
      <c r="K103" s="8"/>
    </row>
    <row r="399" spans="11:11" ht="15">
      <c r="K399" s="8"/>
    </row>
    <row r="413" spans="11:14" ht="15">
      <c r="K413" s="8"/>
      <c r="N413" s="7" t="str">
        <f>"  "&amp;B413&amp;", "&amp;REPT(" ",$BH$55-LEN(B413))&amp;
C413&amp;", "&amp;REPT(" ",$BH$55-LEN(C413))&amp;
D413&amp;", "&amp;REPT(" ",$BH$55-LEN(D413))&amp;
E413&amp;", "&amp;REPT(" ",$BH$55-LEN(E413))&amp;
F413&amp;", "&amp;REPT(" ",$BH$55-LEN(F413))&amp;
G413&amp;", "&amp;REPT(" ",$BH$55-LEN(G413))&amp;
H413&amp;", "&amp;REPT(" ",$BH$55-LEN(H413))&amp;
I413&amp;", "&amp;REPT(" ",$BH$55-LEN(I413))&amp;
J413&amp;REPT(" ",$BH$55-LEN(J413))&amp;
"},"</f>
        <v xml:space="preserve">  , , , , , , , , },</v>
      </c>
    </row>
  </sheetData>
  <conditionalFormatting sqref="K1:M1">
    <cfRule type="expression" dxfId="4" priority="2">
      <formula>$M$1&gt;0</formula>
    </cfRule>
  </conditionalFormatting>
  <conditionalFormatting sqref="L1:XFD1 L95:XFD412 L413:M413 O413:XFD413 L414:XFD1048576 L2:M94 O2:XFD94 A1:J1048576">
    <cfRule type="containsText" dxfId="3" priority="6" stopIfTrue="1" operator="containsText" text="xxx">
      <formula>NOT(ISERROR(SEARCH("xxx",A1)))</formula>
    </cfRule>
  </conditionalFormatting>
  <conditionalFormatting sqref="N2:N94">
    <cfRule type="expression" dxfId="2" priority="4">
      <formula>ISNA(N2)</formula>
    </cfRule>
  </conditionalFormatting>
  <conditionalFormatting sqref="N413">
    <cfRule type="expression" dxfId="1" priority="5">
      <formula>ISNA(N413)</formula>
    </cfRule>
  </conditionalFormatting>
  <conditionalFormatting sqref="A1:XFD1048576">
    <cfRule type="containsText" dxfId="0" priority="1" operator="containsText" text="_HP">
      <formula>NOT(ISERROR(SEARCH("_HP",A1)))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 Mostert</dc:creator>
  <cp:lastModifiedBy>Jaco Mostert</cp:lastModifiedBy>
  <dcterms:created xsi:type="dcterms:W3CDTF">2024-05-11T11:25:38Z</dcterms:created>
  <dcterms:modified xsi:type="dcterms:W3CDTF">2024-05-11T20:54:53Z</dcterms:modified>
</cp:coreProperties>
</file>