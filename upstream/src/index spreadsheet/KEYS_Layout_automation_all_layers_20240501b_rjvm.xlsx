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9a81b48e7c37f7/Project 47/Documentation - Robbert/Manuals/KEYS - KEYMAP/"/>
    </mc:Choice>
  </mc:AlternateContent>
  <xr:revisionPtr revIDLastSave="79" documentId="13_ncr:1_{21890FD4-756C-A64C-B81D-97A31F220BC7}" xr6:coauthVersionLast="47" xr6:coauthVersionMax="47" xr10:uidLastSave="{8893F5B3-FECB-A246-A641-945030F41C6A}"/>
  <bookViews>
    <workbookView xWindow="9780" yWindow="980" windowWidth="41420" windowHeight="27820" xr2:uid="{00000000-000D-0000-FFFF-FFFF00000000}"/>
  </bookViews>
  <sheets>
    <sheet name="MAIN" sheetId="1" r:id="rId1"/>
    <sheet name="Lookups" sheetId="3" r:id="rId2"/>
    <sheet name="Revisions" sheetId="4" r:id="rId3"/>
  </sheets>
  <definedNames>
    <definedName name="_xlnm._FilterDatabase" localSheetId="1" hidden="1">Lookups!$B$1:$G$307</definedName>
    <definedName name="_xlnm._FilterDatabase" localSheetId="0" hidden="1">MAIN!$X$1:$BI$723</definedName>
    <definedName name="items">Lookups!$C:$C</definedName>
    <definedName name="keylabelaim">Lookups!$E:$F</definedName>
    <definedName name="label">MAIN!$AA:$AK</definedName>
    <definedName name="labelitem">Lookups!$B:$C</definedName>
    <definedName name="layout">MAIN!$A$1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419" i="1" l="1" a="1"/>
  <c r="BE419" i="1" s="1"/>
  <c r="AJ61" i="1"/>
  <c r="BE589" i="1" a="1"/>
  <c r="BE589" i="1" s="1"/>
  <c r="BD589" i="1"/>
  <c r="BD589" i="1" a="1"/>
  <c r="BC589" i="1" a="1"/>
  <c r="BC589" i="1" s="1"/>
  <c r="BE588" i="1"/>
  <c r="BE588" i="1" a="1"/>
  <c r="BD588" i="1" a="1"/>
  <c r="BD588" i="1" s="1"/>
  <c r="BC588" i="1" a="1"/>
  <c r="BC588" i="1" s="1"/>
  <c r="BE587" i="1"/>
  <c r="BE587" i="1" a="1"/>
  <c r="BD587" i="1" a="1"/>
  <c r="BD587" i="1" s="1"/>
  <c r="BC587" i="1"/>
  <c r="BC587" i="1" a="1"/>
  <c r="BE586" i="1" a="1"/>
  <c r="BE586" i="1" s="1"/>
  <c r="BD586" i="1" a="1"/>
  <c r="BD586" i="1" s="1"/>
  <c r="BC586" i="1"/>
  <c r="BC586" i="1" a="1"/>
  <c r="BE585" i="1" a="1"/>
  <c r="BE585" i="1" s="1"/>
  <c r="BD585" i="1"/>
  <c r="BD585" i="1" a="1"/>
  <c r="BC585" i="1" a="1"/>
  <c r="BC585" i="1" s="1"/>
  <c r="BE584" i="1" a="1"/>
  <c r="BE584" i="1" s="1"/>
  <c r="BD584" i="1"/>
  <c r="BD584" i="1" a="1"/>
  <c r="BC584" i="1" a="1"/>
  <c r="BC584" i="1" s="1"/>
  <c r="BE583" i="1"/>
  <c r="BE583" i="1" a="1"/>
  <c r="BD583" i="1" a="1"/>
  <c r="BD583" i="1" s="1"/>
  <c r="BC583" i="1" a="1"/>
  <c r="BC583" i="1" s="1"/>
  <c r="BE582" i="1"/>
  <c r="BE582" i="1" a="1"/>
  <c r="BD582" i="1" a="1"/>
  <c r="BD582" i="1" s="1"/>
  <c r="BC582" i="1"/>
  <c r="BC582" i="1" a="1"/>
  <c r="BE581" i="1" a="1"/>
  <c r="BE581" i="1" s="1"/>
  <c r="BD581" i="1" a="1"/>
  <c r="BD581" i="1" s="1"/>
  <c r="BC581" i="1"/>
  <c r="BC581" i="1" a="1"/>
  <c r="BE580" i="1" a="1"/>
  <c r="BE580" i="1" s="1"/>
  <c r="BD580" i="1"/>
  <c r="BD580" i="1" a="1"/>
  <c r="BC580" i="1" a="1"/>
  <c r="BC580" i="1" s="1"/>
  <c r="BE579" i="1" a="1"/>
  <c r="BE579" i="1" s="1"/>
  <c r="BD579" i="1"/>
  <c r="BD579" i="1" a="1"/>
  <c r="BC579" i="1" a="1"/>
  <c r="BC579" i="1" s="1"/>
  <c r="BE578" i="1"/>
  <c r="BE578" i="1" a="1"/>
  <c r="BD578" i="1" a="1"/>
  <c r="BD578" i="1" s="1"/>
  <c r="BC578" i="1" a="1"/>
  <c r="BC578" i="1" s="1"/>
  <c r="BE577" i="1"/>
  <c r="BE577" i="1" a="1"/>
  <c r="BD577" i="1" a="1"/>
  <c r="BD577" i="1" s="1"/>
  <c r="BC577" i="1"/>
  <c r="BC577" i="1" a="1"/>
  <c r="BE576" i="1" a="1"/>
  <c r="BE576" i="1" s="1"/>
  <c r="BD576" i="1" a="1"/>
  <c r="BD576" i="1" s="1"/>
  <c r="BC576" i="1"/>
  <c r="BC576" i="1" a="1"/>
  <c r="BE575" i="1" a="1"/>
  <c r="BE575" i="1" s="1"/>
  <c r="BD575" i="1"/>
  <c r="BD575" i="1" a="1"/>
  <c r="BC575" i="1" a="1"/>
  <c r="BC575" i="1" s="1"/>
  <c r="BE574" i="1" a="1"/>
  <c r="BE574" i="1" s="1"/>
  <c r="BD574" i="1"/>
  <c r="BD574" i="1" a="1"/>
  <c r="BC574" i="1" a="1"/>
  <c r="BC574" i="1" s="1"/>
  <c r="BE573" i="1" a="1"/>
  <c r="BE573" i="1" s="1"/>
  <c r="BD573" i="1" a="1"/>
  <c r="BD573" i="1" s="1"/>
  <c r="BC573" i="1" a="1"/>
  <c r="BC573" i="1" s="1"/>
  <c r="BE572" i="1"/>
  <c r="BE572" i="1" a="1"/>
  <c r="BD572" i="1" a="1"/>
  <c r="BD572" i="1" s="1"/>
  <c r="BC572" i="1" a="1"/>
  <c r="BC572" i="1" s="1"/>
  <c r="BE571" i="1" a="1"/>
  <c r="BE571" i="1" s="1"/>
  <c r="BD571" i="1" a="1"/>
  <c r="BD571" i="1" s="1"/>
  <c r="BC571" i="1"/>
  <c r="BC571" i="1" a="1"/>
  <c r="BE570" i="1" a="1"/>
  <c r="BE570" i="1" s="1"/>
  <c r="BD570" i="1" a="1"/>
  <c r="BD570" i="1" s="1"/>
  <c r="BC570" i="1" a="1"/>
  <c r="BC570" i="1" s="1"/>
  <c r="BE569" i="1" a="1"/>
  <c r="BE569" i="1" s="1"/>
  <c r="BD569" i="1"/>
  <c r="BD569" i="1" a="1"/>
  <c r="BC569" i="1" a="1"/>
  <c r="BC569" i="1" s="1"/>
  <c r="BE568" i="1" a="1"/>
  <c r="BE568" i="1" s="1"/>
  <c r="BD568" i="1" a="1"/>
  <c r="BD568" i="1" s="1"/>
  <c r="BC568" i="1" a="1"/>
  <c r="BC568" i="1" s="1"/>
  <c r="BE567" i="1"/>
  <c r="BE567" i="1" a="1"/>
  <c r="BD567" i="1" a="1"/>
  <c r="BD567" i="1" s="1"/>
  <c r="BC567" i="1" a="1"/>
  <c r="BC567" i="1" s="1"/>
  <c r="BE566" i="1" a="1"/>
  <c r="BE566" i="1" s="1"/>
  <c r="BD566" i="1" a="1"/>
  <c r="BD566" i="1" s="1"/>
  <c r="BC566" i="1"/>
  <c r="BC566" i="1" a="1"/>
  <c r="BE565" i="1" a="1"/>
  <c r="BE565" i="1" s="1"/>
  <c r="BD565" i="1" a="1"/>
  <c r="BD565" i="1" s="1"/>
  <c r="BC565" i="1" a="1"/>
  <c r="BC565" i="1" s="1"/>
  <c r="BE564" i="1" a="1"/>
  <c r="BE564" i="1" s="1"/>
  <c r="BD564" i="1" a="1"/>
  <c r="BD564" i="1" s="1"/>
  <c r="BC564" i="1" a="1"/>
  <c r="BC564" i="1" s="1"/>
  <c r="BE563" i="1" a="1"/>
  <c r="BE563" i="1" s="1"/>
  <c r="BD563" i="1" a="1"/>
  <c r="BD563" i="1" s="1"/>
  <c r="BC563" i="1" a="1"/>
  <c r="BC563" i="1" s="1"/>
  <c r="BE562" i="1"/>
  <c r="BE562" i="1" a="1"/>
  <c r="BD562" i="1" a="1"/>
  <c r="BD562" i="1" s="1"/>
  <c r="BC562" i="1" a="1"/>
  <c r="BC562" i="1" s="1"/>
  <c r="BE561" i="1" a="1"/>
  <c r="BE561" i="1" s="1"/>
  <c r="BD561" i="1" a="1"/>
  <c r="BD561" i="1" s="1"/>
  <c r="BC561" i="1"/>
  <c r="BC561" i="1" a="1"/>
  <c r="BE560" i="1" a="1"/>
  <c r="BE560" i="1" s="1"/>
  <c r="BD560" i="1" a="1"/>
  <c r="BD560" i="1" s="1"/>
  <c r="BC560" i="1" a="1"/>
  <c r="BC560" i="1" s="1"/>
  <c r="BE559" i="1" a="1"/>
  <c r="BE559" i="1" s="1"/>
  <c r="BD559" i="1"/>
  <c r="BD559" i="1" a="1"/>
  <c r="BC559" i="1" a="1"/>
  <c r="BC559" i="1" s="1"/>
  <c r="BE558" i="1" a="1"/>
  <c r="BE558" i="1" s="1"/>
  <c r="BD558" i="1" a="1"/>
  <c r="BD558" i="1" s="1"/>
  <c r="BC558" i="1" a="1"/>
  <c r="BC558" i="1" s="1"/>
  <c r="BE557" i="1" a="1"/>
  <c r="BE557" i="1" s="1"/>
  <c r="BD557" i="1" a="1"/>
  <c r="BD557" i="1" s="1"/>
  <c r="BC557" i="1" a="1"/>
  <c r="BC557" i="1" s="1"/>
  <c r="BE556" i="1" a="1"/>
  <c r="BE556" i="1" s="1"/>
  <c r="BD556" i="1" a="1"/>
  <c r="BD556" i="1" s="1"/>
  <c r="BC556" i="1"/>
  <c r="BC556" i="1" a="1"/>
  <c r="BE555" i="1" a="1"/>
  <c r="BE555" i="1" s="1"/>
  <c r="BD555" i="1" a="1"/>
  <c r="BD555" i="1" s="1"/>
  <c r="BC555" i="1" a="1"/>
  <c r="BC555" i="1" s="1"/>
  <c r="BE554" i="1" a="1"/>
  <c r="BE554" i="1" s="1"/>
  <c r="BD554" i="1"/>
  <c r="BD554" i="1" a="1"/>
  <c r="BC554" i="1" a="1"/>
  <c r="BC554" i="1" s="1"/>
  <c r="BE553" i="1" a="1"/>
  <c r="BE553" i="1" s="1"/>
  <c r="BD553" i="1" a="1"/>
  <c r="BD553" i="1" s="1"/>
  <c r="BC553" i="1" a="1"/>
  <c r="BC553" i="1" s="1"/>
  <c r="BE542" i="1" a="1"/>
  <c r="BE542" i="1" s="1"/>
  <c r="BD542" i="1" a="1"/>
  <c r="BD542" i="1" s="1"/>
  <c r="BC542" i="1" a="1"/>
  <c r="BC542" i="1" s="1"/>
  <c r="BE541" i="1"/>
  <c r="BE541" i="1" a="1"/>
  <c r="BD541" i="1" a="1"/>
  <c r="BD541" i="1" s="1"/>
  <c r="BC541" i="1" a="1"/>
  <c r="BC541" i="1" s="1"/>
  <c r="BE540" i="1" a="1"/>
  <c r="BE540" i="1" s="1"/>
  <c r="BD540" i="1" a="1"/>
  <c r="BD540" i="1" s="1"/>
  <c r="BC540" i="1"/>
  <c r="BC540" i="1" a="1"/>
  <c r="BE539" i="1" a="1"/>
  <c r="BE539" i="1" s="1"/>
  <c r="BD539" i="1" a="1"/>
  <c r="BD539" i="1" s="1"/>
  <c r="BC539" i="1" a="1"/>
  <c r="BC539" i="1" s="1"/>
  <c r="BE538" i="1" a="1"/>
  <c r="BE538" i="1" s="1"/>
  <c r="BD538" i="1"/>
  <c r="BD538" i="1" a="1"/>
  <c r="BC538" i="1" a="1"/>
  <c r="BC538" i="1" s="1"/>
  <c r="BE537" i="1" a="1"/>
  <c r="BE537" i="1" s="1"/>
  <c r="BD537" i="1" a="1"/>
  <c r="BD537" i="1" s="1"/>
  <c r="BC537" i="1" a="1"/>
  <c r="BC537" i="1" s="1"/>
  <c r="BE536" i="1"/>
  <c r="BE536" i="1" a="1"/>
  <c r="BD536" i="1" a="1"/>
  <c r="BD536" i="1" s="1"/>
  <c r="BC536" i="1" a="1"/>
  <c r="BC536" i="1" s="1"/>
  <c r="BE535" i="1" a="1"/>
  <c r="BE535" i="1" s="1"/>
  <c r="BD535" i="1" a="1"/>
  <c r="BD535" i="1" s="1"/>
  <c r="BC535" i="1"/>
  <c r="BC535" i="1" a="1"/>
  <c r="BE534" i="1" a="1"/>
  <c r="BE534" i="1" s="1"/>
  <c r="BD534" i="1" a="1"/>
  <c r="BD534" i="1" s="1"/>
  <c r="BC534" i="1" a="1"/>
  <c r="BC534" i="1" s="1"/>
  <c r="BE533" i="1" a="1"/>
  <c r="BE533" i="1" s="1"/>
  <c r="BD533" i="1"/>
  <c r="BD533" i="1" a="1"/>
  <c r="BC533" i="1" a="1"/>
  <c r="BC533" i="1" s="1"/>
  <c r="BE532" i="1" a="1"/>
  <c r="BE532" i="1" s="1"/>
  <c r="BD532" i="1" a="1"/>
  <c r="BD532" i="1" s="1"/>
  <c r="BC532" i="1" a="1"/>
  <c r="BC532" i="1" s="1"/>
  <c r="BE531" i="1"/>
  <c r="BE531" i="1" a="1"/>
  <c r="BD531" i="1" a="1"/>
  <c r="BD531" i="1" s="1"/>
  <c r="BC531" i="1" a="1"/>
  <c r="BC531" i="1" s="1"/>
  <c r="BE530" i="1" a="1"/>
  <c r="BE530" i="1" s="1"/>
  <c r="BD530" i="1" a="1"/>
  <c r="BD530" i="1" s="1"/>
  <c r="BC530" i="1"/>
  <c r="BC530" i="1" a="1"/>
  <c r="BE529" i="1" a="1"/>
  <c r="BE529" i="1" s="1"/>
  <c r="BD529" i="1" a="1"/>
  <c r="BD529" i="1" s="1"/>
  <c r="BC529" i="1" a="1"/>
  <c r="BC529" i="1" s="1"/>
  <c r="BE528" i="1" a="1"/>
  <c r="BE528" i="1" s="1"/>
  <c r="BD528" i="1"/>
  <c r="BD528" i="1" a="1"/>
  <c r="BC528" i="1" a="1"/>
  <c r="BC528" i="1" s="1"/>
  <c r="BE527" i="1" a="1"/>
  <c r="BE527" i="1" s="1"/>
  <c r="BD527" i="1" a="1"/>
  <c r="BD527" i="1" s="1"/>
  <c r="BC527" i="1" a="1"/>
  <c r="BC527" i="1" s="1"/>
  <c r="BE526" i="1"/>
  <c r="BE526" i="1" a="1"/>
  <c r="BD526" i="1" a="1"/>
  <c r="BD526" i="1" s="1"/>
  <c r="BC526" i="1" a="1"/>
  <c r="BC526" i="1" s="1"/>
  <c r="BE525" i="1" a="1"/>
  <c r="BE525" i="1" s="1"/>
  <c r="BD525" i="1" a="1"/>
  <c r="BD525" i="1" s="1"/>
  <c r="BC525" i="1"/>
  <c r="BC525" i="1" a="1"/>
  <c r="BE524" i="1" a="1"/>
  <c r="BE524" i="1" s="1"/>
  <c r="BD524" i="1" a="1"/>
  <c r="BD524" i="1" s="1"/>
  <c r="BC524" i="1" a="1"/>
  <c r="BC524" i="1" s="1"/>
  <c r="BE523" i="1" a="1"/>
  <c r="BE523" i="1" s="1"/>
  <c r="BD523" i="1"/>
  <c r="BD523" i="1" a="1"/>
  <c r="BC523" i="1" a="1"/>
  <c r="BC523" i="1" s="1"/>
  <c r="BE522" i="1" a="1"/>
  <c r="BE522" i="1" s="1"/>
  <c r="BD522" i="1" a="1"/>
  <c r="BD522" i="1" s="1"/>
  <c r="BC522" i="1" a="1"/>
  <c r="BC522" i="1" s="1"/>
  <c r="BE521" i="1" a="1"/>
  <c r="BE521" i="1" s="1"/>
  <c r="BD521" i="1" a="1"/>
  <c r="BD521" i="1" s="1"/>
  <c r="BC521" i="1" a="1"/>
  <c r="BC521" i="1" s="1"/>
  <c r="BE520" i="1" a="1"/>
  <c r="BE520" i="1" s="1"/>
  <c r="BD520" i="1" a="1"/>
  <c r="BD520" i="1" s="1"/>
  <c r="BC520" i="1"/>
  <c r="BC520" i="1" a="1"/>
  <c r="BE519" i="1" a="1"/>
  <c r="BE519" i="1" s="1"/>
  <c r="BD519" i="1" a="1"/>
  <c r="BD519" i="1" s="1"/>
  <c r="BC519" i="1" a="1"/>
  <c r="BC519" i="1" s="1"/>
  <c r="BE518" i="1" a="1"/>
  <c r="BE518" i="1" s="1"/>
  <c r="BD518" i="1"/>
  <c r="BD518" i="1" a="1"/>
  <c r="BC518" i="1" a="1"/>
  <c r="BC518" i="1" s="1"/>
  <c r="BE517" i="1" a="1"/>
  <c r="BE517" i="1" s="1"/>
  <c r="BD517" i="1" a="1"/>
  <c r="BD517" i="1" s="1"/>
  <c r="BC517" i="1" a="1"/>
  <c r="BC517" i="1" s="1"/>
  <c r="BE516" i="1"/>
  <c r="BE516" i="1" a="1"/>
  <c r="BD516" i="1" a="1"/>
  <c r="BD516" i="1" s="1"/>
  <c r="BC516" i="1" a="1"/>
  <c r="BC516" i="1" s="1"/>
  <c r="BE515" i="1" a="1"/>
  <c r="BE515" i="1" s="1"/>
  <c r="BD515" i="1" a="1"/>
  <c r="BD515" i="1" s="1"/>
  <c r="BC515" i="1"/>
  <c r="BC515" i="1" a="1"/>
  <c r="BE514" i="1" a="1"/>
  <c r="BE514" i="1" s="1"/>
  <c r="BD514" i="1" a="1"/>
  <c r="BD514" i="1" s="1"/>
  <c r="BC514" i="1" a="1"/>
  <c r="BC514" i="1" s="1"/>
  <c r="BE513" i="1" a="1"/>
  <c r="BE513" i="1" s="1"/>
  <c r="BD513" i="1"/>
  <c r="BD513" i="1" a="1"/>
  <c r="BC513" i="1" a="1"/>
  <c r="BC513" i="1" s="1"/>
  <c r="BE512" i="1" a="1"/>
  <c r="BE512" i="1" s="1"/>
  <c r="BD512" i="1" a="1"/>
  <c r="BD512" i="1" s="1"/>
  <c r="BC512" i="1" a="1"/>
  <c r="BC512" i="1" s="1"/>
  <c r="BE511" i="1" a="1"/>
  <c r="BE511" i="1" s="1"/>
  <c r="BD511" i="1" a="1"/>
  <c r="BD511" i="1" s="1"/>
  <c r="BC511" i="1" a="1"/>
  <c r="BC511" i="1" s="1"/>
  <c r="BE510" i="1" a="1"/>
  <c r="BE510" i="1" s="1"/>
  <c r="BD510" i="1" a="1"/>
  <c r="BD510" i="1" s="1"/>
  <c r="BC510" i="1"/>
  <c r="BC510" i="1" a="1"/>
  <c r="BE509" i="1" a="1"/>
  <c r="BE509" i="1" s="1"/>
  <c r="BD509" i="1" a="1"/>
  <c r="BD509" i="1" s="1"/>
  <c r="BC509" i="1" a="1"/>
  <c r="BC509" i="1" s="1"/>
  <c r="BE508" i="1" a="1"/>
  <c r="BE508" i="1" s="1"/>
  <c r="BD508" i="1"/>
  <c r="BD508" i="1" a="1"/>
  <c r="BC508" i="1" a="1"/>
  <c r="BC508" i="1" s="1"/>
  <c r="BE507" i="1" a="1"/>
  <c r="BE507" i="1" s="1"/>
  <c r="BD507" i="1" a="1"/>
  <c r="BD507" i="1" s="1"/>
  <c r="BC507" i="1" a="1"/>
  <c r="BC507" i="1" s="1"/>
  <c r="BE506" i="1"/>
  <c r="BE506" i="1" a="1"/>
  <c r="BD506" i="1" a="1"/>
  <c r="BD506" i="1" s="1"/>
  <c r="BC506" i="1" a="1"/>
  <c r="BC506" i="1" s="1"/>
  <c r="BE495" i="1" a="1"/>
  <c r="BE495" i="1" s="1"/>
  <c r="BD495" i="1" a="1"/>
  <c r="BD495" i="1" s="1"/>
  <c r="BC495" i="1" a="1"/>
  <c r="BC495" i="1" s="1"/>
  <c r="BE494" i="1" a="1"/>
  <c r="BE494" i="1" s="1"/>
  <c r="BD494" i="1" a="1"/>
  <c r="BD494" i="1" s="1"/>
  <c r="BC494" i="1" a="1"/>
  <c r="BC494" i="1" s="1"/>
  <c r="BE493" i="1" a="1"/>
  <c r="BE493" i="1" s="1"/>
  <c r="BD493" i="1" a="1"/>
  <c r="BD493" i="1" s="1"/>
  <c r="BC493" i="1" a="1"/>
  <c r="BC493" i="1" s="1"/>
  <c r="BE492" i="1" a="1"/>
  <c r="BE492" i="1" s="1"/>
  <c r="BD492" i="1" a="1"/>
  <c r="BD492" i="1" s="1"/>
  <c r="BC492" i="1" a="1"/>
  <c r="BC492" i="1" s="1"/>
  <c r="BE491" i="1" a="1"/>
  <c r="BE491" i="1" s="1"/>
  <c r="BD491" i="1" a="1"/>
  <c r="BD491" i="1" s="1"/>
  <c r="BC491" i="1" a="1"/>
  <c r="BC491" i="1" s="1"/>
  <c r="BE490" i="1" a="1"/>
  <c r="BE490" i="1" s="1"/>
  <c r="BD490" i="1" a="1"/>
  <c r="BD490" i="1" s="1"/>
  <c r="BC490" i="1" a="1"/>
  <c r="BC490" i="1" s="1"/>
  <c r="BE489" i="1" a="1"/>
  <c r="BE489" i="1" s="1"/>
  <c r="BD489" i="1" a="1"/>
  <c r="BD489" i="1" s="1"/>
  <c r="BC489" i="1" a="1"/>
  <c r="BC489" i="1" s="1"/>
  <c r="BE488" i="1" a="1"/>
  <c r="BE488" i="1" s="1"/>
  <c r="BD488" i="1" a="1"/>
  <c r="BD488" i="1" s="1"/>
  <c r="BC488" i="1" a="1"/>
  <c r="BC488" i="1" s="1"/>
  <c r="BE487" i="1" a="1"/>
  <c r="BE487" i="1" s="1"/>
  <c r="BD487" i="1" a="1"/>
  <c r="BD487" i="1" s="1"/>
  <c r="BC487" i="1" a="1"/>
  <c r="BC487" i="1" s="1"/>
  <c r="BE486" i="1" a="1"/>
  <c r="BE486" i="1" s="1"/>
  <c r="BD486" i="1" a="1"/>
  <c r="BD486" i="1" s="1"/>
  <c r="BC486" i="1" a="1"/>
  <c r="BC486" i="1" s="1"/>
  <c r="BE485" i="1" a="1"/>
  <c r="BE485" i="1" s="1"/>
  <c r="BD485" i="1" a="1"/>
  <c r="BD485" i="1" s="1"/>
  <c r="BC485" i="1" a="1"/>
  <c r="BC485" i="1" s="1"/>
  <c r="BE484" i="1" a="1"/>
  <c r="BE484" i="1" s="1"/>
  <c r="BD484" i="1" a="1"/>
  <c r="BD484" i="1" s="1"/>
  <c r="BC484" i="1" a="1"/>
  <c r="BC484" i="1" s="1"/>
  <c r="BE483" i="1" a="1"/>
  <c r="BE483" i="1" s="1"/>
  <c r="BD483" i="1" a="1"/>
  <c r="BD483" i="1" s="1"/>
  <c r="BC483" i="1" a="1"/>
  <c r="BC483" i="1" s="1"/>
  <c r="BE482" i="1" a="1"/>
  <c r="BE482" i="1" s="1"/>
  <c r="BD482" i="1" a="1"/>
  <c r="BD482" i="1" s="1"/>
  <c r="BC482" i="1" a="1"/>
  <c r="BC482" i="1" s="1"/>
  <c r="BE481" i="1" a="1"/>
  <c r="BE481" i="1" s="1"/>
  <c r="BD481" i="1" a="1"/>
  <c r="BD481" i="1" s="1"/>
  <c r="BC481" i="1" a="1"/>
  <c r="BC481" i="1" s="1"/>
  <c r="BE480" i="1" a="1"/>
  <c r="BE480" i="1" s="1"/>
  <c r="BD480" i="1" a="1"/>
  <c r="BD480" i="1" s="1"/>
  <c r="BC480" i="1" a="1"/>
  <c r="BC480" i="1" s="1"/>
  <c r="BE479" i="1" a="1"/>
  <c r="BE479" i="1" s="1"/>
  <c r="BD479" i="1" a="1"/>
  <c r="BD479" i="1" s="1"/>
  <c r="BC479" i="1" a="1"/>
  <c r="BC479" i="1" s="1"/>
  <c r="BE478" i="1" a="1"/>
  <c r="BE478" i="1" s="1"/>
  <c r="BD478" i="1" a="1"/>
  <c r="BD478" i="1" s="1"/>
  <c r="BC478" i="1" a="1"/>
  <c r="BC478" i="1" s="1"/>
  <c r="BE477" i="1" a="1"/>
  <c r="BE477" i="1" s="1"/>
  <c r="BD477" i="1" a="1"/>
  <c r="BD477" i="1" s="1"/>
  <c r="BC477" i="1" a="1"/>
  <c r="BC477" i="1" s="1"/>
  <c r="BE476" i="1" a="1"/>
  <c r="BE476" i="1" s="1"/>
  <c r="BD476" i="1" a="1"/>
  <c r="BD476" i="1" s="1"/>
  <c r="BC476" i="1" a="1"/>
  <c r="BC476" i="1" s="1"/>
  <c r="BE475" i="1" a="1"/>
  <c r="BE475" i="1" s="1"/>
  <c r="BD475" i="1" a="1"/>
  <c r="BD475" i="1" s="1"/>
  <c r="BC475" i="1" a="1"/>
  <c r="BC475" i="1" s="1"/>
  <c r="BE474" i="1" a="1"/>
  <c r="BE474" i="1" s="1"/>
  <c r="BD474" i="1" a="1"/>
  <c r="BD474" i="1" s="1"/>
  <c r="BC474" i="1" a="1"/>
  <c r="BC474" i="1" s="1"/>
  <c r="BE473" i="1" a="1"/>
  <c r="BE473" i="1" s="1"/>
  <c r="BD473" i="1" a="1"/>
  <c r="BD473" i="1" s="1"/>
  <c r="BC473" i="1" a="1"/>
  <c r="BC473" i="1" s="1"/>
  <c r="BE472" i="1" a="1"/>
  <c r="BE472" i="1" s="1"/>
  <c r="BD472" i="1" a="1"/>
  <c r="BD472" i="1" s="1"/>
  <c r="BC472" i="1" a="1"/>
  <c r="BC472" i="1" s="1"/>
  <c r="BE471" i="1" a="1"/>
  <c r="BE471" i="1" s="1"/>
  <c r="BD471" i="1" a="1"/>
  <c r="BD471" i="1" s="1"/>
  <c r="BC471" i="1" a="1"/>
  <c r="BC471" i="1" s="1"/>
  <c r="BE470" i="1" a="1"/>
  <c r="BE470" i="1" s="1"/>
  <c r="BD470" i="1" a="1"/>
  <c r="BD470" i="1" s="1"/>
  <c r="BC470" i="1" a="1"/>
  <c r="BC470" i="1" s="1"/>
  <c r="BE469" i="1" a="1"/>
  <c r="BE469" i="1" s="1"/>
  <c r="BD469" i="1" a="1"/>
  <c r="BD469" i="1" s="1"/>
  <c r="BC469" i="1" a="1"/>
  <c r="BC469" i="1" s="1"/>
  <c r="BE468" i="1" a="1"/>
  <c r="BE468" i="1" s="1"/>
  <c r="BD468" i="1" a="1"/>
  <c r="BD468" i="1" s="1"/>
  <c r="BC468" i="1" a="1"/>
  <c r="BC468" i="1" s="1"/>
  <c r="BE467" i="1"/>
  <c r="BE467" i="1" a="1"/>
  <c r="BD467" i="1" a="1"/>
  <c r="BD467" i="1" s="1"/>
  <c r="BC467" i="1" a="1"/>
  <c r="BC467" i="1" s="1"/>
  <c r="BE466" i="1" a="1"/>
  <c r="BE466" i="1" s="1"/>
  <c r="BD466" i="1" a="1"/>
  <c r="BD466" i="1" s="1"/>
  <c r="BC466" i="1" a="1"/>
  <c r="BC466" i="1" s="1"/>
  <c r="BE465" i="1" a="1"/>
  <c r="BE465" i="1" s="1"/>
  <c r="BD465" i="1" a="1"/>
  <c r="BD465" i="1" s="1"/>
  <c r="BC465" i="1" a="1"/>
  <c r="BC465" i="1" s="1"/>
  <c r="BE464" i="1" a="1"/>
  <c r="BE464" i="1" s="1"/>
  <c r="BD464" i="1"/>
  <c r="BD464" i="1" a="1"/>
  <c r="BC464" i="1" a="1"/>
  <c r="BC464" i="1" s="1"/>
  <c r="BE463" i="1" a="1"/>
  <c r="BE463" i="1" s="1"/>
  <c r="BD463" i="1" a="1"/>
  <c r="BD463" i="1" s="1"/>
  <c r="BC463" i="1" a="1"/>
  <c r="BC463" i="1" s="1"/>
  <c r="BE462" i="1" a="1"/>
  <c r="BE462" i="1" s="1"/>
  <c r="BD462" i="1" a="1"/>
  <c r="BD462" i="1" s="1"/>
  <c r="BC462" i="1" a="1"/>
  <c r="BC462" i="1" s="1"/>
  <c r="BE461" i="1" a="1"/>
  <c r="BE461" i="1" s="1"/>
  <c r="BD461" i="1" a="1"/>
  <c r="BD461" i="1" s="1"/>
  <c r="BC461" i="1"/>
  <c r="BC461" i="1" a="1"/>
  <c r="BE460" i="1" a="1"/>
  <c r="BE460" i="1" s="1"/>
  <c r="BD460" i="1" a="1"/>
  <c r="BD460" i="1" s="1"/>
  <c r="BC460" i="1" a="1"/>
  <c r="BC460" i="1" s="1"/>
  <c r="BE459" i="1" a="1"/>
  <c r="BE459" i="1" s="1"/>
  <c r="BD459" i="1" a="1"/>
  <c r="BD459" i="1" s="1"/>
  <c r="BC459" i="1" a="1"/>
  <c r="BC459" i="1" s="1"/>
  <c r="BE450" i="1" a="1"/>
  <c r="BE450" i="1" s="1"/>
  <c r="BD450" i="1" a="1"/>
  <c r="BD450" i="1" s="1"/>
  <c r="BC450" i="1" a="1"/>
  <c r="BC450" i="1" s="1"/>
  <c r="BE449" i="1"/>
  <c r="BE449" i="1" a="1"/>
  <c r="BD449" i="1" a="1"/>
  <c r="BD449" i="1" s="1"/>
  <c r="BC449" i="1" a="1"/>
  <c r="BC449" i="1" s="1"/>
  <c r="BE448" i="1" a="1"/>
  <c r="BE448" i="1" s="1"/>
  <c r="BD448" i="1" a="1"/>
  <c r="BD448" i="1" s="1"/>
  <c r="BC448" i="1"/>
  <c r="BC448" i="1" a="1"/>
  <c r="BE447" i="1" a="1"/>
  <c r="BE447" i="1" s="1"/>
  <c r="BD447" i="1" a="1"/>
  <c r="BD447" i="1" s="1"/>
  <c r="BC447" i="1" a="1"/>
  <c r="BC447" i="1" s="1"/>
  <c r="BE446" i="1" a="1"/>
  <c r="BE446" i="1" s="1"/>
  <c r="BD446" i="1"/>
  <c r="BD446" i="1" a="1"/>
  <c r="BC446" i="1" a="1"/>
  <c r="BC446" i="1" s="1"/>
  <c r="BE445" i="1" a="1"/>
  <c r="BE445" i="1" s="1"/>
  <c r="BD445" i="1" a="1"/>
  <c r="BD445" i="1" s="1"/>
  <c r="BC445" i="1" a="1"/>
  <c r="BC445" i="1" s="1"/>
  <c r="BE444" i="1"/>
  <c r="BE444" i="1" a="1"/>
  <c r="BD444" i="1" a="1"/>
  <c r="BD444" i="1" s="1"/>
  <c r="BC444" i="1" a="1"/>
  <c r="BC444" i="1" s="1"/>
  <c r="BE443" i="1" a="1"/>
  <c r="BE443" i="1" s="1"/>
  <c r="BD443" i="1" a="1"/>
  <c r="BD443" i="1" s="1"/>
  <c r="BC443" i="1"/>
  <c r="BC443" i="1" a="1"/>
  <c r="BE442" i="1" a="1"/>
  <c r="BE442" i="1" s="1"/>
  <c r="BD442" i="1" a="1"/>
  <c r="BD442" i="1" s="1"/>
  <c r="BC442" i="1" a="1"/>
  <c r="BC442" i="1" s="1"/>
  <c r="BE441" i="1" a="1"/>
  <c r="BE441" i="1" s="1"/>
  <c r="BD441" i="1"/>
  <c r="BD441" i="1" a="1"/>
  <c r="BC441" i="1" a="1"/>
  <c r="BC441" i="1" s="1"/>
  <c r="BE440" i="1" a="1"/>
  <c r="BE440" i="1" s="1"/>
  <c r="BD440" i="1" a="1"/>
  <c r="BD440" i="1" s="1"/>
  <c r="BC440" i="1" a="1"/>
  <c r="BC440" i="1" s="1"/>
  <c r="BE439" i="1"/>
  <c r="BE439" i="1" a="1"/>
  <c r="BD439" i="1" a="1"/>
  <c r="BD439" i="1" s="1"/>
  <c r="BC439" i="1" a="1"/>
  <c r="BC439" i="1" s="1"/>
  <c r="BE438" i="1" a="1"/>
  <c r="BE438" i="1" s="1"/>
  <c r="BD438" i="1" a="1"/>
  <c r="BD438" i="1" s="1"/>
  <c r="BC438" i="1"/>
  <c r="BC438" i="1" a="1"/>
  <c r="BE437" i="1" a="1"/>
  <c r="BE437" i="1" s="1"/>
  <c r="BD437" i="1" a="1"/>
  <c r="BD437" i="1" s="1"/>
  <c r="BC437" i="1" a="1"/>
  <c r="BC437" i="1" s="1"/>
  <c r="BE436" i="1" a="1"/>
  <c r="BE436" i="1" s="1"/>
  <c r="BD436" i="1"/>
  <c r="BD436" i="1" a="1"/>
  <c r="BC436" i="1" a="1"/>
  <c r="BC436" i="1" s="1"/>
  <c r="BE435" i="1" a="1"/>
  <c r="BE435" i="1" s="1"/>
  <c r="BD435" i="1" a="1"/>
  <c r="BD435" i="1" s="1"/>
  <c r="BC435" i="1" a="1"/>
  <c r="BC435" i="1" s="1"/>
  <c r="BE434" i="1"/>
  <c r="BE434" i="1" a="1"/>
  <c r="BD434" i="1" a="1"/>
  <c r="BD434" i="1" s="1"/>
  <c r="BC434" i="1" a="1"/>
  <c r="BC434" i="1" s="1"/>
  <c r="BE433" i="1" a="1"/>
  <c r="BE433" i="1" s="1"/>
  <c r="BD433" i="1" a="1"/>
  <c r="BD433" i="1" s="1"/>
  <c r="BC433" i="1"/>
  <c r="BC433" i="1" a="1"/>
  <c r="BE432" i="1" a="1"/>
  <c r="BE432" i="1" s="1"/>
  <c r="BD432" i="1" a="1"/>
  <c r="BD432" i="1" s="1"/>
  <c r="BC432" i="1" a="1"/>
  <c r="BC432" i="1" s="1"/>
  <c r="BE431" i="1" a="1"/>
  <c r="BE431" i="1" s="1"/>
  <c r="BD431" i="1" a="1"/>
  <c r="BD431" i="1" s="1"/>
  <c r="BC431" i="1" a="1"/>
  <c r="BC431" i="1" s="1"/>
  <c r="BE430" i="1" a="1"/>
  <c r="BE430" i="1" s="1"/>
  <c r="BD430" i="1" a="1"/>
  <c r="BD430" i="1" s="1"/>
  <c r="BC430" i="1" a="1"/>
  <c r="BC430" i="1" s="1"/>
  <c r="BE429" i="1" a="1"/>
  <c r="BE429" i="1" s="1"/>
  <c r="BD429" i="1" a="1"/>
  <c r="BD429" i="1" s="1"/>
  <c r="BC429" i="1" a="1"/>
  <c r="BC429" i="1" s="1"/>
  <c r="BE428" i="1" a="1"/>
  <c r="BE428" i="1" s="1"/>
  <c r="BD428" i="1" a="1"/>
  <c r="BD428" i="1" s="1"/>
  <c r="BC428" i="1"/>
  <c r="BC428" i="1" a="1"/>
  <c r="BE427" i="1" a="1"/>
  <c r="BE427" i="1" s="1"/>
  <c r="BD427" i="1" a="1"/>
  <c r="BD427" i="1" s="1"/>
  <c r="BC427" i="1" a="1"/>
  <c r="BC427" i="1" s="1"/>
  <c r="BE426" i="1" a="1"/>
  <c r="BE426" i="1" s="1"/>
  <c r="BD426" i="1"/>
  <c r="BD426" i="1" a="1"/>
  <c r="BC426" i="1" a="1"/>
  <c r="BC426" i="1" s="1"/>
  <c r="BE425" i="1" a="1"/>
  <c r="BE425" i="1" s="1"/>
  <c r="BD425" i="1" a="1"/>
  <c r="BD425" i="1" s="1"/>
  <c r="BC425" i="1" a="1"/>
  <c r="BC425" i="1" s="1"/>
  <c r="BE424" i="1"/>
  <c r="BE424" i="1" a="1"/>
  <c r="BD424" i="1" a="1"/>
  <c r="BD424" i="1" s="1"/>
  <c r="BC424" i="1" a="1"/>
  <c r="BC424" i="1" s="1"/>
  <c r="BE423" i="1" a="1"/>
  <c r="BE423" i="1" s="1"/>
  <c r="BD423" i="1" a="1"/>
  <c r="BD423" i="1" s="1"/>
  <c r="BC423" i="1"/>
  <c r="BC423" i="1" a="1"/>
  <c r="BE422" i="1" a="1"/>
  <c r="BE422" i="1" s="1"/>
  <c r="BD422" i="1" a="1"/>
  <c r="BD422" i="1" s="1"/>
  <c r="BC422" i="1" a="1"/>
  <c r="BC422" i="1" s="1"/>
  <c r="BE421" i="1" a="1"/>
  <c r="BE421" i="1" s="1"/>
  <c r="BD421" i="1"/>
  <c r="BD421" i="1" a="1"/>
  <c r="BC421" i="1" a="1"/>
  <c r="BC421" i="1" s="1"/>
  <c r="BE420" i="1" a="1"/>
  <c r="BE420" i="1" s="1"/>
  <c r="BD420" i="1" a="1"/>
  <c r="BD420" i="1" s="1"/>
  <c r="BC420" i="1" a="1"/>
  <c r="BC420" i="1" s="1"/>
  <c r="BD419" i="1" a="1"/>
  <c r="BD419" i="1" s="1"/>
  <c r="BC419" i="1" a="1"/>
  <c r="BC419" i="1" s="1"/>
  <c r="BE418" i="1" a="1"/>
  <c r="BE418" i="1" s="1"/>
  <c r="BD418" i="1" a="1"/>
  <c r="BD418" i="1" s="1"/>
  <c r="BC418" i="1"/>
  <c r="BC418" i="1" a="1"/>
  <c r="BE417" i="1" a="1"/>
  <c r="BE417" i="1" s="1"/>
  <c r="BD417" i="1" a="1"/>
  <c r="BD417" i="1" s="1"/>
  <c r="BC417" i="1" a="1"/>
  <c r="BC417" i="1" s="1"/>
  <c r="BE416" i="1" a="1"/>
  <c r="BE416" i="1" s="1"/>
  <c r="BD416" i="1"/>
  <c r="BD416" i="1" a="1"/>
  <c r="BC416" i="1" a="1"/>
  <c r="BC416" i="1" s="1"/>
  <c r="BE415" i="1" a="1"/>
  <c r="BE415" i="1" s="1"/>
  <c r="BD415" i="1" a="1"/>
  <c r="BD415" i="1" s="1"/>
  <c r="BC415" i="1" a="1"/>
  <c r="BC415" i="1" s="1"/>
  <c r="BE414" i="1"/>
  <c r="BE414" i="1" a="1"/>
  <c r="BD414" i="1" a="1"/>
  <c r="BD414" i="1" s="1"/>
  <c r="BC414" i="1" a="1"/>
  <c r="BC414" i="1" s="1"/>
  <c r="BE405" i="1" a="1"/>
  <c r="BE405" i="1" s="1"/>
  <c r="BD405" i="1" a="1"/>
  <c r="BD405" i="1" s="1"/>
  <c r="BC405" i="1" a="1"/>
  <c r="BC405" i="1" s="1"/>
  <c r="BE404" i="1" a="1"/>
  <c r="BE404" i="1" s="1"/>
  <c r="BD404" i="1" a="1"/>
  <c r="BD404" i="1" s="1"/>
  <c r="BC404" i="1" a="1"/>
  <c r="BC404" i="1" s="1"/>
  <c r="BE403" i="1" a="1"/>
  <c r="BE403" i="1" s="1"/>
  <c r="BD403" i="1" a="1"/>
  <c r="BD403" i="1" s="1"/>
  <c r="BC403" i="1" a="1"/>
  <c r="BC403" i="1" s="1"/>
  <c r="BE402" i="1" a="1"/>
  <c r="BE402" i="1" s="1"/>
  <c r="BD402" i="1" a="1"/>
  <c r="BD402" i="1" s="1"/>
  <c r="BC402" i="1" a="1"/>
  <c r="BC402" i="1" s="1"/>
  <c r="BE401" i="1" a="1"/>
  <c r="BE401" i="1" s="1"/>
  <c r="BD401" i="1" a="1"/>
  <c r="BD401" i="1" s="1"/>
  <c r="BC401" i="1" a="1"/>
  <c r="BC401" i="1" s="1"/>
  <c r="BE400" i="1" a="1"/>
  <c r="BE400" i="1" s="1"/>
  <c r="BD400" i="1" a="1"/>
  <c r="BD400" i="1" s="1"/>
  <c r="BC400" i="1" a="1"/>
  <c r="BC400" i="1" s="1"/>
  <c r="BE399" i="1" a="1"/>
  <c r="BE399" i="1" s="1"/>
  <c r="BD399" i="1" a="1"/>
  <c r="BD399" i="1" s="1"/>
  <c r="BC399" i="1" a="1"/>
  <c r="BC399" i="1" s="1"/>
  <c r="BE398" i="1" a="1"/>
  <c r="BE398" i="1" s="1"/>
  <c r="BD398" i="1" a="1"/>
  <c r="BD398" i="1" s="1"/>
  <c r="BC398" i="1" a="1"/>
  <c r="BC398" i="1" s="1"/>
  <c r="BE397" i="1" a="1"/>
  <c r="BE397" i="1" s="1"/>
  <c r="BD397" i="1" a="1"/>
  <c r="BD397" i="1" s="1"/>
  <c r="BC397" i="1" a="1"/>
  <c r="BC397" i="1" s="1"/>
  <c r="BE396" i="1" a="1"/>
  <c r="BE396" i="1" s="1"/>
  <c r="BD396" i="1" a="1"/>
  <c r="BD396" i="1" s="1"/>
  <c r="BC396" i="1" a="1"/>
  <c r="BC396" i="1" s="1"/>
  <c r="BE395" i="1" a="1"/>
  <c r="BE395" i="1" s="1"/>
  <c r="BD395" i="1" a="1"/>
  <c r="BD395" i="1" s="1"/>
  <c r="BC395" i="1" a="1"/>
  <c r="BC395" i="1" s="1"/>
  <c r="BE394" i="1" a="1"/>
  <c r="BE394" i="1" s="1"/>
  <c r="BD394" i="1" a="1"/>
  <c r="BD394" i="1" s="1"/>
  <c r="BC394" i="1" a="1"/>
  <c r="BC394" i="1" s="1"/>
  <c r="BE393" i="1" a="1"/>
  <c r="BE393" i="1" s="1"/>
  <c r="BD393" i="1" a="1"/>
  <c r="BD393" i="1" s="1"/>
  <c r="BC393" i="1" a="1"/>
  <c r="BC393" i="1" s="1"/>
  <c r="BE392" i="1" a="1"/>
  <c r="BE392" i="1" s="1"/>
  <c r="BD392" i="1" a="1"/>
  <c r="BD392" i="1" s="1"/>
  <c r="BC392" i="1" a="1"/>
  <c r="BC392" i="1" s="1"/>
  <c r="BE391" i="1" a="1"/>
  <c r="BE391" i="1" s="1"/>
  <c r="BD391" i="1" a="1"/>
  <c r="BD391" i="1" s="1"/>
  <c r="BC391" i="1" a="1"/>
  <c r="BC391" i="1" s="1"/>
  <c r="BE390" i="1" a="1"/>
  <c r="BE390" i="1" s="1"/>
  <c r="BD390" i="1" a="1"/>
  <c r="BD390" i="1" s="1"/>
  <c r="BC390" i="1" a="1"/>
  <c r="BC390" i="1" s="1"/>
  <c r="BE389" i="1" a="1"/>
  <c r="BE389" i="1" s="1"/>
  <c r="BD389" i="1" a="1"/>
  <c r="BD389" i="1" s="1"/>
  <c r="BC389" i="1" a="1"/>
  <c r="BC389" i="1" s="1"/>
  <c r="BE388" i="1" a="1"/>
  <c r="BE388" i="1" s="1"/>
  <c r="BD388" i="1" a="1"/>
  <c r="BD388" i="1" s="1"/>
  <c r="BC388" i="1" a="1"/>
  <c r="BC388" i="1" s="1"/>
  <c r="BE387" i="1" a="1"/>
  <c r="BE387" i="1" s="1"/>
  <c r="BD387" i="1" a="1"/>
  <c r="BD387" i="1" s="1"/>
  <c r="BC387" i="1" a="1"/>
  <c r="BC387" i="1" s="1"/>
  <c r="BE386" i="1" a="1"/>
  <c r="BE386" i="1" s="1"/>
  <c r="BD386" i="1" a="1"/>
  <c r="BD386" i="1" s="1"/>
  <c r="BC386" i="1" a="1"/>
  <c r="BC386" i="1" s="1"/>
  <c r="BE385" i="1" a="1"/>
  <c r="BE385" i="1" s="1"/>
  <c r="BD385" i="1" a="1"/>
  <c r="BD385" i="1" s="1"/>
  <c r="BC385" i="1" a="1"/>
  <c r="BC385" i="1" s="1"/>
  <c r="BE384" i="1" a="1"/>
  <c r="BE384" i="1" s="1"/>
  <c r="BD384" i="1" a="1"/>
  <c r="BD384" i="1" s="1"/>
  <c r="BC384" i="1" a="1"/>
  <c r="BC384" i="1" s="1"/>
  <c r="BE383" i="1" a="1"/>
  <c r="BE383" i="1" s="1"/>
  <c r="BD383" i="1" a="1"/>
  <c r="BD383" i="1" s="1"/>
  <c r="BC383" i="1" a="1"/>
  <c r="BC383" i="1" s="1"/>
  <c r="BE382" i="1" a="1"/>
  <c r="BE382" i="1" s="1"/>
  <c r="BD382" i="1" a="1"/>
  <c r="BD382" i="1" s="1"/>
  <c r="BC382" i="1" a="1"/>
  <c r="BC382" i="1" s="1"/>
  <c r="BE381" i="1" a="1"/>
  <c r="BE381" i="1" s="1"/>
  <c r="BD381" i="1" a="1"/>
  <c r="BD381" i="1" s="1"/>
  <c r="BC381" i="1" a="1"/>
  <c r="BC381" i="1" s="1"/>
  <c r="BE380" i="1" a="1"/>
  <c r="BE380" i="1" s="1"/>
  <c r="BD380" i="1" a="1"/>
  <c r="BD380" i="1" s="1"/>
  <c r="BC380" i="1" a="1"/>
  <c r="BC380" i="1" s="1"/>
  <c r="BE379" i="1" a="1"/>
  <c r="BE379" i="1" s="1"/>
  <c r="BD379" i="1" a="1"/>
  <c r="BD379" i="1" s="1"/>
  <c r="BC379" i="1" a="1"/>
  <c r="BC379" i="1" s="1"/>
  <c r="BE378" i="1" a="1"/>
  <c r="BE378" i="1" s="1"/>
  <c r="BD378" i="1" a="1"/>
  <c r="BD378" i="1" s="1"/>
  <c r="BC378" i="1" a="1"/>
  <c r="BC378" i="1" s="1"/>
  <c r="BE377" i="1" a="1"/>
  <c r="BE377" i="1" s="1"/>
  <c r="BD377" i="1" a="1"/>
  <c r="BD377" i="1" s="1"/>
  <c r="BC377" i="1" a="1"/>
  <c r="BC377" i="1" s="1"/>
  <c r="BE376" i="1" a="1"/>
  <c r="BE376" i="1" s="1"/>
  <c r="BD376" i="1" a="1"/>
  <c r="BD376" i="1" s="1"/>
  <c r="BC376" i="1" a="1"/>
  <c r="BC376" i="1" s="1"/>
  <c r="BE375" i="1" a="1"/>
  <c r="BE375" i="1" s="1"/>
  <c r="BD375" i="1" a="1"/>
  <c r="BD375" i="1" s="1"/>
  <c r="BC375" i="1" a="1"/>
  <c r="BC375" i="1" s="1"/>
  <c r="BE374" i="1" a="1"/>
  <c r="BE374" i="1" s="1"/>
  <c r="BD374" i="1" a="1"/>
  <c r="BD374" i="1" s="1"/>
  <c r="BC374" i="1" a="1"/>
  <c r="BC374" i="1" s="1"/>
  <c r="BE373" i="1" a="1"/>
  <c r="BE373" i="1" s="1"/>
  <c r="BD373" i="1" a="1"/>
  <c r="BD373" i="1" s="1"/>
  <c r="BC373" i="1" a="1"/>
  <c r="BC373" i="1" s="1"/>
  <c r="BE372" i="1" a="1"/>
  <c r="BE372" i="1" s="1"/>
  <c r="BD372" i="1" a="1"/>
  <c r="BD372" i="1" s="1"/>
  <c r="BC372" i="1" a="1"/>
  <c r="BC372" i="1" s="1"/>
  <c r="BE371" i="1" a="1"/>
  <c r="BE371" i="1" s="1"/>
  <c r="BD371" i="1" a="1"/>
  <c r="BD371" i="1" s="1"/>
  <c r="BC371" i="1" a="1"/>
  <c r="BC371" i="1" s="1"/>
  <c r="BE370" i="1" a="1"/>
  <c r="BE370" i="1" s="1"/>
  <c r="BD370" i="1" a="1"/>
  <c r="BD370" i="1" s="1"/>
  <c r="BC370" i="1" a="1"/>
  <c r="BC370" i="1" s="1"/>
  <c r="BE369" i="1" a="1"/>
  <c r="BE369" i="1" s="1"/>
  <c r="BD369" i="1" a="1"/>
  <c r="BD369" i="1" s="1"/>
  <c r="BC369" i="1" a="1"/>
  <c r="BC369" i="1" s="1"/>
  <c r="BE360" i="1" a="1"/>
  <c r="BE360" i="1" s="1"/>
  <c r="BD360" i="1" a="1"/>
  <c r="BD360" i="1" s="1"/>
  <c r="BC360" i="1" a="1"/>
  <c r="BC360" i="1" s="1"/>
  <c r="BE359" i="1"/>
  <c r="BE359" i="1" a="1"/>
  <c r="BD359" i="1" a="1"/>
  <c r="BD359" i="1" s="1"/>
  <c r="BC359" i="1" a="1"/>
  <c r="BC359" i="1" s="1"/>
  <c r="BE358" i="1" a="1"/>
  <c r="BE358" i="1" s="1"/>
  <c r="BD358" i="1" a="1"/>
  <c r="BD358" i="1" s="1"/>
  <c r="BC358" i="1"/>
  <c r="BC358" i="1" a="1"/>
  <c r="BE357" i="1" a="1"/>
  <c r="BE357" i="1" s="1"/>
  <c r="BD357" i="1" a="1"/>
  <c r="BD357" i="1" s="1"/>
  <c r="BC357" i="1" a="1"/>
  <c r="BC357" i="1" s="1"/>
  <c r="BE356" i="1" a="1"/>
  <c r="BE356" i="1" s="1"/>
  <c r="BD356" i="1"/>
  <c r="BD356" i="1" a="1"/>
  <c r="BC356" i="1" a="1"/>
  <c r="BC356" i="1" s="1"/>
  <c r="BE355" i="1" a="1"/>
  <c r="BE355" i="1" s="1"/>
  <c r="BD355" i="1" a="1"/>
  <c r="BD355" i="1" s="1"/>
  <c r="BC355" i="1" a="1"/>
  <c r="BC355" i="1" s="1"/>
  <c r="BE354" i="1"/>
  <c r="BE354" i="1" a="1"/>
  <c r="BD354" i="1" a="1"/>
  <c r="BD354" i="1" s="1"/>
  <c r="BC354" i="1" a="1"/>
  <c r="BC354" i="1" s="1"/>
  <c r="BE353" i="1" a="1"/>
  <c r="BE353" i="1" s="1"/>
  <c r="BD353" i="1" a="1"/>
  <c r="BD353" i="1" s="1"/>
  <c r="BC353" i="1"/>
  <c r="BC353" i="1" a="1"/>
  <c r="BE352" i="1" a="1"/>
  <c r="BE352" i="1" s="1"/>
  <c r="BD352" i="1" a="1"/>
  <c r="BD352" i="1" s="1"/>
  <c r="BC352" i="1" a="1"/>
  <c r="BC352" i="1" s="1"/>
  <c r="BE351" i="1" a="1"/>
  <c r="BE351" i="1" s="1"/>
  <c r="BD351" i="1"/>
  <c r="BD351" i="1" a="1"/>
  <c r="BC351" i="1" a="1"/>
  <c r="BC351" i="1" s="1"/>
  <c r="BE350" i="1" a="1"/>
  <c r="BE350" i="1" s="1"/>
  <c r="BD350" i="1" a="1"/>
  <c r="BD350" i="1" s="1"/>
  <c r="BC350" i="1" a="1"/>
  <c r="BC350" i="1" s="1"/>
  <c r="BE349" i="1"/>
  <c r="BE349" i="1" a="1"/>
  <c r="BD349" i="1" a="1"/>
  <c r="BD349" i="1" s="1"/>
  <c r="BC349" i="1" a="1"/>
  <c r="BC349" i="1" s="1"/>
  <c r="BE348" i="1" a="1"/>
  <c r="BE348" i="1" s="1"/>
  <c r="BD348" i="1" a="1"/>
  <c r="BD348" i="1" s="1"/>
  <c r="BC348" i="1"/>
  <c r="BC348" i="1" a="1"/>
  <c r="BE347" i="1" a="1"/>
  <c r="BE347" i="1" s="1"/>
  <c r="BD347" i="1" a="1"/>
  <c r="BD347" i="1" s="1"/>
  <c r="BC347" i="1" a="1"/>
  <c r="BC347" i="1" s="1"/>
  <c r="BE346" i="1" a="1"/>
  <c r="BE346" i="1" s="1"/>
  <c r="BD346" i="1"/>
  <c r="BD346" i="1" a="1"/>
  <c r="BC346" i="1" a="1"/>
  <c r="BC346" i="1" s="1"/>
  <c r="BE345" i="1" a="1"/>
  <c r="BE345" i="1" s="1"/>
  <c r="BD345" i="1" a="1"/>
  <c r="BD345" i="1" s="1"/>
  <c r="BC345" i="1" a="1"/>
  <c r="BC345" i="1" s="1"/>
  <c r="BE344" i="1"/>
  <c r="BE344" i="1" a="1"/>
  <c r="BD344" i="1" a="1"/>
  <c r="BD344" i="1" s="1"/>
  <c r="BC344" i="1" a="1"/>
  <c r="BC344" i="1" s="1"/>
  <c r="BE343" i="1" a="1"/>
  <c r="BE343" i="1" s="1"/>
  <c r="BD343" i="1" a="1"/>
  <c r="BD343" i="1" s="1"/>
  <c r="BC343" i="1"/>
  <c r="BC343" i="1" a="1"/>
  <c r="BE342" i="1" a="1"/>
  <c r="BE342" i="1" s="1"/>
  <c r="BD342" i="1" a="1"/>
  <c r="BD342" i="1" s="1"/>
  <c r="BC342" i="1" a="1"/>
  <c r="BC342" i="1" s="1"/>
  <c r="BE341" i="1" a="1"/>
  <c r="BE341" i="1" s="1"/>
  <c r="BD341" i="1"/>
  <c r="BD341" i="1" a="1"/>
  <c r="BC341" i="1" a="1"/>
  <c r="BC341" i="1" s="1"/>
  <c r="BE340" i="1" a="1"/>
  <c r="BE340" i="1" s="1"/>
  <c r="BD340" i="1" a="1"/>
  <c r="BD340" i="1" s="1"/>
  <c r="BC340" i="1" a="1"/>
  <c r="BC340" i="1" s="1"/>
  <c r="BE339" i="1" a="1"/>
  <c r="BE339" i="1" s="1"/>
  <c r="BD339" i="1" a="1"/>
  <c r="BD339" i="1" s="1"/>
  <c r="BC339" i="1" a="1"/>
  <c r="BC339" i="1" s="1"/>
  <c r="BE338" i="1" a="1"/>
  <c r="BE338" i="1" s="1"/>
  <c r="BD338" i="1" a="1"/>
  <c r="BD338" i="1" s="1"/>
  <c r="BC338" i="1"/>
  <c r="BC338" i="1" a="1"/>
  <c r="BE337" i="1" a="1"/>
  <c r="BE337" i="1" s="1"/>
  <c r="BD337" i="1" a="1"/>
  <c r="BD337" i="1" s="1"/>
  <c r="BC337" i="1" a="1"/>
  <c r="BC337" i="1" s="1"/>
  <c r="BE336" i="1" a="1"/>
  <c r="BE336" i="1" s="1"/>
  <c r="BD336" i="1"/>
  <c r="BD336" i="1" a="1"/>
  <c r="BC336" i="1" a="1"/>
  <c r="BC336" i="1" s="1"/>
  <c r="BE335" i="1" a="1"/>
  <c r="BE335" i="1" s="1"/>
  <c r="BD335" i="1" a="1"/>
  <c r="BD335" i="1" s="1"/>
  <c r="BC335" i="1" a="1"/>
  <c r="BC335" i="1" s="1"/>
  <c r="BE334" i="1"/>
  <c r="BE334" i="1" a="1"/>
  <c r="BD334" i="1" a="1"/>
  <c r="BD334" i="1" s="1"/>
  <c r="BC334" i="1" a="1"/>
  <c r="BC334" i="1" s="1"/>
  <c r="BE333" i="1" a="1"/>
  <c r="BE333" i="1" s="1"/>
  <c r="BD333" i="1" a="1"/>
  <c r="BD333" i="1" s="1"/>
  <c r="BC333" i="1"/>
  <c r="BC333" i="1" a="1"/>
  <c r="BE332" i="1" a="1"/>
  <c r="BE332" i="1" s="1"/>
  <c r="BD332" i="1" a="1"/>
  <c r="BD332" i="1" s="1"/>
  <c r="BC332" i="1" a="1"/>
  <c r="BC332" i="1" s="1"/>
  <c r="BE331" i="1" a="1"/>
  <c r="BE331" i="1" s="1"/>
  <c r="BD331" i="1"/>
  <c r="BD331" i="1" a="1"/>
  <c r="BC331" i="1" a="1"/>
  <c r="BC331" i="1" s="1"/>
  <c r="BE330" i="1" a="1"/>
  <c r="BE330" i="1" s="1"/>
  <c r="BD330" i="1" a="1"/>
  <c r="BD330" i="1" s="1"/>
  <c r="BC330" i="1" a="1"/>
  <c r="BC330" i="1" s="1"/>
  <c r="BE329" i="1"/>
  <c r="BE329" i="1" a="1"/>
  <c r="BD329" i="1" a="1"/>
  <c r="BD329" i="1" s="1"/>
  <c r="BC329" i="1" a="1"/>
  <c r="BC329" i="1" s="1"/>
  <c r="BE328" i="1" a="1"/>
  <c r="BE328" i="1" s="1"/>
  <c r="BD328" i="1" a="1"/>
  <c r="BD328" i="1" s="1"/>
  <c r="BC328" i="1"/>
  <c r="BC328" i="1" a="1"/>
  <c r="BE327" i="1" a="1"/>
  <c r="BE327" i="1" s="1"/>
  <c r="BD327" i="1" a="1"/>
  <c r="BD327" i="1" s="1"/>
  <c r="BC327" i="1" a="1"/>
  <c r="BC327" i="1" s="1"/>
  <c r="BE326" i="1" a="1"/>
  <c r="BE326" i="1" s="1"/>
  <c r="BD326" i="1"/>
  <c r="BD326" i="1" a="1"/>
  <c r="BC326" i="1" a="1"/>
  <c r="BC326" i="1" s="1"/>
  <c r="BE325" i="1" a="1"/>
  <c r="BE325" i="1" s="1"/>
  <c r="BD325" i="1" a="1"/>
  <c r="BD325" i="1" s="1"/>
  <c r="BC325" i="1" a="1"/>
  <c r="BC325" i="1" s="1"/>
  <c r="BE324" i="1"/>
  <c r="BE324" i="1" a="1"/>
  <c r="BD324" i="1" a="1"/>
  <c r="BD324" i="1" s="1"/>
  <c r="BC324" i="1" a="1"/>
  <c r="BC324" i="1" s="1"/>
  <c r="BE315" i="1" a="1"/>
  <c r="BE315" i="1" s="1"/>
  <c r="BD315" i="1" a="1"/>
  <c r="BD315" i="1" s="1"/>
  <c r="BC315" i="1" a="1"/>
  <c r="BC315" i="1" s="1"/>
  <c r="BE314" i="1" a="1"/>
  <c r="BE314" i="1" s="1"/>
  <c r="BD314" i="1" a="1"/>
  <c r="BD314" i="1" s="1"/>
  <c r="BC314" i="1" a="1"/>
  <c r="BC314" i="1" s="1"/>
  <c r="BE313" i="1" a="1"/>
  <c r="BE313" i="1" s="1"/>
  <c r="BD313" i="1" a="1"/>
  <c r="BD313" i="1" s="1"/>
  <c r="BC313" i="1" a="1"/>
  <c r="BC313" i="1" s="1"/>
  <c r="BE312" i="1" a="1"/>
  <c r="BE312" i="1" s="1"/>
  <c r="BD312" i="1" a="1"/>
  <c r="BD312" i="1" s="1"/>
  <c r="BC312" i="1" a="1"/>
  <c r="BC312" i="1" s="1"/>
  <c r="BE311" i="1" a="1"/>
  <c r="BE311" i="1" s="1"/>
  <c r="BD311" i="1" a="1"/>
  <c r="BD311" i="1" s="1"/>
  <c r="BC311" i="1" a="1"/>
  <c r="BC311" i="1" s="1"/>
  <c r="BE310" i="1" a="1"/>
  <c r="BE310" i="1" s="1"/>
  <c r="BD310" i="1" a="1"/>
  <c r="BD310" i="1" s="1"/>
  <c r="BC310" i="1" a="1"/>
  <c r="BC310" i="1" s="1"/>
  <c r="BE309" i="1" a="1"/>
  <c r="BE309" i="1" s="1"/>
  <c r="BD309" i="1" a="1"/>
  <c r="BD309" i="1" s="1"/>
  <c r="BC309" i="1" a="1"/>
  <c r="BC309" i="1" s="1"/>
  <c r="BE308" i="1" a="1"/>
  <c r="BE308" i="1" s="1"/>
  <c r="BD308" i="1" a="1"/>
  <c r="BD308" i="1" s="1"/>
  <c r="BC308" i="1" a="1"/>
  <c r="BC308" i="1" s="1"/>
  <c r="BE307" i="1" a="1"/>
  <c r="BE307" i="1" s="1"/>
  <c r="BD307" i="1" a="1"/>
  <c r="BD307" i="1" s="1"/>
  <c r="BC307" i="1" a="1"/>
  <c r="BC307" i="1" s="1"/>
  <c r="BE306" i="1" a="1"/>
  <c r="BE306" i="1" s="1"/>
  <c r="BD306" i="1" a="1"/>
  <c r="BD306" i="1" s="1"/>
  <c r="BC306" i="1" a="1"/>
  <c r="BC306" i="1" s="1"/>
  <c r="BE305" i="1" a="1"/>
  <c r="BE305" i="1" s="1"/>
  <c r="BD305" i="1" a="1"/>
  <c r="BD305" i="1" s="1"/>
  <c r="BC305" i="1" a="1"/>
  <c r="BC305" i="1" s="1"/>
  <c r="BE304" i="1" a="1"/>
  <c r="BE304" i="1" s="1"/>
  <c r="BD304" i="1" a="1"/>
  <c r="BD304" i="1" s="1"/>
  <c r="BC304" i="1" a="1"/>
  <c r="BC304" i="1" s="1"/>
  <c r="BE303" i="1" a="1"/>
  <c r="BE303" i="1" s="1"/>
  <c r="BD303" i="1" a="1"/>
  <c r="BD303" i="1" s="1"/>
  <c r="BC303" i="1" a="1"/>
  <c r="BC303" i="1" s="1"/>
  <c r="BE302" i="1" a="1"/>
  <c r="BE302" i="1" s="1"/>
  <c r="BD302" i="1" a="1"/>
  <c r="BD302" i="1" s="1"/>
  <c r="BC302" i="1" a="1"/>
  <c r="BC302" i="1" s="1"/>
  <c r="BE301" i="1" a="1"/>
  <c r="BE301" i="1" s="1"/>
  <c r="BD301" i="1" a="1"/>
  <c r="BD301" i="1" s="1"/>
  <c r="BC301" i="1" a="1"/>
  <c r="BC301" i="1" s="1"/>
  <c r="BE300" i="1" a="1"/>
  <c r="BE300" i="1" s="1"/>
  <c r="BD300" i="1" a="1"/>
  <c r="BD300" i="1" s="1"/>
  <c r="BC300" i="1" a="1"/>
  <c r="BC300" i="1" s="1"/>
  <c r="BE299" i="1" a="1"/>
  <c r="BE299" i="1" s="1"/>
  <c r="BD299" i="1" a="1"/>
  <c r="BD299" i="1" s="1"/>
  <c r="BC299" i="1" a="1"/>
  <c r="BC299" i="1" s="1"/>
  <c r="BE298" i="1" a="1"/>
  <c r="BE298" i="1" s="1"/>
  <c r="BD298" i="1" a="1"/>
  <c r="BD298" i="1" s="1"/>
  <c r="BC298" i="1" a="1"/>
  <c r="BC298" i="1" s="1"/>
  <c r="BE297" i="1" a="1"/>
  <c r="BE297" i="1" s="1"/>
  <c r="BD297" i="1" a="1"/>
  <c r="BD297" i="1" s="1"/>
  <c r="BC297" i="1" a="1"/>
  <c r="BC297" i="1" s="1"/>
  <c r="BE296" i="1" a="1"/>
  <c r="BE296" i="1" s="1"/>
  <c r="BD296" i="1" a="1"/>
  <c r="BD296" i="1" s="1"/>
  <c r="BC296" i="1" a="1"/>
  <c r="BC296" i="1" s="1"/>
  <c r="BE295" i="1" a="1"/>
  <c r="BE295" i="1" s="1"/>
  <c r="BD295" i="1" a="1"/>
  <c r="BD295" i="1" s="1"/>
  <c r="BC295" i="1" a="1"/>
  <c r="BC295" i="1" s="1"/>
  <c r="BE294" i="1" a="1"/>
  <c r="BE294" i="1" s="1"/>
  <c r="BD294" i="1" a="1"/>
  <c r="BD294" i="1" s="1"/>
  <c r="BC294" i="1" a="1"/>
  <c r="BC294" i="1" s="1"/>
  <c r="BE293" i="1" a="1"/>
  <c r="BE293" i="1" s="1"/>
  <c r="BD293" i="1" a="1"/>
  <c r="BD293" i="1" s="1"/>
  <c r="BC293" i="1" a="1"/>
  <c r="BC293" i="1" s="1"/>
  <c r="BE292" i="1" a="1"/>
  <c r="BE292" i="1" s="1"/>
  <c r="BD292" i="1" a="1"/>
  <c r="BD292" i="1" s="1"/>
  <c r="BC292" i="1" a="1"/>
  <c r="BC292" i="1" s="1"/>
  <c r="BE291" i="1" a="1"/>
  <c r="BE291" i="1" s="1"/>
  <c r="BD291" i="1" a="1"/>
  <c r="BD291" i="1" s="1"/>
  <c r="BC291" i="1" a="1"/>
  <c r="BC291" i="1" s="1"/>
  <c r="BE290" i="1" a="1"/>
  <c r="BE290" i="1" s="1"/>
  <c r="BD290" i="1" a="1"/>
  <c r="BD290" i="1" s="1"/>
  <c r="BC290" i="1" a="1"/>
  <c r="BC290" i="1" s="1"/>
  <c r="BE289" i="1" a="1"/>
  <c r="BE289" i="1" s="1"/>
  <c r="BD289" i="1" a="1"/>
  <c r="BD289" i="1" s="1"/>
  <c r="BC289" i="1" a="1"/>
  <c r="BC289" i="1" s="1"/>
  <c r="BE288" i="1" a="1"/>
  <c r="BE288" i="1" s="1"/>
  <c r="BD288" i="1" a="1"/>
  <c r="BD288" i="1" s="1"/>
  <c r="BC288" i="1" a="1"/>
  <c r="BC288" i="1" s="1"/>
  <c r="BE287" i="1" a="1"/>
  <c r="BE287" i="1" s="1"/>
  <c r="BD287" i="1" a="1"/>
  <c r="BD287" i="1" s="1"/>
  <c r="BC287" i="1" a="1"/>
  <c r="BC287" i="1" s="1"/>
  <c r="BE286" i="1" a="1"/>
  <c r="BE286" i="1" s="1"/>
  <c r="BD286" i="1" a="1"/>
  <c r="BD286" i="1" s="1"/>
  <c r="BC286" i="1" a="1"/>
  <c r="BC286" i="1" s="1"/>
  <c r="BE285" i="1" a="1"/>
  <c r="BE285" i="1" s="1"/>
  <c r="BD285" i="1" a="1"/>
  <c r="BD285" i="1" s="1"/>
  <c r="BC285" i="1" a="1"/>
  <c r="BC285" i="1" s="1"/>
  <c r="BE284" i="1" a="1"/>
  <c r="BE284" i="1" s="1"/>
  <c r="BD284" i="1" a="1"/>
  <c r="BD284" i="1" s="1"/>
  <c r="BC284" i="1" a="1"/>
  <c r="BC284" i="1" s="1"/>
  <c r="BE283" i="1" a="1"/>
  <c r="BE283" i="1" s="1"/>
  <c r="BD283" i="1" a="1"/>
  <c r="BD283" i="1" s="1"/>
  <c r="BC283" i="1" a="1"/>
  <c r="BC283" i="1" s="1"/>
  <c r="BE282" i="1" a="1"/>
  <c r="BE282" i="1" s="1"/>
  <c r="BD282" i="1" a="1"/>
  <c r="BD282" i="1" s="1"/>
  <c r="BC282" i="1" a="1"/>
  <c r="BC282" i="1" s="1"/>
  <c r="BE281" i="1" a="1"/>
  <c r="BE281" i="1" s="1"/>
  <c r="BD281" i="1" a="1"/>
  <c r="BD281" i="1" s="1"/>
  <c r="BC281" i="1" a="1"/>
  <c r="BC281" i="1" s="1"/>
  <c r="BE280" i="1" a="1"/>
  <c r="BE280" i="1" s="1"/>
  <c r="BD280" i="1" a="1"/>
  <c r="BD280" i="1" s="1"/>
  <c r="BC280" i="1" a="1"/>
  <c r="BC280" i="1" s="1"/>
  <c r="BE279" i="1" a="1"/>
  <c r="BE279" i="1" s="1"/>
  <c r="BD279" i="1" a="1"/>
  <c r="BD279" i="1" s="1"/>
  <c r="BC279" i="1" a="1"/>
  <c r="BC279" i="1" s="1"/>
  <c r="BE270" i="1" a="1"/>
  <c r="BE270" i="1" s="1"/>
  <c r="BD270" i="1" a="1"/>
  <c r="BD270" i="1" s="1"/>
  <c r="BC270" i="1" a="1"/>
  <c r="BC270" i="1" s="1"/>
  <c r="BE269" i="1" a="1"/>
  <c r="BE269" i="1" s="1"/>
  <c r="BD269" i="1" a="1"/>
  <c r="BD269" i="1" s="1"/>
  <c r="BC269" i="1" a="1"/>
  <c r="BC269" i="1" s="1"/>
  <c r="BE268" i="1" a="1"/>
  <c r="BE268" i="1" s="1"/>
  <c r="BD268" i="1" a="1"/>
  <c r="BD268" i="1" s="1"/>
  <c r="BC268" i="1" a="1"/>
  <c r="BC268" i="1" s="1"/>
  <c r="BE267" i="1" a="1"/>
  <c r="BE267" i="1" s="1"/>
  <c r="BD267" i="1" a="1"/>
  <c r="BD267" i="1" s="1"/>
  <c r="BC267" i="1" a="1"/>
  <c r="BC267" i="1" s="1"/>
  <c r="BE266" i="1" a="1"/>
  <c r="BE266" i="1" s="1"/>
  <c r="BD266" i="1" a="1"/>
  <c r="BD266" i="1" s="1"/>
  <c r="BC266" i="1" a="1"/>
  <c r="BC266" i="1" s="1"/>
  <c r="BE265" i="1" a="1"/>
  <c r="BE265" i="1" s="1"/>
  <c r="BD265" i="1" a="1"/>
  <c r="BD265" i="1" s="1"/>
  <c r="BC265" i="1" a="1"/>
  <c r="BC265" i="1" s="1"/>
  <c r="BE264" i="1" a="1"/>
  <c r="BE264" i="1" s="1"/>
  <c r="BD264" i="1" a="1"/>
  <c r="BD264" i="1" s="1"/>
  <c r="BC264" i="1" a="1"/>
  <c r="BC264" i="1" s="1"/>
  <c r="BE263" i="1" a="1"/>
  <c r="BE263" i="1" s="1"/>
  <c r="BD263" i="1" a="1"/>
  <c r="BD263" i="1" s="1"/>
  <c r="BC263" i="1" a="1"/>
  <c r="BC263" i="1" s="1"/>
  <c r="BE262" i="1" a="1"/>
  <c r="BE262" i="1" s="1"/>
  <c r="BD262" i="1" a="1"/>
  <c r="BD262" i="1" s="1"/>
  <c r="BC262" i="1" a="1"/>
  <c r="BC262" i="1" s="1"/>
  <c r="BE261" i="1" a="1"/>
  <c r="BE261" i="1" s="1"/>
  <c r="BD261" i="1" a="1"/>
  <c r="BD261" i="1" s="1"/>
  <c r="BC261" i="1" a="1"/>
  <c r="BC261" i="1" s="1"/>
  <c r="BE260" i="1" a="1"/>
  <c r="BE260" i="1" s="1"/>
  <c r="BD260" i="1" a="1"/>
  <c r="BD260" i="1" s="1"/>
  <c r="BC260" i="1" a="1"/>
  <c r="BC260" i="1" s="1"/>
  <c r="BE259" i="1" a="1"/>
  <c r="BE259" i="1" s="1"/>
  <c r="BD259" i="1" a="1"/>
  <c r="BD259" i="1" s="1"/>
  <c r="BC259" i="1" a="1"/>
  <c r="BC259" i="1" s="1"/>
  <c r="BE258" i="1" a="1"/>
  <c r="BE258" i="1" s="1"/>
  <c r="BD258" i="1" a="1"/>
  <c r="BD258" i="1" s="1"/>
  <c r="BC258" i="1" a="1"/>
  <c r="BC258" i="1" s="1"/>
  <c r="BE257" i="1" a="1"/>
  <c r="BE257" i="1" s="1"/>
  <c r="BD257" i="1" a="1"/>
  <c r="BD257" i="1" s="1"/>
  <c r="BC257" i="1" a="1"/>
  <c r="BC257" i="1" s="1"/>
  <c r="BE256" i="1" a="1"/>
  <c r="BE256" i="1" s="1"/>
  <c r="BD256" i="1" a="1"/>
  <c r="BD256" i="1" s="1"/>
  <c r="BC256" i="1" a="1"/>
  <c r="BC256" i="1" s="1"/>
  <c r="BE255" i="1" a="1"/>
  <c r="BE255" i="1" s="1"/>
  <c r="BD255" i="1" a="1"/>
  <c r="BD255" i="1" s="1"/>
  <c r="BC255" i="1" a="1"/>
  <c r="BC255" i="1" s="1"/>
  <c r="BE254" i="1" a="1"/>
  <c r="BE254" i="1" s="1"/>
  <c r="BD254" i="1" a="1"/>
  <c r="BD254" i="1" s="1"/>
  <c r="BC254" i="1" a="1"/>
  <c r="BC254" i="1" s="1"/>
  <c r="BE253" i="1" a="1"/>
  <c r="BE253" i="1" s="1"/>
  <c r="BD253" i="1" a="1"/>
  <c r="BD253" i="1" s="1"/>
  <c r="BC253" i="1" a="1"/>
  <c r="BC253" i="1" s="1"/>
  <c r="BE252" i="1" a="1"/>
  <c r="BE252" i="1" s="1"/>
  <c r="BD252" i="1" a="1"/>
  <c r="BD252" i="1" s="1"/>
  <c r="BC252" i="1" a="1"/>
  <c r="BC252" i="1" s="1"/>
  <c r="BE251" i="1" a="1"/>
  <c r="BE251" i="1" s="1"/>
  <c r="BD251" i="1" a="1"/>
  <c r="BD251" i="1" s="1"/>
  <c r="BC251" i="1" a="1"/>
  <c r="BC251" i="1" s="1"/>
  <c r="BE250" i="1" a="1"/>
  <c r="BE250" i="1" s="1"/>
  <c r="BD250" i="1" a="1"/>
  <c r="BD250" i="1" s="1"/>
  <c r="BC250" i="1" a="1"/>
  <c r="BC250" i="1" s="1"/>
  <c r="BE249" i="1" a="1"/>
  <c r="BE249" i="1" s="1"/>
  <c r="BD249" i="1" a="1"/>
  <c r="BD249" i="1" s="1"/>
  <c r="BC249" i="1" a="1"/>
  <c r="BC249" i="1" s="1"/>
  <c r="BE248" i="1" a="1"/>
  <c r="BE248" i="1" s="1"/>
  <c r="BD248" i="1" a="1"/>
  <c r="BD248" i="1" s="1"/>
  <c r="BC248" i="1" a="1"/>
  <c r="BC248" i="1" s="1"/>
  <c r="BE247" i="1" a="1"/>
  <c r="BE247" i="1" s="1"/>
  <c r="BD247" i="1" a="1"/>
  <c r="BD247" i="1" s="1"/>
  <c r="BC247" i="1" a="1"/>
  <c r="BC247" i="1" s="1"/>
  <c r="BE246" i="1" a="1"/>
  <c r="BE246" i="1" s="1"/>
  <c r="BD246" i="1" a="1"/>
  <c r="BD246" i="1" s="1"/>
  <c r="BC246" i="1" a="1"/>
  <c r="BC246" i="1" s="1"/>
  <c r="BE245" i="1" a="1"/>
  <c r="BE245" i="1" s="1"/>
  <c r="BD245" i="1" a="1"/>
  <c r="BD245" i="1" s="1"/>
  <c r="BC245" i="1" a="1"/>
  <c r="BC245" i="1" s="1"/>
  <c r="BE244" i="1" a="1"/>
  <c r="BE244" i="1" s="1"/>
  <c r="BD244" i="1" a="1"/>
  <c r="BD244" i="1" s="1"/>
  <c r="BC244" i="1" a="1"/>
  <c r="BC244" i="1" s="1"/>
  <c r="BE243" i="1" a="1"/>
  <c r="BE243" i="1" s="1"/>
  <c r="BD243" i="1" a="1"/>
  <c r="BD243" i="1" s="1"/>
  <c r="BC243" i="1" a="1"/>
  <c r="BC243" i="1" s="1"/>
  <c r="BE242" i="1" a="1"/>
  <c r="BE242" i="1" s="1"/>
  <c r="BD242" i="1" a="1"/>
  <c r="BD242" i="1" s="1"/>
  <c r="BC242" i="1" a="1"/>
  <c r="BC242" i="1" s="1"/>
  <c r="BE241" i="1" a="1"/>
  <c r="BE241" i="1" s="1"/>
  <c r="BD241" i="1" a="1"/>
  <c r="BD241" i="1" s="1"/>
  <c r="BC241" i="1" a="1"/>
  <c r="BC241" i="1" s="1"/>
  <c r="BE240" i="1" a="1"/>
  <c r="BE240" i="1" s="1"/>
  <c r="BD240" i="1" a="1"/>
  <c r="BD240" i="1" s="1"/>
  <c r="BC240" i="1" a="1"/>
  <c r="BC240" i="1" s="1"/>
  <c r="BE239" i="1" a="1"/>
  <c r="BE239" i="1" s="1"/>
  <c r="BD239" i="1" a="1"/>
  <c r="BD239" i="1" s="1"/>
  <c r="BC239" i="1" a="1"/>
  <c r="BC239" i="1" s="1"/>
  <c r="BE238" i="1" a="1"/>
  <c r="BE238" i="1" s="1"/>
  <c r="BD238" i="1" a="1"/>
  <c r="BD238" i="1" s="1"/>
  <c r="BC238" i="1" a="1"/>
  <c r="BC238" i="1" s="1"/>
  <c r="BE237" i="1" a="1"/>
  <c r="BE237" i="1" s="1"/>
  <c r="BD237" i="1" a="1"/>
  <c r="BD237" i="1" s="1"/>
  <c r="BC237" i="1" a="1"/>
  <c r="BC237" i="1" s="1"/>
  <c r="BE236" i="1" a="1"/>
  <c r="BE236" i="1" s="1"/>
  <c r="BD236" i="1" a="1"/>
  <c r="BD236" i="1" s="1"/>
  <c r="BC236" i="1" a="1"/>
  <c r="BC236" i="1" s="1"/>
  <c r="BE235" i="1" a="1"/>
  <c r="BE235" i="1" s="1"/>
  <c r="BD235" i="1" a="1"/>
  <c r="BD235" i="1" s="1"/>
  <c r="BC235" i="1" a="1"/>
  <c r="BC235" i="1" s="1"/>
  <c r="BE234" i="1" a="1"/>
  <c r="BE234" i="1" s="1"/>
  <c r="BD234" i="1" a="1"/>
  <c r="BD234" i="1" s="1"/>
  <c r="BC234" i="1" a="1"/>
  <c r="BC234" i="1" s="1"/>
  <c r="BE225" i="1" a="1"/>
  <c r="BE225" i="1" s="1"/>
  <c r="BD225" i="1" a="1"/>
  <c r="BD225" i="1" s="1"/>
  <c r="BC225" i="1" a="1"/>
  <c r="BC225" i="1" s="1"/>
  <c r="BE224" i="1" a="1"/>
  <c r="BE224" i="1" s="1"/>
  <c r="BD224" i="1" a="1"/>
  <c r="BD224" i="1" s="1"/>
  <c r="BC224" i="1" a="1"/>
  <c r="BC224" i="1" s="1"/>
  <c r="BE223" i="1" a="1"/>
  <c r="BE223" i="1" s="1"/>
  <c r="BD223" i="1" a="1"/>
  <c r="BD223" i="1" s="1"/>
  <c r="BC223" i="1" a="1"/>
  <c r="BC223" i="1" s="1"/>
  <c r="BE222" i="1" a="1"/>
  <c r="BE222" i="1" s="1"/>
  <c r="BD222" i="1" a="1"/>
  <c r="BD222" i="1" s="1"/>
  <c r="BC222" i="1" a="1"/>
  <c r="BC222" i="1" s="1"/>
  <c r="BE221" i="1" a="1"/>
  <c r="BE221" i="1" s="1"/>
  <c r="BD221" i="1" a="1"/>
  <c r="BD221" i="1" s="1"/>
  <c r="BC221" i="1" a="1"/>
  <c r="BC221" i="1" s="1"/>
  <c r="BE220" i="1" a="1"/>
  <c r="BE220" i="1" s="1"/>
  <c r="BD220" i="1" a="1"/>
  <c r="BD220" i="1" s="1"/>
  <c r="BC220" i="1" a="1"/>
  <c r="BC220" i="1" s="1"/>
  <c r="BE219" i="1" a="1"/>
  <c r="BE219" i="1" s="1"/>
  <c r="BD219" i="1" a="1"/>
  <c r="BD219" i="1" s="1"/>
  <c r="BC219" i="1" a="1"/>
  <c r="BC219" i="1" s="1"/>
  <c r="BE218" i="1" a="1"/>
  <c r="BE218" i="1" s="1"/>
  <c r="BD218" i="1" a="1"/>
  <c r="BD218" i="1" s="1"/>
  <c r="BC218" i="1" a="1"/>
  <c r="BC218" i="1" s="1"/>
  <c r="BE217" i="1" a="1"/>
  <c r="BE217" i="1" s="1"/>
  <c r="BD217" i="1" a="1"/>
  <c r="BD217" i="1" s="1"/>
  <c r="BC217" i="1" a="1"/>
  <c r="BC217" i="1" s="1"/>
  <c r="BE216" i="1" a="1"/>
  <c r="BE216" i="1" s="1"/>
  <c r="BD216" i="1" a="1"/>
  <c r="BD216" i="1" s="1"/>
  <c r="BC216" i="1" a="1"/>
  <c r="BC216" i="1" s="1"/>
  <c r="BE215" i="1" a="1"/>
  <c r="BE215" i="1" s="1"/>
  <c r="BD215" i="1" a="1"/>
  <c r="BD215" i="1" s="1"/>
  <c r="BC215" i="1" a="1"/>
  <c r="BC215" i="1" s="1"/>
  <c r="BE214" i="1" a="1"/>
  <c r="BE214" i="1" s="1"/>
  <c r="BD214" i="1" a="1"/>
  <c r="BD214" i="1" s="1"/>
  <c r="BC214" i="1" a="1"/>
  <c r="BC214" i="1" s="1"/>
  <c r="BE213" i="1" a="1"/>
  <c r="BE213" i="1" s="1"/>
  <c r="BD213" i="1" a="1"/>
  <c r="BD213" i="1" s="1"/>
  <c r="BC213" i="1" a="1"/>
  <c r="BC213" i="1" s="1"/>
  <c r="BE212" i="1" a="1"/>
  <c r="BE212" i="1" s="1"/>
  <c r="BD212" i="1" a="1"/>
  <c r="BD212" i="1" s="1"/>
  <c r="BC212" i="1" a="1"/>
  <c r="BC212" i="1" s="1"/>
  <c r="BE211" i="1" a="1"/>
  <c r="BE211" i="1" s="1"/>
  <c r="BD211" i="1" a="1"/>
  <c r="BD211" i="1" s="1"/>
  <c r="BC211" i="1" a="1"/>
  <c r="BC211" i="1" s="1"/>
  <c r="BE210" i="1" a="1"/>
  <c r="BE210" i="1" s="1"/>
  <c r="BD210" i="1" a="1"/>
  <c r="BD210" i="1" s="1"/>
  <c r="BC210" i="1" a="1"/>
  <c r="BC210" i="1" s="1"/>
  <c r="BE209" i="1" a="1"/>
  <c r="BE209" i="1" s="1"/>
  <c r="BD209" i="1" a="1"/>
  <c r="BD209" i="1" s="1"/>
  <c r="BC209" i="1" a="1"/>
  <c r="BC209" i="1" s="1"/>
  <c r="BE208" i="1" a="1"/>
  <c r="BE208" i="1" s="1"/>
  <c r="BD208" i="1" a="1"/>
  <c r="BD208" i="1" s="1"/>
  <c r="BC208" i="1" a="1"/>
  <c r="BC208" i="1" s="1"/>
  <c r="BE207" i="1" a="1"/>
  <c r="BE207" i="1" s="1"/>
  <c r="BD207" i="1" a="1"/>
  <c r="BD207" i="1" s="1"/>
  <c r="BC207" i="1" a="1"/>
  <c r="BC207" i="1" s="1"/>
  <c r="BE206" i="1" a="1"/>
  <c r="BE206" i="1" s="1"/>
  <c r="BD206" i="1" a="1"/>
  <c r="BD206" i="1" s="1"/>
  <c r="BC206" i="1" a="1"/>
  <c r="BC206" i="1" s="1"/>
  <c r="BE205" i="1" a="1"/>
  <c r="BE205" i="1" s="1"/>
  <c r="BD205" i="1" a="1"/>
  <c r="BD205" i="1" s="1"/>
  <c r="BC205" i="1" a="1"/>
  <c r="BC205" i="1" s="1"/>
  <c r="BE204" i="1" a="1"/>
  <c r="BE204" i="1" s="1"/>
  <c r="BD204" i="1" a="1"/>
  <c r="BD204" i="1" s="1"/>
  <c r="BC204" i="1" a="1"/>
  <c r="BC204" i="1" s="1"/>
  <c r="BE203" i="1" a="1"/>
  <c r="BE203" i="1" s="1"/>
  <c r="BD203" i="1" a="1"/>
  <c r="BD203" i="1" s="1"/>
  <c r="BC203" i="1" a="1"/>
  <c r="BC203" i="1" s="1"/>
  <c r="BE202" i="1" a="1"/>
  <c r="BE202" i="1" s="1"/>
  <c r="BD202" i="1" a="1"/>
  <c r="BD202" i="1" s="1"/>
  <c r="BC202" i="1" a="1"/>
  <c r="BC202" i="1" s="1"/>
  <c r="BE201" i="1" a="1"/>
  <c r="BE201" i="1" s="1"/>
  <c r="BD201" i="1" a="1"/>
  <c r="BD201" i="1" s="1"/>
  <c r="BC201" i="1" a="1"/>
  <c r="BC201" i="1" s="1"/>
  <c r="BE200" i="1" a="1"/>
  <c r="BE200" i="1" s="1"/>
  <c r="BD200" i="1" a="1"/>
  <c r="BD200" i="1" s="1"/>
  <c r="BC200" i="1" a="1"/>
  <c r="BC200" i="1" s="1"/>
  <c r="BE199" i="1" a="1"/>
  <c r="BE199" i="1" s="1"/>
  <c r="BD199" i="1" a="1"/>
  <c r="BD199" i="1" s="1"/>
  <c r="BC199" i="1" a="1"/>
  <c r="BC199" i="1" s="1"/>
  <c r="BE198" i="1" a="1"/>
  <c r="BE198" i="1" s="1"/>
  <c r="BD198" i="1" a="1"/>
  <c r="BD198" i="1" s="1"/>
  <c r="BC198" i="1" a="1"/>
  <c r="BC198" i="1" s="1"/>
  <c r="BE197" i="1" a="1"/>
  <c r="BE197" i="1" s="1"/>
  <c r="BD197" i="1" a="1"/>
  <c r="BD197" i="1" s="1"/>
  <c r="BC197" i="1" a="1"/>
  <c r="BC197" i="1" s="1"/>
  <c r="BE196" i="1" a="1"/>
  <c r="BE196" i="1" s="1"/>
  <c r="BD196" i="1" a="1"/>
  <c r="BD196" i="1" s="1"/>
  <c r="BC196" i="1" a="1"/>
  <c r="BC196" i="1" s="1"/>
  <c r="BE195" i="1" a="1"/>
  <c r="BE195" i="1" s="1"/>
  <c r="BD195" i="1" a="1"/>
  <c r="BD195" i="1" s="1"/>
  <c r="BC195" i="1" a="1"/>
  <c r="BC195" i="1" s="1"/>
  <c r="BE194" i="1" a="1"/>
  <c r="BE194" i="1" s="1"/>
  <c r="BD194" i="1" a="1"/>
  <c r="BD194" i="1" s="1"/>
  <c r="BC194" i="1" a="1"/>
  <c r="BC194" i="1" s="1"/>
  <c r="BE193" i="1" a="1"/>
  <c r="BE193" i="1" s="1"/>
  <c r="BD193" i="1" a="1"/>
  <c r="BD193" i="1" s="1"/>
  <c r="BC193" i="1" a="1"/>
  <c r="BC193" i="1" s="1"/>
  <c r="BE192" i="1" a="1"/>
  <c r="BE192" i="1" s="1"/>
  <c r="BD192" i="1" a="1"/>
  <c r="BD192" i="1" s="1"/>
  <c r="BC192" i="1" a="1"/>
  <c r="BC192" i="1" s="1"/>
  <c r="BE191" i="1" a="1"/>
  <c r="BE191" i="1" s="1"/>
  <c r="BD191" i="1" a="1"/>
  <c r="BD191" i="1" s="1"/>
  <c r="BC191" i="1" a="1"/>
  <c r="BC191" i="1" s="1"/>
  <c r="BE190" i="1" a="1"/>
  <c r="BE190" i="1" s="1"/>
  <c r="BD190" i="1" a="1"/>
  <c r="BD190" i="1" s="1"/>
  <c r="BC190" i="1" a="1"/>
  <c r="BC190" i="1" s="1"/>
  <c r="BE189" i="1" a="1"/>
  <c r="BE189" i="1" s="1"/>
  <c r="BD189" i="1" a="1"/>
  <c r="BD189" i="1" s="1"/>
  <c r="BC189" i="1" a="1"/>
  <c r="BC189" i="1" s="1"/>
  <c r="BE180" i="1" a="1"/>
  <c r="BE180" i="1" s="1"/>
  <c r="BD180" i="1" a="1"/>
  <c r="BD180" i="1" s="1"/>
  <c r="BC180" i="1" a="1"/>
  <c r="BC180" i="1" s="1"/>
  <c r="BE179" i="1" a="1"/>
  <c r="BE179" i="1" s="1"/>
  <c r="BD179" i="1" a="1"/>
  <c r="BD179" i="1" s="1"/>
  <c r="BC179" i="1" a="1"/>
  <c r="BC179" i="1" s="1"/>
  <c r="BE178" i="1" a="1"/>
  <c r="BE178" i="1" s="1"/>
  <c r="BD178" i="1" a="1"/>
  <c r="BD178" i="1" s="1"/>
  <c r="BC178" i="1" a="1"/>
  <c r="BC178" i="1" s="1"/>
  <c r="BE177" i="1" a="1"/>
  <c r="BE177" i="1" s="1"/>
  <c r="BD177" i="1" a="1"/>
  <c r="BD177" i="1" s="1"/>
  <c r="BC177" i="1" a="1"/>
  <c r="BC177" i="1" s="1"/>
  <c r="BE176" i="1" a="1"/>
  <c r="BE176" i="1" s="1"/>
  <c r="BD176" i="1" a="1"/>
  <c r="BD176" i="1" s="1"/>
  <c r="BC176" i="1" a="1"/>
  <c r="BC176" i="1" s="1"/>
  <c r="BE175" i="1" a="1"/>
  <c r="BE175" i="1" s="1"/>
  <c r="BD175" i="1" a="1"/>
  <c r="BD175" i="1" s="1"/>
  <c r="BC175" i="1" a="1"/>
  <c r="BC175" i="1" s="1"/>
  <c r="BE174" i="1" a="1"/>
  <c r="BE174" i="1" s="1"/>
  <c r="BD174" i="1" a="1"/>
  <c r="BD174" i="1" s="1"/>
  <c r="BC174" i="1" a="1"/>
  <c r="BC174" i="1" s="1"/>
  <c r="BE173" i="1" a="1"/>
  <c r="BE173" i="1" s="1"/>
  <c r="BD173" i="1" a="1"/>
  <c r="BD173" i="1" s="1"/>
  <c r="BC173" i="1" a="1"/>
  <c r="BC173" i="1" s="1"/>
  <c r="BE172" i="1" a="1"/>
  <c r="BE172" i="1" s="1"/>
  <c r="BD172" i="1" a="1"/>
  <c r="BD172" i="1" s="1"/>
  <c r="BC172" i="1" a="1"/>
  <c r="BC172" i="1" s="1"/>
  <c r="BE171" i="1" a="1"/>
  <c r="BE171" i="1" s="1"/>
  <c r="BD171" i="1" a="1"/>
  <c r="BD171" i="1" s="1"/>
  <c r="BC171" i="1" a="1"/>
  <c r="BC171" i="1" s="1"/>
  <c r="BE170" i="1" a="1"/>
  <c r="BE170" i="1" s="1"/>
  <c r="BD170" i="1" a="1"/>
  <c r="BD170" i="1" s="1"/>
  <c r="BC170" i="1" a="1"/>
  <c r="BC170" i="1" s="1"/>
  <c r="BE169" i="1" a="1"/>
  <c r="BE169" i="1" s="1"/>
  <c r="BD169" i="1" a="1"/>
  <c r="BD169" i="1" s="1"/>
  <c r="BC169" i="1" a="1"/>
  <c r="BC169" i="1" s="1"/>
  <c r="BE168" i="1" a="1"/>
  <c r="BE168" i="1" s="1"/>
  <c r="BD168" i="1" a="1"/>
  <c r="BD168" i="1" s="1"/>
  <c r="BC168" i="1" a="1"/>
  <c r="BC168" i="1" s="1"/>
  <c r="BE167" i="1" a="1"/>
  <c r="BE167" i="1" s="1"/>
  <c r="BD167" i="1" a="1"/>
  <c r="BD167" i="1" s="1"/>
  <c r="BC167" i="1" a="1"/>
  <c r="BC167" i="1" s="1"/>
  <c r="BE166" i="1" a="1"/>
  <c r="BE166" i="1" s="1"/>
  <c r="BD166" i="1" a="1"/>
  <c r="BD166" i="1" s="1"/>
  <c r="BC166" i="1" a="1"/>
  <c r="BC166" i="1" s="1"/>
  <c r="BE165" i="1" a="1"/>
  <c r="BE165" i="1" s="1"/>
  <c r="BD165" i="1" a="1"/>
  <c r="BD165" i="1" s="1"/>
  <c r="BC165" i="1" a="1"/>
  <c r="BC165" i="1" s="1"/>
  <c r="BE164" i="1" a="1"/>
  <c r="BE164" i="1" s="1"/>
  <c r="BD164" i="1" a="1"/>
  <c r="BD164" i="1" s="1"/>
  <c r="BC164" i="1" a="1"/>
  <c r="BC164" i="1" s="1"/>
  <c r="BE163" i="1" a="1"/>
  <c r="BE163" i="1" s="1"/>
  <c r="BD163" i="1" a="1"/>
  <c r="BD163" i="1" s="1"/>
  <c r="BC163" i="1" a="1"/>
  <c r="BC163" i="1" s="1"/>
  <c r="BE162" i="1" a="1"/>
  <c r="BE162" i="1" s="1"/>
  <c r="BD162" i="1" a="1"/>
  <c r="BD162" i="1" s="1"/>
  <c r="BC162" i="1" a="1"/>
  <c r="BC162" i="1" s="1"/>
  <c r="BE161" i="1" a="1"/>
  <c r="BE161" i="1" s="1"/>
  <c r="BD161" i="1" a="1"/>
  <c r="BD161" i="1" s="1"/>
  <c r="BC161" i="1" a="1"/>
  <c r="BC161" i="1" s="1"/>
  <c r="BE160" i="1" a="1"/>
  <c r="BE160" i="1" s="1"/>
  <c r="BD160" i="1" a="1"/>
  <c r="BD160" i="1" s="1"/>
  <c r="BC160" i="1" a="1"/>
  <c r="BC160" i="1" s="1"/>
  <c r="BE159" i="1" a="1"/>
  <c r="BE159" i="1" s="1"/>
  <c r="BD159" i="1" a="1"/>
  <c r="BD159" i="1" s="1"/>
  <c r="BC159" i="1" a="1"/>
  <c r="BC159" i="1" s="1"/>
  <c r="BE158" i="1" a="1"/>
  <c r="BE158" i="1" s="1"/>
  <c r="BD158" i="1" a="1"/>
  <c r="BD158" i="1" s="1"/>
  <c r="BC158" i="1" a="1"/>
  <c r="BC158" i="1" s="1"/>
  <c r="BE157" i="1" a="1"/>
  <c r="BE157" i="1" s="1"/>
  <c r="BD157" i="1" a="1"/>
  <c r="BD157" i="1" s="1"/>
  <c r="BC157" i="1" a="1"/>
  <c r="BC157" i="1" s="1"/>
  <c r="BE156" i="1" a="1"/>
  <c r="BE156" i="1" s="1"/>
  <c r="BD156" i="1" a="1"/>
  <c r="BD156" i="1" s="1"/>
  <c r="BC156" i="1" a="1"/>
  <c r="BC156" i="1" s="1"/>
  <c r="BE155" i="1" a="1"/>
  <c r="BE155" i="1" s="1"/>
  <c r="BD155" i="1" a="1"/>
  <c r="BD155" i="1" s="1"/>
  <c r="BC155" i="1" a="1"/>
  <c r="BC155" i="1" s="1"/>
  <c r="BE154" i="1" a="1"/>
  <c r="BE154" i="1" s="1"/>
  <c r="BD154" i="1" a="1"/>
  <c r="BD154" i="1" s="1"/>
  <c r="BC154" i="1" a="1"/>
  <c r="BC154" i="1" s="1"/>
  <c r="BE153" i="1" a="1"/>
  <c r="BE153" i="1" s="1"/>
  <c r="BD153" i="1" a="1"/>
  <c r="BD153" i="1" s="1"/>
  <c r="BC153" i="1" a="1"/>
  <c r="BC153" i="1" s="1"/>
  <c r="BE152" i="1" a="1"/>
  <c r="BE152" i="1" s="1"/>
  <c r="BD152" i="1" a="1"/>
  <c r="BD152" i="1" s="1"/>
  <c r="BC152" i="1" a="1"/>
  <c r="BC152" i="1" s="1"/>
  <c r="BE151" i="1" a="1"/>
  <c r="BE151" i="1" s="1"/>
  <c r="BD151" i="1" a="1"/>
  <c r="BD151" i="1" s="1"/>
  <c r="BC151" i="1" a="1"/>
  <c r="BC151" i="1" s="1"/>
  <c r="BE150" i="1" a="1"/>
  <c r="BE150" i="1" s="1"/>
  <c r="BD150" i="1" a="1"/>
  <c r="BD150" i="1" s="1"/>
  <c r="BC150" i="1" a="1"/>
  <c r="BC150" i="1" s="1"/>
  <c r="BE149" i="1" a="1"/>
  <c r="BE149" i="1" s="1"/>
  <c r="BD149" i="1" a="1"/>
  <c r="BD149" i="1" s="1"/>
  <c r="BC149" i="1" a="1"/>
  <c r="BC149" i="1" s="1"/>
  <c r="BE148" i="1" a="1"/>
  <c r="BE148" i="1" s="1"/>
  <c r="BD148" i="1" a="1"/>
  <c r="BD148" i="1" s="1"/>
  <c r="BC148" i="1" a="1"/>
  <c r="BC148" i="1" s="1"/>
  <c r="BE147" i="1" a="1"/>
  <c r="BE147" i="1" s="1"/>
  <c r="BD147" i="1" a="1"/>
  <c r="BD147" i="1" s="1"/>
  <c r="BC147" i="1" a="1"/>
  <c r="BC147" i="1" s="1"/>
  <c r="BE146" i="1" a="1"/>
  <c r="BE146" i="1" s="1"/>
  <c r="BD146" i="1" a="1"/>
  <c r="BD146" i="1" s="1"/>
  <c r="BC146" i="1" a="1"/>
  <c r="BC146" i="1" s="1"/>
  <c r="BE145" i="1" a="1"/>
  <c r="BE145" i="1" s="1"/>
  <c r="BD145" i="1" a="1"/>
  <c r="BD145" i="1" s="1"/>
  <c r="BC145" i="1" a="1"/>
  <c r="BC145" i="1" s="1"/>
  <c r="BE144" i="1" a="1"/>
  <c r="BE144" i="1" s="1"/>
  <c r="BD144" i="1" a="1"/>
  <c r="BD144" i="1" s="1"/>
  <c r="BC144" i="1" a="1"/>
  <c r="BC144" i="1" s="1"/>
  <c r="BE135" i="1" a="1"/>
  <c r="BE135" i="1" s="1"/>
  <c r="BD135" i="1" a="1"/>
  <c r="BD135" i="1" s="1"/>
  <c r="BC135" i="1" a="1"/>
  <c r="BC135" i="1" s="1"/>
  <c r="BE134" i="1" a="1"/>
  <c r="BE134" i="1" s="1"/>
  <c r="BD134" i="1"/>
  <c r="BD134" i="1" a="1"/>
  <c r="BC134" i="1" a="1"/>
  <c r="BC134" i="1" s="1"/>
  <c r="BE133" i="1" a="1"/>
  <c r="BE133" i="1" s="1"/>
  <c r="BD133" i="1" a="1"/>
  <c r="BD133" i="1" s="1"/>
  <c r="BC133" i="1" a="1"/>
  <c r="BC133" i="1" s="1"/>
  <c r="BE132" i="1"/>
  <c r="BE132" i="1" a="1"/>
  <c r="BD132" i="1" a="1"/>
  <c r="BD132" i="1" s="1"/>
  <c r="BC132" i="1" a="1"/>
  <c r="BC132" i="1" s="1"/>
  <c r="BE131" i="1" a="1"/>
  <c r="BE131" i="1" s="1"/>
  <c r="BD131" i="1" a="1"/>
  <c r="BD131" i="1" s="1"/>
  <c r="BC131" i="1"/>
  <c r="BC131" i="1" a="1"/>
  <c r="BE130" i="1" a="1"/>
  <c r="BE130" i="1" s="1"/>
  <c r="BD130" i="1" a="1"/>
  <c r="BD130" i="1" s="1"/>
  <c r="BC130" i="1" a="1"/>
  <c r="BC130" i="1" s="1"/>
  <c r="BE129" i="1" a="1"/>
  <c r="BE129" i="1" s="1"/>
  <c r="BD129" i="1"/>
  <c r="BD129" i="1" a="1"/>
  <c r="BC129" i="1" a="1"/>
  <c r="BC129" i="1" s="1"/>
  <c r="BE128" i="1" a="1"/>
  <c r="BE128" i="1" s="1"/>
  <c r="BD128" i="1" a="1"/>
  <c r="BD128" i="1" s="1"/>
  <c r="BC128" i="1" a="1"/>
  <c r="BC128" i="1" s="1"/>
  <c r="BE127" i="1" a="1"/>
  <c r="BE127" i="1" s="1"/>
  <c r="BD127" i="1" a="1"/>
  <c r="BD127" i="1" s="1"/>
  <c r="BC127" i="1" a="1"/>
  <c r="BC127" i="1" s="1"/>
  <c r="BE126" i="1" a="1"/>
  <c r="BE126" i="1" s="1"/>
  <c r="BD126" i="1" a="1"/>
  <c r="BD126" i="1" s="1"/>
  <c r="BC126" i="1" a="1"/>
  <c r="BC126" i="1" s="1"/>
  <c r="BE125" i="1" a="1"/>
  <c r="BE125" i="1" s="1"/>
  <c r="BD125" i="1" a="1"/>
  <c r="BD125" i="1" s="1"/>
  <c r="BC125" i="1" a="1"/>
  <c r="BC125" i="1" s="1"/>
  <c r="BE124" i="1" a="1"/>
  <c r="BE124" i="1" s="1"/>
  <c r="BD124" i="1" a="1"/>
  <c r="BD124" i="1" s="1"/>
  <c r="BC124" i="1" a="1"/>
  <c r="BC124" i="1" s="1"/>
  <c r="BE123" i="1" a="1"/>
  <c r="BE123" i="1" s="1"/>
  <c r="BD123" i="1" a="1"/>
  <c r="BD123" i="1" s="1"/>
  <c r="BC123" i="1" a="1"/>
  <c r="BC123" i="1" s="1"/>
  <c r="BE122" i="1" a="1"/>
  <c r="BE122" i="1" s="1"/>
  <c r="BD122" i="1" a="1"/>
  <c r="BD122" i="1" s="1"/>
  <c r="BC122" i="1" a="1"/>
  <c r="BC122" i="1" s="1"/>
  <c r="BE121" i="1" a="1"/>
  <c r="BE121" i="1" s="1"/>
  <c r="BD121" i="1" a="1"/>
  <c r="BD121" i="1" s="1"/>
  <c r="BC121" i="1" a="1"/>
  <c r="BC121" i="1" s="1"/>
  <c r="BE120" i="1" a="1"/>
  <c r="BE120" i="1" s="1"/>
  <c r="BD120" i="1" a="1"/>
  <c r="BD120" i="1" s="1"/>
  <c r="BC120" i="1" a="1"/>
  <c r="BC120" i="1" s="1"/>
  <c r="BE119" i="1" a="1"/>
  <c r="BE119" i="1" s="1"/>
  <c r="BD119" i="1" a="1"/>
  <c r="BD119" i="1" s="1"/>
  <c r="BC119" i="1" a="1"/>
  <c r="BC119" i="1" s="1"/>
  <c r="BE118" i="1" a="1"/>
  <c r="BE118" i="1" s="1"/>
  <c r="BD118" i="1" a="1"/>
  <c r="BD118" i="1" s="1"/>
  <c r="BC118" i="1" a="1"/>
  <c r="BC118" i="1" s="1"/>
  <c r="BE117" i="1" a="1"/>
  <c r="BE117" i="1" s="1"/>
  <c r="BD117" i="1" a="1"/>
  <c r="BD117" i="1" s="1"/>
  <c r="BC117" i="1" a="1"/>
  <c r="BC117" i="1" s="1"/>
  <c r="BE116" i="1" a="1"/>
  <c r="BE116" i="1" s="1"/>
  <c r="BD116" i="1" a="1"/>
  <c r="BD116" i="1" s="1"/>
  <c r="BC116" i="1" a="1"/>
  <c r="BC116" i="1" s="1"/>
  <c r="BE115" i="1" a="1"/>
  <c r="BE115" i="1" s="1"/>
  <c r="BD115" i="1" a="1"/>
  <c r="BD115" i="1" s="1"/>
  <c r="BC115" i="1" a="1"/>
  <c r="BC115" i="1" s="1"/>
  <c r="BE114" i="1" a="1"/>
  <c r="BE114" i="1" s="1"/>
  <c r="BD114" i="1" a="1"/>
  <c r="BD114" i="1" s="1"/>
  <c r="BC114" i="1" a="1"/>
  <c r="BC114" i="1" s="1"/>
  <c r="BE113" i="1" a="1"/>
  <c r="BE113" i="1" s="1"/>
  <c r="BD113" i="1" a="1"/>
  <c r="BD113" i="1" s="1"/>
  <c r="BC113" i="1" a="1"/>
  <c r="BC113" i="1" s="1"/>
  <c r="BE112" i="1" a="1"/>
  <c r="BE112" i="1" s="1"/>
  <c r="BD112" i="1" a="1"/>
  <c r="BD112" i="1" s="1"/>
  <c r="BC112" i="1" a="1"/>
  <c r="BC112" i="1" s="1"/>
  <c r="BE111" i="1" a="1"/>
  <c r="BE111" i="1" s="1"/>
  <c r="BD111" i="1" a="1"/>
  <c r="BD111" i="1" s="1"/>
  <c r="BC111" i="1" a="1"/>
  <c r="BC111" i="1" s="1"/>
  <c r="BE110" i="1" a="1"/>
  <c r="BE110" i="1" s="1"/>
  <c r="BD110" i="1" a="1"/>
  <c r="BD110" i="1" s="1"/>
  <c r="BC110" i="1" a="1"/>
  <c r="BC110" i="1" s="1"/>
  <c r="BE109" i="1" a="1"/>
  <c r="BE109" i="1" s="1"/>
  <c r="BD109" i="1" a="1"/>
  <c r="BD109" i="1" s="1"/>
  <c r="BC109" i="1" a="1"/>
  <c r="BC109" i="1" s="1"/>
  <c r="BE108" i="1" a="1"/>
  <c r="BE108" i="1" s="1"/>
  <c r="BD108" i="1" a="1"/>
  <c r="BD108" i="1" s="1"/>
  <c r="BC108" i="1" a="1"/>
  <c r="BC108" i="1" s="1"/>
  <c r="BE107" i="1" a="1"/>
  <c r="BE107" i="1" s="1"/>
  <c r="BD107" i="1" a="1"/>
  <c r="BD107" i="1" s="1"/>
  <c r="BC107" i="1" a="1"/>
  <c r="BC107" i="1" s="1"/>
  <c r="BE106" i="1" a="1"/>
  <c r="BE106" i="1" s="1"/>
  <c r="BD106" i="1" a="1"/>
  <c r="BD106" i="1" s="1"/>
  <c r="BC106" i="1" a="1"/>
  <c r="BC106" i="1" s="1"/>
  <c r="BE105" i="1" a="1"/>
  <c r="BE105" i="1" s="1"/>
  <c r="BD105" i="1" a="1"/>
  <c r="BD105" i="1" s="1"/>
  <c r="BC105" i="1" a="1"/>
  <c r="BC105" i="1" s="1"/>
  <c r="BE104" i="1" a="1"/>
  <c r="BE104" i="1" s="1"/>
  <c r="BD104" i="1" a="1"/>
  <c r="BD104" i="1" s="1"/>
  <c r="BC104" i="1" a="1"/>
  <c r="BC104" i="1" s="1"/>
  <c r="BE103" i="1" a="1"/>
  <c r="BE103" i="1" s="1"/>
  <c r="BD103" i="1" a="1"/>
  <c r="BD103" i="1" s="1"/>
  <c r="BC103" i="1" a="1"/>
  <c r="BC103" i="1" s="1"/>
  <c r="BE102" i="1" a="1"/>
  <c r="BE102" i="1" s="1"/>
  <c r="BD102" i="1" a="1"/>
  <c r="BD102" i="1" s="1"/>
  <c r="BC102" i="1" a="1"/>
  <c r="BC102" i="1" s="1"/>
  <c r="BE101" i="1" a="1"/>
  <c r="BE101" i="1" s="1"/>
  <c r="BD101" i="1" a="1"/>
  <c r="BD101" i="1" s="1"/>
  <c r="BC101" i="1" a="1"/>
  <c r="BC101" i="1" s="1"/>
  <c r="BE100" i="1" a="1"/>
  <c r="BE100" i="1" s="1"/>
  <c r="BD100" i="1" a="1"/>
  <c r="BD100" i="1" s="1"/>
  <c r="BC100" i="1" a="1"/>
  <c r="BC100" i="1" s="1"/>
  <c r="BE99" i="1" a="1"/>
  <c r="BE99" i="1" s="1"/>
  <c r="BD99" i="1" a="1"/>
  <c r="BD99" i="1" s="1"/>
  <c r="BC99" i="1" a="1"/>
  <c r="BC99" i="1" s="1"/>
  <c r="BE90" i="1" a="1"/>
  <c r="BE90" i="1" s="1"/>
  <c r="BD90" i="1" a="1"/>
  <c r="BD90" i="1" s="1"/>
  <c r="BC90" i="1" a="1"/>
  <c r="BC90" i="1" s="1"/>
  <c r="BE89" i="1" a="1"/>
  <c r="BE89" i="1" s="1"/>
  <c r="BD89" i="1"/>
  <c r="BD89" i="1" a="1"/>
  <c r="BC89" i="1" a="1"/>
  <c r="BC89" i="1" s="1"/>
  <c r="BE88" i="1" a="1"/>
  <c r="BE88" i="1" s="1"/>
  <c r="BD88" i="1" a="1"/>
  <c r="BD88" i="1" s="1"/>
  <c r="BC88" i="1" a="1"/>
  <c r="BC88" i="1" s="1"/>
  <c r="BE87" i="1"/>
  <c r="BE87" i="1" a="1"/>
  <c r="BD87" i="1" a="1"/>
  <c r="BD87" i="1" s="1"/>
  <c r="BE86" i="1" a="1"/>
  <c r="BE86" i="1" s="1"/>
  <c r="BD86" i="1" a="1"/>
  <c r="BD86" i="1" s="1"/>
  <c r="BC86" i="1" a="1"/>
  <c r="BC86" i="1" s="1"/>
  <c r="BE85" i="1"/>
  <c r="BE85" i="1" a="1"/>
  <c r="BD85" i="1" a="1"/>
  <c r="BD85" i="1" s="1"/>
  <c r="BC85" i="1" a="1"/>
  <c r="BC85" i="1" s="1"/>
  <c r="BE84" i="1" a="1"/>
  <c r="BE84" i="1" s="1"/>
  <c r="BD84" i="1" a="1"/>
  <c r="BD84" i="1" s="1"/>
  <c r="BC84" i="1"/>
  <c r="BC84" i="1" a="1"/>
  <c r="BE83" i="1" a="1"/>
  <c r="BE83" i="1" s="1"/>
  <c r="BD83" i="1" a="1"/>
  <c r="BD83" i="1" s="1"/>
  <c r="BC83" i="1" a="1"/>
  <c r="BC83" i="1" s="1"/>
  <c r="BE82" i="1" a="1"/>
  <c r="BE82" i="1" s="1"/>
  <c r="BD82" i="1"/>
  <c r="BD82" i="1" a="1"/>
  <c r="BC82" i="1" a="1"/>
  <c r="BC82" i="1" s="1"/>
  <c r="BE81" i="1" a="1"/>
  <c r="BE81" i="1" s="1"/>
  <c r="BD81" i="1" a="1"/>
  <c r="BD81" i="1" s="1"/>
  <c r="BC81" i="1" a="1"/>
  <c r="BC81" i="1" s="1"/>
  <c r="BE80" i="1"/>
  <c r="BE80" i="1" a="1"/>
  <c r="BD80" i="1" a="1"/>
  <c r="BD80" i="1" s="1"/>
  <c r="BC80" i="1" a="1"/>
  <c r="BC80" i="1" s="1"/>
  <c r="BE79" i="1" a="1"/>
  <c r="BE79" i="1" s="1"/>
  <c r="BD79" i="1" a="1"/>
  <c r="BD79" i="1" s="1"/>
  <c r="BC79" i="1"/>
  <c r="BC79" i="1" a="1"/>
  <c r="BE78" i="1" a="1"/>
  <c r="BE78" i="1" s="1"/>
  <c r="BD78" i="1" a="1"/>
  <c r="BD78" i="1" s="1"/>
  <c r="BC78" i="1" a="1"/>
  <c r="BC78" i="1" s="1"/>
  <c r="BE77" i="1" a="1"/>
  <c r="BE77" i="1" s="1"/>
  <c r="BD77" i="1"/>
  <c r="BD77" i="1" a="1"/>
  <c r="BC77" i="1" a="1"/>
  <c r="BC77" i="1" s="1"/>
  <c r="BE76" i="1" a="1"/>
  <c r="BE76" i="1" s="1"/>
  <c r="BD76" i="1" a="1"/>
  <c r="BD76" i="1" s="1"/>
  <c r="BC76" i="1" a="1"/>
  <c r="BC76" i="1" s="1"/>
  <c r="BE75" i="1"/>
  <c r="BE75" i="1" a="1"/>
  <c r="BD75" i="1" a="1"/>
  <c r="BD75" i="1" s="1"/>
  <c r="BC75" i="1" a="1"/>
  <c r="BC75" i="1" s="1"/>
  <c r="BE74" i="1" a="1"/>
  <c r="BE74" i="1" s="1"/>
  <c r="BD74" i="1" a="1"/>
  <c r="BD74" i="1" s="1"/>
  <c r="BC74" i="1"/>
  <c r="BC74" i="1" a="1"/>
  <c r="BE73" i="1" a="1"/>
  <c r="BE73" i="1" s="1"/>
  <c r="BD73" i="1" a="1"/>
  <c r="BD73" i="1" s="1"/>
  <c r="BC73" i="1" a="1"/>
  <c r="BC73" i="1" s="1"/>
  <c r="BE72" i="1" a="1"/>
  <c r="BE72" i="1" s="1"/>
  <c r="BD72" i="1"/>
  <c r="BD72" i="1" a="1"/>
  <c r="BC72" i="1" a="1"/>
  <c r="BC72" i="1" s="1"/>
  <c r="BE71" i="1" a="1"/>
  <c r="BE71" i="1" s="1"/>
  <c r="BD71" i="1" a="1"/>
  <c r="BD71" i="1" s="1"/>
  <c r="BC71" i="1" a="1"/>
  <c r="BC71" i="1" s="1"/>
  <c r="BE70" i="1"/>
  <c r="BE70" i="1" a="1"/>
  <c r="BD70" i="1" a="1"/>
  <c r="BD70" i="1" s="1"/>
  <c r="BC70" i="1" a="1"/>
  <c r="BC70" i="1" s="1"/>
  <c r="BE69" i="1" a="1"/>
  <c r="BE69" i="1" s="1"/>
  <c r="BD69" i="1" a="1"/>
  <c r="BD69" i="1" s="1"/>
  <c r="BC69" i="1"/>
  <c r="BC69" i="1" a="1"/>
  <c r="BE68" i="1" a="1"/>
  <c r="BE68" i="1" s="1"/>
  <c r="BD68" i="1" a="1"/>
  <c r="BD68" i="1" s="1"/>
  <c r="BC68" i="1" a="1"/>
  <c r="BC68" i="1" s="1"/>
  <c r="BE67" i="1" a="1"/>
  <c r="BE67" i="1" s="1"/>
  <c r="BD67" i="1"/>
  <c r="BD67" i="1" a="1"/>
  <c r="BC67" i="1" a="1"/>
  <c r="BC67" i="1" s="1"/>
  <c r="BE66" i="1" a="1"/>
  <c r="BE66" i="1" s="1"/>
  <c r="BD66" i="1" a="1"/>
  <c r="BD66" i="1" s="1"/>
  <c r="BC66" i="1" a="1"/>
  <c r="BC66" i="1" s="1"/>
  <c r="BE65" i="1" a="1"/>
  <c r="BE65" i="1" s="1"/>
  <c r="BD65" i="1" a="1"/>
  <c r="BD65" i="1" s="1"/>
  <c r="BC65" i="1" a="1"/>
  <c r="BC65" i="1" s="1"/>
  <c r="BE64" i="1" a="1"/>
  <c r="BE64" i="1" s="1"/>
  <c r="BD64" i="1" a="1"/>
  <c r="BD64" i="1" s="1"/>
  <c r="BC64" i="1" a="1"/>
  <c r="BC64" i="1" s="1"/>
  <c r="BE63" i="1" a="1"/>
  <c r="BE63" i="1" s="1"/>
  <c r="BD63" i="1" a="1"/>
  <c r="BD63" i="1" s="1"/>
  <c r="BC63" i="1" a="1"/>
  <c r="BC63" i="1" s="1"/>
  <c r="BE62" i="1" a="1"/>
  <c r="BE62" i="1" s="1"/>
  <c r="BD62" i="1" a="1"/>
  <c r="BD62" i="1" s="1"/>
  <c r="BC62" i="1" a="1"/>
  <c r="BC62" i="1" s="1"/>
  <c r="BE61" i="1" a="1"/>
  <c r="BE61" i="1" s="1"/>
  <c r="BD61" i="1" a="1"/>
  <c r="BD61" i="1" s="1"/>
  <c r="BC61" i="1" a="1"/>
  <c r="BC61" i="1" s="1"/>
  <c r="BE60" i="1" a="1"/>
  <c r="BE60" i="1" s="1"/>
  <c r="BD60" i="1" a="1"/>
  <c r="BD60" i="1" s="1"/>
  <c r="BC60" i="1" a="1"/>
  <c r="BC60" i="1" s="1"/>
  <c r="BE59" i="1" a="1"/>
  <c r="BE59" i="1" s="1"/>
  <c r="BD59" i="1" a="1"/>
  <c r="BD59" i="1" s="1"/>
  <c r="BC59" i="1" a="1"/>
  <c r="BC59" i="1" s="1"/>
  <c r="BE58" i="1" a="1"/>
  <c r="BE58" i="1" s="1"/>
  <c r="BD58" i="1" a="1"/>
  <c r="BD58" i="1" s="1"/>
  <c r="BC58" i="1" a="1"/>
  <c r="BC58" i="1" s="1"/>
  <c r="BE57" i="1" a="1"/>
  <c r="BE57" i="1" s="1"/>
  <c r="BD57" i="1" a="1"/>
  <c r="BD57" i="1" s="1"/>
  <c r="BC57" i="1" a="1"/>
  <c r="BC57" i="1" s="1"/>
  <c r="BE56" i="1" a="1"/>
  <c r="BE56" i="1" s="1"/>
  <c r="BD56" i="1" a="1"/>
  <c r="BD56" i="1" s="1"/>
  <c r="BC56" i="1" a="1"/>
  <c r="BC56" i="1" s="1"/>
  <c r="BE55" i="1" a="1"/>
  <c r="BE55" i="1" s="1"/>
  <c r="BD55" i="1" a="1"/>
  <c r="BD55" i="1" s="1"/>
  <c r="BC55" i="1" a="1"/>
  <c r="BC55" i="1" s="1"/>
  <c r="BE54" i="1" a="1"/>
  <c r="BE54" i="1" s="1"/>
  <c r="BD54" i="1" a="1"/>
  <c r="BD54" i="1" s="1"/>
  <c r="BC54" i="1" a="1"/>
  <c r="BC54" i="1" s="1"/>
  <c r="BC87" i="1" a="1"/>
  <c r="BC87" i="1" s="1"/>
  <c r="AF589" i="1"/>
  <c r="AD589" i="1"/>
  <c r="AC589" i="1"/>
  <c r="AB589" i="1"/>
  <c r="AF588" i="1"/>
  <c r="AD588" i="1"/>
  <c r="AC588" i="1"/>
  <c r="AB588" i="1"/>
  <c r="AF587" i="1"/>
  <c r="AD587" i="1"/>
  <c r="AC587" i="1"/>
  <c r="AB587" i="1"/>
  <c r="AF586" i="1"/>
  <c r="AD586" i="1"/>
  <c r="AC586" i="1"/>
  <c r="AB586" i="1"/>
  <c r="AF585" i="1"/>
  <c r="AD585" i="1"/>
  <c r="AC585" i="1"/>
  <c r="AB585" i="1"/>
  <c r="AF584" i="1"/>
  <c r="AD584" i="1"/>
  <c r="AC584" i="1"/>
  <c r="AB584" i="1"/>
  <c r="AF583" i="1"/>
  <c r="AD583" i="1"/>
  <c r="AC583" i="1"/>
  <c r="AB583" i="1"/>
  <c r="AM583" i="1" s="1"/>
  <c r="AX583" i="1" s="1" a="1"/>
  <c r="AX583" i="1" s="1"/>
  <c r="AF582" i="1"/>
  <c r="AD582" i="1"/>
  <c r="AC582" i="1"/>
  <c r="AB582" i="1"/>
  <c r="AM582" i="1" s="1"/>
  <c r="AX582" i="1" s="1" a="1"/>
  <c r="AX582" i="1" s="1"/>
  <c r="AF581" i="1"/>
  <c r="AD581" i="1"/>
  <c r="AC581" i="1"/>
  <c r="AB581" i="1"/>
  <c r="AM581" i="1" s="1"/>
  <c r="AX581" i="1" s="1" a="1"/>
  <c r="AX581" i="1" s="1"/>
  <c r="AF580" i="1"/>
  <c r="AD580" i="1"/>
  <c r="AC580" i="1"/>
  <c r="AB580" i="1"/>
  <c r="AF579" i="1"/>
  <c r="AD579" i="1"/>
  <c r="AC579" i="1"/>
  <c r="AB579" i="1"/>
  <c r="AF578" i="1"/>
  <c r="AD578" i="1"/>
  <c r="AC578" i="1"/>
  <c r="AB578" i="1"/>
  <c r="AM578" i="1" s="1"/>
  <c r="AX578" i="1" s="1" a="1"/>
  <c r="AX578" i="1" s="1"/>
  <c r="AF577" i="1"/>
  <c r="AD577" i="1"/>
  <c r="AC577" i="1"/>
  <c r="AB577" i="1"/>
  <c r="AM577" i="1" s="1"/>
  <c r="AX577" i="1" s="1" a="1"/>
  <c r="AX577" i="1" s="1"/>
  <c r="AF576" i="1"/>
  <c r="AD576" i="1"/>
  <c r="AC576" i="1"/>
  <c r="AB576" i="1"/>
  <c r="AM576" i="1" s="1"/>
  <c r="AX576" i="1" s="1" a="1"/>
  <c r="AX576" i="1" s="1"/>
  <c r="AF575" i="1"/>
  <c r="AD575" i="1"/>
  <c r="AC575" i="1"/>
  <c r="AB575" i="1"/>
  <c r="AF574" i="1"/>
  <c r="AD574" i="1"/>
  <c r="AC574" i="1"/>
  <c r="AB574" i="1"/>
  <c r="AF573" i="1"/>
  <c r="AD573" i="1"/>
  <c r="AC573" i="1"/>
  <c r="AB573" i="1"/>
  <c r="AF572" i="1"/>
  <c r="AD572" i="1"/>
  <c r="AC572" i="1"/>
  <c r="AB572" i="1"/>
  <c r="AF571" i="1"/>
  <c r="AD571" i="1"/>
  <c r="AC571" i="1"/>
  <c r="AB571" i="1"/>
  <c r="AF570" i="1"/>
  <c r="AD570" i="1"/>
  <c r="AC570" i="1"/>
  <c r="AB570" i="1"/>
  <c r="AF569" i="1"/>
  <c r="AD569" i="1"/>
  <c r="AC569" i="1"/>
  <c r="AB569" i="1"/>
  <c r="AF568" i="1"/>
  <c r="AD568" i="1"/>
  <c r="AC568" i="1"/>
  <c r="AB568" i="1"/>
  <c r="AF567" i="1"/>
  <c r="AD567" i="1"/>
  <c r="AC567" i="1"/>
  <c r="AB567" i="1"/>
  <c r="AF566" i="1"/>
  <c r="AD566" i="1"/>
  <c r="AC566" i="1"/>
  <c r="AB566" i="1"/>
  <c r="AF565" i="1"/>
  <c r="AD565" i="1"/>
  <c r="AC565" i="1"/>
  <c r="AB565" i="1"/>
  <c r="AF562" i="1"/>
  <c r="AD562" i="1"/>
  <c r="AC562" i="1"/>
  <c r="AB562" i="1"/>
  <c r="AF561" i="1"/>
  <c r="AD561" i="1"/>
  <c r="AC561" i="1"/>
  <c r="AB561" i="1"/>
  <c r="AF560" i="1"/>
  <c r="AD560" i="1"/>
  <c r="AC560" i="1"/>
  <c r="AB560" i="1"/>
  <c r="AF559" i="1"/>
  <c r="AD559" i="1"/>
  <c r="AC559" i="1"/>
  <c r="AB559" i="1"/>
  <c r="AF558" i="1"/>
  <c r="AD558" i="1"/>
  <c r="AC558" i="1"/>
  <c r="AB558" i="1"/>
  <c r="AF557" i="1"/>
  <c r="AD557" i="1"/>
  <c r="AC557" i="1"/>
  <c r="AB557" i="1"/>
  <c r="AF556" i="1"/>
  <c r="AD556" i="1"/>
  <c r="AC556" i="1"/>
  <c r="AB556" i="1"/>
  <c r="AF555" i="1"/>
  <c r="AD555" i="1"/>
  <c r="AC555" i="1"/>
  <c r="AB555" i="1"/>
  <c r="AF554" i="1"/>
  <c r="AD554" i="1"/>
  <c r="AC554" i="1"/>
  <c r="AB554" i="1"/>
  <c r="AF553" i="1"/>
  <c r="AD553" i="1"/>
  <c r="AC553" i="1"/>
  <c r="AB552" i="1"/>
  <c r="AB551" i="1"/>
  <c r="AB550" i="1"/>
  <c r="AB549" i="1"/>
  <c r="AB548" i="1"/>
  <c r="AB547" i="1"/>
  <c r="AB553" i="1"/>
  <c r="AF506" i="1"/>
  <c r="AD506" i="1"/>
  <c r="AC506" i="1"/>
  <c r="AB505" i="1"/>
  <c r="AB504" i="1"/>
  <c r="AB503" i="1"/>
  <c r="AB502" i="1"/>
  <c r="AB501" i="1"/>
  <c r="AB500" i="1"/>
  <c r="AB506" i="1"/>
  <c r="AL589" i="1"/>
  <c r="AW589" i="1" s="1"/>
  <c r="AJ589" i="1"/>
  <c r="AI589" i="1"/>
  <c r="AH589" i="1"/>
  <c r="AL588" i="1"/>
  <c r="AW588" i="1" s="1"/>
  <c r="AI588" i="1"/>
  <c r="AH588" i="1"/>
  <c r="AL587" i="1"/>
  <c r="AW587" i="1" s="1"/>
  <c r="AJ587" i="1"/>
  <c r="AI587" i="1"/>
  <c r="AH587" i="1"/>
  <c r="AL586" i="1"/>
  <c r="AW586" i="1" s="1"/>
  <c r="AJ586" i="1"/>
  <c r="AI586" i="1"/>
  <c r="AH586" i="1"/>
  <c r="AM586" i="1"/>
  <c r="AX586" i="1" s="1" a="1"/>
  <c r="AX586" i="1" s="1"/>
  <c r="AL585" i="1"/>
  <c r="AW585" i="1" s="1"/>
  <c r="AJ585" i="1"/>
  <c r="AI585" i="1"/>
  <c r="AH585" i="1"/>
  <c r="AL584" i="1"/>
  <c r="AW584" i="1" s="1"/>
  <c r="AJ584" i="1"/>
  <c r="AI584" i="1"/>
  <c r="AH584" i="1"/>
  <c r="AG584" i="1" s="1"/>
  <c r="AL583" i="1"/>
  <c r="AW583" i="1" s="1"/>
  <c r="AJ583" i="1"/>
  <c r="AI583" i="1"/>
  <c r="AH583" i="1"/>
  <c r="AL582" i="1"/>
  <c r="AW582" i="1" s="1"/>
  <c r="AJ582" i="1"/>
  <c r="AI582" i="1"/>
  <c r="AH582" i="1"/>
  <c r="AL581" i="1"/>
  <c r="AW581" i="1" s="1"/>
  <c r="AJ581" i="1"/>
  <c r="AI581" i="1"/>
  <c r="AH581" i="1"/>
  <c r="AG581" i="1" s="1"/>
  <c r="AL580" i="1"/>
  <c r="AW580" i="1" s="1"/>
  <c r="AJ580" i="1"/>
  <c r="AI580" i="1"/>
  <c r="AH580" i="1"/>
  <c r="AL579" i="1"/>
  <c r="AW579" i="1" s="1"/>
  <c r="AJ579" i="1"/>
  <c r="AI579" i="1"/>
  <c r="AH579" i="1"/>
  <c r="AG579" i="1" s="1"/>
  <c r="AL578" i="1"/>
  <c r="AW578" i="1" s="1"/>
  <c r="AJ578" i="1"/>
  <c r="AI578" i="1"/>
  <c r="AH578" i="1"/>
  <c r="AG578" i="1" s="1"/>
  <c r="AL577" i="1"/>
  <c r="AW577" i="1" s="1"/>
  <c r="AJ577" i="1"/>
  <c r="AI577" i="1"/>
  <c r="AH577" i="1"/>
  <c r="AL576" i="1"/>
  <c r="AW576" i="1" s="1"/>
  <c r="AJ576" i="1"/>
  <c r="AI576" i="1"/>
  <c r="AH576" i="1"/>
  <c r="AL575" i="1"/>
  <c r="AW575" i="1" s="1"/>
  <c r="AJ575" i="1"/>
  <c r="AI575" i="1"/>
  <c r="AH575" i="1"/>
  <c r="AL574" i="1"/>
  <c r="AW574" i="1" s="1"/>
  <c r="AJ574" i="1"/>
  <c r="AI574" i="1"/>
  <c r="AH574" i="1"/>
  <c r="AL573" i="1"/>
  <c r="AW573" i="1" s="1"/>
  <c r="AJ573" i="1"/>
  <c r="AI573" i="1"/>
  <c r="AH573" i="1"/>
  <c r="AM573" i="1"/>
  <c r="AX573" i="1" s="1" a="1"/>
  <c r="AX573" i="1" s="1"/>
  <c r="AL572" i="1"/>
  <c r="AW572" i="1" s="1"/>
  <c r="AJ572" i="1"/>
  <c r="AI572" i="1"/>
  <c r="AH572" i="1"/>
  <c r="AG572" i="1" s="1"/>
  <c r="AM572" i="1"/>
  <c r="AX572" i="1" s="1" a="1"/>
  <c r="AX572" i="1" s="1"/>
  <c r="AM571" i="1"/>
  <c r="AX571" i="1" s="1" a="1"/>
  <c r="AX571" i="1" s="1"/>
  <c r="AL571" i="1"/>
  <c r="AW571" i="1" s="1"/>
  <c r="AJ571" i="1"/>
  <c r="AI571" i="1"/>
  <c r="AH571" i="1"/>
  <c r="AG571" i="1" s="1"/>
  <c r="AL570" i="1"/>
  <c r="AW570" i="1" s="1"/>
  <c r="AJ570" i="1"/>
  <c r="AI570" i="1"/>
  <c r="AL569" i="1"/>
  <c r="AW569" i="1" s="1"/>
  <c r="AJ569" i="1"/>
  <c r="AI569" i="1"/>
  <c r="AH569" i="1"/>
  <c r="AL568" i="1"/>
  <c r="AW568" i="1" s="1"/>
  <c r="AI568" i="1"/>
  <c r="AH568" i="1"/>
  <c r="AL567" i="1"/>
  <c r="AW567" i="1" s="1"/>
  <c r="AJ567" i="1"/>
  <c r="AI567" i="1"/>
  <c r="AH567" i="1"/>
  <c r="AL566" i="1"/>
  <c r="AW566" i="1" s="1"/>
  <c r="AJ566" i="1"/>
  <c r="AI566" i="1"/>
  <c r="AH566" i="1"/>
  <c r="AG566" i="1" s="1"/>
  <c r="AL565" i="1"/>
  <c r="AW565" i="1" s="1"/>
  <c r="AJ565" i="1"/>
  <c r="AI565" i="1"/>
  <c r="AH565" i="1"/>
  <c r="AG565" i="1" s="1"/>
  <c r="AL564" i="1"/>
  <c r="AW564" i="1" s="1"/>
  <c r="AJ564" i="1"/>
  <c r="AL563" i="1"/>
  <c r="AW563" i="1" s="1"/>
  <c r="AL562" i="1"/>
  <c r="AW562" i="1" s="1"/>
  <c r="AJ562" i="1"/>
  <c r="AI562" i="1"/>
  <c r="AH562" i="1"/>
  <c r="AL561" i="1"/>
  <c r="AW561" i="1" s="1"/>
  <c r="AJ561" i="1"/>
  <c r="AI561" i="1"/>
  <c r="AH561" i="1"/>
  <c r="AL560" i="1"/>
  <c r="AW560" i="1" s="1"/>
  <c r="AJ560" i="1"/>
  <c r="AI560" i="1"/>
  <c r="AH560" i="1"/>
  <c r="AL559" i="1"/>
  <c r="AW559" i="1" s="1"/>
  <c r="AI559" i="1"/>
  <c r="AH559" i="1"/>
  <c r="AL558" i="1"/>
  <c r="AW558" i="1" s="1"/>
  <c r="AI558" i="1"/>
  <c r="AH558" i="1"/>
  <c r="AL557" i="1"/>
  <c r="AW557" i="1" s="1"/>
  <c r="AI557" i="1"/>
  <c r="AH557" i="1"/>
  <c r="AG557" i="1" s="1"/>
  <c r="AL556" i="1"/>
  <c r="AW556" i="1" s="1"/>
  <c r="AJ556" i="1"/>
  <c r="AI556" i="1"/>
  <c r="AH556" i="1"/>
  <c r="AL555" i="1"/>
  <c r="AW555" i="1" s="1"/>
  <c r="AJ555" i="1"/>
  <c r="AI555" i="1"/>
  <c r="AH555" i="1"/>
  <c r="AG555" i="1" s="1"/>
  <c r="AL554" i="1"/>
  <c r="AW554" i="1" s="1"/>
  <c r="AJ554" i="1"/>
  <c r="AI554" i="1"/>
  <c r="AH554" i="1"/>
  <c r="AL553" i="1"/>
  <c r="AW553" i="1" s="1"/>
  <c r="AJ553" i="1"/>
  <c r="AI553" i="1"/>
  <c r="AH553" i="1"/>
  <c r="AG553" i="1" s="1"/>
  <c r="X548" i="1"/>
  <c r="X549" i="1" s="1"/>
  <c r="AA547" i="1"/>
  <c r="BI52" i="1"/>
  <c r="AF542" i="1"/>
  <c r="AD542" i="1"/>
  <c r="AC542" i="1"/>
  <c r="AB542" i="1"/>
  <c r="AF541" i="1"/>
  <c r="AD541" i="1"/>
  <c r="AC541" i="1"/>
  <c r="AB541" i="1"/>
  <c r="AF540" i="1"/>
  <c r="AD540" i="1"/>
  <c r="AC540" i="1"/>
  <c r="AB540" i="1"/>
  <c r="AF539" i="1"/>
  <c r="AD539" i="1"/>
  <c r="AC539" i="1"/>
  <c r="AB539" i="1"/>
  <c r="AM539" i="1" s="1"/>
  <c r="AX539" i="1" s="1" a="1"/>
  <c r="AX539" i="1" s="1"/>
  <c r="AF538" i="1"/>
  <c r="AD538" i="1"/>
  <c r="AC538" i="1"/>
  <c r="AB538" i="1"/>
  <c r="AF537" i="1"/>
  <c r="AD537" i="1"/>
  <c r="AC537" i="1"/>
  <c r="AB537" i="1"/>
  <c r="AF536" i="1"/>
  <c r="AD536" i="1"/>
  <c r="AC536" i="1"/>
  <c r="AB536" i="1"/>
  <c r="AF535" i="1"/>
  <c r="AD535" i="1"/>
  <c r="AC535" i="1"/>
  <c r="AB535" i="1"/>
  <c r="AM535" i="1" s="1"/>
  <c r="AF534" i="1"/>
  <c r="AD534" i="1"/>
  <c r="AC534" i="1"/>
  <c r="AB534" i="1"/>
  <c r="AM534" i="1" s="1"/>
  <c r="AX534" i="1" s="1" a="1"/>
  <c r="AX534" i="1" s="1"/>
  <c r="AF533" i="1"/>
  <c r="AD533" i="1"/>
  <c r="AC533" i="1"/>
  <c r="AB533" i="1"/>
  <c r="AF532" i="1"/>
  <c r="AD532" i="1"/>
  <c r="AC532" i="1"/>
  <c r="AB532" i="1"/>
  <c r="AF531" i="1"/>
  <c r="AD531" i="1"/>
  <c r="AC531" i="1"/>
  <c r="AB531" i="1"/>
  <c r="AF530" i="1"/>
  <c r="AD530" i="1"/>
  <c r="AC530" i="1"/>
  <c r="AB530" i="1"/>
  <c r="AM530" i="1" s="1"/>
  <c r="AX530" i="1" s="1" a="1"/>
  <c r="AX530" i="1" s="1"/>
  <c r="AF529" i="1"/>
  <c r="AD529" i="1"/>
  <c r="AC529" i="1"/>
  <c r="AB529" i="1"/>
  <c r="AF528" i="1"/>
  <c r="AD528" i="1"/>
  <c r="AC528" i="1"/>
  <c r="AB528" i="1"/>
  <c r="AF527" i="1"/>
  <c r="AD527" i="1"/>
  <c r="AC527" i="1"/>
  <c r="AB527" i="1"/>
  <c r="AF526" i="1"/>
  <c r="AD526" i="1"/>
  <c r="AC526" i="1"/>
  <c r="AB526" i="1"/>
  <c r="AM526" i="1" s="1"/>
  <c r="AX526" i="1" s="1" a="1"/>
  <c r="AX526" i="1" s="1"/>
  <c r="AF525" i="1"/>
  <c r="AD525" i="1"/>
  <c r="AC525" i="1"/>
  <c r="AB525" i="1"/>
  <c r="AM525" i="1" s="1"/>
  <c r="AF524" i="1"/>
  <c r="AD524" i="1"/>
  <c r="AC524" i="1"/>
  <c r="AB524" i="1"/>
  <c r="AF523" i="1"/>
  <c r="AD523" i="1"/>
  <c r="AC523" i="1"/>
  <c r="AB523" i="1"/>
  <c r="AF522" i="1"/>
  <c r="AD522" i="1"/>
  <c r="AC522" i="1"/>
  <c r="AB522" i="1"/>
  <c r="AF521" i="1"/>
  <c r="AD521" i="1"/>
  <c r="AC521" i="1"/>
  <c r="AB521" i="1"/>
  <c r="AF520" i="1"/>
  <c r="AD520" i="1"/>
  <c r="AC520" i="1"/>
  <c r="AB520" i="1"/>
  <c r="AF519" i="1"/>
  <c r="AD519" i="1"/>
  <c r="AC519" i="1"/>
  <c r="AB519" i="1"/>
  <c r="AF518" i="1"/>
  <c r="AD518" i="1"/>
  <c r="AC518" i="1"/>
  <c r="AB518" i="1"/>
  <c r="AF515" i="1"/>
  <c r="AD515" i="1"/>
  <c r="AC515" i="1"/>
  <c r="AB515" i="1"/>
  <c r="AF514" i="1"/>
  <c r="AD514" i="1"/>
  <c r="AC514" i="1"/>
  <c r="AB514" i="1"/>
  <c r="AF513" i="1"/>
  <c r="AD513" i="1"/>
  <c r="AC513" i="1"/>
  <c r="AB513" i="1"/>
  <c r="AF512" i="1"/>
  <c r="AD512" i="1"/>
  <c r="AC512" i="1"/>
  <c r="AB512" i="1"/>
  <c r="AF511" i="1"/>
  <c r="AD511" i="1"/>
  <c r="AC511" i="1"/>
  <c r="AB511" i="1"/>
  <c r="AF510" i="1"/>
  <c r="AD510" i="1"/>
  <c r="AC510" i="1"/>
  <c r="AB510" i="1"/>
  <c r="AF509" i="1"/>
  <c r="AD509" i="1"/>
  <c r="AC509" i="1"/>
  <c r="AB509" i="1"/>
  <c r="AF508" i="1"/>
  <c r="AD508" i="1"/>
  <c r="AC508" i="1"/>
  <c r="AB508" i="1"/>
  <c r="AF507" i="1"/>
  <c r="AD507" i="1"/>
  <c r="AC507" i="1"/>
  <c r="AB507" i="1"/>
  <c r="AL542" i="1"/>
  <c r="AW542" i="1" s="1"/>
  <c r="AJ542" i="1"/>
  <c r="AI542" i="1"/>
  <c r="AH542" i="1"/>
  <c r="AL541" i="1"/>
  <c r="AW541" i="1" s="1"/>
  <c r="AI541" i="1"/>
  <c r="AH541" i="1"/>
  <c r="AL540" i="1"/>
  <c r="AW540" i="1" s="1"/>
  <c r="AJ540" i="1"/>
  <c r="AI540" i="1"/>
  <c r="AH540" i="1"/>
  <c r="AL539" i="1"/>
  <c r="AW539" i="1" s="1"/>
  <c r="AJ539" i="1"/>
  <c r="AI539" i="1"/>
  <c r="AH539" i="1"/>
  <c r="AL538" i="1"/>
  <c r="AW538" i="1" s="1"/>
  <c r="AJ538" i="1"/>
  <c r="AI538" i="1"/>
  <c r="AH538" i="1"/>
  <c r="AL537" i="1"/>
  <c r="AW537" i="1" s="1"/>
  <c r="AJ537" i="1"/>
  <c r="AI537" i="1"/>
  <c r="AH537" i="1"/>
  <c r="AM536" i="1"/>
  <c r="AX536" i="1" s="1" a="1"/>
  <c r="AX536" i="1" s="1"/>
  <c r="AL536" i="1"/>
  <c r="AW536" i="1" s="1"/>
  <c r="AJ536" i="1"/>
  <c r="AI536" i="1"/>
  <c r="AH536" i="1"/>
  <c r="AL535" i="1"/>
  <c r="AW535" i="1" s="1"/>
  <c r="AJ535" i="1"/>
  <c r="AI535" i="1"/>
  <c r="AH535" i="1"/>
  <c r="AL534" i="1"/>
  <c r="AW534" i="1" s="1"/>
  <c r="AJ534" i="1"/>
  <c r="AI534" i="1"/>
  <c r="AH534" i="1"/>
  <c r="AL533" i="1"/>
  <c r="AW533" i="1" s="1"/>
  <c r="AJ533" i="1"/>
  <c r="AI533" i="1"/>
  <c r="AH533" i="1"/>
  <c r="AL532" i="1"/>
  <c r="AW532" i="1" s="1"/>
  <c r="AJ532" i="1"/>
  <c r="AI532" i="1"/>
  <c r="AH532" i="1"/>
  <c r="AM531" i="1"/>
  <c r="AL531" i="1"/>
  <c r="AW531" i="1" s="1"/>
  <c r="AJ531" i="1"/>
  <c r="AI531" i="1"/>
  <c r="AH531" i="1"/>
  <c r="AL530" i="1"/>
  <c r="AW530" i="1" s="1"/>
  <c r="AJ530" i="1"/>
  <c r="AI530" i="1"/>
  <c r="AH530" i="1"/>
  <c r="AM529" i="1"/>
  <c r="AL529" i="1"/>
  <c r="AW529" i="1" s="1"/>
  <c r="AJ529" i="1"/>
  <c r="AI529" i="1"/>
  <c r="AH529" i="1"/>
  <c r="AL528" i="1"/>
  <c r="AW528" i="1" s="1"/>
  <c r="AJ528" i="1"/>
  <c r="AI528" i="1"/>
  <c r="AH528" i="1"/>
  <c r="AL527" i="1"/>
  <c r="AW527" i="1" s="1"/>
  <c r="AJ527" i="1"/>
  <c r="AI527" i="1"/>
  <c r="AH527" i="1"/>
  <c r="AL526" i="1"/>
  <c r="AW526" i="1" s="1"/>
  <c r="AJ526" i="1"/>
  <c r="AI526" i="1"/>
  <c r="AH526" i="1"/>
  <c r="AL525" i="1"/>
  <c r="AW525" i="1" s="1"/>
  <c r="AJ525" i="1"/>
  <c r="AI525" i="1"/>
  <c r="AH525" i="1"/>
  <c r="AM524" i="1"/>
  <c r="AL524" i="1"/>
  <c r="AW524" i="1" s="1"/>
  <c r="AJ524" i="1"/>
  <c r="AI524" i="1"/>
  <c r="AH524" i="1"/>
  <c r="AL523" i="1"/>
  <c r="AW523" i="1" s="1"/>
  <c r="AJ523" i="1"/>
  <c r="AI523" i="1"/>
  <c r="AL522" i="1"/>
  <c r="AW522" i="1" s="1"/>
  <c r="AJ522" i="1"/>
  <c r="AI522" i="1"/>
  <c r="AH522" i="1"/>
  <c r="AL521" i="1"/>
  <c r="AW521" i="1" s="1"/>
  <c r="AI521" i="1"/>
  <c r="AH521" i="1"/>
  <c r="AL520" i="1"/>
  <c r="AW520" i="1" s="1"/>
  <c r="AJ520" i="1"/>
  <c r="AI520" i="1"/>
  <c r="AH520" i="1"/>
  <c r="AL519" i="1"/>
  <c r="AW519" i="1" s="1"/>
  <c r="AJ519" i="1"/>
  <c r="AI519" i="1"/>
  <c r="AH519" i="1"/>
  <c r="AL518" i="1"/>
  <c r="AW518" i="1" s="1"/>
  <c r="AJ518" i="1"/>
  <c r="AI518" i="1"/>
  <c r="AH518" i="1"/>
  <c r="AL517" i="1"/>
  <c r="AW517" i="1" s="1"/>
  <c r="AL516" i="1"/>
  <c r="AW516" i="1" s="1"/>
  <c r="AL515" i="1"/>
  <c r="AW515" i="1" s="1"/>
  <c r="AJ515" i="1"/>
  <c r="AI515" i="1"/>
  <c r="AH515" i="1"/>
  <c r="AL514" i="1"/>
  <c r="AW514" i="1" s="1"/>
  <c r="AJ514" i="1"/>
  <c r="AI514" i="1"/>
  <c r="AH514" i="1"/>
  <c r="AL513" i="1"/>
  <c r="AW513" i="1" s="1"/>
  <c r="AJ513" i="1"/>
  <c r="AI513" i="1"/>
  <c r="AH513" i="1"/>
  <c r="AL512" i="1"/>
  <c r="AW512" i="1" s="1"/>
  <c r="AI512" i="1"/>
  <c r="AH512" i="1"/>
  <c r="AL511" i="1"/>
  <c r="AW511" i="1" s="1"/>
  <c r="AI511" i="1"/>
  <c r="AH511" i="1"/>
  <c r="AL510" i="1"/>
  <c r="AW510" i="1" s="1"/>
  <c r="AI510" i="1"/>
  <c r="AH510" i="1"/>
  <c r="AL509" i="1"/>
  <c r="AW509" i="1" s="1"/>
  <c r="AJ509" i="1"/>
  <c r="AI509" i="1"/>
  <c r="AH509" i="1"/>
  <c r="AL508" i="1"/>
  <c r="AW508" i="1" s="1"/>
  <c r="AJ508" i="1"/>
  <c r="AI508" i="1"/>
  <c r="AH508" i="1"/>
  <c r="AW507" i="1"/>
  <c r="AL507" i="1"/>
  <c r="AJ507" i="1"/>
  <c r="AI507" i="1"/>
  <c r="AH507" i="1"/>
  <c r="AL506" i="1"/>
  <c r="AW506" i="1" s="1"/>
  <c r="AJ506" i="1"/>
  <c r="AI506" i="1"/>
  <c r="AH506" i="1"/>
  <c r="X501" i="1"/>
  <c r="AA501" i="1" s="1"/>
  <c r="AA500" i="1"/>
  <c r="AF495" i="1"/>
  <c r="AD495" i="1"/>
  <c r="AC495" i="1"/>
  <c r="AB495" i="1"/>
  <c r="AF494" i="1"/>
  <c r="AD494" i="1"/>
  <c r="AC494" i="1"/>
  <c r="AB494" i="1"/>
  <c r="AF493" i="1"/>
  <c r="AD493" i="1"/>
  <c r="AC493" i="1"/>
  <c r="AB493" i="1"/>
  <c r="AF492" i="1"/>
  <c r="AD492" i="1"/>
  <c r="AC492" i="1"/>
  <c r="AB492" i="1"/>
  <c r="AM492" i="1" s="1"/>
  <c r="AX492" i="1" s="1" a="1"/>
  <c r="AX492" i="1" s="1"/>
  <c r="AF491" i="1"/>
  <c r="AD491" i="1"/>
  <c r="AC491" i="1"/>
  <c r="AB491" i="1"/>
  <c r="AF490" i="1"/>
  <c r="AD490" i="1"/>
  <c r="AC490" i="1"/>
  <c r="AB490" i="1"/>
  <c r="AF489" i="1"/>
  <c r="AD489" i="1"/>
  <c r="AC489" i="1"/>
  <c r="AB489" i="1"/>
  <c r="AM489" i="1" s="1"/>
  <c r="AX489" i="1" s="1" a="1"/>
  <c r="AX489" i="1" s="1"/>
  <c r="AF488" i="1"/>
  <c r="AD488" i="1"/>
  <c r="AC488" i="1"/>
  <c r="AB488" i="1"/>
  <c r="AM488" i="1" s="1"/>
  <c r="AX488" i="1" s="1" a="1"/>
  <c r="AX488" i="1" s="1"/>
  <c r="AF487" i="1"/>
  <c r="AD487" i="1"/>
  <c r="AC487" i="1"/>
  <c r="AB487" i="1"/>
  <c r="AM487" i="1" s="1"/>
  <c r="AX487" i="1" s="1" a="1"/>
  <c r="AX487" i="1" s="1"/>
  <c r="AF486" i="1"/>
  <c r="AD486" i="1"/>
  <c r="AC486" i="1"/>
  <c r="AB486" i="1"/>
  <c r="AF485" i="1"/>
  <c r="AD485" i="1"/>
  <c r="AC485" i="1"/>
  <c r="AB485" i="1"/>
  <c r="AF484" i="1"/>
  <c r="AD484" i="1"/>
  <c r="AC484" i="1"/>
  <c r="AB484" i="1"/>
  <c r="AM484" i="1" s="1"/>
  <c r="AX484" i="1" s="1" a="1"/>
  <c r="AX484" i="1" s="1"/>
  <c r="AF483" i="1"/>
  <c r="AD483" i="1"/>
  <c r="AC483" i="1"/>
  <c r="AB483" i="1"/>
  <c r="AM483" i="1" s="1"/>
  <c r="AX483" i="1" s="1" a="1"/>
  <c r="AX483" i="1" s="1"/>
  <c r="AF482" i="1"/>
  <c r="AD482" i="1"/>
  <c r="AC482" i="1"/>
  <c r="AB482" i="1"/>
  <c r="AM482" i="1" s="1"/>
  <c r="AF481" i="1"/>
  <c r="AD481" i="1"/>
  <c r="AC481" i="1"/>
  <c r="AB481" i="1"/>
  <c r="AF480" i="1"/>
  <c r="AD480" i="1"/>
  <c r="AC480" i="1"/>
  <c r="AB480" i="1"/>
  <c r="AF479" i="1"/>
  <c r="AD479" i="1"/>
  <c r="AC479" i="1"/>
  <c r="AB479" i="1"/>
  <c r="AM479" i="1" s="1"/>
  <c r="AF478" i="1"/>
  <c r="AD478" i="1"/>
  <c r="AC478" i="1"/>
  <c r="AB478" i="1"/>
  <c r="AM478" i="1" s="1"/>
  <c r="AX478" i="1" s="1" a="1"/>
  <c r="AX478" i="1" s="1"/>
  <c r="AF477" i="1"/>
  <c r="AD477" i="1"/>
  <c r="AC477" i="1"/>
  <c r="AB477" i="1"/>
  <c r="AM477" i="1" s="1"/>
  <c r="AX477" i="1" s="1" a="1"/>
  <c r="AX477" i="1" s="1"/>
  <c r="AF476" i="1"/>
  <c r="AD476" i="1"/>
  <c r="AC476" i="1"/>
  <c r="AB476" i="1"/>
  <c r="AF475" i="1"/>
  <c r="AD475" i="1"/>
  <c r="AC475" i="1"/>
  <c r="AB475" i="1"/>
  <c r="AF474" i="1"/>
  <c r="AD474" i="1"/>
  <c r="AC474" i="1"/>
  <c r="AB474" i="1"/>
  <c r="AF473" i="1"/>
  <c r="AD473" i="1"/>
  <c r="AC473" i="1"/>
  <c r="AB473" i="1"/>
  <c r="AF472" i="1"/>
  <c r="AD472" i="1"/>
  <c r="AC472" i="1"/>
  <c r="AB472" i="1"/>
  <c r="AF471" i="1"/>
  <c r="AD471" i="1"/>
  <c r="AC471" i="1"/>
  <c r="AB471" i="1"/>
  <c r="AF468" i="1"/>
  <c r="AD468" i="1"/>
  <c r="AC468" i="1"/>
  <c r="AB468" i="1"/>
  <c r="AF467" i="1"/>
  <c r="AD467" i="1"/>
  <c r="AC467" i="1"/>
  <c r="AB467" i="1"/>
  <c r="AF466" i="1"/>
  <c r="AD466" i="1"/>
  <c r="AC466" i="1"/>
  <c r="AB466" i="1"/>
  <c r="AF465" i="1"/>
  <c r="AD465" i="1"/>
  <c r="AC465" i="1"/>
  <c r="AB465" i="1"/>
  <c r="AF464" i="1"/>
  <c r="AD464" i="1"/>
  <c r="AC464" i="1"/>
  <c r="AB464" i="1"/>
  <c r="AF463" i="1"/>
  <c r="AD463" i="1"/>
  <c r="AC463" i="1"/>
  <c r="AB463" i="1"/>
  <c r="AF462" i="1"/>
  <c r="AD462" i="1"/>
  <c r="AC462" i="1"/>
  <c r="AB462" i="1"/>
  <c r="AF461" i="1"/>
  <c r="AD461" i="1"/>
  <c r="AC461" i="1"/>
  <c r="AB461" i="1"/>
  <c r="AF460" i="1"/>
  <c r="AD460" i="1"/>
  <c r="AC460" i="1"/>
  <c r="AB460" i="1"/>
  <c r="AF459" i="1"/>
  <c r="AD459" i="1"/>
  <c r="AC459" i="1"/>
  <c r="AB459" i="1"/>
  <c r="AB458" i="1"/>
  <c r="AB457" i="1"/>
  <c r="AB456" i="1"/>
  <c r="AB455" i="1"/>
  <c r="AB454" i="1"/>
  <c r="AB453" i="1"/>
  <c r="AL495" i="1"/>
  <c r="AW495" i="1" s="1"/>
  <c r="AJ495" i="1"/>
  <c r="AI495" i="1"/>
  <c r="AH495" i="1"/>
  <c r="AW494" i="1"/>
  <c r="AL494" i="1"/>
  <c r="AI494" i="1"/>
  <c r="AH494" i="1"/>
  <c r="AL493" i="1"/>
  <c r="AW493" i="1" s="1"/>
  <c r="AJ493" i="1"/>
  <c r="AI493" i="1"/>
  <c r="AH493" i="1"/>
  <c r="AL492" i="1"/>
  <c r="AW492" i="1" s="1"/>
  <c r="AJ492" i="1"/>
  <c r="AI492" i="1"/>
  <c r="AH492" i="1"/>
  <c r="AL491" i="1"/>
  <c r="AW491" i="1" s="1"/>
  <c r="AJ491" i="1"/>
  <c r="AI491" i="1"/>
  <c r="AH491" i="1"/>
  <c r="AL490" i="1"/>
  <c r="AW490" i="1" s="1"/>
  <c r="AJ490" i="1"/>
  <c r="AI490" i="1"/>
  <c r="AH490" i="1"/>
  <c r="AL489" i="1"/>
  <c r="AW489" i="1" s="1"/>
  <c r="AJ489" i="1"/>
  <c r="AI489" i="1"/>
  <c r="AH489" i="1"/>
  <c r="AL488" i="1"/>
  <c r="AW488" i="1" s="1"/>
  <c r="AJ488" i="1"/>
  <c r="AI488" i="1"/>
  <c r="AH488" i="1"/>
  <c r="AL487" i="1"/>
  <c r="AW487" i="1" s="1"/>
  <c r="AJ487" i="1"/>
  <c r="AI487" i="1"/>
  <c r="AH487" i="1"/>
  <c r="AL486" i="1"/>
  <c r="AW486" i="1" s="1"/>
  <c r="AJ486" i="1"/>
  <c r="AI486" i="1"/>
  <c r="AH486" i="1"/>
  <c r="AL485" i="1"/>
  <c r="AW485" i="1" s="1"/>
  <c r="AJ485" i="1"/>
  <c r="AI485" i="1"/>
  <c r="AH485" i="1"/>
  <c r="AL484" i="1"/>
  <c r="AW484" i="1" s="1"/>
  <c r="AJ484" i="1"/>
  <c r="AI484" i="1"/>
  <c r="AH484" i="1"/>
  <c r="AL483" i="1"/>
  <c r="AW483" i="1" s="1"/>
  <c r="AJ483" i="1"/>
  <c r="AI483" i="1"/>
  <c r="AH483" i="1"/>
  <c r="AL482" i="1"/>
  <c r="AW482" i="1" s="1"/>
  <c r="AJ482" i="1"/>
  <c r="AI482" i="1"/>
  <c r="AH482" i="1"/>
  <c r="AW481" i="1"/>
  <c r="AL481" i="1"/>
  <c r="AJ481" i="1"/>
  <c r="AI481" i="1"/>
  <c r="AH481" i="1"/>
  <c r="AL480" i="1"/>
  <c r="AW480" i="1" s="1"/>
  <c r="AJ480" i="1"/>
  <c r="AI480" i="1"/>
  <c r="AH480" i="1"/>
  <c r="AL479" i="1"/>
  <c r="AW479" i="1" s="1"/>
  <c r="AJ479" i="1"/>
  <c r="AI479" i="1"/>
  <c r="AH479" i="1"/>
  <c r="AL478" i="1"/>
  <c r="AW478" i="1" s="1"/>
  <c r="AJ478" i="1"/>
  <c r="AI478" i="1"/>
  <c r="AH478" i="1"/>
  <c r="AL477" i="1"/>
  <c r="AW477" i="1" s="1"/>
  <c r="AJ477" i="1"/>
  <c r="AI477" i="1"/>
  <c r="AH477" i="1"/>
  <c r="AL476" i="1"/>
  <c r="AW476" i="1" s="1"/>
  <c r="AJ476" i="1"/>
  <c r="AI476" i="1"/>
  <c r="AL475" i="1"/>
  <c r="AW475" i="1" s="1"/>
  <c r="AJ475" i="1"/>
  <c r="AI475" i="1"/>
  <c r="AH475" i="1"/>
  <c r="AL474" i="1"/>
  <c r="AW474" i="1" s="1"/>
  <c r="AI474" i="1"/>
  <c r="AH474" i="1"/>
  <c r="AL473" i="1"/>
  <c r="AW473" i="1" s="1"/>
  <c r="AJ473" i="1"/>
  <c r="AI473" i="1"/>
  <c r="AH473" i="1"/>
  <c r="AL472" i="1"/>
  <c r="AW472" i="1" s="1"/>
  <c r="AJ472" i="1"/>
  <c r="AI472" i="1"/>
  <c r="AH472" i="1"/>
  <c r="AL471" i="1"/>
  <c r="AW471" i="1" s="1"/>
  <c r="AJ471" i="1"/>
  <c r="AI471" i="1"/>
  <c r="AH471" i="1"/>
  <c r="AL470" i="1"/>
  <c r="AW470" i="1" s="1"/>
  <c r="AJ470" i="1"/>
  <c r="AL469" i="1"/>
  <c r="AW469" i="1" s="1"/>
  <c r="AL468" i="1"/>
  <c r="AW468" i="1" s="1"/>
  <c r="AJ468" i="1"/>
  <c r="AI468" i="1"/>
  <c r="AH468" i="1"/>
  <c r="AL467" i="1"/>
  <c r="AW467" i="1" s="1"/>
  <c r="AJ467" i="1"/>
  <c r="AI467" i="1"/>
  <c r="AH467" i="1"/>
  <c r="AL466" i="1"/>
  <c r="AW466" i="1" s="1"/>
  <c r="AJ466" i="1"/>
  <c r="AI466" i="1"/>
  <c r="AH466" i="1"/>
  <c r="AL465" i="1"/>
  <c r="AW465" i="1" s="1"/>
  <c r="AI465" i="1"/>
  <c r="AH465" i="1"/>
  <c r="AL464" i="1"/>
  <c r="AW464" i="1" s="1"/>
  <c r="AI464" i="1"/>
  <c r="AH464" i="1"/>
  <c r="AL463" i="1"/>
  <c r="AW463" i="1" s="1"/>
  <c r="AI463" i="1"/>
  <c r="AH463" i="1"/>
  <c r="AL462" i="1"/>
  <c r="AW462" i="1" s="1"/>
  <c r="AJ462" i="1"/>
  <c r="AI462" i="1"/>
  <c r="AH462" i="1"/>
  <c r="AL461" i="1"/>
  <c r="AW461" i="1" s="1"/>
  <c r="AJ461" i="1"/>
  <c r="AI461" i="1"/>
  <c r="AH461" i="1"/>
  <c r="AL460" i="1"/>
  <c r="AW460" i="1" s="1"/>
  <c r="AJ460" i="1"/>
  <c r="AI460" i="1"/>
  <c r="AH460" i="1"/>
  <c r="AL459" i="1"/>
  <c r="AW459" i="1" s="1"/>
  <c r="AJ459" i="1"/>
  <c r="AI459" i="1"/>
  <c r="AH459" i="1"/>
  <c r="X454" i="1"/>
  <c r="AA454" i="1" s="1"/>
  <c r="AA453" i="1"/>
  <c r="AL450" i="1"/>
  <c r="AW450" i="1" s="1"/>
  <c r="AJ450" i="1"/>
  <c r="AI450" i="1"/>
  <c r="AH450" i="1"/>
  <c r="AG450" i="1" s="1"/>
  <c r="AL449" i="1"/>
  <c r="AW449" i="1" s="1"/>
  <c r="AI449" i="1"/>
  <c r="AH449" i="1"/>
  <c r="AG449" i="1" s="1"/>
  <c r="AL448" i="1"/>
  <c r="AW448" i="1" s="1"/>
  <c r="AJ448" i="1"/>
  <c r="AI448" i="1"/>
  <c r="AH448" i="1"/>
  <c r="AG448" i="1" s="1"/>
  <c r="AM447" i="1"/>
  <c r="AL447" i="1"/>
  <c r="AW447" i="1" s="1"/>
  <c r="AJ447" i="1"/>
  <c r="AI447" i="1"/>
  <c r="AH447" i="1"/>
  <c r="AG447" i="1" s="1"/>
  <c r="AL446" i="1"/>
  <c r="AW446" i="1" s="1"/>
  <c r="AJ446" i="1"/>
  <c r="AI446" i="1"/>
  <c r="AH446" i="1"/>
  <c r="AG446" i="1" s="1"/>
  <c r="AL445" i="1"/>
  <c r="AW445" i="1" s="1"/>
  <c r="AJ445" i="1"/>
  <c r="AI445" i="1"/>
  <c r="AH445" i="1"/>
  <c r="AG445" i="1" s="1"/>
  <c r="AM444" i="1"/>
  <c r="AL444" i="1"/>
  <c r="AW444" i="1" s="1"/>
  <c r="AJ444" i="1"/>
  <c r="AI444" i="1"/>
  <c r="AH444" i="1"/>
  <c r="AG444" i="1" s="1"/>
  <c r="AM443" i="1"/>
  <c r="AL443" i="1"/>
  <c r="AW443" i="1" s="1"/>
  <c r="AJ443" i="1"/>
  <c r="AI443" i="1"/>
  <c r="AH443" i="1"/>
  <c r="AG443" i="1" s="1"/>
  <c r="AM442" i="1"/>
  <c r="AL442" i="1"/>
  <c r="AW442" i="1" s="1"/>
  <c r="AJ442" i="1"/>
  <c r="AI442" i="1"/>
  <c r="AH442" i="1"/>
  <c r="AG442" i="1" s="1"/>
  <c r="AL441" i="1"/>
  <c r="AW441" i="1" s="1"/>
  <c r="AJ441" i="1"/>
  <c r="AI441" i="1"/>
  <c r="AH441" i="1"/>
  <c r="AG441" i="1" s="1"/>
  <c r="AL440" i="1"/>
  <c r="AW440" i="1" s="1"/>
  <c r="AJ440" i="1"/>
  <c r="AI440" i="1"/>
  <c r="AH440" i="1"/>
  <c r="AG440" i="1" s="1"/>
  <c r="AM439" i="1"/>
  <c r="AL439" i="1"/>
  <c r="AW439" i="1" s="1"/>
  <c r="AJ439" i="1"/>
  <c r="AI439" i="1"/>
  <c r="AH439" i="1"/>
  <c r="AG439" i="1" s="1"/>
  <c r="AM438" i="1"/>
  <c r="AL438" i="1"/>
  <c r="AW438" i="1" s="1"/>
  <c r="AJ438" i="1"/>
  <c r="AI438" i="1"/>
  <c r="AH438" i="1"/>
  <c r="AG438" i="1" s="1"/>
  <c r="AM437" i="1"/>
  <c r="AL437" i="1"/>
  <c r="AW437" i="1" s="1"/>
  <c r="AJ437" i="1"/>
  <c r="AI437" i="1"/>
  <c r="AH437" i="1"/>
  <c r="AG437" i="1" s="1"/>
  <c r="AL436" i="1"/>
  <c r="AW436" i="1" s="1"/>
  <c r="AJ436" i="1"/>
  <c r="AI436" i="1"/>
  <c r="AH436" i="1"/>
  <c r="AG436" i="1" s="1"/>
  <c r="AL435" i="1"/>
  <c r="AW435" i="1" s="1"/>
  <c r="AJ435" i="1"/>
  <c r="AI435" i="1"/>
  <c r="AH435" i="1"/>
  <c r="AG435" i="1" s="1"/>
  <c r="AM434" i="1"/>
  <c r="AL434" i="1"/>
  <c r="AW434" i="1" s="1"/>
  <c r="AJ434" i="1"/>
  <c r="AI434" i="1"/>
  <c r="AH434" i="1"/>
  <c r="AG434" i="1" s="1"/>
  <c r="AM433" i="1"/>
  <c r="AL433" i="1"/>
  <c r="AW433" i="1" s="1"/>
  <c r="AJ433" i="1"/>
  <c r="AI433" i="1"/>
  <c r="AH433" i="1"/>
  <c r="AG433" i="1" s="1"/>
  <c r="AM432" i="1"/>
  <c r="AL432" i="1"/>
  <c r="AW432" i="1" s="1"/>
  <c r="AJ432" i="1"/>
  <c r="AI432" i="1"/>
  <c r="AH432" i="1"/>
  <c r="AG432" i="1" s="1"/>
  <c r="AL431" i="1"/>
  <c r="AW431" i="1" s="1"/>
  <c r="AJ431" i="1"/>
  <c r="AI431" i="1"/>
  <c r="AL430" i="1"/>
  <c r="AW430" i="1" s="1"/>
  <c r="AJ430" i="1"/>
  <c r="AI430" i="1"/>
  <c r="AH430" i="1"/>
  <c r="AG430" i="1" s="1"/>
  <c r="AL429" i="1"/>
  <c r="AW429" i="1" s="1"/>
  <c r="AI429" i="1"/>
  <c r="AH429" i="1"/>
  <c r="AG429" i="1" s="1"/>
  <c r="AL428" i="1"/>
  <c r="AW428" i="1" s="1"/>
  <c r="AJ428" i="1"/>
  <c r="AI428" i="1"/>
  <c r="AH428" i="1"/>
  <c r="AG428" i="1" s="1"/>
  <c r="AL427" i="1"/>
  <c r="AW427" i="1" s="1"/>
  <c r="AJ427" i="1"/>
  <c r="AI427" i="1"/>
  <c r="AH427" i="1"/>
  <c r="AG427" i="1" s="1"/>
  <c r="AL426" i="1"/>
  <c r="AW426" i="1" s="1"/>
  <c r="AJ426" i="1"/>
  <c r="AI426" i="1"/>
  <c r="AH426" i="1"/>
  <c r="AG426" i="1" s="1"/>
  <c r="AL425" i="1"/>
  <c r="AW425" i="1" s="1"/>
  <c r="AJ425" i="1"/>
  <c r="AL424" i="1"/>
  <c r="AW424" i="1" s="1"/>
  <c r="AJ424" i="1"/>
  <c r="AL423" i="1"/>
  <c r="AW423" i="1" s="1"/>
  <c r="AJ423" i="1"/>
  <c r="AH423" i="1"/>
  <c r="AG423" i="1" s="1"/>
  <c r="AL422" i="1"/>
  <c r="AW422" i="1" s="1"/>
  <c r="AJ422" i="1"/>
  <c r="AH422" i="1"/>
  <c r="AG422" i="1" s="1"/>
  <c r="AL421" i="1"/>
  <c r="AW421" i="1" s="1"/>
  <c r="AJ421" i="1"/>
  <c r="AI421" i="1"/>
  <c r="AH421" i="1"/>
  <c r="AG421" i="1" s="1"/>
  <c r="AL420" i="1"/>
  <c r="AW420" i="1" s="1"/>
  <c r="AH420" i="1"/>
  <c r="AG420" i="1" s="1"/>
  <c r="AL419" i="1"/>
  <c r="AW419" i="1" s="1"/>
  <c r="AI419" i="1"/>
  <c r="AH419" i="1"/>
  <c r="AG419" i="1" s="1"/>
  <c r="AL418" i="1"/>
  <c r="AW418" i="1" s="1"/>
  <c r="AI418" i="1"/>
  <c r="AH418" i="1"/>
  <c r="AG418" i="1" s="1"/>
  <c r="AL417" i="1"/>
  <c r="AW417" i="1" s="1"/>
  <c r="AJ417" i="1"/>
  <c r="AI417" i="1"/>
  <c r="AH417" i="1"/>
  <c r="AG417" i="1" s="1"/>
  <c r="AL416" i="1"/>
  <c r="AW416" i="1" s="1"/>
  <c r="AJ416" i="1"/>
  <c r="AI416" i="1"/>
  <c r="AH416" i="1"/>
  <c r="AG416" i="1" s="1"/>
  <c r="AL415" i="1"/>
  <c r="AW415" i="1" s="1"/>
  <c r="AJ415" i="1"/>
  <c r="AH415" i="1"/>
  <c r="AG415" i="1" s="1"/>
  <c r="AL414" i="1"/>
  <c r="AW414" i="1" s="1"/>
  <c r="AJ414" i="1"/>
  <c r="AH414" i="1"/>
  <c r="AG414" i="1" s="1"/>
  <c r="X409" i="1"/>
  <c r="X410" i="1" s="1"/>
  <c r="X411" i="1" s="1"/>
  <c r="AA408" i="1"/>
  <c r="BM406" i="1"/>
  <c r="BL406" i="1"/>
  <c r="AL405" i="1"/>
  <c r="AW405" i="1" s="1"/>
  <c r="AJ405" i="1"/>
  <c r="AI405" i="1"/>
  <c r="AH405" i="1"/>
  <c r="AG405" i="1" s="1"/>
  <c r="AL404" i="1"/>
  <c r="AW404" i="1" s="1"/>
  <c r="AI404" i="1"/>
  <c r="AH404" i="1"/>
  <c r="AG404" i="1" s="1"/>
  <c r="AL403" i="1"/>
  <c r="AW403" i="1" s="1"/>
  <c r="AJ403" i="1"/>
  <c r="AI403" i="1"/>
  <c r="AH403" i="1"/>
  <c r="AG403" i="1" s="1"/>
  <c r="AM402" i="1"/>
  <c r="AX402" i="1" s="1" a="1"/>
  <c r="AX402" i="1" s="1"/>
  <c r="AL402" i="1"/>
  <c r="AW402" i="1" s="1"/>
  <c r="AJ402" i="1"/>
  <c r="AI402" i="1"/>
  <c r="AH402" i="1"/>
  <c r="AG402" i="1" s="1"/>
  <c r="AL401" i="1"/>
  <c r="AW401" i="1" s="1"/>
  <c r="AJ401" i="1"/>
  <c r="AI401" i="1"/>
  <c r="AH401" i="1"/>
  <c r="AG401" i="1" s="1"/>
  <c r="AL400" i="1"/>
  <c r="AW400" i="1" s="1"/>
  <c r="AJ400" i="1"/>
  <c r="AI400" i="1"/>
  <c r="AH400" i="1"/>
  <c r="AG400" i="1" s="1"/>
  <c r="AM399" i="1"/>
  <c r="AX399" i="1" s="1" a="1"/>
  <c r="AX399" i="1" s="1"/>
  <c r="AL399" i="1"/>
  <c r="AW399" i="1" s="1"/>
  <c r="AJ399" i="1"/>
  <c r="AI399" i="1"/>
  <c r="AH399" i="1"/>
  <c r="AG399" i="1" s="1"/>
  <c r="AM398" i="1"/>
  <c r="AX398" i="1" s="1" a="1"/>
  <c r="AX398" i="1" s="1"/>
  <c r="AL398" i="1"/>
  <c r="AW398" i="1" s="1"/>
  <c r="AJ398" i="1"/>
  <c r="AI398" i="1"/>
  <c r="AH398" i="1"/>
  <c r="AG398" i="1" s="1"/>
  <c r="AM397" i="1"/>
  <c r="AX397" i="1" s="1" a="1"/>
  <c r="AX397" i="1" s="1"/>
  <c r="AL397" i="1"/>
  <c r="AW397" i="1" s="1"/>
  <c r="AJ397" i="1"/>
  <c r="AI397" i="1"/>
  <c r="AH397" i="1"/>
  <c r="AG397" i="1" s="1"/>
  <c r="AL396" i="1"/>
  <c r="AW396" i="1" s="1"/>
  <c r="AJ396" i="1"/>
  <c r="AI396" i="1"/>
  <c r="AH396" i="1"/>
  <c r="AG396" i="1" s="1"/>
  <c r="AL395" i="1"/>
  <c r="AW395" i="1" s="1"/>
  <c r="AJ395" i="1"/>
  <c r="AI395" i="1"/>
  <c r="AH395" i="1"/>
  <c r="AG395" i="1" s="1"/>
  <c r="AM394" i="1"/>
  <c r="AX394" i="1" s="1" a="1"/>
  <c r="AX394" i="1" s="1"/>
  <c r="AL394" i="1"/>
  <c r="AW394" i="1" s="1"/>
  <c r="AJ394" i="1"/>
  <c r="AI394" i="1"/>
  <c r="AH394" i="1"/>
  <c r="AG394" i="1" s="1"/>
  <c r="AM393" i="1"/>
  <c r="AX393" i="1" s="1" a="1"/>
  <c r="AX393" i="1" s="1"/>
  <c r="AL393" i="1"/>
  <c r="AW393" i="1" s="1"/>
  <c r="AJ393" i="1"/>
  <c r="AI393" i="1"/>
  <c r="AH393" i="1"/>
  <c r="AG393" i="1" s="1"/>
  <c r="AM392" i="1"/>
  <c r="AX392" i="1" s="1" a="1"/>
  <c r="AX392" i="1" s="1"/>
  <c r="AL392" i="1"/>
  <c r="AW392" i="1" s="1"/>
  <c r="AJ392" i="1"/>
  <c r="AI392" i="1"/>
  <c r="AH392" i="1"/>
  <c r="AG392" i="1" s="1"/>
  <c r="AL391" i="1"/>
  <c r="AW391" i="1" s="1"/>
  <c r="AJ391" i="1"/>
  <c r="AI391" i="1"/>
  <c r="AH391" i="1"/>
  <c r="AG391" i="1" s="1"/>
  <c r="AL390" i="1"/>
  <c r="AW390" i="1" s="1"/>
  <c r="AJ390" i="1"/>
  <c r="AI390" i="1"/>
  <c r="AH390" i="1"/>
  <c r="AG390" i="1" s="1"/>
  <c r="AM389" i="1"/>
  <c r="AX389" i="1" s="1" a="1"/>
  <c r="AX389" i="1" s="1"/>
  <c r="AL389" i="1"/>
  <c r="AW389" i="1" s="1"/>
  <c r="AJ389" i="1"/>
  <c r="AI389" i="1"/>
  <c r="AH389" i="1"/>
  <c r="AG389" i="1" s="1"/>
  <c r="AM388" i="1"/>
  <c r="AX388" i="1" s="1" a="1"/>
  <c r="AX388" i="1" s="1"/>
  <c r="AL388" i="1"/>
  <c r="AW388" i="1" s="1"/>
  <c r="AJ388" i="1"/>
  <c r="AI388" i="1"/>
  <c r="AH388" i="1"/>
  <c r="AG388" i="1" s="1"/>
  <c r="AM387" i="1"/>
  <c r="AX387" i="1" s="1" a="1"/>
  <c r="AX387" i="1" s="1"/>
  <c r="AL387" i="1"/>
  <c r="AW387" i="1" s="1"/>
  <c r="AJ387" i="1"/>
  <c r="AI387" i="1"/>
  <c r="AH387" i="1"/>
  <c r="AG387" i="1" s="1"/>
  <c r="AL386" i="1"/>
  <c r="AW386" i="1" s="1"/>
  <c r="AJ386" i="1"/>
  <c r="AI386" i="1"/>
  <c r="AF386" i="1"/>
  <c r="AL385" i="1"/>
  <c r="AW385" i="1" s="1"/>
  <c r="AJ385" i="1"/>
  <c r="AI385" i="1"/>
  <c r="AH385" i="1"/>
  <c r="AG385" i="1" s="1"/>
  <c r="AL384" i="1"/>
  <c r="AW384" i="1" s="1"/>
  <c r="AI384" i="1"/>
  <c r="AH384" i="1"/>
  <c r="AG384" i="1" s="1"/>
  <c r="AL383" i="1"/>
  <c r="AW383" i="1" s="1"/>
  <c r="AJ383" i="1"/>
  <c r="AI383" i="1"/>
  <c r="AH383" i="1"/>
  <c r="AG383" i="1" s="1"/>
  <c r="AL382" i="1"/>
  <c r="AW382" i="1" s="1"/>
  <c r="AJ382" i="1"/>
  <c r="AI382" i="1"/>
  <c r="AH382" i="1"/>
  <c r="AG382" i="1" s="1"/>
  <c r="AL381" i="1"/>
  <c r="AW381" i="1" s="1"/>
  <c r="AJ381" i="1"/>
  <c r="AI381" i="1"/>
  <c r="AH381" i="1"/>
  <c r="AG381" i="1" s="1"/>
  <c r="AL380" i="1"/>
  <c r="AW380" i="1" s="1"/>
  <c r="AJ380" i="1"/>
  <c r="AI380" i="1"/>
  <c r="AH380" i="1"/>
  <c r="AG380" i="1" s="1"/>
  <c r="AL379" i="1"/>
  <c r="AW379" i="1" s="1"/>
  <c r="AJ379" i="1"/>
  <c r="AI379" i="1"/>
  <c r="AH379" i="1"/>
  <c r="AG379" i="1" s="1"/>
  <c r="AL378" i="1"/>
  <c r="AW378" i="1" s="1"/>
  <c r="AI378" i="1"/>
  <c r="AH378" i="1"/>
  <c r="AG378" i="1" s="1"/>
  <c r="AL377" i="1"/>
  <c r="AW377" i="1" s="1"/>
  <c r="AI377" i="1"/>
  <c r="AH377" i="1"/>
  <c r="AG377" i="1" s="1"/>
  <c r="AL376" i="1"/>
  <c r="AW376" i="1" s="1"/>
  <c r="AL375" i="1"/>
  <c r="AW375" i="1" s="1"/>
  <c r="AJ375" i="1"/>
  <c r="AL374" i="1"/>
  <c r="AW374" i="1" s="1"/>
  <c r="AI374" i="1"/>
  <c r="AH374" i="1"/>
  <c r="AG374" i="1" s="1"/>
  <c r="AL373" i="1"/>
  <c r="AW373" i="1" s="1"/>
  <c r="AI373" i="1"/>
  <c r="AH373" i="1"/>
  <c r="AG373" i="1" s="1"/>
  <c r="AL372" i="1"/>
  <c r="AW372" i="1" s="1"/>
  <c r="AJ372" i="1"/>
  <c r="AI372" i="1"/>
  <c r="AH372" i="1"/>
  <c r="AG372" i="1" s="1"/>
  <c r="AL371" i="1"/>
  <c r="AW371" i="1" s="1"/>
  <c r="AJ371" i="1"/>
  <c r="AH371" i="1"/>
  <c r="AG371" i="1" s="1"/>
  <c r="AL370" i="1"/>
  <c r="AW370" i="1" s="1"/>
  <c r="AJ370" i="1"/>
  <c r="AH370" i="1"/>
  <c r="AG370" i="1" s="1"/>
  <c r="AL369" i="1"/>
  <c r="AW369" i="1" s="1"/>
  <c r="AJ369" i="1"/>
  <c r="AH369" i="1"/>
  <c r="AG369" i="1" s="1"/>
  <c r="X364" i="1"/>
  <c r="X365" i="1" s="1"/>
  <c r="X366" i="1" s="1"/>
  <c r="AA363" i="1"/>
  <c r="AP437" i="1" l="1"/>
  <c r="BA437" i="1" s="1" a="1"/>
  <c r="BA437" i="1" s="1"/>
  <c r="AX437" i="1" a="1"/>
  <c r="AX437" i="1" s="1"/>
  <c r="AP433" i="1"/>
  <c r="BA433" i="1" s="1" a="1"/>
  <c r="BA433" i="1" s="1"/>
  <c r="AX433" i="1" a="1"/>
  <c r="AX433" i="1" s="1"/>
  <c r="AP443" i="1"/>
  <c r="BA443" i="1" s="1" a="1"/>
  <c r="BA443" i="1" s="1"/>
  <c r="AX443" i="1" a="1"/>
  <c r="AX443" i="1" s="1"/>
  <c r="AP482" i="1"/>
  <c r="BA482" i="1" s="1" a="1"/>
  <c r="BA482" i="1" s="1"/>
  <c r="AX482" i="1" a="1"/>
  <c r="AX482" i="1" s="1"/>
  <c r="AP479" i="1"/>
  <c r="BA479" i="1" s="1" a="1"/>
  <c r="BA479" i="1" s="1"/>
  <c r="AX479" i="1" a="1"/>
  <c r="AX479" i="1" s="1"/>
  <c r="AP439" i="1"/>
  <c r="BA439" i="1" s="1" a="1"/>
  <c r="BA439" i="1" s="1"/>
  <c r="AX439" i="1" a="1"/>
  <c r="AX439" i="1" s="1"/>
  <c r="AP432" i="1"/>
  <c r="BA432" i="1" s="1" a="1"/>
  <c r="BA432" i="1" s="1"/>
  <c r="AX432" i="1" a="1"/>
  <c r="AX432" i="1" s="1"/>
  <c r="AP434" i="1"/>
  <c r="BA434" i="1" s="1" a="1"/>
  <c r="BA434" i="1" s="1"/>
  <c r="AX434" i="1" a="1"/>
  <c r="AX434" i="1" s="1"/>
  <c r="AP442" i="1"/>
  <c r="BA442" i="1" s="1" a="1"/>
  <c r="BA442" i="1" s="1"/>
  <c r="AX442" i="1" a="1"/>
  <c r="AX442" i="1" s="1"/>
  <c r="AP444" i="1"/>
  <c r="BA444" i="1" s="1" a="1"/>
  <c r="BA444" i="1" s="1"/>
  <c r="AX444" i="1" a="1"/>
  <c r="AX444" i="1" s="1"/>
  <c r="AP525" i="1"/>
  <c r="BA525" i="1" s="1" a="1"/>
  <c r="BA525" i="1" s="1"/>
  <c r="AX525" i="1" a="1"/>
  <c r="AX525" i="1" s="1"/>
  <c r="AP535" i="1"/>
  <c r="BA535" i="1" s="1" a="1"/>
  <c r="BA535" i="1" s="1"/>
  <c r="AX535" i="1" a="1"/>
  <c r="AX535" i="1" s="1"/>
  <c r="AP524" i="1"/>
  <c r="BA524" i="1" s="1" a="1"/>
  <c r="BA524" i="1" s="1"/>
  <c r="AX524" i="1" a="1"/>
  <c r="AX524" i="1" s="1"/>
  <c r="AP531" i="1"/>
  <c r="BA531" i="1" s="1" a="1"/>
  <c r="BA531" i="1" s="1"/>
  <c r="AX531" i="1" a="1"/>
  <c r="AX531" i="1" s="1"/>
  <c r="AP438" i="1"/>
  <c r="BA438" i="1" s="1" a="1"/>
  <c r="BA438" i="1" s="1"/>
  <c r="AX438" i="1" a="1"/>
  <c r="AX438" i="1" s="1"/>
  <c r="AP529" i="1"/>
  <c r="BA529" i="1" s="1" a="1"/>
  <c r="BA529" i="1" s="1"/>
  <c r="AX529" i="1" a="1"/>
  <c r="AX529" i="1" s="1"/>
  <c r="AP447" i="1"/>
  <c r="BA447" i="1" s="1" a="1"/>
  <c r="BA447" i="1" s="1"/>
  <c r="AX447" i="1" a="1"/>
  <c r="AX447" i="1" s="1"/>
  <c r="AG475" i="1"/>
  <c r="AG538" i="1"/>
  <c r="AG463" i="1"/>
  <c r="AG490" i="1"/>
  <c r="AG465" i="1"/>
  <c r="AG468" i="1"/>
  <c r="AG587" i="1"/>
  <c r="AG495" i="1"/>
  <c r="AG575" i="1"/>
  <c r="AG561" i="1"/>
  <c r="AG472" i="1"/>
  <c r="AG480" i="1"/>
  <c r="AG484" i="1"/>
  <c r="AG492" i="1"/>
  <c r="AG536" i="1"/>
  <c r="AG568" i="1"/>
  <c r="AG487" i="1"/>
  <c r="AG474" i="1"/>
  <c r="AG482" i="1"/>
  <c r="AG460" i="1"/>
  <c r="AG467" i="1"/>
  <c r="AG477" i="1"/>
  <c r="AG541" i="1"/>
  <c r="AG459" i="1"/>
  <c r="AG485" i="1"/>
  <c r="AG530" i="1"/>
  <c r="AG481" i="1"/>
  <c r="AG471" i="1"/>
  <c r="AG486" i="1"/>
  <c r="AG542" i="1"/>
  <c r="AG508" i="1"/>
  <c r="AG510" i="1"/>
  <c r="AG513" i="1"/>
  <c r="AG522" i="1"/>
  <c r="AG532" i="1"/>
  <c r="AG473" i="1"/>
  <c r="AG479" i="1"/>
  <c r="AG537" i="1"/>
  <c r="AG478" i="1"/>
  <c r="AG462" i="1"/>
  <c r="AG483" i="1"/>
  <c r="AG540" i="1"/>
  <c r="AG583" i="1"/>
  <c r="AG466" i="1"/>
  <c r="AG489" i="1"/>
  <c r="AG507" i="1"/>
  <c r="AG534" i="1"/>
  <c r="AG577" i="1"/>
  <c r="AG461" i="1"/>
  <c r="AG488" i="1"/>
  <c r="AG494" i="1"/>
  <c r="AG582" i="1"/>
  <c r="AG576" i="1"/>
  <c r="AG589" i="1"/>
  <c r="AG588" i="1"/>
  <c r="AA548" i="1"/>
  <c r="AG559" i="1"/>
  <c r="AG562" i="1"/>
  <c r="AG567" i="1"/>
  <c r="AG585" i="1"/>
  <c r="AG573" i="1"/>
  <c r="AP581" i="1"/>
  <c r="BA581" i="1" s="1" a="1"/>
  <c r="BA581" i="1" s="1"/>
  <c r="AP578" i="1"/>
  <c r="BA578" i="1" s="1" a="1"/>
  <c r="BA578" i="1" s="1"/>
  <c r="AP572" i="1"/>
  <c r="BA572" i="1" s="1" a="1"/>
  <c r="BA572" i="1" s="1"/>
  <c r="AP573" i="1"/>
  <c r="BA573" i="1" s="1" a="1"/>
  <c r="BA573" i="1" s="1"/>
  <c r="BI549" i="1"/>
  <c r="AA549" i="1"/>
  <c r="X550" i="1"/>
  <c r="AG554" i="1"/>
  <c r="AG574" i="1"/>
  <c r="AP582" i="1"/>
  <c r="BA582" i="1" s="1" a="1"/>
  <c r="BA582" i="1" s="1"/>
  <c r="AG558" i="1"/>
  <c r="AP576" i="1"/>
  <c r="BA576" i="1" s="1" a="1"/>
  <c r="BA576" i="1" s="1"/>
  <c r="AG560" i="1"/>
  <c r="AG586" i="1"/>
  <c r="AP583" i="1"/>
  <c r="BA583" i="1" s="1" a="1"/>
  <c r="BA583" i="1" s="1"/>
  <c r="AP577" i="1"/>
  <c r="BA577" i="1" s="1" a="1"/>
  <c r="BA577" i="1" s="1"/>
  <c r="AP571" i="1"/>
  <c r="BA571" i="1" s="1" a="1"/>
  <c r="BA571" i="1" s="1"/>
  <c r="AG580" i="1"/>
  <c r="AP586" i="1"/>
  <c r="BA586" i="1" s="1" a="1"/>
  <c r="BA586" i="1" s="1"/>
  <c r="AG556" i="1"/>
  <c r="AG569" i="1"/>
  <c r="X502" i="1"/>
  <c r="X503" i="1" s="1"/>
  <c r="AG512" i="1"/>
  <c r="AG520" i="1"/>
  <c r="AG525" i="1"/>
  <c r="AG528" i="1"/>
  <c r="AG531" i="1"/>
  <c r="AG506" i="1"/>
  <c r="AG511" i="1"/>
  <c r="AG519" i="1"/>
  <c r="AG524" i="1"/>
  <c r="AA502" i="1"/>
  <c r="AG515" i="1"/>
  <c r="AP526" i="1"/>
  <c r="BA526" i="1" s="1" a="1"/>
  <c r="BA526" i="1" s="1"/>
  <c r="AG535" i="1"/>
  <c r="AG518" i="1"/>
  <c r="AG529" i="1"/>
  <c r="AG509" i="1"/>
  <c r="AG514" i="1"/>
  <c r="AG527" i="1"/>
  <c r="AP539" i="1"/>
  <c r="BA539" i="1" s="1" a="1"/>
  <c r="BA539" i="1" s="1"/>
  <c r="AG521" i="1"/>
  <c r="AG526" i="1"/>
  <c r="AG533" i="1"/>
  <c r="AG539" i="1"/>
  <c r="AP530" i="1"/>
  <c r="BA530" i="1" s="1" a="1"/>
  <c r="BA530" i="1" s="1"/>
  <c r="AP536" i="1"/>
  <c r="BA536" i="1" s="1" a="1"/>
  <c r="BA536" i="1" s="1"/>
  <c r="AP534" i="1"/>
  <c r="BA534" i="1" s="1" a="1"/>
  <c r="BA534" i="1" s="1"/>
  <c r="AP483" i="1"/>
  <c r="BA483" i="1" s="1" a="1"/>
  <c r="BA483" i="1" s="1"/>
  <c r="AP488" i="1"/>
  <c r="BA488" i="1" s="1" a="1"/>
  <c r="BA488" i="1" s="1"/>
  <c r="AP492" i="1"/>
  <c r="BA492" i="1" s="1" a="1"/>
  <c r="BA492" i="1" s="1"/>
  <c r="AG464" i="1"/>
  <c r="AP484" i="1"/>
  <c r="BA484" i="1" s="1" a="1"/>
  <c r="BA484" i="1" s="1"/>
  <c r="AP477" i="1"/>
  <c r="BA477" i="1" s="1" a="1"/>
  <c r="BA477" i="1" s="1"/>
  <c r="AP489" i="1"/>
  <c r="BA489" i="1" s="1" a="1"/>
  <c r="BA489" i="1" s="1"/>
  <c r="AP487" i="1"/>
  <c r="BA487" i="1" s="1" a="1"/>
  <c r="BA487" i="1" s="1"/>
  <c r="AG493" i="1"/>
  <c r="AP478" i="1"/>
  <c r="BA478" i="1" s="1" a="1"/>
  <c r="BA478" i="1" s="1"/>
  <c r="AG491" i="1"/>
  <c r="X455" i="1"/>
  <c r="AP399" i="1"/>
  <c r="BA399" i="1" s="1" a="1"/>
  <c r="BA399" i="1" s="1"/>
  <c r="AP388" i="1"/>
  <c r="BA388" i="1" s="1" a="1"/>
  <c r="BA388" i="1" s="1"/>
  <c r="AP394" i="1"/>
  <c r="BA394" i="1" s="1" a="1"/>
  <c r="BA394" i="1" s="1"/>
  <c r="AP402" i="1"/>
  <c r="BA402" i="1" s="1" a="1"/>
  <c r="BA402" i="1" s="1"/>
  <c r="AP389" i="1"/>
  <c r="BA389" i="1" s="1" a="1"/>
  <c r="BA389" i="1" s="1"/>
  <c r="AP397" i="1"/>
  <c r="BA397" i="1" s="1" a="1"/>
  <c r="BA397" i="1" s="1"/>
  <c r="AP392" i="1"/>
  <c r="BA392" i="1" s="1" a="1"/>
  <c r="BA392" i="1" s="1"/>
  <c r="AP387" i="1"/>
  <c r="BA387" i="1" s="1" a="1"/>
  <c r="BA387" i="1" s="1"/>
  <c r="AP398" i="1"/>
  <c r="BA398" i="1" s="1" a="1"/>
  <c r="BA398" i="1" s="1"/>
  <c r="AP393" i="1"/>
  <c r="BA393" i="1" s="1" a="1"/>
  <c r="BA393" i="1" s="1"/>
  <c r="BI410" i="1"/>
  <c r="X412" i="1"/>
  <c r="AL412" i="1" s="1"/>
  <c r="AA411" i="1"/>
  <c r="AA410" i="1"/>
  <c r="AA409" i="1"/>
  <c r="AA364" i="1"/>
  <c r="X367" i="1"/>
  <c r="AL367" i="1" s="1"/>
  <c r="AA366" i="1"/>
  <c r="AA365" i="1"/>
  <c r="K17" i="3"/>
  <c r="K16" i="3"/>
  <c r="AI118" i="1"/>
  <c r="AA550" i="1" l="1"/>
  <c r="X551" i="1"/>
  <c r="BI502" i="1"/>
  <c r="AA503" i="1"/>
  <c r="X504" i="1"/>
  <c r="X456" i="1"/>
  <c r="AA455" i="1"/>
  <c r="BI455" i="1"/>
  <c r="X413" i="1"/>
  <c r="AA412" i="1"/>
  <c r="AA367" i="1"/>
  <c r="X368" i="1"/>
  <c r="AI131" i="1"/>
  <c r="AI129" i="1"/>
  <c r="AI124" i="1"/>
  <c r="AI117" i="1"/>
  <c r="AI112" i="1"/>
  <c r="AI108" i="1"/>
  <c r="AI106" i="1"/>
  <c r="AI100" i="1"/>
  <c r="AJ135" i="1"/>
  <c r="AI135" i="1"/>
  <c r="AH135" i="1"/>
  <c r="AJ133" i="1"/>
  <c r="AI133" i="1"/>
  <c r="AH133" i="1"/>
  <c r="AJ132" i="1"/>
  <c r="AI132" i="1"/>
  <c r="AH132" i="1"/>
  <c r="AJ131" i="1"/>
  <c r="AH131" i="1"/>
  <c r="AJ130" i="1"/>
  <c r="AI130" i="1"/>
  <c r="AH130" i="1"/>
  <c r="AJ129" i="1"/>
  <c r="AH129" i="1"/>
  <c r="AJ128" i="1"/>
  <c r="AI128" i="1"/>
  <c r="AH128" i="1"/>
  <c r="AJ127" i="1"/>
  <c r="AI127" i="1"/>
  <c r="AH127" i="1"/>
  <c r="AJ126" i="1"/>
  <c r="AI126" i="1"/>
  <c r="AH126" i="1"/>
  <c r="AJ125" i="1"/>
  <c r="AI125" i="1"/>
  <c r="AH125" i="1"/>
  <c r="AJ124" i="1"/>
  <c r="AH124" i="1"/>
  <c r="AJ123" i="1"/>
  <c r="AI123" i="1"/>
  <c r="AH123" i="1"/>
  <c r="AJ122" i="1"/>
  <c r="AI122" i="1"/>
  <c r="AH122" i="1"/>
  <c r="AJ121" i="1"/>
  <c r="AI121" i="1"/>
  <c r="AH121" i="1"/>
  <c r="AI120" i="1"/>
  <c r="AJ119" i="1"/>
  <c r="AH119" i="1"/>
  <c r="AJ118" i="1"/>
  <c r="AH118" i="1"/>
  <c r="AJ117" i="1"/>
  <c r="AH117" i="1"/>
  <c r="AJ116" i="1"/>
  <c r="AI116" i="1"/>
  <c r="AH116" i="1"/>
  <c r="AJ115" i="1"/>
  <c r="AI115" i="1"/>
  <c r="AH115" i="1"/>
  <c r="AI114" i="1"/>
  <c r="AH114" i="1"/>
  <c r="AJ113" i="1"/>
  <c r="AI113" i="1"/>
  <c r="AH113" i="1"/>
  <c r="AJ112" i="1"/>
  <c r="AH112" i="1"/>
  <c r="AJ111" i="1"/>
  <c r="AJ110" i="1"/>
  <c r="AH110" i="1"/>
  <c r="AJ109" i="1"/>
  <c r="AI109" i="1"/>
  <c r="AJ108" i="1"/>
  <c r="AH108" i="1"/>
  <c r="AJ107" i="1"/>
  <c r="AI107" i="1"/>
  <c r="AH107" i="1"/>
  <c r="AJ106" i="1"/>
  <c r="AH106" i="1"/>
  <c r="AI105" i="1"/>
  <c r="AH105" i="1"/>
  <c r="AJ104" i="1"/>
  <c r="AI104" i="1"/>
  <c r="AH104" i="1"/>
  <c r="AJ103" i="1"/>
  <c r="AI103" i="1"/>
  <c r="AH103" i="1"/>
  <c r="AJ102" i="1"/>
  <c r="AI102" i="1"/>
  <c r="AH102" i="1"/>
  <c r="AJ101" i="1"/>
  <c r="AI101" i="1"/>
  <c r="AH101" i="1"/>
  <c r="AJ100" i="1"/>
  <c r="AH100" i="1"/>
  <c r="AJ99" i="1"/>
  <c r="AI99" i="1"/>
  <c r="AH99" i="1"/>
  <c r="AA551" i="1" l="1"/>
  <c r="X552" i="1"/>
  <c r="AL551" i="1"/>
  <c r="AL504" i="1"/>
  <c r="X505" i="1"/>
  <c r="AA504" i="1"/>
  <c r="AA456" i="1"/>
  <c r="X457" i="1"/>
  <c r="AL457" i="1" s="1"/>
  <c r="X414" i="1"/>
  <c r="AA413" i="1"/>
  <c r="BI412" i="1"/>
  <c r="X369" i="1"/>
  <c r="AA368" i="1"/>
  <c r="AC123" i="1"/>
  <c r="X553" i="1" l="1"/>
  <c r="AA552" i="1"/>
  <c r="BI551" i="1"/>
  <c r="X506" i="1"/>
  <c r="AA505" i="1"/>
  <c r="BI504" i="1"/>
  <c r="X458" i="1"/>
  <c r="AA457" i="1"/>
  <c r="AA414" i="1"/>
  <c r="X415" i="1"/>
  <c r="AA369" i="1"/>
  <c r="X370" i="1"/>
  <c r="AL135" i="1"/>
  <c r="AW135" i="1" s="1"/>
  <c r="AL134" i="1"/>
  <c r="AW134" i="1" s="1"/>
  <c r="AL133" i="1"/>
  <c r="AW133" i="1" s="1"/>
  <c r="AM132" i="1"/>
  <c r="AX132" i="1" s="1" a="1"/>
  <c r="AX132" i="1" s="1"/>
  <c r="AL132" i="1"/>
  <c r="AW132" i="1" s="1"/>
  <c r="AL131" i="1"/>
  <c r="AW131" i="1" s="1"/>
  <c r="AL130" i="1"/>
  <c r="AW130" i="1" s="1"/>
  <c r="AM129" i="1"/>
  <c r="AX129" i="1" s="1" a="1"/>
  <c r="AX129" i="1" s="1"/>
  <c r="AL129" i="1"/>
  <c r="AW129" i="1" s="1"/>
  <c r="AM128" i="1"/>
  <c r="AX128" i="1" s="1" a="1"/>
  <c r="AX128" i="1" s="1"/>
  <c r="AL128" i="1"/>
  <c r="AW128" i="1" s="1"/>
  <c r="AM127" i="1"/>
  <c r="AX127" i="1" s="1" a="1"/>
  <c r="AX127" i="1" s="1"/>
  <c r="AL127" i="1"/>
  <c r="AW127" i="1" s="1"/>
  <c r="AL126" i="1"/>
  <c r="AW126" i="1" s="1"/>
  <c r="AL125" i="1"/>
  <c r="AW125" i="1" s="1"/>
  <c r="AM124" i="1"/>
  <c r="AX124" i="1" s="1" a="1"/>
  <c r="AX124" i="1" s="1"/>
  <c r="AL124" i="1"/>
  <c r="AW124" i="1" s="1"/>
  <c r="AM123" i="1"/>
  <c r="AX123" i="1" s="1" a="1"/>
  <c r="AX123" i="1" s="1"/>
  <c r="AL123" i="1"/>
  <c r="AW123" i="1" s="1"/>
  <c r="AM122" i="1"/>
  <c r="AX122" i="1" s="1" a="1"/>
  <c r="AX122" i="1" s="1"/>
  <c r="AL122" i="1"/>
  <c r="AW122" i="1" s="1"/>
  <c r="AL121" i="1"/>
  <c r="AW121" i="1" s="1"/>
  <c r="AL120" i="1"/>
  <c r="AW120" i="1" s="1"/>
  <c r="AM119" i="1"/>
  <c r="AX119" i="1" s="1" a="1"/>
  <c r="AX119" i="1" s="1"/>
  <c r="AL119" i="1"/>
  <c r="AW119" i="1" s="1"/>
  <c r="AM118" i="1"/>
  <c r="AX118" i="1" s="1" a="1"/>
  <c r="AX118" i="1" s="1"/>
  <c r="AL118" i="1"/>
  <c r="AW118" i="1" s="1"/>
  <c r="AM117" i="1"/>
  <c r="AX117" i="1" s="1" a="1"/>
  <c r="AX117" i="1" s="1"/>
  <c r="AL117" i="1"/>
  <c r="AW117" i="1" s="1"/>
  <c r="AL116" i="1"/>
  <c r="AW116" i="1" s="1"/>
  <c r="AL115" i="1"/>
  <c r="AW115" i="1" s="1"/>
  <c r="AL114" i="1"/>
  <c r="AW114" i="1" s="1"/>
  <c r="AL113" i="1"/>
  <c r="AW113" i="1" s="1"/>
  <c r="AL112" i="1"/>
  <c r="AW112" i="1" s="1"/>
  <c r="AL111" i="1"/>
  <c r="AW111" i="1" s="1"/>
  <c r="AL110" i="1"/>
  <c r="AW110" i="1" s="1"/>
  <c r="AL109" i="1"/>
  <c r="AW109" i="1" s="1"/>
  <c r="AL108" i="1"/>
  <c r="AW108" i="1" s="1"/>
  <c r="AL107" i="1"/>
  <c r="AW107" i="1" s="1"/>
  <c r="AL106" i="1"/>
  <c r="AW106" i="1" s="1"/>
  <c r="AL105" i="1"/>
  <c r="AW105" i="1" s="1"/>
  <c r="AL104" i="1"/>
  <c r="AW104" i="1" s="1"/>
  <c r="AL103" i="1"/>
  <c r="AW103" i="1" s="1"/>
  <c r="AL102" i="1"/>
  <c r="AW102" i="1" s="1"/>
  <c r="AL101" i="1"/>
  <c r="AW101" i="1" s="1"/>
  <c r="AL100" i="1"/>
  <c r="AW100" i="1" s="1"/>
  <c r="AL99" i="1"/>
  <c r="AW99" i="1" s="1"/>
  <c r="K6" i="3"/>
  <c r="M6" i="3" s="1"/>
  <c r="AG135" i="1"/>
  <c r="AG133" i="1"/>
  <c r="AG132" i="1"/>
  <c r="AG131" i="1"/>
  <c r="AG129" i="1"/>
  <c r="AG128" i="1"/>
  <c r="AG127" i="1"/>
  <c r="AG126" i="1"/>
  <c r="AG124" i="1"/>
  <c r="AG123" i="1"/>
  <c r="AG122" i="1"/>
  <c r="AG121" i="1"/>
  <c r="AG119" i="1"/>
  <c r="AG118" i="1"/>
  <c r="AG117" i="1"/>
  <c r="AG116" i="1"/>
  <c r="AG114" i="1"/>
  <c r="AG113" i="1"/>
  <c r="AG112" i="1"/>
  <c r="AG108" i="1"/>
  <c r="AG107" i="1"/>
  <c r="AG106" i="1"/>
  <c r="AG105" i="1"/>
  <c r="AG104" i="1"/>
  <c r="AG103" i="1"/>
  <c r="AG102" i="1"/>
  <c r="AG101" i="1"/>
  <c r="AG100" i="1"/>
  <c r="AG99" i="1"/>
  <c r="AI200" i="1"/>
  <c r="C24" i="4" s="1"/>
  <c r="AI199" i="1"/>
  <c r="C23" i="4" s="1"/>
  <c r="G22" i="4"/>
  <c r="AL144" i="1"/>
  <c r="AW144" i="1" s="1"/>
  <c r="AL145" i="1"/>
  <c r="AW145" i="1" s="1"/>
  <c r="AL146" i="1"/>
  <c r="AW146" i="1" s="1"/>
  <c r="AL147" i="1"/>
  <c r="AW147" i="1" s="1"/>
  <c r="X554" i="1" l="1"/>
  <c r="AA553" i="1"/>
  <c r="X507" i="1"/>
  <c r="AA506" i="1"/>
  <c r="AA458" i="1"/>
  <c r="BI457" i="1"/>
  <c r="X459" i="1"/>
  <c r="X416" i="1"/>
  <c r="AA415" i="1"/>
  <c r="X371" i="1"/>
  <c r="AA370" i="1"/>
  <c r="AP118" i="1"/>
  <c r="BA118" i="1" s="1" a="1"/>
  <c r="BA118" i="1" s="1"/>
  <c r="AP122" i="1"/>
  <c r="BA122" i="1" s="1" a="1"/>
  <c r="BA122" i="1" s="1"/>
  <c r="AP124" i="1"/>
  <c r="BA124" i="1" s="1" a="1"/>
  <c r="BA124" i="1" s="1"/>
  <c r="AP128" i="1"/>
  <c r="BA128" i="1" s="1" a="1"/>
  <c r="BA128" i="1" s="1"/>
  <c r="AP132" i="1"/>
  <c r="BA132" i="1" s="1" a="1"/>
  <c r="BA132" i="1" s="1"/>
  <c r="AP117" i="1"/>
  <c r="BA117" i="1" s="1" a="1"/>
  <c r="BA117" i="1" s="1"/>
  <c r="AP119" i="1"/>
  <c r="BA119" i="1" s="1" a="1"/>
  <c r="BA119" i="1" s="1"/>
  <c r="AP123" i="1"/>
  <c r="BA123" i="1" s="1" a="1"/>
  <c r="BA123" i="1" s="1"/>
  <c r="AP127" i="1"/>
  <c r="BA127" i="1" s="1" a="1"/>
  <c r="BA127" i="1" s="1"/>
  <c r="AP129" i="1"/>
  <c r="BA129" i="1" s="1" a="1"/>
  <c r="BA129" i="1" s="1"/>
  <c r="J3" i="3"/>
  <c r="K15" i="3"/>
  <c r="K14" i="3"/>
  <c r="K13" i="3"/>
  <c r="K12" i="3"/>
  <c r="K11" i="3"/>
  <c r="K10" i="3"/>
  <c r="K9" i="3"/>
  <c r="I4" i="3"/>
  <c r="I3" i="3"/>
  <c r="AL360" i="1"/>
  <c r="AW360" i="1" s="1"/>
  <c r="AH360" i="1"/>
  <c r="AG360" i="1" s="1"/>
  <c r="AL359" i="1"/>
  <c r="AW359" i="1" s="1"/>
  <c r="AI359" i="1"/>
  <c r="AH359" i="1"/>
  <c r="AG359" i="1" s="1"/>
  <c r="AL358" i="1"/>
  <c r="AW358" i="1" s="1"/>
  <c r="AH358" i="1"/>
  <c r="AG358" i="1" s="1"/>
  <c r="AM357" i="1"/>
  <c r="AX357" i="1" s="1" a="1"/>
  <c r="AX357" i="1" s="1"/>
  <c r="AL357" i="1"/>
  <c r="AW357" i="1" s="1"/>
  <c r="AL356" i="1"/>
  <c r="AW356" i="1" s="1"/>
  <c r="AL355" i="1"/>
  <c r="AW355" i="1" s="1"/>
  <c r="AH355" i="1"/>
  <c r="AG355" i="1" s="1"/>
  <c r="AM354" i="1"/>
  <c r="AX354" i="1" s="1" a="1"/>
  <c r="AX354" i="1" s="1"/>
  <c r="AL354" i="1"/>
  <c r="AW354" i="1" s="1"/>
  <c r="AM353" i="1"/>
  <c r="AX353" i="1" s="1" a="1"/>
  <c r="AX353" i="1" s="1"/>
  <c r="AL353" i="1"/>
  <c r="AW353" i="1" s="1"/>
  <c r="AJ352" i="1"/>
  <c r="AM352" i="1"/>
  <c r="AX352" i="1" s="1" a="1"/>
  <c r="AX352" i="1" s="1"/>
  <c r="AL352" i="1"/>
  <c r="AW352" i="1" s="1"/>
  <c r="AL351" i="1"/>
  <c r="AW351" i="1" s="1"/>
  <c r="AL350" i="1"/>
  <c r="AW350" i="1" s="1"/>
  <c r="AM349" i="1"/>
  <c r="AX349" i="1" s="1" a="1"/>
  <c r="AX349" i="1" s="1"/>
  <c r="AL349" i="1"/>
  <c r="AW349" i="1" s="1"/>
  <c r="AM348" i="1"/>
  <c r="AX348" i="1" s="1" a="1"/>
  <c r="AX348" i="1" s="1"/>
  <c r="AL348" i="1"/>
  <c r="AW348" i="1" s="1"/>
  <c r="AM347" i="1"/>
  <c r="AX347" i="1" s="1" a="1"/>
  <c r="AX347" i="1" s="1"/>
  <c r="AL347" i="1"/>
  <c r="AW347" i="1" s="1"/>
  <c r="AL346" i="1"/>
  <c r="AW346" i="1" s="1"/>
  <c r="AL345" i="1"/>
  <c r="AW345" i="1" s="1"/>
  <c r="AM344" i="1"/>
  <c r="AX344" i="1" s="1" a="1"/>
  <c r="AX344" i="1" s="1"/>
  <c r="AL344" i="1"/>
  <c r="AW344" i="1" s="1"/>
  <c r="AM343" i="1"/>
  <c r="AX343" i="1" s="1" a="1"/>
  <c r="AX343" i="1" s="1"/>
  <c r="AL343" i="1"/>
  <c r="AW343" i="1" s="1"/>
  <c r="AM342" i="1"/>
  <c r="AX342" i="1" s="1" a="1"/>
  <c r="AX342" i="1" s="1"/>
  <c r="AL342" i="1"/>
  <c r="AW342" i="1" s="1"/>
  <c r="AL341" i="1"/>
  <c r="AW341" i="1" s="1"/>
  <c r="AL340" i="1"/>
  <c r="AW340" i="1" s="1"/>
  <c r="AL339" i="1"/>
  <c r="AW339" i="1" s="1"/>
  <c r="AJ339" i="1"/>
  <c r="AL338" i="1"/>
  <c r="AW338" i="1" s="1"/>
  <c r="AL337" i="1"/>
  <c r="AW337" i="1" s="1"/>
  <c r="AL336" i="1"/>
  <c r="AW336" i="1" s="1"/>
  <c r="AL335" i="1"/>
  <c r="AW335" i="1" s="1"/>
  <c r="AL334" i="1"/>
  <c r="AW334" i="1" s="1"/>
  <c r="AL333" i="1"/>
  <c r="AW333" i="1" s="1"/>
  <c r="AL332" i="1"/>
  <c r="AW332" i="1" s="1"/>
  <c r="AI332" i="1"/>
  <c r="AL331" i="1"/>
  <c r="AW331" i="1" s="1"/>
  <c r="AJ331" i="1"/>
  <c r="AI331" i="1"/>
  <c r="AL330" i="1"/>
  <c r="AW330" i="1" s="1"/>
  <c r="AI330" i="1"/>
  <c r="AL329" i="1"/>
  <c r="AW329" i="1" s="1"/>
  <c r="AL328" i="1"/>
  <c r="AW328" i="1" s="1"/>
  <c r="AL327" i="1"/>
  <c r="AW327" i="1" s="1"/>
  <c r="AL326" i="1"/>
  <c r="AW326" i="1" s="1"/>
  <c r="AL325" i="1"/>
  <c r="AW325" i="1" s="1"/>
  <c r="AI325" i="1"/>
  <c r="AL324" i="1"/>
  <c r="AW324" i="1" s="1"/>
  <c r="X319" i="1"/>
  <c r="AA319" i="1" s="1"/>
  <c r="AA318" i="1"/>
  <c r="X555" i="1" l="1"/>
  <c r="AA554" i="1"/>
  <c r="X508" i="1"/>
  <c r="AA507" i="1"/>
  <c r="AA459" i="1"/>
  <c r="X460" i="1"/>
  <c r="AA416" i="1"/>
  <c r="X417" i="1"/>
  <c r="AA371" i="1"/>
  <c r="X372" i="1"/>
  <c r="K3" i="3"/>
  <c r="K4" i="3" s="1"/>
  <c r="M3" i="3" s="1"/>
  <c r="M9" i="3"/>
  <c r="AP344" i="1"/>
  <c r="BA344" i="1" s="1" a="1"/>
  <c r="BA344" i="1" s="1"/>
  <c r="AJ349" i="1"/>
  <c r="AJ357" i="1"/>
  <c r="AI343" i="1"/>
  <c r="AI352" i="1"/>
  <c r="AI347" i="1"/>
  <c r="AJ353" i="1"/>
  <c r="AP342" i="1"/>
  <c r="BA342" i="1" s="1" a="1"/>
  <c r="BA342" i="1" s="1"/>
  <c r="AP348" i="1"/>
  <c r="BA348" i="1" s="1" a="1"/>
  <c r="BA348" i="1" s="1"/>
  <c r="AJ354" i="1"/>
  <c r="X320" i="1"/>
  <c r="BI320" i="1" s="1"/>
  <c r="AI348" i="1"/>
  <c r="AP352" i="1"/>
  <c r="BA352" i="1" s="1" a="1"/>
  <c r="BA352" i="1" s="1"/>
  <c r="AJ348" i="1"/>
  <c r="AP343" i="1"/>
  <c r="BA343" i="1" s="1" a="1"/>
  <c r="BA343" i="1" s="1"/>
  <c r="AP347" i="1"/>
  <c r="BA347" i="1" s="1" a="1"/>
  <c r="BA347" i="1" s="1"/>
  <c r="AI342" i="1"/>
  <c r="AJ342" i="1"/>
  <c r="AP354" i="1"/>
  <c r="BA354" i="1" s="1" a="1"/>
  <c r="BA354" i="1" s="1"/>
  <c r="AP357" i="1"/>
  <c r="BA357" i="1" s="1" a="1"/>
  <c r="BA357" i="1" s="1"/>
  <c r="AI344" i="1"/>
  <c r="AI354" i="1"/>
  <c r="AH357" i="1"/>
  <c r="AG357" i="1" s="1"/>
  <c r="AJ344" i="1"/>
  <c r="AP353" i="1"/>
  <c r="BA353" i="1" s="1" a="1"/>
  <c r="BA353" i="1" s="1"/>
  <c r="AI357" i="1"/>
  <c r="AP349" i="1"/>
  <c r="BA349" i="1" s="1" a="1"/>
  <c r="BA349" i="1" s="1"/>
  <c r="AJ343" i="1"/>
  <c r="AJ347" i="1"/>
  <c r="AI349" i="1"/>
  <c r="AI353" i="1"/>
  <c r="X556" i="1" l="1"/>
  <c r="AA555" i="1"/>
  <c r="X509" i="1"/>
  <c r="AA508" i="1"/>
  <c r="X461" i="1"/>
  <c r="AA460" i="1"/>
  <c r="X418" i="1"/>
  <c r="AA417" i="1"/>
  <c r="X373" i="1"/>
  <c r="AA372" i="1"/>
  <c r="AA320" i="1"/>
  <c r="X321" i="1"/>
  <c r="AA321" i="1" s="1"/>
  <c r="X557" i="1" l="1"/>
  <c r="AA556" i="1"/>
  <c r="X510" i="1"/>
  <c r="AA509" i="1"/>
  <c r="AA461" i="1"/>
  <c r="X462" i="1"/>
  <c r="AA418" i="1"/>
  <c r="X419" i="1"/>
  <c r="AA373" i="1"/>
  <c r="X374" i="1"/>
  <c r="X322" i="1"/>
  <c r="AA322" i="1" l="1"/>
  <c r="AL322" i="1"/>
  <c r="AA557" i="1"/>
  <c r="X558" i="1"/>
  <c r="X511" i="1"/>
  <c r="AA510" i="1"/>
  <c r="AA462" i="1"/>
  <c r="X463" i="1"/>
  <c r="X420" i="1"/>
  <c r="AA419" i="1"/>
  <c r="X375" i="1"/>
  <c r="AA374" i="1"/>
  <c r="X323" i="1"/>
  <c r="BI322" i="1" s="1"/>
  <c r="X559" i="1" l="1"/>
  <c r="AA558" i="1"/>
  <c r="X512" i="1"/>
  <c r="AA511" i="1"/>
  <c r="AA463" i="1"/>
  <c r="X464" i="1"/>
  <c r="AA420" i="1"/>
  <c r="X421" i="1"/>
  <c r="X376" i="1"/>
  <c r="AA375" i="1"/>
  <c r="X324" i="1"/>
  <c r="AA324" i="1" s="1"/>
  <c r="AA323" i="1"/>
  <c r="X560" i="1" l="1"/>
  <c r="AA559" i="1"/>
  <c r="X513" i="1"/>
  <c r="AA512" i="1"/>
  <c r="X465" i="1"/>
  <c r="AA464" i="1"/>
  <c r="X422" i="1"/>
  <c r="AA421" i="1"/>
  <c r="AA376" i="1"/>
  <c r="X377" i="1"/>
  <c r="X325" i="1"/>
  <c r="AA325" i="1" s="1"/>
  <c r="X561" i="1" l="1"/>
  <c r="AA560" i="1"/>
  <c r="X514" i="1"/>
  <c r="AA513" i="1"/>
  <c r="AA465" i="1"/>
  <c r="X466" i="1"/>
  <c r="AA422" i="1"/>
  <c r="X423" i="1"/>
  <c r="AA377" i="1"/>
  <c r="X378" i="1"/>
  <c r="X326" i="1"/>
  <c r="X327" i="1" s="1"/>
  <c r="X562" i="1" l="1"/>
  <c r="AA561" i="1"/>
  <c r="X515" i="1"/>
  <c r="AA514" i="1"/>
  <c r="X467" i="1"/>
  <c r="AA466" i="1"/>
  <c r="X424" i="1"/>
  <c r="AA423" i="1"/>
  <c r="AA378" i="1"/>
  <c r="X379" i="1"/>
  <c r="AA326" i="1"/>
  <c r="AA327" i="1"/>
  <c r="X328" i="1"/>
  <c r="X563" i="1" l="1"/>
  <c r="AA562" i="1"/>
  <c r="X516" i="1"/>
  <c r="AA515" i="1"/>
  <c r="AA467" i="1"/>
  <c r="X468" i="1"/>
  <c r="AA424" i="1"/>
  <c r="X425" i="1"/>
  <c r="AA379" i="1"/>
  <c r="X380" i="1"/>
  <c r="X329" i="1"/>
  <c r="AA328" i="1"/>
  <c r="X564" i="1" l="1"/>
  <c r="AA563" i="1"/>
  <c r="X517" i="1"/>
  <c r="AA516" i="1"/>
  <c r="AA468" i="1"/>
  <c r="X469" i="1"/>
  <c r="X426" i="1"/>
  <c r="AA425" i="1"/>
  <c r="AA380" i="1"/>
  <c r="X381" i="1"/>
  <c r="X330" i="1"/>
  <c r="AA329" i="1"/>
  <c r="AA564" i="1" l="1"/>
  <c r="X565" i="1"/>
  <c r="X518" i="1"/>
  <c r="AA517" i="1"/>
  <c r="X470" i="1"/>
  <c r="AA469" i="1"/>
  <c r="AA426" i="1"/>
  <c r="X427" i="1"/>
  <c r="AA381" i="1"/>
  <c r="X382" i="1"/>
  <c r="X331" i="1"/>
  <c r="AA330" i="1"/>
  <c r="X566" i="1" l="1"/>
  <c r="AA565" i="1"/>
  <c r="X519" i="1"/>
  <c r="AA518" i="1"/>
  <c r="AA470" i="1"/>
  <c r="X471" i="1"/>
  <c r="X428" i="1"/>
  <c r="AA427" i="1"/>
  <c r="AA382" i="1"/>
  <c r="X383" i="1"/>
  <c r="AA331" i="1"/>
  <c r="X332" i="1"/>
  <c r="X567" i="1" l="1"/>
  <c r="AA566" i="1"/>
  <c r="X520" i="1"/>
  <c r="AA519" i="1"/>
  <c r="AA471" i="1"/>
  <c r="X472" i="1"/>
  <c r="AA428" i="1"/>
  <c r="X429" i="1"/>
  <c r="AA383" i="1"/>
  <c r="X384" i="1"/>
  <c r="X333" i="1"/>
  <c r="AA332" i="1"/>
  <c r="X568" i="1" l="1"/>
  <c r="AA567" i="1"/>
  <c r="X521" i="1"/>
  <c r="AA520" i="1"/>
  <c r="X473" i="1"/>
  <c r="AA472" i="1"/>
  <c r="X430" i="1"/>
  <c r="AA429" i="1"/>
  <c r="AA384" i="1"/>
  <c r="X385" i="1"/>
  <c r="X334" i="1"/>
  <c r="AA333" i="1"/>
  <c r="AA568" i="1" l="1"/>
  <c r="X569" i="1"/>
  <c r="X522" i="1"/>
  <c r="AA521" i="1"/>
  <c r="X474" i="1"/>
  <c r="AA473" i="1"/>
  <c r="AA430" i="1"/>
  <c r="X431" i="1"/>
  <c r="AA385" i="1"/>
  <c r="X386" i="1"/>
  <c r="X335" i="1"/>
  <c r="AA334" i="1"/>
  <c r="AA569" i="1" l="1"/>
  <c r="X570" i="1"/>
  <c r="X523" i="1"/>
  <c r="AA522" i="1"/>
  <c r="X475" i="1"/>
  <c r="AA474" i="1"/>
  <c r="X432" i="1"/>
  <c r="AA431" i="1"/>
  <c r="AA386" i="1"/>
  <c r="X387" i="1"/>
  <c r="AA335" i="1"/>
  <c r="X336" i="1"/>
  <c r="AA570" i="1" l="1"/>
  <c r="X571" i="1"/>
  <c r="X524" i="1"/>
  <c r="AA523" i="1"/>
  <c r="X476" i="1"/>
  <c r="AA475" i="1"/>
  <c r="AA432" i="1"/>
  <c r="X433" i="1"/>
  <c r="X388" i="1"/>
  <c r="AA387" i="1"/>
  <c r="AA336" i="1"/>
  <c r="X337" i="1"/>
  <c r="AA571" i="1" l="1"/>
  <c r="X572" i="1"/>
  <c r="X525" i="1"/>
  <c r="AA524" i="1"/>
  <c r="AA476" i="1"/>
  <c r="X477" i="1"/>
  <c r="X434" i="1"/>
  <c r="AA433" i="1"/>
  <c r="AA388" i="1"/>
  <c r="X389" i="1"/>
  <c r="AA337" i="1"/>
  <c r="X338" i="1"/>
  <c r="X573" i="1" l="1"/>
  <c r="AA572" i="1"/>
  <c r="X526" i="1"/>
  <c r="AA525" i="1"/>
  <c r="AA477" i="1"/>
  <c r="X478" i="1"/>
  <c r="AA434" i="1"/>
  <c r="X435" i="1"/>
  <c r="X390" i="1"/>
  <c r="AA389" i="1"/>
  <c r="X339" i="1"/>
  <c r="AA338" i="1"/>
  <c r="AA573" i="1" l="1"/>
  <c r="X574" i="1"/>
  <c r="X527" i="1"/>
  <c r="AA526" i="1"/>
  <c r="AA478" i="1"/>
  <c r="X479" i="1"/>
  <c r="X436" i="1"/>
  <c r="AA435" i="1"/>
  <c r="AA390" i="1"/>
  <c r="X391" i="1"/>
  <c r="AA339" i="1"/>
  <c r="X340" i="1"/>
  <c r="AA574" i="1" l="1"/>
  <c r="X575" i="1"/>
  <c r="X528" i="1"/>
  <c r="AA527" i="1"/>
  <c r="AA479" i="1"/>
  <c r="X480" i="1"/>
  <c r="AA436" i="1"/>
  <c r="X437" i="1"/>
  <c r="X392" i="1"/>
  <c r="AA391" i="1"/>
  <c r="X341" i="1"/>
  <c r="AA340" i="1"/>
  <c r="AA575" i="1" l="1"/>
  <c r="X576" i="1"/>
  <c r="AA528" i="1"/>
  <c r="X529" i="1"/>
  <c r="AA480" i="1"/>
  <c r="X481" i="1"/>
  <c r="X438" i="1"/>
  <c r="AA437" i="1"/>
  <c r="AA392" i="1"/>
  <c r="X393" i="1"/>
  <c r="AA341" i="1"/>
  <c r="X342" i="1"/>
  <c r="AA576" i="1" l="1"/>
  <c r="X577" i="1"/>
  <c r="X530" i="1"/>
  <c r="AA529" i="1"/>
  <c r="AA481" i="1"/>
  <c r="X482" i="1"/>
  <c r="AA438" i="1"/>
  <c r="X439" i="1"/>
  <c r="X394" i="1"/>
  <c r="AA393" i="1"/>
  <c r="X343" i="1"/>
  <c r="AA342" i="1"/>
  <c r="AA577" i="1" l="1"/>
  <c r="X578" i="1"/>
  <c r="AA530" i="1"/>
  <c r="X531" i="1"/>
  <c r="AA482" i="1"/>
  <c r="X483" i="1"/>
  <c r="X440" i="1"/>
  <c r="AA439" i="1"/>
  <c r="AA394" i="1"/>
  <c r="X395" i="1"/>
  <c r="AA343" i="1"/>
  <c r="X344" i="1"/>
  <c r="X579" i="1" l="1"/>
  <c r="AA578" i="1"/>
  <c r="X532" i="1"/>
  <c r="AA531" i="1"/>
  <c r="AA483" i="1"/>
  <c r="X484" i="1"/>
  <c r="AA440" i="1"/>
  <c r="X441" i="1"/>
  <c r="X396" i="1"/>
  <c r="AA395" i="1"/>
  <c r="X345" i="1"/>
  <c r="AA344" i="1"/>
  <c r="AA579" i="1" l="1"/>
  <c r="X580" i="1"/>
  <c r="AA532" i="1"/>
  <c r="X533" i="1"/>
  <c r="AA484" i="1"/>
  <c r="X485" i="1"/>
  <c r="X442" i="1"/>
  <c r="AA441" i="1"/>
  <c r="AA396" i="1"/>
  <c r="X397" i="1"/>
  <c r="AA345" i="1"/>
  <c r="X346" i="1"/>
  <c r="AA580" i="1" l="1"/>
  <c r="X581" i="1"/>
  <c r="X534" i="1"/>
  <c r="AA533" i="1"/>
  <c r="AA485" i="1"/>
  <c r="X486" i="1"/>
  <c r="AA442" i="1"/>
  <c r="X443" i="1"/>
  <c r="X398" i="1"/>
  <c r="AA397" i="1"/>
  <c r="AA346" i="1"/>
  <c r="X347" i="1"/>
  <c r="AA581" i="1" l="1"/>
  <c r="X582" i="1"/>
  <c r="AA534" i="1"/>
  <c r="X535" i="1"/>
  <c r="AA486" i="1"/>
  <c r="X487" i="1"/>
  <c r="X444" i="1"/>
  <c r="AA443" i="1"/>
  <c r="AA398" i="1"/>
  <c r="X399" i="1"/>
  <c r="AA347" i="1"/>
  <c r="X348" i="1"/>
  <c r="AA582" i="1" l="1"/>
  <c r="X583" i="1"/>
  <c r="AA535" i="1"/>
  <c r="X536" i="1"/>
  <c r="AA487" i="1"/>
  <c r="X488" i="1"/>
  <c r="AA444" i="1"/>
  <c r="X445" i="1"/>
  <c r="X400" i="1"/>
  <c r="AA399" i="1"/>
  <c r="X349" i="1"/>
  <c r="AA348" i="1"/>
  <c r="AA583" i="1" l="1"/>
  <c r="X584" i="1"/>
  <c r="AA536" i="1"/>
  <c r="X537" i="1"/>
  <c r="AA488" i="1"/>
  <c r="X489" i="1"/>
  <c r="X446" i="1"/>
  <c r="AA445" i="1"/>
  <c r="AA400" i="1"/>
  <c r="X401" i="1"/>
  <c r="AA349" i="1"/>
  <c r="X350" i="1"/>
  <c r="X585" i="1" l="1"/>
  <c r="AA584" i="1"/>
  <c r="X538" i="1"/>
  <c r="AA537" i="1"/>
  <c r="AA489" i="1"/>
  <c r="X490" i="1"/>
  <c r="AA446" i="1"/>
  <c r="X447" i="1"/>
  <c r="X402" i="1"/>
  <c r="AA401" i="1"/>
  <c r="X351" i="1"/>
  <c r="AA350" i="1"/>
  <c r="AA585" i="1" l="1"/>
  <c r="X586" i="1"/>
  <c r="X539" i="1"/>
  <c r="AA538" i="1"/>
  <c r="AA490" i="1"/>
  <c r="X491" i="1"/>
  <c r="X448" i="1"/>
  <c r="AA447" i="1"/>
  <c r="AA402" i="1"/>
  <c r="X403" i="1"/>
  <c r="AA351" i="1"/>
  <c r="X352" i="1"/>
  <c r="AA586" i="1" l="1"/>
  <c r="X587" i="1"/>
  <c r="AA539" i="1"/>
  <c r="X540" i="1"/>
  <c r="AA491" i="1"/>
  <c r="X492" i="1"/>
  <c r="AA448" i="1"/>
  <c r="X449" i="1"/>
  <c r="X404" i="1"/>
  <c r="AA403" i="1"/>
  <c r="X353" i="1"/>
  <c r="AA352" i="1"/>
  <c r="AA587" i="1" l="1"/>
  <c r="X588" i="1"/>
  <c r="AA540" i="1"/>
  <c r="X541" i="1"/>
  <c r="AA492" i="1"/>
  <c r="X493" i="1"/>
  <c r="X450" i="1"/>
  <c r="AA450" i="1" s="1"/>
  <c r="AA449" i="1"/>
  <c r="AA404" i="1"/>
  <c r="X405" i="1"/>
  <c r="AA405" i="1" s="1"/>
  <c r="AA353" i="1"/>
  <c r="X354" i="1"/>
  <c r="AA588" i="1" l="1"/>
  <c r="X589" i="1"/>
  <c r="AA589" i="1" s="1"/>
  <c r="AA541" i="1"/>
  <c r="X542" i="1"/>
  <c r="AA542" i="1" s="1"/>
  <c r="AA493" i="1"/>
  <c r="X494" i="1"/>
  <c r="X355" i="1"/>
  <c r="AA354" i="1"/>
  <c r="AA494" i="1" l="1"/>
  <c r="X495" i="1"/>
  <c r="AA495" i="1" s="1"/>
  <c r="AA355" i="1"/>
  <c r="X356" i="1"/>
  <c r="X357" i="1" l="1"/>
  <c r="AA356" i="1"/>
  <c r="AA357" i="1" l="1"/>
  <c r="X358" i="1"/>
  <c r="X359" i="1" l="1"/>
  <c r="AA358" i="1"/>
  <c r="X360" i="1" l="1"/>
  <c r="AA360" i="1" s="1"/>
  <c r="AA359" i="1"/>
  <c r="AM312" i="1" l="1"/>
  <c r="AX312" i="1" s="1" a="1"/>
  <c r="AX312" i="1" s="1"/>
  <c r="AM309" i="1"/>
  <c r="AX309" i="1" s="1" a="1"/>
  <c r="AX309" i="1" s="1"/>
  <c r="AM308" i="1"/>
  <c r="AX308" i="1" s="1" a="1"/>
  <c r="AX308" i="1" s="1"/>
  <c r="AM307" i="1"/>
  <c r="AX307" i="1" s="1" a="1"/>
  <c r="AX307" i="1" s="1"/>
  <c r="AM304" i="1"/>
  <c r="AX304" i="1" s="1" a="1"/>
  <c r="AX304" i="1" s="1"/>
  <c r="AM303" i="1"/>
  <c r="AX303" i="1" s="1" a="1"/>
  <c r="AX303" i="1" s="1"/>
  <c r="AM302" i="1"/>
  <c r="AX302" i="1" s="1" a="1"/>
  <c r="AX302" i="1" s="1"/>
  <c r="AM299" i="1"/>
  <c r="AX299" i="1" s="1" a="1"/>
  <c r="AX299" i="1" s="1"/>
  <c r="AM298" i="1"/>
  <c r="AX298" i="1" s="1" a="1"/>
  <c r="AX298" i="1" s="1"/>
  <c r="AM297" i="1"/>
  <c r="AX297" i="1" s="1" a="1"/>
  <c r="AX297" i="1" s="1"/>
  <c r="AM267" i="1"/>
  <c r="AX267" i="1" s="1" a="1"/>
  <c r="AX267" i="1" s="1"/>
  <c r="AM264" i="1"/>
  <c r="AX264" i="1" s="1" a="1"/>
  <c r="AX264" i="1" s="1"/>
  <c r="AM263" i="1"/>
  <c r="AX263" i="1" s="1" a="1"/>
  <c r="AX263" i="1" s="1"/>
  <c r="AM262" i="1"/>
  <c r="AX262" i="1" s="1" a="1"/>
  <c r="AX262" i="1" s="1"/>
  <c r="AM259" i="1"/>
  <c r="AX259" i="1" s="1" a="1"/>
  <c r="AX259" i="1" s="1"/>
  <c r="AM258" i="1"/>
  <c r="AX258" i="1" s="1" a="1"/>
  <c r="AX258" i="1" s="1"/>
  <c r="AM257" i="1"/>
  <c r="AX257" i="1" s="1" a="1"/>
  <c r="AX257" i="1" s="1"/>
  <c r="AM254" i="1"/>
  <c r="AX254" i="1" s="1" a="1"/>
  <c r="AX254" i="1" s="1"/>
  <c r="AM253" i="1"/>
  <c r="AX253" i="1" s="1" a="1"/>
  <c r="AX253" i="1" s="1"/>
  <c r="AM252" i="1"/>
  <c r="AX252" i="1" s="1" a="1"/>
  <c r="AX252" i="1" s="1"/>
  <c r="X274" i="1" l="1"/>
  <c r="X275" i="1" s="1"/>
  <c r="X229" i="1"/>
  <c r="X230" i="1" s="1"/>
  <c r="X184" i="1"/>
  <c r="X185" i="1" s="1"/>
  <c r="X139" i="1"/>
  <c r="X140" i="1" s="1"/>
  <c r="BI140" i="1" s="1"/>
  <c r="X94" i="1"/>
  <c r="X95" i="1" s="1"/>
  <c r="X96" i="1" s="1"/>
  <c r="X97" i="1" s="1"/>
  <c r="X49" i="1"/>
  <c r="X50" i="1" s="1"/>
  <c r="X51" i="1" s="1"/>
  <c r="X52" i="1" s="1"/>
  <c r="AM222" i="1"/>
  <c r="AX222" i="1" s="1" a="1"/>
  <c r="AX222" i="1" s="1"/>
  <c r="AM219" i="1"/>
  <c r="AX219" i="1" s="1" a="1"/>
  <c r="AX219" i="1" s="1"/>
  <c r="AM218" i="1"/>
  <c r="AX218" i="1" s="1" a="1"/>
  <c r="AX218" i="1" s="1"/>
  <c r="AM217" i="1"/>
  <c r="AX217" i="1" s="1" a="1"/>
  <c r="AX217" i="1" s="1"/>
  <c r="AM214" i="1"/>
  <c r="AX214" i="1" s="1" a="1"/>
  <c r="AX214" i="1" s="1"/>
  <c r="AM213" i="1"/>
  <c r="AX213" i="1" s="1" a="1"/>
  <c r="AX213" i="1" s="1"/>
  <c r="AM212" i="1"/>
  <c r="AX212" i="1" s="1" a="1"/>
  <c r="AX212" i="1" s="1"/>
  <c r="AM209" i="1"/>
  <c r="AX209" i="1" s="1" a="1"/>
  <c r="AX209" i="1" s="1"/>
  <c r="AM208" i="1"/>
  <c r="AX208" i="1" s="1" a="1"/>
  <c r="AX208" i="1" s="1"/>
  <c r="AM207" i="1"/>
  <c r="AX207" i="1" s="1" a="1"/>
  <c r="AX207" i="1" s="1"/>
  <c r="AM72" i="1"/>
  <c r="AX72" i="1" s="1" a="1"/>
  <c r="AX72" i="1" s="1"/>
  <c r="X98" i="1" l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AL97" i="1"/>
  <c r="X53" i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AL52" i="1"/>
  <c r="X141" i="1"/>
  <c r="X142" i="1" s="1"/>
  <c r="X186" i="1"/>
  <c r="X187" i="1" s="1"/>
  <c r="BI185" i="1"/>
  <c r="X231" i="1"/>
  <c r="X232" i="1" s="1"/>
  <c r="BI230" i="1"/>
  <c r="X276" i="1"/>
  <c r="X277" i="1" s="1"/>
  <c r="BI275" i="1"/>
  <c r="AJ222" i="1"/>
  <c r="AI207" i="1"/>
  <c r="AJ217" i="1"/>
  <c r="AJ212" i="1"/>
  <c r="AJ213" i="1"/>
  <c r="AI208" i="1"/>
  <c r="AI214" i="1"/>
  <c r="AI219" i="1"/>
  <c r="AI209" i="1"/>
  <c r="BM72" i="1"/>
  <c r="BL90" i="1"/>
  <c r="BM89" i="1"/>
  <c r="BL89" i="1"/>
  <c r="BL88" i="1"/>
  <c r="BL85" i="1"/>
  <c r="BM62" i="1"/>
  <c r="BM61" i="1"/>
  <c r="BM60" i="1"/>
  <c r="BM55" i="1"/>
  <c r="BM181" i="1"/>
  <c r="BL181" i="1"/>
  <c r="AF296" i="1"/>
  <c r="AH315" i="1"/>
  <c r="AG315" i="1" s="1"/>
  <c r="AI314" i="1"/>
  <c r="AH314" i="1"/>
  <c r="AG314" i="1" s="1"/>
  <c r="AH313" i="1"/>
  <c r="AG313" i="1" s="1"/>
  <c r="AJ286" i="1"/>
  <c r="AH270" i="1"/>
  <c r="AG270" i="1" s="1"/>
  <c r="AI269" i="1"/>
  <c r="AH269" i="1"/>
  <c r="AG269" i="1" s="1"/>
  <c r="AH268" i="1"/>
  <c r="AG268" i="1" s="1"/>
  <c r="AH267" i="1"/>
  <c r="AG267" i="1" s="1"/>
  <c r="AH265" i="1"/>
  <c r="AJ249" i="1"/>
  <c r="AJ241" i="1"/>
  <c r="AF265" i="1"/>
  <c r="AI224" i="1"/>
  <c r="AH224" i="1"/>
  <c r="AG224" i="1" s="1"/>
  <c r="AH223" i="1"/>
  <c r="AG223" i="1" s="1"/>
  <c r="AI222" i="1"/>
  <c r="AH222" i="1"/>
  <c r="AG222" i="1" s="1"/>
  <c r="AH221" i="1"/>
  <c r="AG221" i="1" s="1"/>
  <c r="AJ219" i="1"/>
  <c r="AJ218" i="1"/>
  <c r="AI218" i="1"/>
  <c r="AI217" i="1"/>
  <c r="AJ214" i="1"/>
  <c r="AI213" i="1"/>
  <c r="AI212" i="1"/>
  <c r="AJ209" i="1"/>
  <c r="AJ208" i="1"/>
  <c r="AJ207" i="1"/>
  <c r="AI197" i="1"/>
  <c r="AJ196" i="1"/>
  <c r="AI196" i="1"/>
  <c r="AI195" i="1"/>
  <c r="AI189" i="1"/>
  <c r="AH180" i="1"/>
  <c r="AG180" i="1" s="1"/>
  <c r="AI179" i="1"/>
  <c r="AH179" i="1"/>
  <c r="AG179" i="1" s="1"/>
  <c r="AH178" i="1"/>
  <c r="AG178" i="1" s="1"/>
  <c r="AI152" i="1"/>
  <c r="AJ147" i="1"/>
  <c r="AJ146" i="1"/>
  <c r="AG130" i="1"/>
  <c r="AG125" i="1"/>
  <c r="AG115" i="1"/>
  <c r="AG110" i="1"/>
  <c r="AH90" i="1"/>
  <c r="AG90" i="1" s="1"/>
  <c r="AI89" i="1"/>
  <c r="AH89" i="1"/>
  <c r="AG89" i="1" s="1"/>
  <c r="AH88" i="1"/>
  <c r="AG88" i="1" s="1"/>
  <c r="AH85" i="1"/>
  <c r="AG85" i="1" s="1"/>
  <c r="AJ72" i="1"/>
  <c r="AI62" i="1"/>
  <c r="AI61" i="1"/>
  <c r="AI60" i="1"/>
  <c r="AI55" i="1"/>
  <c r="AF161" i="1"/>
  <c r="B24" i="3"/>
  <c r="AJ69" i="1" s="1"/>
  <c r="AC150" i="1"/>
  <c r="AM169" i="1"/>
  <c r="AX169" i="1" s="1" a="1"/>
  <c r="AX169" i="1" s="1"/>
  <c r="AM167" i="1"/>
  <c r="AX167" i="1" s="1" a="1"/>
  <c r="AX167" i="1" s="1"/>
  <c r="AM83" i="1"/>
  <c r="AX83" i="1" s="1" a="1"/>
  <c r="AX83" i="1" s="1"/>
  <c r="AM82" i="1"/>
  <c r="AX82" i="1" s="1" a="1"/>
  <c r="AX82" i="1" s="1"/>
  <c r="AM77" i="1"/>
  <c r="AX77" i="1" s="1" a="1"/>
  <c r="AX77" i="1" s="1"/>
  <c r="AM74" i="1"/>
  <c r="AX74" i="1" s="1" a="1"/>
  <c r="AX74" i="1" s="1"/>
  <c r="AM73" i="1"/>
  <c r="AX73" i="1" s="1" a="1"/>
  <c r="AX73" i="1" s="1"/>
  <c r="AQ564" i="1" l="1"/>
  <c r="AJ376" i="1"/>
  <c r="AQ563" i="1"/>
  <c r="BB563" i="1" s="1" a="1"/>
  <c r="BB563" i="1" s="1"/>
  <c r="AQ516" i="1"/>
  <c r="AJ517" i="1"/>
  <c r="AQ470" i="1"/>
  <c r="BB470" i="1" s="1" a="1"/>
  <c r="BB470" i="1" s="1"/>
  <c r="AQ425" i="1"/>
  <c r="BB425" i="1" s="1" a="1"/>
  <c r="BB425" i="1" s="1"/>
  <c r="AQ424" i="1"/>
  <c r="BB424" i="1" s="1" a="1"/>
  <c r="BB424" i="1" s="1"/>
  <c r="X233" i="1"/>
  <c r="AL232" i="1"/>
  <c r="X188" i="1"/>
  <c r="AL187" i="1"/>
  <c r="X143" i="1"/>
  <c r="AL142" i="1"/>
  <c r="X278" i="1"/>
  <c r="AL277" i="1"/>
  <c r="AI423" i="1"/>
  <c r="AO573" i="1"/>
  <c r="AZ573" i="1" s="1" a="1"/>
  <c r="AZ573" i="1" s="1"/>
  <c r="AN578" i="1"/>
  <c r="AY578" i="1" s="1" a="1"/>
  <c r="AY578" i="1" s="1"/>
  <c r="AM554" i="1"/>
  <c r="AX554" i="1" s="1" a="1"/>
  <c r="AX554" i="1" s="1"/>
  <c r="AQ587" i="1"/>
  <c r="BB587" i="1" s="1" a="1"/>
  <c r="BB587" i="1" s="1"/>
  <c r="AQ586" i="1"/>
  <c r="BB586" i="1" s="1" a="1"/>
  <c r="BB586" i="1" s="1"/>
  <c r="AQ571" i="1"/>
  <c r="BB571" i="1" s="1" a="1"/>
  <c r="BB571" i="1" s="1"/>
  <c r="AJ563" i="1"/>
  <c r="AQ558" i="1"/>
  <c r="BB558" i="1" s="1" a="1"/>
  <c r="BB558" i="1" s="1"/>
  <c r="AN556" i="1"/>
  <c r="AY556" i="1" s="1" a="1"/>
  <c r="AY556" i="1" s="1"/>
  <c r="AO555" i="1"/>
  <c r="AZ555" i="1" s="1" a="1"/>
  <c r="AZ555" i="1" s="1"/>
  <c r="AJ541" i="1"/>
  <c r="AO540" i="1"/>
  <c r="AZ540" i="1" s="1" a="1"/>
  <c r="AZ540" i="1" s="1"/>
  <c r="AO534" i="1"/>
  <c r="AZ534" i="1" s="1" a="1"/>
  <c r="AZ534" i="1" s="1"/>
  <c r="AM528" i="1"/>
  <c r="AX528" i="1" s="1" a="1"/>
  <c r="AX528" i="1" s="1"/>
  <c r="AM527" i="1"/>
  <c r="AX527" i="1" s="1" a="1"/>
  <c r="AX527" i="1" s="1"/>
  <c r="AO526" i="1"/>
  <c r="AZ526" i="1" s="1" a="1"/>
  <c r="AZ526" i="1" s="1"/>
  <c r="AN520" i="1"/>
  <c r="AY520" i="1" s="1" a="1"/>
  <c r="AY520" i="1" s="1"/>
  <c r="AQ518" i="1"/>
  <c r="BB518" i="1" s="1" a="1"/>
  <c r="BB518" i="1" s="1"/>
  <c r="AN515" i="1"/>
  <c r="AY515" i="1" s="1" a="1"/>
  <c r="AY515" i="1" s="1"/>
  <c r="AO511" i="1"/>
  <c r="AZ511" i="1" s="1" a="1"/>
  <c r="AZ511" i="1" s="1"/>
  <c r="AO487" i="1"/>
  <c r="AZ487" i="1" s="1" a="1"/>
  <c r="AZ487" i="1" s="1"/>
  <c r="AQ486" i="1"/>
  <c r="BB486" i="1" s="1" a="1"/>
  <c r="BB486" i="1" s="1"/>
  <c r="AO477" i="1"/>
  <c r="AZ477" i="1" s="1" a="1"/>
  <c r="AZ477" i="1" s="1"/>
  <c r="AN476" i="1"/>
  <c r="AY476" i="1" s="1" a="1"/>
  <c r="AY476" i="1" s="1"/>
  <c r="AO470" i="1"/>
  <c r="AZ470" i="1" s="1" a="1"/>
  <c r="AZ470" i="1" s="1"/>
  <c r="AQ466" i="1"/>
  <c r="BB466" i="1" s="1" a="1"/>
  <c r="BB466" i="1" s="1"/>
  <c r="AM463" i="1"/>
  <c r="AX463" i="1" s="1" a="1"/>
  <c r="AX463" i="1" s="1"/>
  <c r="AQ462" i="1"/>
  <c r="BB462" i="1" s="1" a="1"/>
  <c r="BB462" i="1" s="1"/>
  <c r="AJ494" i="1"/>
  <c r="AN489" i="1"/>
  <c r="AY489" i="1" s="1" a="1"/>
  <c r="AY489" i="1" s="1"/>
  <c r="AQ573" i="1"/>
  <c r="BB573" i="1" s="1" a="1"/>
  <c r="BB573" i="1" s="1"/>
  <c r="AM589" i="1"/>
  <c r="AX589" i="1" s="1" a="1"/>
  <c r="AX589" i="1" s="1"/>
  <c r="AO586" i="1"/>
  <c r="AZ586" i="1" s="1" a="1"/>
  <c r="AZ586" i="1" s="1"/>
  <c r="AM580" i="1"/>
  <c r="AX580" i="1" s="1" a="1"/>
  <c r="AX580" i="1" s="1"/>
  <c r="AQ572" i="1"/>
  <c r="BB572" i="1" s="1" a="1"/>
  <c r="BB572" i="1" s="1"/>
  <c r="AO571" i="1"/>
  <c r="AZ571" i="1" s="1" a="1"/>
  <c r="AZ571" i="1" s="1"/>
  <c r="AI564" i="1"/>
  <c r="AI563" i="1"/>
  <c r="AJ559" i="1"/>
  <c r="AO558" i="1"/>
  <c r="AZ558" i="1" s="1" a="1"/>
  <c r="AZ558" i="1" s="1"/>
  <c r="AO557" i="1"/>
  <c r="AZ557" i="1" s="1" a="1"/>
  <c r="AZ557" i="1" s="1"/>
  <c r="AM555" i="1"/>
  <c r="AX555" i="1" s="1" a="1"/>
  <c r="AX555" i="1" s="1"/>
  <c r="AN553" i="1"/>
  <c r="AY553" i="1" s="1" a="1"/>
  <c r="AY553" i="1" s="1"/>
  <c r="AN542" i="1"/>
  <c r="AY542" i="1" s="1" a="1"/>
  <c r="AY542" i="1" s="1"/>
  <c r="AM540" i="1"/>
  <c r="AX540" i="1" s="1" a="1"/>
  <c r="AX540" i="1" s="1"/>
  <c r="AN538" i="1"/>
  <c r="AY538" i="1" s="1" a="1"/>
  <c r="AY538" i="1" s="1"/>
  <c r="AO533" i="1"/>
  <c r="AZ533" i="1" s="1" a="1"/>
  <c r="AZ533" i="1" s="1"/>
  <c r="AQ525" i="1"/>
  <c r="BB525" i="1" s="1" a="1"/>
  <c r="BB525" i="1" s="1"/>
  <c r="AN524" i="1"/>
  <c r="AY524" i="1" s="1" a="1"/>
  <c r="AY524" i="1" s="1"/>
  <c r="AO522" i="1"/>
  <c r="AZ522" i="1" s="1" a="1"/>
  <c r="AZ522" i="1" s="1"/>
  <c r="AO518" i="1"/>
  <c r="AZ518" i="1" s="1" a="1"/>
  <c r="AZ518" i="1" s="1"/>
  <c r="AQ517" i="1"/>
  <c r="BB517" i="1" s="1" a="1"/>
  <c r="BB517" i="1" s="1"/>
  <c r="AJ512" i="1"/>
  <c r="AM511" i="1"/>
  <c r="AX511" i="1" s="1" a="1"/>
  <c r="AX511" i="1" s="1"/>
  <c r="AO510" i="1"/>
  <c r="AZ510" i="1" s="1" a="1"/>
  <c r="AZ510" i="1" s="1"/>
  <c r="AN507" i="1"/>
  <c r="AY507" i="1" s="1" a="1"/>
  <c r="AY507" i="1" s="1"/>
  <c r="AN486" i="1"/>
  <c r="AY486" i="1" s="1" a="1"/>
  <c r="AY486" i="1" s="1"/>
  <c r="AQ485" i="1"/>
  <c r="BB485" i="1" s="1" a="1"/>
  <c r="BB485" i="1" s="1"/>
  <c r="AQ483" i="1"/>
  <c r="BB483" i="1" s="1" a="1"/>
  <c r="BB483" i="1" s="1"/>
  <c r="AN477" i="1"/>
  <c r="AY477" i="1" s="1" a="1"/>
  <c r="AY477" i="1" s="1"/>
  <c r="AM476" i="1"/>
  <c r="AX476" i="1" s="1" a="1"/>
  <c r="AX476" i="1" s="1"/>
  <c r="AJ474" i="1"/>
  <c r="AQ473" i="1"/>
  <c r="BB473" i="1" s="1" a="1"/>
  <c r="BB473" i="1" s="1"/>
  <c r="AN470" i="1"/>
  <c r="AY470" i="1" s="1" a="1"/>
  <c r="AY470" i="1" s="1"/>
  <c r="AO466" i="1"/>
  <c r="AZ466" i="1" s="1" a="1"/>
  <c r="AZ466" i="1" s="1"/>
  <c r="AM462" i="1"/>
  <c r="AX462" i="1" s="1" a="1"/>
  <c r="AX462" i="1" s="1"/>
  <c r="AQ461" i="1"/>
  <c r="BB461" i="1" s="1" a="1"/>
  <c r="BB461" i="1" s="1"/>
  <c r="AQ492" i="1"/>
  <c r="BB492" i="1" s="1" a="1"/>
  <c r="BB492" i="1" s="1"/>
  <c r="AQ490" i="1"/>
  <c r="BB490" i="1" s="1" a="1"/>
  <c r="BB490" i="1" s="1"/>
  <c r="AO488" i="1"/>
  <c r="AZ488" i="1" s="1" a="1"/>
  <c r="AZ488" i="1" s="1"/>
  <c r="AM480" i="1"/>
  <c r="AX480" i="1" s="1" a="1"/>
  <c r="AX480" i="1" s="1"/>
  <c r="AM490" i="1"/>
  <c r="AX490" i="1" s="1" a="1"/>
  <c r="AX490" i="1" s="1"/>
  <c r="AO579" i="1"/>
  <c r="AZ579" i="1" s="1" a="1"/>
  <c r="AZ579" i="1" s="1"/>
  <c r="AN569" i="1"/>
  <c r="AY569" i="1" s="1" a="1"/>
  <c r="AY569" i="1" s="1"/>
  <c r="AN586" i="1"/>
  <c r="AO585" i="1"/>
  <c r="AZ585" i="1" s="1" a="1"/>
  <c r="AZ585" i="1" s="1"/>
  <c r="AN571" i="1"/>
  <c r="AO569" i="1"/>
  <c r="AZ569" i="1" s="1" a="1"/>
  <c r="AZ569" i="1" s="1"/>
  <c r="AQ568" i="1"/>
  <c r="BB568" i="1" s="1" a="1"/>
  <c r="BB568" i="1" s="1"/>
  <c r="AH564" i="1"/>
  <c r="AG564" i="1" s="1"/>
  <c r="AH563" i="1"/>
  <c r="AG563" i="1" s="1"/>
  <c r="AM542" i="1"/>
  <c r="AX542" i="1" s="1" a="1"/>
  <c r="AX542" i="1" s="1"/>
  <c r="AO539" i="1"/>
  <c r="AZ539" i="1" s="1" a="1"/>
  <c r="AZ539" i="1" s="1"/>
  <c r="AM533" i="1"/>
  <c r="AX533" i="1" s="1" a="1"/>
  <c r="AX533" i="1" s="1"/>
  <c r="AQ532" i="1"/>
  <c r="BB532" i="1" s="1" a="1"/>
  <c r="BB532" i="1" s="1"/>
  <c r="AN530" i="1"/>
  <c r="AY530" i="1" s="1" a="1"/>
  <c r="AY530" i="1" s="1"/>
  <c r="AO525" i="1"/>
  <c r="AZ525" i="1" s="1" a="1"/>
  <c r="AZ525" i="1" s="1"/>
  <c r="AH523" i="1"/>
  <c r="AG523" i="1" s="1"/>
  <c r="AM522" i="1"/>
  <c r="AX522" i="1" s="1" a="1"/>
  <c r="AX522" i="1" s="1"/>
  <c r="AQ521" i="1"/>
  <c r="BB521" i="1" s="1" a="1"/>
  <c r="BB521" i="1" s="1"/>
  <c r="AN519" i="1"/>
  <c r="AY519" i="1" s="1" a="1"/>
  <c r="AY519" i="1" s="1"/>
  <c r="AM518" i="1"/>
  <c r="AX518" i="1" s="1" a="1"/>
  <c r="AX518" i="1" s="1"/>
  <c r="AO517" i="1"/>
  <c r="AZ517" i="1" s="1" a="1"/>
  <c r="AZ517" i="1" s="1"/>
  <c r="AN513" i="1"/>
  <c r="AY513" i="1" s="1" a="1"/>
  <c r="AY513" i="1" s="1"/>
  <c r="AM510" i="1"/>
  <c r="AX510" i="1" s="1" a="1"/>
  <c r="AX510" i="1" s="1"/>
  <c r="AQ509" i="1"/>
  <c r="BB509" i="1" s="1" a="1"/>
  <c r="BB509" i="1" s="1"/>
  <c r="AN506" i="1"/>
  <c r="AY506" i="1" s="1" a="1"/>
  <c r="AY506" i="1" s="1"/>
  <c r="AM486" i="1"/>
  <c r="AX486" i="1" s="1" a="1"/>
  <c r="AX486" i="1" s="1"/>
  <c r="AN485" i="1"/>
  <c r="AY485" i="1" s="1" a="1"/>
  <c r="AY485" i="1" s="1"/>
  <c r="AQ484" i="1"/>
  <c r="BB484" i="1" s="1" a="1"/>
  <c r="BB484" i="1" s="1"/>
  <c r="AO483" i="1"/>
  <c r="AZ483" i="1" s="1" a="1"/>
  <c r="AZ483" i="1" s="1"/>
  <c r="AQ482" i="1"/>
  <c r="BB482" i="1" s="1" a="1"/>
  <c r="BB482" i="1" s="1"/>
  <c r="AO473" i="1"/>
  <c r="AZ473" i="1" s="1" a="1"/>
  <c r="AZ473" i="1" s="1"/>
  <c r="AM470" i="1"/>
  <c r="AX470" i="1" s="1" a="1"/>
  <c r="AX470" i="1" s="1"/>
  <c r="AN466" i="1"/>
  <c r="AY466" i="1" s="1" a="1"/>
  <c r="AY466" i="1" s="1"/>
  <c r="AJ463" i="1"/>
  <c r="AO461" i="1"/>
  <c r="AZ461" i="1" s="1" a="1"/>
  <c r="AZ461" i="1" s="1"/>
  <c r="AQ460" i="1"/>
  <c r="BB460" i="1" s="1" a="1"/>
  <c r="BB460" i="1" s="1"/>
  <c r="AN471" i="1"/>
  <c r="AY471" i="1" s="1" a="1"/>
  <c r="AY471" i="1" s="1"/>
  <c r="AQ467" i="1"/>
  <c r="BB467" i="1" s="1" a="1"/>
  <c r="BB467" i="1" s="1"/>
  <c r="AQ487" i="1"/>
  <c r="BB487" i="1" s="1" a="1"/>
  <c r="BB487" i="1" s="1"/>
  <c r="AQ477" i="1"/>
  <c r="BB477" i="1" s="1" a="1"/>
  <c r="BB477" i="1" s="1"/>
  <c r="AO556" i="1"/>
  <c r="AZ556" i="1" s="1" a="1"/>
  <c r="AZ556" i="1" s="1"/>
  <c r="AO582" i="1"/>
  <c r="AZ582" i="1" s="1" a="1"/>
  <c r="AZ582" i="1" s="1"/>
  <c r="AM569" i="1"/>
  <c r="AX569" i="1" s="1" a="1"/>
  <c r="AX569" i="1" s="1"/>
  <c r="AM585" i="1"/>
  <c r="AX585" i="1" s="1" a="1"/>
  <c r="AX585" i="1" s="1"/>
  <c r="AQ575" i="1"/>
  <c r="BB575" i="1" s="1" a="1"/>
  <c r="BB575" i="1" s="1"/>
  <c r="AN570" i="1"/>
  <c r="AY570" i="1" s="1" a="1"/>
  <c r="AY570" i="1" s="1"/>
  <c r="AM568" i="1"/>
  <c r="AX568" i="1" s="1" a="1"/>
  <c r="AX568" i="1" s="1"/>
  <c r="AQ566" i="1"/>
  <c r="BB566" i="1" s="1" a="1"/>
  <c r="BB566" i="1" s="1"/>
  <c r="AQ565" i="1"/>
  <c r="BB565" i="1" s="1" a="1"/>
  <c r="BB565" i="1" s="1"/>
  <c r="AJ558" i="1"/>
  <c r="AJ557" i="1"/>
  <c r="AQ553" i="1"/>
  <c r="BB553" i="1" s="1" a="1"/>
  <c r="BB553" i="1" s="1"/>
  <c r="AM532" i="1"/>
  <c r="AX532" i="1" s="1" a="1"/>
  <c r="AX532" i="1" s="1"/>
  <c r="AN529" i="1"/>
  <c r="AY529" i="1" s="1" a="1"/>
  <c r="AY529" i="1" s="1"/>
  <c r="AO521" i="1"/>
  <c r="AZ521" i="1" s="1" a="1"/>
  <c r="AZ521" i="1" s="1"/>
  <c r="AQ520" i="1"/>
  <c r="BB520" i="1" s="1" a="1"/>
  <c r="BB520" i="1" s="1"/>
  <c r="AN517" i="1"/>
  <c r="AY517" i="1" s="1" a="1"/>
  <c r="AY517" i="1" s="1"/>
  <c r="AO516" i="1"/>
  <c r="AZ516" i="1" s="1" a="1"/>
  <c r="AZ516" i="1" s="1"/>
  <c r="AJ511" i="1"/>
  <c r="AO509" i="1"/>
  <c r="AZ509" i="1" s="1" a="1"/>
  <c r="AZ509" i="1" s="1"/>
  <c r="AQ508" i="1"/>
  <c r="BB508" i="1" s="1" a="1"/>
  <c r="BB508" i="1" s="1"/>
  <c r="AM485" i="1"/>
  <c r="AX485" i="1" s="1" a="1"/>
  <c r="AX485" i="1" s="1"/>
  <c r="AO482" i="1"/>
  <c r="AZ482" i="1" s="1" a="1"/>
  <c r="AZ482" i="1" s="1"/>
  <c r="AQ475" i="1"/>
  <c r="BB475" i="1" s="1" a="1"/>
  <c r="BB475" i="1" s="1"/>
  <c r="AM473" i="1"/>
  <c r="AX473" i="1" s="1" a="1"/>
  <c r="AX473" i="1" s="1"/>
  <c r="AO469" i="1"/>
  <c r="AZ469" i="1" s="1" a="1"/>
  <c r="AZ469" i="1" s="1"/>
  <c r="AM466" i="1"/>
  <c r="AX466" i="1" s="1" a="1"/>
  <c r="AX466" i="1" s="1"/>
  <c r="AQ465" i="1"/>
  <c r="BB465" i="1" s="1" a="1"/>
  <c r="BB465" i="1" s="1"/>
  <c r="AO460" i="1"/>
  <c r="AZ460" i="1" s="1" a="1"/>
  <c r="AZ460" i="1" s="1"/>
  <c r="AQ459" i="1"/>
  <c r="BB459" i="1" s="1" a="1"/>
  <c r="BB459" i="1" s="1"/>
  <c r="AM471" i="1"/>
  <c r="AX471" i="1" s="1" a="1"/>
  <c r="AX471" i="1" s="1"/>
  <c r="AM467" i="1"/>
  <c r="AX467" i="1" s="1" a="1"/>
  <c r="AX467" i="1" s="1"/>
  <c r="AO562" i="1"/>
  <c r="AZ562" i="1" s="1" a="1"/>
  <c r="AZ562" i="1" s="1"/>
  <c r="AN585" i="1"/>
  <c r="AY585" i="1" s="1" a="1"/>
  <c r="AY585" i="1" s="1"/>
  <c r="AN566" i="1"/>
  <c r="AY566" i="1" s="1" a="1"/>
  <c r="AY566" i="1" s="1"/>
  <c r="AQ589" i="1"/>
  <c r="BB589" i="1" s="1" a="1"/>
  <c r="BB589" i="1" s="1"/>
  <c r="AQ581" i="1"/>
  <c r="BB581" i="1" s="1" a="1"/>
  <c r="BB581" i="1" s="1"/>
  <c r="AQ577" i="1"/>
  <c r="BB577" i="1" s="1" a="1"/>
  <c r="BB577" i="1" s="1"/>
  <c r="AQ574" i="1"/>
  <c r="BB574" i="1" s="1" a="1"/>
  <c r="BB574" i="1" s="1"/>
  <c r="AM570" i="1"/>
  <c r="AX570" i="1" s="1" a="1"/>
  <c r="AX570" i="1" s="1"/>
  <c r="AO566" i="1"/>
  <c r="AZ566" i="1" s="1" a="1"/>
  <c r="AZ566" i="1" s="1"/>
  <c r="AO565" i="1"/>
  <c r="AZ565" i="1" s="1" a="1"/>
  <c r="AZ565" i="1" s="1"/>
  <c r="AN561" i="1"/>
  <c r="AY561" i="1" s="1" a="1"/>
  <c r="AY561" i="1" s="1"/>
  <c r="AQ560" i="1"/>
  <c r="BB560" i="1" s="1" a="1"/>
  <c r="BB560" i="1" s="1"/>
  <c r="AN559" i="1"/>
  <c r="AY559" i="1" s="1" a="1"/>
  <c r="AY559" i="1" s="1"/>
  <c r="AO553" i="1"/>
  <c r="AZ553" i="1" s="1" a="1"/>
  <c r="AZ553" i="1" s="1"/>
  <c r="AQ542" i="1"/>
  <c r="BB542" i="1" s="1" a="1"/>
  <c r="BB542" i="1" s="1"/>
  <c r="AN541" i="1"/>
  <c r="AY541" i="1" s="1" a="1"/>
  <c r="AY541" i="1" s="1"/>
  <c r="AO538" i="1"/>
  <c r="AZ538" i="1" s="1" a="1"/>
  <c r="AZ538" i="1" s="1"/>
  <c r="AN536" i="1"/>
  <c r="AY536" i="1" s="1" a="1"/>
  <c r="AY536" i="1" s="1"/>
  <c r="AO531" i="1"/>
  <c r="AZ531" i="1" s="1" a="1"/>
  <c r="AZ531" i="1" s="1"/>
  <c r="AQ530" i="1"/>
  <c r="BB530" i="1" s="1" a="1"/>
  <c r="BB530" i="1" s="1"/>
  <c r="AQ524" i="1"/>
  <c r="BB524" i="1" s="1" a="1"/>
  <c r="BB524" i="1" s="1"/>
  <c r="AN523" i="1"/>
  <c r="AY523" i="1" s="1" a="1"/>
  <c r="AY523" i="1" s="1"/>
  <c r="AM521" i="1"/>
  <c r="AX521" i="1" s="1" a="1"/>
  <c r="AX521" i="1" s="1"/>
  <c r="AO520" i="1"/>
  <c r="AZ520" i="1" s="1" a="1"/>
  <c r="AZ520" i="1" s="1"/>
  <c r="AM517" i="1"/>
  <c r="AX517" i="1" s="1" a="1"/>
  <c r="AX517" i="1" s="1"/>
  <c r="AN516" i="1"/>
  <c r="AY516" i="1" s="1" a="1"/>
  <c r="AY516" i="1" s="1"/>
  <c r="AO515" i="1"/>
  <c r="AZ515" i="1" s="1" a="1"/>
  <c r="AZ515" i="1" s="1"/>
  <c r="AQ514" i="1"/>
  <c r="BB514" i="1" s="1" a="1"/>
  <c r="BB514" i="1" s="1"/>
  <c r="AQ513" i="1"/>
  <c r="BB513" i="1" s="1" a="1"/>
  <c r="BB513" i="1" s="1"/>
  <c r="AN512" i="1"/>
  <c r="AY512" i="1" s="1" a="1"/>
  <c r="AY512" i="1" s="1"/>
  <c r="AJ510" i="1"/>
  <c r="AM509" i="1"/>
  <c r="AX509" i="1" s="1" a="1"/>
  <c r="AX509" i="1" s="1"/>
  <c r="AO508" i="1"/>
  <c r="AZ508" i="1" s="1" a="1"/>
  <c r="AZ508" i="1" s="1"/>
  <c r="AO507" i="1"/>
  <c r="AZ507" i="1" s="1" a="1"/>
  <c r="AZ507" i="1" s="1"/>
  <c r="AQ495" i="1"/>
  <c r="BB495" i="1" s="1" a="1"/>
  <c r="BB495" i="1" s="1"/>
  <c r="AN482" i="1"/>
  <c r="AY482" i="1" s="1" a="1"/>
  <c r="AY482" i="1" s="1"/>
  <c r="AO481" i="1"/>
  <c r="AZ481" i="1" s="1" a="1"/>
  <c r="AZ481" i="1" s="1"/>
  <c r="AO475" i="1"/>
  <c r="AZ475" i="1" s="1" a="1"/>
  <c r="AZ475" i="1" s="1"/>
  <c r="AQ472" i="1"/>
  <c r="BB472" i="1" s="1" a="1"/>
  <c r="BB472" i="1" s="1"/>
  <c r="AN469" i="1"/>
  <c r="AY469" i="1" s="1" a="1"/>
  <c r="AY469" i="1" s="1"/>
  <c r="AO465" i="1"/>
  <c r="AZ465" i="1" s="1" a="1"/>
  <c r="AZ465" i="1" s="1"/>
  <c r="AO459" i="1"/>
  <c r="AZ459" i="1" s="1" a="1"/>
  <c r="AZ459" i="1" s="1"/>
  <c r="AO567" i="1"/>
  <c r="AZ567" i="1" s="1" a="1"/>
  <c r="AZ567" i="1" s="1"/>
  <c r="AQ585" i="1"/>
  <c r="BB585" i="1" s="1" a="1"/>
  <c r="BB585" i="1" s="1"/>
  <c r="AM566" i="1"/>
  <c r="AX566" i="1" s="1" a="1"/>
  <c r="AX566" i="1" s="1"/>
  <c r="AO589" i="1"/>
  <c r="AZ589" i="1" s="1" a="1"/>
  <c r="AZ589" i="1" s="1"/>
  <c r="AQ578" i="1"/>
  <c r="BB578" i="1" s="1" a="1"/>
  <c r="BB578" i="1" s="1"/>
  <c r="AO577" i="1"/>
  <c r="AZ577" i="1" s="1" a="1"/>
  <c r="AZ577" i="1" s="1"/>
  <c r="AO574" i="1"/>
  <c r="AZ574" i="1" s="1" a="1"/>
  <c r="AZ574" i="1" s="1"/>
  <c r="AN573" i="1"/>
  <c r="AY573" i="1" s="1" a="1"/>
  <c r="AY573" i="1" s="1"/>
  <c r="AJ568" i="1"/>
  <c r="AN565" i="1"/>
  <c r="AY565" i="1" s="1" a="1"/>
  <c r="AY565" i="1" s="1"/>
  <c r="BB564" i="1" a="1"/>
  <c r="BB564" i="1" s="1"/>
  <c r="AM553" i="1"/>
  <c r="AX553" i="1" s="1" a="1"/>
  <c r="AX553" i="1" s="1"/>
  <c r="AO542" i="1"/>
  <c r="AZ542" i="1" s="1" a="1"/>
  <c r="AZ542" i="1" s="1"/>
  <c r="AM538" i="1"/>
  <c r="AX538" i="1" s="1" a="1"/>
  <c r="AX538" i="1" s="1"/>
  <c r="AN535" i="1"/>
  <c r="AY535" i="1" s="1" a="1"/>
  <c r="AY535" i="1" s="1"/>
  <c r="AO530" i="1"/>
  <c r="AZ530" i="1" s="1" a="1"/>
  <c r="AZ530" i="1" s="1"/>
  <c r="AN528" i="1"/>
  <c r="AY528" i="1" s="1" a="1"/>
  <c r="AY528" i="1" s="1"/>
  <c r="AN527" i="1"/>
  <c r="AY527" i="1" s="1" a="1"/>
  <c r="AY527" i="1" s="1"/>
  <c r="AO524" i="1"/>
  <c r="AZ524" i="1" s="1" a="1"/>
  <c r="AZ524" i="1" s="1"/>
  <c r="AM520" i="1"/>
  <c r="AX520" i="1" s="1" a="1"/>
  <c r="AX520" i="1" s="1"/>
  <c r="AQ519" i="1"/>
  <c r="BB519" i="1" s="1" a="1"/>
  <c r="BB519" i="1" s="1"/>
  <c r="AM516" i="1"/>
  <c r="AX516" i="1" s="1" a="1"/>
  <c r="AX516" i="1" s="1"/>
  <c r="AM515" i="1"/>
  <c r="AX515" i="1" s="1" a="1"/>
  <c r="AX515" i="1" s="1"/>
  <c r="AO514" i="1"/>
  <c r="AZ514" i="1" s="1" a="1"/>
  <c r="AZ514" i="1" s="1"/>
  <c r="AO513" i="1"/>
  <c r="AZ513" i="1" s="1" a="1"/>
  <c r="AZ513" i="1" s="1"/>
  <c r="AM507" i="1"/>
  <c r="AX507" i="1" s="1" a="1"/>
  <c r="AX507" i="1" s="1"/>
  <c r="AQ506" i="1"/>
  <c r="BB506" i="1" s="1" a="1"/>
  <c r="BB506" i="1" s="1"/>
  <c r="AO495" i="1"/>
  <c r="AZ495" i="1" s="1" a="1"/>
  <c r="AZ495" i="1" s="1"/>
  <c r="AN481" i="1"/>
  <c r="AY481" i="1" s="1" a="1"/>
  <c r="AY481" i="1" s="1"/>
  <c r="AQ480" i="1"/>
  <c r="BB480" i="1" s="1" a="1"/>
  <c r="BB480" i="1" s="1"/>
  <c r="AH476" i="1"/>
  <c r="AG476" i="1" s="1"/>
  <c r="AN475" i="1"/>
  <c r="AY475" i="1" s="1" a="1"/>
  <c r="AY475" i="1" s="1"/>
  <c r="AO472" i="1"/>
  <c r="AZ472" i="1" s="1" a="1"/>
  <c r="AZ472" i="1" s="1"/>
  <c r="AI470" i="1"/>
  <c r="AM469" i="1"/>
  <c r="AX469" i="1" s="1" a="1"/>
  <c r="AX469" i="1" s="1"/>
  <c r="AN465" i="1"/>
  <c r="AY465" i="1" s="1" a="1"/>
  <c r="AY465" i="1" s="1"/>
  <c r="AO464" i="1"/>
  <c r="AZ464" i="1" s="1" a="1"/>
  <c r="AZ464" i="1" s="1"/>
  <c r="AN459" i="1"/>
  <c r="AY459" i="1" s="1" a="1"/>
  <c r="AY459" i="1" s="1"/>
  <c r="AQ474" i="1"/>
  <c r="BB474" i="1" s="1" a="1"/>
  <c r="BB474" i="1" s="1"/>
  <c r="AI469" i="1"/>
  <c r="AO463" i="1"/>
  <c r="AZ463" i="1" s="1" a="1"/>
  <c r="AZ463" i="1" s="1"/>
  <c r="AN492" i="1"/>
  <c r="AY492" i="1" s="1" a="1"/>
  <c r="AY492" i="1" s="1"/>
  <c r="AN488" i="1"/>
  <c r="AY488" i="1" s="1" a="1"/>
  <c r="AY488" i="1" s="1"/>
  <c r="AN478" i="1"/>
  <c r="AY478" i="1" s="1" a="1"/>
  <c r="AY478" i="1" s="1"/>
  <c r="AM474" i="1"/>
  <c r="AX474" i="1" s="1" a="1"/>
  <c r="AX474" i="1" s="1"/>
  <c r="AH469" i="1"/>
  <c r="AG469" i="1" s="1"/>
  <c r="AJ464" i="1"/>
  <c r="AN463" i="1"/>
  <c r="AY463" i="1" s="1" a="1"/>
  <c r="AY463" i="1" s="1"/>
  <c r="AM563" i="1"/>
  <c r="AX563" i="1" s="1" a="1"/>
  <c r="AX563" i="1" s="1"/>
  <c r="AQ567" i="1"/>
  <c r="BB567" i="1" s="1" a="1"/>
  <c r="BB567" i="1" s="1"/>
  <c r="AN588" i="1"/>
  <c r="AY588" i="1" s="1" a="1"/>
  <c r="AY588" i="1" s="1"/>
  <c r="AN563" i="1"/>
  <c r="AY563" i="1" s="1" a="1"/>
  <c r="AY563" i="1" s="1"/>
  <c r="AN589" i="1"/>
  <c r="AY589" i="1" s="1" a="1"/>
  <c r="AY589" i="1" s="1"/>
  <c r="AM588" i="1"/>
  <c r="AX588" i="1" s="1" a="1"/>
  <c r="AX588" i="1" s="1"/>
  <c r="AQ580" i="1"/>
  <c r="BB580" i="1" s="1" a="1"/>
  <c r="BB580" i="1" s="1"/>
  <c r="AN577" i="1"/>
  <c r="AY577" i="1" s="1" a="1"/>
  <c r="AY577" i="1" s="1"/>
  <c r="AN574" i="1"/>
  <c r="AY574" i="1" s="1" a="1"/>
  <c r="AY574" i="1" s="1"/>
  <c r="AM565" i="1"/>
  <c r="AX565" i="1" s="1" a="1"/>
  <c r="AX565" i="1" s="1"/>
  <c r="AO564" i="1"/>
  <c r="AZ564" i="1" s="1" a="1"/>
  <c r="AZ564" i="1" s="1"/>
  <c r="AQ561" i="1"/>
  <c r="BB561" i="1" s="1" a="1"/>
  <c r="BB561" i="1" s="1"/>
  <c r="AN558" i="1"/>
  <c r="AY558" i="1" s="1" a="1"/>
  <c r="AY558" i="1" s="1"/>
  <c r="AQ554" i="1"/>
  <c r="BB554" i="1" s="1" a="1"/>
  <c r="BB554" i="1" s="1"/>
  <c r="AO537" i="1"/>
  <c r="AZ537" i="1" s="1" a="1"/>
  <c r="AZ537" i="1" s="1"/>
  <c r="AQ536" i="1"/>
  <c r="BB536" i="1" s="1" a="1"/>
  <c r="BB536" i="1" s="1"/>
  <c r="AN526" i="1"/>
  <c r="AY526" i="1" s="1" a="1"/>
  <c r="AY526" i="1" s="1"/>
  <c r="AQ523" i="1"/>
  <c r="BB523" i="1" s="1" a="1"/>
  <c r="BB523" i="1" s="1"/>
  <c r="AJ521" i="1"/>
  <c r="AO519" i="1"/>
  <c r="AZ519" i="1" s="1" a="1"/>
  <c r="AZ519" i="1" s="1"/>
  <c r="AM514" i="1"/>
  <c r="AX514" i="1" s="1" a="1"/>
  <c r="AX514" i="1" s="1"/>
  <c r="AM513" i="1"/>
  <c r="AX513" i="1" s="1" a="1"/>
  <c r="AX513" i="1" s="1"/>
  <c r="AN511" i="1"/>
  <c r="AY511" i="1" s="1" a="1"/>
  <c r="AY511" i="1" s="1"/>
  <c r="AO506" i="1"/>
  <c r="AZ506" i="1" s="1" a="1"/>
  <c r="AZ506" i="1" s="1"/>
  <c r="AN495" i="1"/>
  <c r="AY495" i="1" s="1" a="1"/>
  <c r="AY495" i="1" s="1"/>
  <c r="AQ494" i="1"/>
  <c r="BB494" i="1" s="1" a="1"/>
  <c r="BB494" i="1" s="1"/>
  <c r="AQ493" i="1"/>
  <c r="BB493" i="1" s="1" a="1"/>
  <c r="BB493" i="1" s="1"/>
  <c r="AM481" i="1"/>
  <c r="AX481" i="1" s="1" a="1"/>
  <c r="AX481" i="1" s="1"/>
  <c r="AO480" i="1"/>
  <c r="AZ480" i="1" s="1" a="1"/>
  <c r="AZ480" i="1" s="1"/>
  <c r="AM475" i="1"/>
  <c r="AX475" i="1" s="1" a="1"/>
  <c r="AX475" i="1" s="1"/>
  <c r="AQ471" i="1"/>
  <c r="BB471" i="1" s="1" a="1"/>
  <c r="BB471" i="1" s="1"/>
  <c r="AH470" i="1"/>
  <c r="AG470" i="1" s="1"/>
  <c r="AQ468" i="1"/>
  <c r="BB468" i="1" s="1" a="1"/>
  <c r="BB468" i="1" s="1"/>
  <c r="AN464" i="1"/>
  <c r="AY464" i="1" s="1" a="1"/>
  <c r="AY464" i="1" s="1"/>
  <c r="AQ489" i="1"/>
  <c r="BB489" i="1" s="1" a="1"/>
  <c r="BB489" i="1" s="1"/>
  <c r="AM493" i="1"/>
  <c r="AX493" i="1" s="1" a="1"/>
  <c r="AX493" i="1" s="1"/>
  <c r="AO570" i="1"/>
  <c r="AZ570" i="1" s="1" a="1"/>
  <c r="AZ570" i="1" s="1"/>
  <c r="AO588" i="1"/>
  <c r="AZ588" i="1" s="1" a="1"/>
  <c r="AZ588" i="1" s="1"/>
  <c r="AN557" i="1"/>
  <c r="AY557" i="1" s="1" a="1"/>
  <c r="AY557" i="1" s="1"/>
  <c r="AO583" i="1"/>
  <c r="AZ583" i="1" s="1" a="1"/>
  <c r="AZ583" i="1" s="1"/>
  <c r="AO580" i="1"/>
  <c r="AZ580" i="1" s="1" a="1"/>
  <c r="AZ580" i="1" s="1"/>
  <c r="AO576" i="1"/>
  <c r="AZ576" i="1" s="1" a="1"/>
  <c r="AZ576" i="1" s="1"/>
  <c r="AQ569" i="1"/>
  <c r="BB569" i="1" s="1" a="1"/>
  <c r="BB569" i="1" s="1"/>
  <c r="AN564" i="1"/>
  <c r="AY564" i="1" s="1" a="1"/>
  <c r="AY564" i="1" s="1"/>
  <c r="AN562" i="1"/>
  <c r="AY562" i="1" s="1" a="1"/>
  <c r="AY562" i="1" s="1"/>
  <c r="AO561" i="1"/>
  <c r="AZ561" i="1" s="1" a="1"/>
  <c r="AZ561" i="1" s="1"/>
  <c r="AM558" i="1"/>
  <c r="AX558" i="1" s="1" a="1"/>
  <c r="AX558" i="1" s="1"/>
  <c r="AN555" i="1"/>
  <c r="AY555" i="1" s="1" a="1"/>
  <c r="AY555" i="1" s="1"/>
  <c r="AO554" i="1"/>
  <c r="AZ554" i="1" s="1" a="1"/>
  <c r="AZ554" i="1" s="1"/>
  <c r="AO541" i="1"/>
  <c r="AZ541" i="1" s="1" a="1"/>
  <c r="AZ541" i="1" s="1"/>
  <c r="AN540" i="1"/>
  <c r="AY540" i="1" s="1" a="1"/>
  <c r="AY540" i="1" s="1"/>
  <c r="AQ539" i="1"/>
  <c r="BB539" i="1" s="1" a="1"/>
  <c r="BB539" i="1" s="1"/>
  <c r="AM537" i="1"/>
  <c r="AX537" i="1" s="1" a="1"/>
  <c r="AX537" i="1" s="1"/>
  <c r="AO536" i="1"/>
  <c r="AZ536" i="1" s="1" a="1"/>
  <c r="AZ536" i="1" s="1"/>
  <c r="AN534" i="1"/>
  <c r="AY534" i="1" s="1" a="1"/>
  <c r="AY534" i="1" s="1"/>
  <c r="AQ533" i="1"/>
  <c r="BB533" i="1" s="1" a="1"/>
  <c r="BB533" i="1" s="1"/>
  <c r="AO529" i="1"/>
  <c r="AZ529" i="1" s="1" a="1"/>
  <c r="AZ529" i="1" s="1"/>
  <c r="AO523" i="1"/>
  <c r="AZ523" i="1" s="1" a="1"/>
  <c r="AZ523" i="1" s="1"/>
  <c r="AM519" i="1"/>
  <c r="AX519" i="1" s="1" a="1"/>
  <c r="AX519" i="1" s="1"/>
  <c r="AN518" i="1"/>
  <c r="AY518" i="1" s="1" a="1"/>
  <c r="AY518" i="1" s="1"/>
  <c r="AI517" i="1"/>
  <c r="AJ516" i="1"/>
  <c r="AQ512" i="1"/>
  <c r="BB512" i="1" s="1" a="1"/>
  <c r="BB512" i="1" s="1"/>
  <c r="AN510" i="1"/>
  <c r="AY510" i="1" s="1" a="1"/>
  <c r="AY510" i="1" s="1"/>
  <c r="AM506" i="1"/>
  <c r="AX506" i="1" s="1" a="1"/>
  <c r="AX506" i="1" s="1"/>
  <c r="AM495" i="1"/>
  <c r="AX495" i="1" s="1" a="1"/>
  <c r="AX495" i="1" s="1"/>
  <c r="AN494" i="1"/>
  <c r="AY494" i="1" s="1" a="1"/>
  <c r="AY494" i="1" s="1"/>
  <c r="AO493" i="1"/>
  <c r="AZ493" i="1" s="1" a="1"/>
  <c r="AZ493" i="1" s="1"/>
  <c r="AN480" i="1"/>
  <c r="AY480" i="1" s="1" a="1"/>
  <c r="AY480" i="1" s="1"/>
  <c r="AQ479" i="1"/>
  <c r="BB479" i="1" s="1" a="1"/>
  <c r="BB479" i="1" s="1"/>
  <c r="AQ478" i="1"/>
  <c r="BB478" i="1" s="1" a="1"/>
  <c r="BB478" i="1" s="1"/>
  <c r="AO471" i="1"/>
  <c r="AZ471" i="1" s="1" a="1"/>
  <c r="AZ471" i="1" s="1"/>
  <c r="AJ469" i="1"/>
  <c r="AO468" i="1"/>
  <c r="AZ468" i="1" s="1" a="1"/>
  <c r="AZ468" i="1" s="1"/>
  <c r="AJ465" i="1"/>
  <c r="AM464" i="1"/>
  <c r="AX464" i="1" s="1" a="1"/>
  <c r="AX464" i="1" s="1"/>
  <c r="AQ463" i="1"/>
  <c r="BB463" i="1" s="1" a="1"/>
  <c r="BB463" i="1" s="1"/>
  <c r="AN581" i="1"/>
  <c r="AY581" i="1" s="1" a="1"/>
  <c r="AY581" i="1" s="1"/>
  <c r="AM557" i="1"/>
  <c r="AX557" i="1" s="1" a="1"/>
  <c r="AX557" i="1" s="1"/>
  <c r="AJ588" i="1"/>
  <c r="AQ584" i="1"/>
  <c r="BB584" i="1" s="1" a="1"/>
  <c r="BB584" i="1" s="1"/>
  <c r="AN583" i="1"/>
  <c r="AY583" i="1" s="1" a="1"/>
  <c r="AY583" i="1" s="1"/>
  <c r="AN580" i="1"/>
  <c r="AY580" i="1" s="1" a="1"/>
  <c r="AY580" i="1" s="1"/>
  <c r="AN579" i="1"/>
  <c r="AY579" i="1" s="1" a="1"/>
  <c r="AY579" i="1" s="1"/>
  <c r="AN576" i="1"/>
  <c r="AY576" i="1" s="1" a="1"/>
  <c r="AY576" i="1" s="1"/>
  <c r="AH570" i="1"/>
  <c r="AG570" i="1" s="1"/>
  <c r="AM567" i="1"/>
  <c r="AX567" i="1" s="1" a="1"/>
  <c r="AX567" i="1" s="1"/>
  <c r="AM564" i="1"/>
  <c r="AX564" i="1" s="1" a="1"/>
  <c r="AX564" i="1" s="1"/>
  <c r="AO563" i="1"/>
  <c r="AZ563" i="1" s="1" a="1"/>
  <c r="AZ563" i="1" s="1"/>
  <c r="AM562" i="1"/>
  <c r="AX562" i="1" s="1" a="1"/>
  <c r="AX562" i="1" s="1"/>
  <c r="AM561" i="1"/>
  <c r="AX561" i="1" s="1" a="1"/>
  <c r="AX561" i="1" s="1"/>
  <c r="AM541" i="1"/>
  <c r="AX541" i="1" s="1" a="1"/>
  <c r="AX541" i="1" s="1"/>
  <c r="AN539" i="1"/>
  <c r="AY539" i="1" s="1" a="1"/>
  <c r="AY539" i="1" s="1"/>
  <c r="AN533" i="1"/>
  <c r="AY533" i="1" s="1" a="1"/>
  <c r="AY533" i="1" s="1"/>
  <c r="AQ528" i="1"/>
  <c r="BB528" i="1" s="1" a="1"/>
  <c r="BB528" i="1" s="1"/>
  <c r="AN525" i="1"/>
  <c r="AY525" i="1" s="1" a="1"/>
  <c r="AY525" i="1" s="1"/>
  <c r="AM523" i="1"/>
  <c r="AX523" i="1" s="1" a="1"/>
  <c r="AX523" i="1" s="1"/>
  <c r="AN522" i="1"/>
  <c r="AY522" i="1" s="1" a="1"/>
  <c r="AY522" i="1" s="1"/>
  <c r="AH517" i="1"/>
  <c r="AG517" i="1" s="1"/>
  <c r="AI516" i="1"/>
  <c r="AO512" i="1"/>
  <c r="AZ512" i="1" s="1" a="1"/>
  <c r="AZ512" i="1" s="1"/>
  <c r="AN493" i="1"/>
  <c r="AY493" i="1" s="1" a="1"/>
  <c r="AY493" i="1" s="1"/>
  <c r="AO478" i="1"/>
  <c r="AZ478" i="1" s="1" a="1"/>
  <c r="AZ478" i="1" s="1"/>
  <c r="AN572" i="1"/>
  <c r="AY572" i="1" s="1" a="1"/>
  <c r="AY572" i="1" s="1"/>
  <c r="AN554" i="1"/>
  <c r="AY554" i="1" s="1" a="1"/>
  <c r="AY554" i="1" s="1"/>
  <c r="AN584" i="1"/>
  <c r="AY584" i="1" s="1" a="1"/>
  <c r="AY584" i="1" s="1"/>
  <c r="AN582" i="1"/>
  <c r="AY582" i="1" s="1" a="1"/>
  <c r="AY582" i="1" s="1"/>
  <c r="AM579" i="1"/>
  <c r="AX579" i="1" s="1" a="1"/>
  <c r="AX579" i="1" s="1"/>
  <c r="AM574" i="1"/>
  <c r="AX574" i="1" s="1" a="1"/>
  <c r="AX574" i="1" s="1"/>
  <c r="AO568" i="1"/>
  <c r="AZ568" i="1" s="1" a="1"/>
  <c r="AZ568" i="1" s="1"/>
  <c r="AM559" i="1"/>
  <c r="AX559" i="1" s="1" a="1"/>
  <c r="AX559" i="1" s="1"/>
  <c r="AQ555" i="1"/>
  <c r="BB555" i="1" s="1" a="1"/>
  <c r="BB555" i="1" s="1"/>
  <c r="AQ540" i="1"/>
  <c r="BB540" i="1" s="1" a="1"/>
  <c r="BB540" i="1" s="1"/>
  <c r="AO535" i="1"/>
  <c r="AZ535" i="1" s="1" a="1"/>
  <c r="AZ535" i="1" s="1"/>
  <c r="AQ534" i="1"/>
  <c r="BB534" i="1" s="1" a="1"/>
  <c r="BB534" i="1" s="1"/>
  <c r="AO528" i="1"/>
  <c r="AZ528" i="1" s="1" a="1"/>
  <c r="AZ528" i="1" s="1"/>
  <c r="AO527" i="1"/>
  <c r="AZ527" i="1" s="1" a="1"/>
  <c r="AZ527" i="1" s="1"/>
  <c r="AQ526" i="1"/>
  <c r="BB526" i="1" s="1" a="1"/>
  <c r="BB526" i="1" s="1"/>
  <c r="AH516" i="1"/>
  <c r="AG516" i="1" s="1"/>
  <c r="AM512" i="1"/>
  <c r="AX512" i="1" s="1" a="1"/>
  <c r="AX512" i="1" s="1"/>
  <c r="AQ511" i="1"/>
  <c r="BB511" i="1" s="1" a="1"/>
  <c r="BB511" i="1" s="1"/>
  <c r="AM491" i="1"/>
  <c r="AX491" i="1" s="1" a="1"/>
  <c r="AX491" i="1" s="1"/>
  <c r="AQ559" i="1"/>
  <c r="BB559" i="1" s="1" a="1"/>
  <c r="BB559" i="1" s="1"/>
  <c r="AN537" i="1"/>
  <c r="AY537" i="1" s="1" a="1"/>
  <c r="AY537" i="1" s="1"/>
  <c r="AO560" i="1"/>
  <c r="AZ560" i="1" s="1" a="1"/>
  <c r="AZ560" i="1" s="1"/>
  <c r="AM575" i="1"/>
  <c r="AX575" i="1" s="1" a="1"/>
  <c r="AX575" i="1" s="1"/>
  <c r="AO484" i="1"/>
  <c r="AZ484" i="1" s="1" a="1"/>
  <c r="AZ484" i="1" s="1"/>
  <c r="AO486" i="1"/>
  <c r="AZ486" i="1" s="1" a="1"/>
  <c r="AZ486" i="1" s="1"/>
  <c r="AM465" i="1"/>
  <c r="AX465" i="1" s="1" a="1"/>
  <c r="AX465" i="1" s="1"/>
  <c r="AQ491" i="1"/>
  <c r="BB491" i="1" s="1" a="1"/>
  <c r="BB491" i="1" s="1"/>
  <c r="AM508" i="1"/>
  <c r="AX508" i="1" s="1" a="1"/>
  <c r="AX508" i="1" s="1"/>
  <c r="AO581" i="1"/>
  <c r="AZ581" i="1" s="1" a="1"/>
  <c r="AZ581" i="1" s="1"/>
  <c r="AN560" i="1"/>
  <c r="AY560" i="1" s="1" a="1"/>
  <c r="AY560" i="1" s="1"/>
  <c r="AN567" i="1"/>
  <c r="AY567" i="1" s="1" a="1"/>
  <c r="AY567" i="1" s="1"/>
  <c r="AO587" i="1"/>
  <c r="AZ587" i="1" s="1" a="1"/>
  <c r="AZ587" i="1" s="1"/>
  <c r="AM459" i="1"/>
  <c r="AX459" i="1" s="1" a="1"/>
  <c r="AX459" i="1" s="1"/>
  <c r="AO491" i="1"/>
  <c r="AZ491" i="1" s="1" a="1"/>
  <c r="AZ491" i="1" s="1"/>
  <c r="AM472" i="1"/>
  <c r="AX472" i="1" s="1" a="1"/>
  <c r="AX472" i="1" s="1"/>
  <c r="AO559" i="1"/>
  <c r="AZ559" i="1" s="1" a="1"/>
  <c r="AZ559" i="1" s="1"/>
  <c r="AQ557" i="1"/>
  <c r="BB557" i="1" s="1" a="1"/>
  <c r="BB557" i="1" s="1"/>
  <c r="AQ522" i="1"/>
  <c r="BB522" i="1" s="1" a="1"/>
  <c r="BB522" i="1" s="1"/>
  <c r="AQ535" i="1"/>
  <c r="BB535" i="1" s="1" a="1"/>
  <c r="BB535" i="1" s="1"/>
  <c r="AQ537" i="1"/>
  <c r="BB537" i="1" s="1" a="1"/>
  <c r="BB537" i="1" s="1"/>
  <c r="AQ469" i="1"/>
  <c r="BB469" i="1" s="1" a="1"/>
  <c r="BB469" i="1" s="1"/>
  <c r="AN508" i="1"/>
  <c r="AY508" i="1" s="1" a="1"/>
  <c r="AY508" i="1" s="1"/>
  <c r="AN532" i="1"/>
  <c r="AY532" i="1" s="1" a="1"/>
  <c r="AY532" i="1" s="1"/>
  <c r="AO476" i="1"/>
  <c r="AZ476" i="1" s="1" a="1"/>
  <c r="AZ476" i="1" s="1"/>
  <c r="AM584" i="1"/>
  <c r="AX584" i="1" s="1" a="1"/>
  <c r="AX584" i="1" s="1"/>
  <c r="AQ562" i="1"/>
  <c r="BB562" i="1" s="1" a="1"/>
  <c r="BB562" i="1" s="1"/>
  <c r="AN587" i="1"/>
  <c r="AY587" i="1" s="1" a="1"/>
  <c r="AY587" i="1" s="1"/>
  <c r="AN461" i="1"/>
  <c r="AY461" i="1" s="1" a="1"/>
  <c r="AY461" i="1" s="1"/>
  <c r="AO575" i="1"/>
  <c r="AZ575" i="1" s="1" a="1"/>
  <c r="AZ575" i="1" s="1"/>
  <c r="AM494" i="1"/>
  <c r="AX494" i="1" s="1" a="1"/>
  <c r="AX494" i="1" s="1"/>
  <c r="AO494" i="1"/>
  <c r="AZ494" i="1" s="1" a="1"/>
  <c r="AZ494" i="1" s="1"/>
  <c r="AQ583" i="1"/>
  <c r="BB583" i="1" s="1" a="1"/>
  <c r="BB583" i="1" s="1"/>
  <c r="AQ515" i="1"/>
  <c r="BB515" i="1" s="1" a="1"/>
  <c r="BB515" i="1" s="1"/>
  <c r="AQ464" i="1"/>
  <c r="BB464" i="1" s="1" a="1"/>
  <c r="BB464" i="1" s="1"/>
  <c r="AO492" i="1"/>
  <c r="AZ492" i="1" s="1" a="1"/>
  <c r="AZ492" i="1" s="1"/>
  <c r="AN460" i="1"/>
  <c r="AY460" i="1" s="1" a="1"/>
  <c r="AY460" i="1" s="1"/>
  <c r="AO584" i="1"/>
  <c r="AZ584" i="1" s="1" a="1"/>
  <c r="AZ584" i="1" s="1"/>
  <c r="AN473" i="1"/>
  <c r="AY473" i="1" s="1" a="1"/>
  <c r="AY473" i="1" s="1"/>
  <c r="AM460" i="1"/>
  <c r="AX460" i="1" s="1" a="1"/>
  <c r="AX460" i="1" s="1"/>
  <c r="AN509" i="1"/>
  <c r="AY509" i="1" s="1" a="1"/>
  <c r="AY509" i="1" s="1"/>
  <c r="AN462" i="1"/>
  <c r="AY462" i="1" s="1" a="1"/>
  <c r="AY462" i="1" s="1"/>
  <c r="AQ570" i="1"/>
  <c r="BB570" i="1" s="1" a="1"/>
  <c r="BB570" i="1" s="1"/>
  <c r="AQ527" i="1"/>
  <c r="BB527" i="1" s="1" a="1"/>
  <c r="BB527" i="1" s="1"/>
  <c r="AO474" i="1"/>
  <c r="AZ474" i="1" s="1" a="1"/>
  <c r="AZ474" i="1" s="1"/>
  <c r="AN472" i="1"/>
  <c r="AY472" i="1" s="1" a="1"/>
  <c r="AY472" i="1" s="1"/>
  <c r="AM587" i="1"/>
  <c r="AX587" i="1" s="1" a="1"/>
  <c r="AX587" i="1" s="1"/>
  <c r="AO462" i="1"/>
  <c r="AZ462" i="1" s="1" a="1"/>
  <c r="AZ462" i="1" s="1"/>
  <c r="AN483" i="1"/>
  <c r="AY483" i="1" s="1" a="1"/>
  <c r="AY483" i="1" s="1"/>
  <c r="AQ488" i="1"/>
  <c r="BB488" i="1" s="1" a="1"/>
  <c r="BB488" i="1" s="1"/>
  <c r="AN514" i="1"/>
  <c r="AY514" i="1" s="1" a="1"/>
  <c r="AY514" i="1" s="1"/>
  <c r="AN467" i="1"/>
  <c r="AY467" i="1" s="1" a="1"/>
  <c r="AY467" i="1" s="1"/>
  <c r="AQ576" i="1"/>
  <c r="BB576" i="1" s="1" a="1"/>
  <c r="BB576" i="1" s="1"/>
  <c r="AQ531" i="1"/>
  <c r="BB531" i="1" s="1" a="1"/>
  <c r="BB531" i="1" s="1"/>
  <c r="BB516" i="1" a="1"/>
  <c r="BB516" i="1" s="1"/>
  <c r="AQ541" i="1"/>
  <c r="BB541" i="1" s="1" a="1"/>
  <c r="BB541" i="1" s="1"/>
  <c r="AQ510" i="1"/>
  <c r="BB510" i="1" s="1" a="1"/>
  <c r="BB510" i="1" s="1"/>
  <c r="AQ507" i="1"/>
  <c r="BB507" i="1" s="1" a="1"/>
  <c r="BB507" i="1" s="1"/>
  <c r="AM560" i="1"/>
  <c r="AX560" i="1" s="1" a="1"/>
  <c r="AX560" i="1" s="1"/>
  <c r="AO489" i="1"/>
  <c r="AZ489" i="1" s="1" a="1"/>
  <c r="AZ489" i="1" s="1"/>
  <c r="AM461" i="1"/>
  <c r="AX461" i="1" s="1" a="1"/>
  <c r="AX461" i="1" s="1"/>
  <c r="AM556" i="1"/>
  <c r="AX556" i="1" s="1" a="1"/>
  <c r="AX556" i="1" s="1"/>
  <c r="AN491" i="1"/>
  <c r="AY491" i="1" s="1" a="1"/>
  <c r="AY491" i="1" s="1"/>
  <c r="AN521" i="1"/>
  <c r="AY521" i="1" s="1" a="1"/>
  <c r="AY521" i="1" s="1"/>
  <c r="AN474" i="1"/>
  <c r="AY474" i="1" s="1" a="1"/>
  <c r="AY474" i="1" s="1"/>
  <c r="AQ579" i="1"/>
  <c r="BB579" i="1" s="1" a="1"/>
  <c r="BB579" i="1" s="1"/>
  <c r="AQ582" i="1"/>
  <c r="BB582" i="1" s="1" a="1"/>
  <c r="BB582" i="1" s="1"/>
  <c r="AQ481" i="1"/>
  <c r="BB481" i="1" s="1" a="1"/>
  <c r="BB481" i="1" s="1"/>
  <c r="AO532" i="1"/>
  <c r="AZ532" i="1" s="1" a="1"/>
  <c r="AZ532" i="1" s="1"/>
  <c r="AN468" i="1"/>
  <c r="AY468" i="1" s="1" a="1"/>
  <c r="AY468" i="1" s="1"/>
  <c r="AO485" i="1"/>
  <c r="AZ485" i="1" s="1" a="1"/>
  <c r="AZ485" i="1" s="1"/>
  <c r="AN575" i="1"/>
  <c r="AY575" i="1" s="1" a="1"/>
  <c r="AY575" i="1" s="1"/>
  <c r="AN531" i="1"/>
  <c r="AY531" i="1" s="1" a="1"/>
  <c r="AY531" i="1" s="1"/>
  <c r="AQ476" i="1"/>
  <c r="BB476" i="1" s="1" a="1"/>
  <c r="BB476" i="1" s="1"/>
  <c r="AQ588" i="1"/>
  <c r="BB588" i="1" s="1" a="1"/>
  <c r="BB588" i="1" s="1"/>
  <c r="AQ529" i="1"/>
  <c r="BB529" i="1" s="1" a="1"/>
  <c r="BB529" i="1" s="1"/>
  <c r="AN487" i="1"/>
  <c r="AY487" i="1" s="1" a="1"/>
  <c r="AY487" i="1" s="1"/>
  <c r="AO479" i="1"/>
  <c r="AZ479" i="1" s="1" a="1"/>
  <c r="AZ479" i="1" s="1"/>
  <c r="AO578" i="1"/>
  <c r="AZ578" i="1" s="1" a="1"/>
  <c r="AZ578" i="1" s="1"/>
  <c r="AM468" i="1"/>
  <c r="AX468" i="1" s="1" a="1"/>
  <c r="AX468" i="1" s="1"/>
  <c r="AN490" i="1"/>
  <c r="AY490" i="1" s="1" a="1"/>
  <c r="AY490" i="1" s="1"/>
  <c r="AO490" i="1"/>
  <c r="AZ490" i="1" s="1" a="1"/>
  <c r="AZ490" i="1" s="1"/>
  <c r="AO467" i="1"/>
  <c r="AZ467" i="1" s="1" a="1"/>
  <c r="AZ467" i="1" s="1"/>
  <c r="AN568" i="1"/>
  <c r="AY568" i="1" s="1" a="1"/>
  <c r="AY568" i="1" s="1"/>
  <c r="AQ538" i="1"/>
  <c r="BB538" i="1" s="1" a="1"/>
  <c r="BB538" i="1" s="1"/>
  <c r="AN479" i="1"/>
  <c r="AY479" i="1" s="1" a="1"/>
  <c r="AY479" i="1" s="1"/>
  <c r="AQ556" i="1"/>
  <c r="BB556" i="1" s="1" a="1"/>
  <c r="BB556" i="1" s="1"/>
  <c r="AO572" i="1"/>
  <c r="AZ572" i="1" s="1" a="1"/>
  <c r="AZ572" i="1" s="1"/>
  <c r="AN484" i="1"/>
  <c r="AY484" i="1" s="1" a="1"/>
  <c r="AY484" i="1" s="1"/>
  <c r="AI414" i="1"/>
  <c r="AM431" i="1"/>
  <c r="AX431" i="1" s="1" a="1"/>
  <c r="AX431" i="1" s="1"/>
  <c r="AI415" i="1"/>
  <c r="AM179" i="1"/>
  <c r="AX179" i="1" s="1" a="1"/>
  <c r="AX179" i="1" s="1"/>
  <c r="AQ450" i="1"/>
  <c r="BB450" i="1" s="1" a="1"/>
  <c r="BB450" i="1" s="1"/>
  <c r="AO450" i="1"/>
  <c r="AZ450" i="1" s="1" a="1"/>
  <c r="AZ450" i="1" s="1"/>
  <c r="AN450" i="1"/>
  <c r="AY450" i="1" s="1" a="1"/>
  <c r="AY450" i="1" s="1"/>
  <c r="AM450" i="1"/>
  <c r="AX450" i="1" s="1" a="1"/>
  <c r="AX450" i="1" s="1"/>
  <c r="AQ449" i="1"/>
  <c r="BB449" i="1" s="1" a="1"/>
  <c r="BB449" i="1" s="1"/>
  <c r="AO449" i="1"/>
  <c r="AZ449" i="1" s="1" a="1"/>
  <c r="AZ449" i="1" s="1"/>
  <c r="AN449" i="1"/>
  <c r="AY449" i="1" s="1" a="1"/>
  <c r="AY449" i="1" s="1"/>
  <c r="AM449" i="1"/>
  <c r="AX449" i="1" s="1" a="1"/>
  <c r="AX449" i="1" s="1"/>
  <c r="AJ449" i="1"/>
  <c r="AQ448" i="1"/>
  <c r="BB448" i="1" s="1" a="1"/>
  <c r="BB448" i="1" s="1"/>
  <c r="AO448" i="1"/>
  <c r="AZ448" i="1" s="1" a="1"/>
  <c r="AZ448" i="1" s="1"/>
  <c r="AN448" i="1"/>
  <c r="AY448" i="1" s="1" a="1"/>
  <c r="AY448" i="1" s="1"/>
  <c r="AM448" i="1"/>
  <c r="AX448" i="1" s="1" a="1"/>
  <c r="AX448" i="1" s="1"/>
  <c r="AQ447" i="1"/>
  <c r="BB447" i="1" s="1" a="1"/>
  <c r="BB447" i="1" s="1"/>
  <c r="AO447" i="1"/>
  <c r="AZ447" i="1" s="1" a="1"/>
  <c r="AZ447" i="1" s="1"/>
  <c r="AN447" i="1"/>
  <c r="AY447" i="1" s="1" a="1"/>
  <c r="AY447" i="1" s="1"/>
  <c r="AQ446" i="1"/>
  <c r="BB446" i="1" s="1" a="1"/>
  <c r="BB446" i="1" s="1"/>
  <c r="AO446" i="1"/>
  <c r="AZ446" i="1" s="1" a="1"/>
  <c r="AZ446" i="1" s="1"/>
  <c r="AN446" i="1"/>
  <c r="AY446" i="1" s="1" a="1"/>
  <c r="AY446" i="1" s="1"/>
  <c r="AM446" i="1"/>
  <c r="AX446" i="1" s="1" a="1"/>
  <c r="AX446" i="1" s="1"/>
  <c r="AQ445" i="1"/>
  <c r="BB445" i="1" s="1" a="1"/>
  <c r="BB445" i="1" s="1"/>
  <c r="AO445" i="1"/>
  <c r="AZ445" i="1" s="1" a="1"/>
  <c r="AZ445" i="1" s="1"/>
  <c r="AN445" i="1"/>
  <c r="AY445" i="1" s="1" a="1"/>
  <c r="AY445" i="1" s="1"/>
  <c r="AM445" i="1"/>
  <c r="AX445" i="1" s="1" a="1"/>
  <c r="AX445" i="1" s="1"/>
  <c r="AQ444" i="1"/>
  <c r="BB444" i="1" s="1" a="1"/>
  <c r="BB444" i="1" s="1"/>
  <c r="AO444" i="1"/>
  <c r="AZ444" i="1" s="1" a="1"/>
  <c r="AZ444" i="1" s="1"/>
  <c r="AN444" i="1"/>
  <c r="AY444" i="1" s="1" a="1"/>
  <c r="AY444" i="1" s="1"/>
  <c r="AQ443" i="1"/>
  <c r="BB443" i="1" s="1" a="1"/>
  <c r="BB443" i="1" s="1"/>
  <c r="AO443" i="1"/>
  <c r="AZ443" i="1" s="1" a="1"/>
  <c r="AZ443" i="1" s="1"/>
  <c r="AN443" i="1"/>
  <c r="AY443" i="1" s="1" a="1"/>
  <c r="AY443" i="1" s="1"/>
  <c r="AQ442" i="1"/>
  <c r="BB442" i="1" s="1" a="1"/>
  <c r="BB442" i="1" s="1"/>
  <c r="AO442" i="1"/>
  <c r="AZ442" i="1" s="1" a="1"/>
  <c r="AZ442" i="1" s="1"/>
  <c r="AN442" i="1"/>
  <c r="AY442" i="1" s="1" a="1"/>
  <c r="AY442" i="1" s="1"/>
  <c r="AQ441" i="1"/>
  <c r="BB441" i="1" s="1" a="1"/>
  <c r="BB441" i="1" s="1"/>
  <c r="AO441" i="1"/>
  <c r="AZ441" i="1" s="1" a="1"/>
  <c r="AZ441" i="1" s="1"/>
  <c r="AN441" i="1"/>
  <c r="AY441" i="1" s="1" a="1"/>
  <c r="AY441" i="1" s="1"/>
  <c r="AM441" i="1"/>
  <c r="AX441" i="1" s="1" a="1"/>
  <c r="AX441" i="1" s="1"/>
  <c r="AQ440" i="1"/>
  <c r="BB440" i="1" s="1" a="1"/>
  <c r="BB440" i="1" s="1"/>
  <c r="AO440" i="1"/>
  <c r="AZ440" i="1" s="1" a="1"/>
  <c r="AZ440" i="1" s="1"/>
  <c r="AN440" i="1"/>
  <c r="AY440" i="1" s="1" a="1"/>
  <c r="AY440" i="1" s="1"/>
  <c r="AM440" i="1"/>
  <c r="AX440" i="1" s="1" a="1"/>
  <c r="AX440" i="1" s="1"/>
  <c r="AQ439" i="1"/>
  <c r="BB439" i="1" s="1" a="1"/>
  <c r="BB439" i="1" s="1"/>
  <c r="AO439" i="1"/>
  <c r="AZ439" i="1" s="1" a="1"/>
  <c r="AZ439" i="1" s="1"/>
  <c r="AN439" i="1"/>
  <c r="AY439" i="1" s="1" a="1"/>
  <c r="AY439" i="1" s="1"/>
  <c r="AQ438" i="1"/>
  <c r="BB438" i="1" s="1" a="1"/>
  <c r="BB438" i="1" s="1"/>
  <c r="AO438" i="1"/>
  <c r="AZ438" i="1" s="1" a="1"/>
  <c r="AZ438" i="1" s="1"/>
  <c r="AN438" i="1"/>
  <c r="AY438" i="1" s="1" a="1"/>
  <c r="AY438" i="1" s="1"/>
  <c r="AQ437" i="1"/>
  <c r="BB437" i="1" s="1" a="1"/>
  <c r="BB437" i="1" s="1"/>
  <c r="AO437" i="1"/>
  <c r="AZ437" i="1" s="1" a="1"/>
  <c r="AZ437" i="1" s="1"/>
  <c r="AN437" i="1"/>
  <c r="AY437" i="1" s="1" a="1"/>
  <c r="AY437" i="1" s="1"/>
  <c r="AQ436" i="1"/>
  <c r="BB436" i="1" s="1" a="1"/>
  <c r="BB436" i="1" s="1"/>
  <c r="AO436" i="1"/>
  <c r="AZ436" i="1" s="1" a="1"/>
  <c r="AZ436" i="1" s="1"/>
  <c r="AN436" i="1"/>
  <c r="AY436" i="1" s="1" a="1"/>
  <c r="AY436" i="1" s="1"/>
  <c r="AM436" i="1"/>
  <c r="AX436" i="1" s="1" a="1"/>
  <c r="AX436" i="1" s="1"/>
  <c r="AQ435" i="1"/>
  <c r="BB435" i="1" s="1" a="1"/>
  <c r="BB435" i="1" s="1"/>
  <c r="AO435" i="1"/>
  <c r="AZ435" i="1" s="1" a="1"/>
  <c r="AZ435" i="1" s="1"/>
  <c r="AN435" i="1"/>
  <c r="AY435" i="1" s="1" a="1"/>
  <c r="AY435" i="1" s="1"/>
  <c r="AM435" i="1"/>
  <c r="AX435" i="1" s="1" a="1"/>
  <c r="AX435" i="1" s="1"/>
  <c r="AQ434" i="1"/>
  <c r="BB434" i="1" s="1" a="1"/>
  <c r="BB434" i="1" s="1"/>
  <c r="AO434" i="1"/>
  <c r="AZ434" i="1" s="1" a="1"/>
  <c r="AZ434" i="1" s="1"/>
  <c r="AN434" i="1"/>
  <c r="AY434" i="1" s="1" a="1"/>
  <c r="AY434" i="1" s="1"/>
  <c r="AQ433" i="1"/>
  <c r="BB433" i="1" s="1" a="1"/>
  <c r="BB433" i="1" s="1"/>
  <c r="AO433" i="1"/>
  <c r="AZ433" i="1" s="1" a="1"/>
  <c r="AZ433" i="1" s="1"/>
  <c r="AN433" i="1"/>
  <c r="AY433" i="1" s="1" a="1"/>
  <c r="AY433" i="1" s="1"/>
  <c r="AQ432" i="1"/>
  <c r="BB432" i="1" s="1" a="1"/>
  <c r="BB432" i="1" s="1"/>
  <c r="AO432" i="1"/>
  <c r="AZ432" i="1" s="1" a="1"/>
  <c r="AZ432" i="1" s="1"/>
  <c r="AN432" i="1"/>
  <c r="AY432" i="1" s="1" a="1"/>
  <c r="AY432" i="1" s="1"/>
  <c r="AO431" i="1"/>
  <c r="AZ431" i="1" s="1" a="1"/>
  <c r="AZ431" i="1" s="1"/>
  <c r="AN431" i="1"/>
  <c r="AY431" i="1" s="1" a="1"/>
  <c r="AY431" i="1" s="1"/>
  <c r="AH431" i="1"/>
  <c r="AG431" i="1" s="1"/>
  <c r="AQ430" i="1"/>
  <c r="BB430" i="1" s="1" a="1"/>
  <c r="BB430" i="1" s="1"/>
  <c r="AO430" i="1"/>
  <c r="AZ430" i="1" s="1" a="1"/>
  <c r="AZ430" i="1" s="1"/>
  <c r="AN430" i="1"/>
  <c r="AY430" i="1" s="1" a="1"/>
  <c r="AY430" i="1" s="1"/>
  <c r="AM430" i="1"/>
  <c r="AX430" i="1" s="1" a="1"/>
  <c r="AX430" i="1" s="1"/>
  <c r="AQ429" i="1"/>
  <c r="BB429" i="1" s="1" a="1"/>
  <c r="BB429" i="1" s="1"/>
  <c r="AO429" i="1"/>
  <c r="AZ429" i="1" s="1" a="1"/>
  <c r="AZ429" i="1" s="1"/>
  <c r="AN429" i="1"/>
  <c r="AY429" i="1" s="1" a="1"/>
  <c r="AY429" i="1" s="1"/>
  <c r="AM429" i="1"/>
  <c r="AX429" i="1" s="1" a="1"/>
  <c r="AX429" i="1" s="1"/>
  <c r="AJ429" i="1"/>
  <c r="AQ428" i="1"/>
  <c r="BB428" i="1" s="1" a="1"/>
  <c r="BB428" i="1" s="1"/>
  <c r="AO428" i="1"/>
  <c r="AZ428" i="1" s="1" a="1"/>
  <c r="AZ428" i="1" s="1"/>
  <c r="AN428" i="1"/>
  <c r="AY428" i="1" s="1" a="1"/>
  <c r="AY428" i="1" s="1"/>
  <c r="AM428" i="1"/>
  <c r="AX428" i="1" s="1" a="1"/>
  <c r="AX428" i="1" s="1"/>
  <c r="AQ427" i="1"/>
  <c r="BB427" i="1" s="1" a="1"/>
  <c r="BB427" i="1" s="1"/>
  <c r="AO427" i="1"/>
  <c r="AZ427" i="1" s="1" a="1"/>
  <c r="AZ427" i="1" s="1"/>
  <c r="AN427" i="1"/>
  <c r="AY427" i="1" s="1" a="1"/>
  <c r="AY427" i="1" s="1"/>
  <c r="AM427" i="1"/>
  <c r="AX427" i="1" s="1" a="1"/>
  <c r="AX427" i="1" s="1"/>
  <c r="AQ426" i="1"/>
  <c r="BB426" i="1" s="1" a="1"/>
  <c r="BB426" i="1" s="1"/>
  <c r="AO426" i="1"/>
  <c r="AZ426" i="1" s="1" a="1"/>
  <c r="AZ426" i="1" s="1"/>
  <c r="AN426" i="1"/>
  <c r="AY426" i="1" s="1" a="1"/>
  <c r="AY426" i="1" s="1"/>
  <c r="AM426" i="1"/>
  <c r="AX426" i="1" s="1" a="1"/>
  <c r="AX426" i="1" s="1"/>
  <c r="AO425" i="1"/>
  <c r="AZ425" i="1" s="1" a="1"/>
  <c r="AZ425" i="1" s="1"/>
  <c r="AN425" i="1"/>
  <c r="AY425" i="1" s="1" a="1"/>
  <c r="AY425" i="1" s="1"/>
  <c r="AM425" i="1"/>
  <c r="AX425" i="1" s="1" a="1"/>
  <c r="AX425" i="1" s="1"/>
  <c r="AI425" i="1"/>
  <c r="AH425" i="1"/>
  <c r="AG425" i="1" s="1"/>
  <c r="AO424" i="1"/>
  <c r="AZ424" i="1" s="1" a="1"/>
  <c r="AZ424" i="1" s="1"/>
  <c r="AN424" i="1"/>
  <c r="AY424" i="1" s="1" a="1"/>
  <c r="AY424" i="1" s="1"/>
  <c r="AM424" i="1"/>
  <c r="AX424" i="1" s="1" a="1"/>
  <c r="AX424" i="1" s="1"/>
  <c r="AI424" i="1"/>
  <c r="AH424" i="1"/>
  <c r="AG424" i="1" s="1"/>
  <c r="AQ423" i="1"/>
  <c r="BB423" i="1" s="1" a="1"/>
  <c r="BB423" i="1" s="1"/>
  <c r="AO423" i="1"/>
  <c r="AZ423" i="1" s="1" a="1"/>
  <c r="AZ423" i="1" s="1"/>
  <c r="AN423" i="1"/>
  <c r="AY423" i="1" s="1" a="1"/>
  <c r="AY423" i="1" s="1"/>
  <c r="AM423" i="1"/>
  <c r="AX423" i="1" s="1" a="1"/>
  <c r="AX423" i="1" s="1"/>
  <c r="AQ422" i="1"/>
  <c r="BB422" i="1" s="1" a="1"/>
  <c r="BB422" i="1" s="1"/>
  <c r="AO422" i="1"/>
  <c r="AZ422" i="1" s="1" a="1"/>
  <c r="AZ422" i="1" s="1"/>
  <c r="AN422" i="1"/>
  <c r="AY422" i="1" s="1" a="1"/>
  <c r="AY422" i="1" s="1"/>
  <c r="AM422" i="1"/>
  <c r="AX422" i="1" s="1" a="1"/>
  <c r="AX422" i="1" s="1"/>
  <c r="AI422" i="1"/>
  <c r="AQ421" i="1"/>
  <c r="BB421" i="1" s="1" a="1"/>
  <c r="BB421" i="1" s="1"/>
  <c r="AO421" i="1"/>
  <c r="AZ421" i="1" s="1" a="1"/>
  <c r="AZ421" i="1" s="1"/>
  <c r="AN421" i="1"/>
  <c r="AY421" i="1" s="1" a="1"/>
  <c r="AY421" i="1" s="1"/>
  <c r="AM421" i="1"/>
  <c r="AX421" i="1" s="1" a="1"/>
  <c r="AX421" i="1" s="1"/>
  <c r="AQ420" i="1"/>
  <c r="BB420" i="1" s="1" a="1"/>
  <c r="BB420" i="1" s="1"/>
  <c r="AO420" i="1"/>
  <c r="AZ420" i="1" s="1" a="1"/>
  <c r="AZ420" i="1" s="1"/>
  <c r="AN420" i="1"/>
  <c r="AY420" i="1" s="1" a="1"/>
  <c r="AY420" i="1" s="1"/>
  <c r="AM420" i="1"/>
  <c r="AX420" i="1" s="1" a="1"/>
  <c r="AX420" i="1" s="1"/>
  <c r="AJ420" i="1"/>
  <c r="AI420" i="1"/>
  <c r="AQ419" i="1"/>
  <c r="BB419" i="1" s="1" a="1"/>
  <c r="BB419" i="1" s="1"/>
  <c r="AO419" i="1"/>
  <c r="AZ419" i="1" s="1" a="1"/>
  <c r="AZ419" i="1" s="1"/>
  <c r="AN419" i="1"/>
  <c r="AY419" i="1" s="1" a="1"/>
  <c r="AY419" i="1" s="1"/>
  <c r="AM419" i="1"/>
  <c r="AX419" i="1" s="1" a="1"/>
  <c r="AX419" i="1" s="1"/>
  <c r="AJ419" i="1"/>
  <c r="AQ418" i="1"/>
  <c r="BB418" i="1" s="1" a="1"/>
  <c r="BB418" i="1" s="1"/>
  <c r="AO418" i="1"/>
  <c r="AZ418" i="1" s="1" a="1"/>
  <c r="AZ418" i="1" s="1"/>
  <c r="AN418" i="1"/>
  <c r="AY418" i="1" s="1" a="1"/>
  <c r="AY418" i="1" s="1"/>
  <c r="AM418" i="1"/>
  <c r="AX418" i="1" s="1" a="1"/>
  <c r="AX418" i="1" s="1"/>
  <c r="AJ418" i="1"/>
  <c r="AQ417" i="1"/>
  <c r="BB417" i="1" s="1" a="1"/>
  <c r="BB417" i="1" s="1"/>
  <c r="AO417" i="1"/>
  <c r="AZ417" i="1" s="1" a="1"/>
  <c r="AZ417" i="1" s="1"/>
  <c r="AN417" i="1"/>
  <c r="AY417" i="1" s="1" a="1"/>
  <c r="AY417" i="1" s="1"/>
  <c r="AM417" i="1"/>
  <c r="AX417" i="1" s="1" a="1"/>
  <c r="AX417" i="1" s="1"/>
  <c r="AQ416" i="1"/>
  <c r="BB416" i="1" s="1" a="1"/>
  <c r="BB416" i="1" s="1"/>
  <c r="AO416" i="1"/>
  <c r="AZ416" i="1" s="1" a="1"/>
  <c r="AZ416" i="1" s="1"/>
  <c r="AN416" i="1"/>
  <c r="AY416" i="1" s="1" a="1"/>
  <c r="AY416" i="1" s="1"/>
  <c r="AM416" i="1"/>
  <c r="AX416" i="1" s="1" a="1"/>
  <c r="AX416" i="1" s="1"/>
  <c r="AQ415" i="1"/>
  <c r="BB415" i="1" s="1" a="1"/>
  <c r="BB415" i="1" s="1"/>
  <c r="AO415" i="1"/>
  <c r="AZ415" i="1" s="1" a="1"/>
  <c r="AZ415" i="1" s="1"/>
  <c r="AN415" i="1"/>
  <c r="AY415" i="1" s="1" a="1"/>
  <c r="AY415" i="1" s="1"/>
  <c r="AM415" i="1"/>
  <c r="AX415" i="1" s="1" a="1"/>
  <c r="AX415" i="1" s="1"/>
  <c r="AQ414" i="1"/>
  <c r="BB414" i="1" s="1" a="1"/>
  <c r="BB414" i="1" s="1"/>
  <c r="AO414" i="1"/>
  <c r="AZ414" i="1" s="1" a="1"/>
  <c r="AZ414" i="1" s="1"/>
  <c r="AN414" i="1"/>
  <c r="AY414" i="1" s="1" a="1"/>
  <c r="AY414" i="1" s="1"/>
  <c r="AM414" i="1"/>
  <c r="AX414" i="1" s="1" a="1"/>
  <c r="AX414" i="1" s="1"/>
  <c r="AQ405" i="1"/>
  <c r="BB405" i="1" s="1" a="1"/>
  <c r="BB405" i="1" s="1"/>
  <c r="AO405" i="1"/>
  <c r="AZ405" i="1" s="1" a="1"/>
  <c r="AZ405" i="1" s="1"/>
  <c r="AN405" i="1"/>
  <c r="AY405" i="1" s="1" a="1"/>
  <c r="AY405" i="1" s="1"/>
  <c r="AM405" i="1"/>
  <c r="AX405" i="1" s="1" a="1"/>
  <c r="AX405" i="1" s="1"/>
  <c r="AQ404" i="1"/>
  <c r="BB404" i="1" s="1" a="1"/>
  <c r="BB404" i="1" s="1"/>
  <c r="AO404" i="1"/>
  <c r="AZ404" i="1" s="1" a="1"/>
  <c r="AZ404" i="1" s="1"/>
  <c r="AN404" i="1"/>
  <c r="AY404" i="1" s="1" a="1"/>
  <c r="AY404" i="1" s="1"/>
  <c r="AM404" i="1"/>
  <c r="AX404" i="1" s="1" a="1"/>
  <c r="AX404" i="1" s="1"/>
  <c r="AJ404" i="1"/>
  <c r="AQ403" i="1"/>
  <c r="BB403" i="1" s="1" a="1"/>
  <c r="BB403" i="1" s="1"/>
  <c r="AO403" i="1"/>
  <c r="AZ403" i="1" s="1" a="1"/>
  <c r="AZ403" i="1" s="1"/>
  <c r="AN403" i="1"/>
  <c r="AY403" i="1" s="1" a="1"/>
  <c r="AY403" i="1" s="1"/>
  <c r="AM403" i="1"/>
  <c r="AX403" i="1" s="1" a="1"/>
  <c r="AX403" i="1" s="1"/>
  <c r="AQ402" i="1"/>
  <c r="BB402" i="1" s="1" a="1"/>
  <c r="BB402" i="1" s="1"/>
  <c r="AO402" i="1"/>
  <c r="AZ402" i="1" s="1" a="1"/>
  <c r="AZ402" i="1" s="1"/>
  <c r="AN402" i="1"/>
  <c r="AY402" i="1" s="1" a="1"/>
  <c r="AY402" i="1" s="1"/>
  <c r="AQ401" i="1"/>
  <c r="BB401" i="1" s="1" a="1"/>
  <c r="BB401" i="1" s="1"/>
  <c r="AO401" i="1"/>
  <c r="AZ401" i="1" s="1" a="1"/>
  <c r="AZ401" i="1" s="1"/>
  <c r="AN401" i="1"/>
  <c r="AY401" i="1" s="1" a="1"/>
  <c r="AY401" i="1" s="1"/>
  <c r="AM401" i="1"/>
  <c r="AX401" i="1" s="1" a="1"/>
  <c r="AX401" i="1" s="1"/>
  <c r="AQ400" i="1"/>
  <c r="BB400" i="1" s="1" a="1"/>
  <c r="BB400" i="1" s="1"/>
  <c r="AO400" i="1"/>
  <c r="AZ400" i="1" s="1" a="1"/>
  <c r="AZ400" i="1" s="1"/>
  <c r="AN400" i="1"/>
  <c r="AY400" i="1" s="1" a="1"/>
  <c r="AY400" i="1" s="1"/>
  <c r="AM400" i="1"/>
  <c r="AX400" i="1" s="1" a="1"/>
  <c r="AX400" i="1" s="1"/>
  <c r="AQ399" i="1"/>
  <c r="BB399" i="1" s="1" a="1"/>
  <c r="BB399" i="1" s="1"/>
  <c r="AO399" i="1"/>
  <c r="AZ399" i="1" s="1" a="1"/>
  <c r="AZ399" i="1" s="1"/>
  <c r="AN399" i="1"/>
  <c r="AY399" i="1" s="1" a="1"/>
  <c r="AY399" i="1" s="1"/>
  <c r="AQ398" i="1"/>
  <c r="BB398" i="1" s="1" a="1"/>
  <c r="BB398" i="1" s="1"/>
  <c r="AO398" i="1"/>
  <c r="AZ398" i="1" s="1" a="1"/>
  <c r="AZ398" i="1" s="1"/>
  <c r="AN398" i="1"/>
  <c r="AY398" i="1" s="1" a="1"/>
  <c r="AY398" i="1" s="1"/>
  <c r="AQ397" i="1"/>
  <c r="BB397" i="1" s="1" a="1"/>
  <c r="BB397" i="1" s="1"/>
  <c r="AO397" i="1"/>
  <c r="AZ397" i="1" s="1" a="1"/>
  <c r="AZ397" i="1" s="1"/>
  <c r="AN397" i="1"/>
  <c r="AY397" i="1" s="1" a="1"/>
  <c r="AY397" i="1" s="1"/>
  <c r="AQ396" i="1"/>
  <c r="BB396" i="1" s="1" a="1"/>
  <c r="BB396" i="1" s="1"/>
  <c r="AO396" i="1"/>
  <c r="AZ396" i="1" s="1" a="1"/>
  <c r="AZ396" i="1" s="1"/>
  <c r="AN396" i="1"/>
  <c r="AY396" i="1" s="1" a="1"/>
  <c r="AY396" i="1" s="1"/>
  <c r="AM396" i="1"/>
  <c r="AX396" i="1" s="1" a="1"/>
  <c r="AX396" i="1" s="1"/>
  <c r="AQ395" i="1"/>
  <c r="BB395" i="1" s="1" a="1"/>
  <c r="BB395" i="1" s="1"/>
  <c r="AO395" i="1"/>
  <c r="AZ395" i="1" s="1" a="1"/>
  <c r="AZ395" i="1" s="1"/>
  <c r="AN395" i="1"/>
  <c r="AY395" i="1" s="1" a="1"/>
  <c r="AY395" i="1" s="1"/>
  <c r="AM395" i="1"/>
  <c r="AX395" i="1" s="1" a="1"/>
  <c r="AX395" i="1" s="1"/>
  <c r="AQ394" i="1"/>
  <c r="BB394" i="1" s="1" a="1"/>
  <c r="BB394" i="1" s="1"/>
  <c r="AO394" i="1"/>
  <c r="AZ394" i="1" s="1" a="1"/>
  <c r="AZ394" i="1" s="1"/>
  <c r="AN394" i="1"/>
  <c r="AY394" i="1" s="1" a="1"/>
  <c r="AY394" i="1" s="1"/>
  <c r="AQ393" i="1"/>
  <c r="BB393" i="1" s="1" a="1"/>
  <c r="BB393" i="1" s="1"/>
  <c r="AO393" i="1"/>
  <c r="AZ393" i="1" s="1" a="1"/>
  <c r="AZ393" i="1" s="1"/>
  <c r="AN393" i="1"/>
  <c r="AY393" i="1" s="1" a="1"/>
  <c r="AY393" i="1" s="1"/>
  <c r="AQ392" i="1"/>
  <c r="BB392" i="1" s="1" a="1"/>
  <c r="BB392" i="1" s="1"/>
  <c r="AO392" i="1"/>
  <c r="AZ392" i="1" s="1" a="1"/>
  <c r="AZ392" i="1" s="1"/>
  <c r="AN392" i="1"/>
  <c r="AY392" i="1" s="1" a="1"/>
  <c r="AY392" i="1" s="1"/>
  <c r="AQ391" i="1"/>
  <c r="BB391" i="1" s="1" a="1"/>
  <c r="BB391" i="1" s="1"/>
  <c r="AO391" i="1"/>
  <c r="AZ391" i="1" s="1" a="1"/>
  <c r="AZ391" i="1" s="1"/>
  <c r="AN391" i="1"/>
  <c r="AY391" i="1" s="1" a="1"/>
  <c r="AY391" i="1" s="1"/>
  <c r="AM391" i="1"/>
  <c r="AX391" i="1" s="1" a="1"/>
  <c r="AX391" i="1" s="1"/>
  <c r="AQ390" i="1"/>
  <c r="BB390" i="1" s="1" a="1"/>
  <c r="BB390" i="1" s="1"/>
  <c r="AO390" i="1"/>
  <c r="AZ390" i="1" s="1" a="1"/>
  <c r="AZ390" i="1" s="1"/>
  <c r="AN390" i="1"/>
  <c r="AY390" i="1" s="1" a="1"/>
  <c r="AY390" i="1" s="1"/>
  <c r="AM390" i="1"/>
  <c r="AX390" i="1" s="1" a="1"/>
  <c r="AX390" i="1" s="1"/>
  <c r="AQ389" i="1"/>
  <c r="BB389" i="1" s="1" a="1"/>
  <c r="BB389" i="1" s="1"/>
  <c r="AO389" i="1"/>
  <c r="AZ389" i="1" s="1" a="1"/>
  <c r="AZ389" i="1" s="1"/>
  <c r="AN389" i="1"/>
  <c r="AY389" i="1" s="1" a="1"/>
  <c r="AY389" i="1" s="1"/>
  <c r="AQ388" i="1"/>
  <c r="BB388" i="1" s="1" a="1"/>
  <c r="BB388" i="1" s="1"/>
  <c r="AO388" i="1"/>
  <c r="AZ388" i="1" s="1" a="1"/>
  <c r="AZ388" i="1" s="1"/>
  <c r="AN388" i="1"/>
  <c r="AY388" i="1" s="1" a="1"/>
  <c r="AY388" i="1" s="1"/>
  <c r="AQ387" i="1"/>
  <c r="BB387" i="1" s="1" a="1"/>
  <c r="BB387" i="1" s="1"/>
  <c r="AO387" i="1"/>
  <c r="AZ387" i="1" s="1" a="1"/>
  <c r="AZ387" i="1" s="1"/>
  <c r="AN387" i="1"/>
  <c r="AY387" i="1" s="1" a="1"/>
  <c r="AY387" i="1" s="1"/>
  <c r="AO386" i="1"/>
  <c r="AZ386" i="1" s="1" a="1"/>
  <c r="AZ386" i="1" s="1"/>
  <c r="AN386" i="1"/>
  <c r="AY386" i="1" s="1" a="1"/>
  <c r="AY386" i="1" s="1"/>
  <c r="AM386" i="1"/>
  <c r="AX386" i="1" s="1" a="1"/>
  <c r="AX386" i="1" s="1"/>
  <c r="AH386" i="1"/>
  <c r="AG386" i="1" s="1"/>
  <c r="AQ385" i="1"/>
  <c r="BB385" i="1" s="1" a="1"/>
  <c r="BB385" i="1" s="1"/>
  <c r="AO385" i="1"/>
  <c r="AZ385" i="1" s="1" a="1"/>
  <c r="AZ385" i="1" s="1"/>
  <c r="AN385" i="1"/>
  <c r="AY385" i="1" s="1" a="1"/>
  <c r="AY385" i="1" s="1"/>
  <c r="AM385" i="1"/>
  <c r="AX385" i="1" s="1" a="1"/>
  <c r="AX385" i="1" s="1"/>
  <c r="AQ384" i="1"/>
  <c r="BB384" i="1" s="1" a="1"/>
  <c r="BB384" i="1" s="1"/>
  <c r="AO384" i="1"/>
  <c r="AZ384" i="1" s="1" a="1"/>
  <c r="AZ384" i="1" s="1"/>
  <c r="AN384" i="1"/>
  <c r="AY384" i="1" s="1" a="1"/>
  <c r="AY384" i="1" s="1"/>
  <c r="AM384" i="1"/>
  <c r="AX384" i="1" s="1" a="1"/>
  <c r="AX384" i="1" s="1"/>
  <c r="AJ384" i="1"/>
  <c r="AQ383" i="1"/>
  <c r="BB383" i="1" s="1" a="1"/>
  <c r="BB383" i="1" s="1"/>
  <c r="AO383" i="1"/>
  <c r="AZ383" i="1" s="1" a="1"/>
  <c r="AZ383" i="1" s="1"/>
  <c r="AN383" i="1"/>
  <c r="AY383" i="1" s="1" a="1"/>
  <c r="AY383" i="1" s="1"/>
  <c r="AM383" i="1"/>
  <c r="AX383" i="1" s="1" a="1"/>
  <c r="AX383" i="1" s="1"/>
  <c r="AQ382" i="1"/>
  <c r="BB382" i="1" s="1" a="1"/>
  <c r="BB382" i="1" s="1"/>
  <c r="AO382" i="1"/>
  <c r="AZ382" i="1" s="1" a="1"/>
  <c r="AZ382" i="1" s="1"/>
  <c r="AN382" i="1"/>
  <c r="AY382" i="1" s="1" a="1"/>
  <c r="AY382" i="1" s="1"/>
  <c r="AM382" i="1"/>
  <c r="AX382" i="1" s="1" a="1"/>
  <c r="AX382" i="1" s="1"/>
  <c r="AQ381" i="1"/>
  <c r="BB381" i="1" s="1" a="1"/>
  <c r="BB381" i="1" s="1"/>
  <c r="AO381" i="1"/>
  <c r="AZ381" i="1" s="1" a="1"/>
  <c r="AZ381" i="1" s="1"/>
  <c r="AN381" i="1"/>
  <c r="AY381" i="1" s="1" a="1"/>
  <c r="AY381" i="1" s="1"/>
  <c r="AM381" i="1"/>
  <c r="AX381" i="1" s="1" a="1"/>
  <c r="AX381" i="1" s="1"/>
  <c r="AQ380" i="1"/>
  <c r="BB380" i="1" s="1" a="1"/>
  <c r="BB380" i="1" s="1"/>
  <c r="AO380" i="1"/>
  <c r="AZ380" i="1" s="1" a="1"/>
  <c r="AZ380" i="1" s="1"/>
  <c r="AN380" i="1"/>
  <c r="AY380" i="1" s="1" a="1"/>
  <c r="AY380" i="1" s="1"/>
  <c r="AM380" i="1"/>
  <c r="AX380" i="1" s="1" a="1"/>
  <c r="AX380" i="1" s="1"/>
  <c r="AQ379" i="1"/>
  <c r="BB379" i="1" s="1" a="1"/>
  <c r="BB379" i="1" s="1"/>
  <c r="AO379" i="1"/>
  <c r="AZ379" i="1" s="1" a="1"/>
  <c r="AZ379" i="1" s="1"/>
  <c r="AN379" i="1"/>
  <c r="AY379" i="1" s="1" a="1"/>
  <c r="AY379" i="1" s="1"/>
  <c r="AM379" i="1"/>
  <c r="AX379" i="1" s="1" a="1"/>
  <c r="AX379" i="1" s="1"/>
  <c r="AQ378" i="1"/>
  <c r="BB378" i="1" s="1" a="1"/>
  <c r="BB378" i="1" s="1"/>
  <c r="AO378" i="1"/>
  <c r="AZ378" i="1" s="1" a="1"/>
  <c r="AZ378" i="1" s="1"/>
  <c r="AN378" i="1"/>
  <c r="AY378" i="1" s="1" a="1"/>
  <c r="AY378" i="1" s="1"/>
  <c r="AM378" i="1"/>
  <c r="AX378" i="1" s="1" a="1"/>
  <c r="AX378" i="1" s="1"/>
  <c r="AJ378" i="1"/>
  <c r="AQ377" i="1"/>
  <c r="BB377" i="1" s="1" a="1"/>
  <c r="BB377" i="1" s="1"/>
  <c r="AO377" i="1"/>
  <c r="AZ377" i="1" s="1" a="1"/>
  <c r="AZ377" i="1" s="1"/>
  <c r="AN377" i="1"/>
  <c r="AY377" i="1" s="1" a="1"/>
  <c r="AY377" i="1" s="1"/>
  <c r="AM377" i="1"/>
  <c r="AX377" i="1" s="1" a="1"/>
  <c r="AX377" i="1" s="1"/>
  <c r="AJ377" i="1"/>
  <c r="AQ376" i="1"/>
  <c r="BB376" i="1" s="1" a="1"/>
  <c r="BB376" i="1" s="1"/>
  <c r="AO376" i="1"/>
  <c r="AZ376" i="1" s="1" a="1"/>
  <c r="AZ376" i="1" s="1"/>
  <c r="AN376" i="1"/>
  <c r="AY376" i="1" s="1" a="1"/>
  <c r="AY376" i="1" s="1"/>
  <c r="AM376" i="1"/>
  <c r="AX376" i="1" s="1" a="1"/>
  <c r="AX376" i="1" s="1"/>
  <c r="AI376" i="1"/>
  <c r="AH376" i="1"/>
  <c r="AG376" i="1" s="1"/>
  <c r="AQ375" i="1"/>
  <c r="BB375" i="1" s="1" a="1"/>
  <c r="BB375" i="1" s="1"/>
  <c r="AO375" i="1"/>
  <c r="AZ375" i="1" s="1" a="1"/>
  <c r="AZ375" i="1" s="1"/>
  <c r="AN375" i="1"/>
  <c r="AY375" i="1" s="1" a="1"/>
  <c r="AY375" i="1" s="1"/>
  <c r="AM375" i="1"/>
  <c r="AX375" i="1" s="1" a="1"/>
  <c r="AX375" i="1" s="1"/>
  <c r="AI375" i="1"/>
  <c r="AH375" i="1"/>
  <c r="AG375" i="1" s="1"/>
  <c r="AQ374" i="1"/>
  <c r="BB374" i="1" s="1" a="1"/>
  <c r="BB374" i="1" s="1"/>
  <c r="AO374" i="1"/>
  <c r="AZ374" i="1" s="1" a="1"/>
  <c r="AZ374" i="1" s="1"/>
  <c r="AN374" i="1"/>
  <c r="AY374" i="1" s="1" a="1"/>
  <c r="AY374" i="1" s="1"/>
  <c r="AM374" i="1"/>
  <c r="AX374" i="1" s="1" a="1"/>
  <c r="AX374" i="1" s="1"/>
  <c r="AJ374" i="1"/>
  <c r="AQ373" i="1"/>
  <c r="BB373" i="1" s="1" a="1"/>
  <c r="BB373" i="1" s="1"/>
  <c r="AO373" i="1"/>
  <c r="AZ373" i="1" s="1" a="1"/>
  <c r="AZ373" i="1" s="1"/>
  <c r="AN373" i="1"/>
  <c r="AY373" i="1" s="1" a="1"/>
  <c r="AY373" i="1" s="1"/>
  <c r="AM373" i="1"/>
  <c r="AX373" i="1" s="1" a="1"/>
  <c r="AX373" i="1" s="1"/>
  <c r="AJ373" i="1"/>
  <c r="AQ372" i="1"/>
  <c r="BB372" i="1" s="1" a="1"/>
  <c r="BB372" i="1" s="1"/>
  <c r="AO372" i="1"/>
  <c r="AZ372" i="1" s="1" a="1"/>
  <c r="AZ372" i="1" s="1"/>
  <c r="AN372" i="1"/>
  <c r="AY372" i="1" s="1" a="1"/>
  <c r="AY372" i="1" s="1"/>
  <c r="AM372" i="1"/>
  <c r="AX372" i="1" s="1" a="1"/>
  <c r="AX372" i="1" s="1"/>
  <c r="AQ371" i="1"/>
  <c r="BB371" i="1" s="1" a="1"/>
  <c r="BB371" i="1" s="1"/>
  <c r="AO371" i="1"/>
  <c r="AZ371" i="1" s="1" a="1"/>
  <c r="AZ371" i="1" s="1"/>
  <c r="AN371" i="1"/>
  <c r="AY371" i="1" s="1" a="1"/>
  <c r="AY371" i="1" s="1"/>
  <c r="AM371" i="1"/>
  <c r="AX371" i="1" s="1" a="1"/>
  <c r="AX371" i="1" s="1"/>
  <c r="AI371" i="1"/>
  <c r="AQ370" i="1"/>
  <c r="BB370" i="1" s="1" a="1"/>
  <c r="BB370" i="1" s="1"/>
  <c r="AO370" i="1"/>
  <c r="AZ370" i="1" s="1" a="1"/>
  <c r="AZ370" i="1" s="1"/>
  <c r="AN370" i="1"/>
  <c r="AY370" i="1" s="1" a="1"/>
  <c r="AY370" i="1" s="1"/>
  <c r="AM370" i="1"/>
  <c r="AX370" i="1" s="1" a="1"/>
  <c r="AX370" i="1" s="1"/>
  <c r="AI370" i="1"/>
  <c r="AQ369" i="1"/>
  <c r="BB369" i="1" s="1" a="1"/>
  <c r="BB369" i="1" s="1"/>
  <c r="AO369" i="1"/>
  <c r="AZ369" i="1" s="1" a="1"/>
  <c r="AZ369" i="1" s="1"/>
  <c r="AN369" i="1"/>
  <c r="AY369" i="1" s="1" a="1"/>
  <c r="AY369" i="1" s="1"/>
  <c r="AM369" i="1"/>
  <c r="AX369" i="1" s="1" a="1"/>
  <c r="AX369" i="1" s="1"/>
  <c r="AI369" i="1"/>
  <c r="AQ386" i="1"/>
  <c r="BB386" i="1" s="1" a="1"/>
  <c r="BB386" i="1" s="1"/>
  <c r="AQ431" i="1"/>
  <c r="BB431" i="1" s="1" a="1"/>
  <c r="BB431" i="1" s="1"/>
  <c r="AO177" i="1"/>
  <c r="AZ177" i="1" s="1" a="1"/>
  <c r="AZ177" i="1" s="1"/>
  <c r="AM88" i="1"/>
  <c r="AX88" i="1" s="1" a="1"/>
  <c r="AX88" i="1" s="1"/>
  <c r="AJ120" i="1"/>
  <c r="AJ105" i="1"/>
  <c r="AJ134" i="1"/>
  <c r="AI134" i="1"/>
  <c r="AH120" i="1"/>
  <c r="AG120" i="1" s="1"/>
  <c r="AH109" i="1"/>
  <c r="AG109" i="1" s="1"/>
  <c r="AH134" i="1"/>
  <c r="AG134" i="1" s="1"/>
  <c r="AI119" i="1"/>
  <c r="AI111" i="1"/>
  <c r="AI110" i="1"/>
  <c r="AJ114" i="1"/>
  <c r="AH111" i="1"/>
  <c r="AG111" i="1" s="1"/>
  <c r="AQ135" i="1"/>
  <c r="BB135" i="1" s="1" a="1"/>
  <c r="BB135" i="1" s="1"/>
  <c r="AQ133" i="1"/>
  <c r="BB133" i="1" s="1" a="1"/>
  <c r="BB133" i="1" s="1"/>
  <c r="AQ131" i="1"/>
  <c r="BB131" i="1" s="1" a="1"/>
  <c r="BB131" i="1" s="1"/>
  <c r="AQ129" i="1"/>
  <c r="BB129" i="1" s="1" a="1"/>
  <c r="BB129" i="1" s="1"/>
  <c r="AQ127" i="1"/>
  <c r="BB127" i="1" s="1" a="1"/>
  <c r="BB127" i="1" s="1"/>
  <c r="AQ125" i="1"/>
  <c r="BB125" i="1" s="1" a="1"/>
  <c r="BB125" i="1" s="1"/>
  <c r="AQ123" i="1"/>
  <c r="BB123" i="1" s="1" a="1"/>
  <c r="BB123" i="1" s="1"/>
  <c r="AQ121" i="1"/>
  <c r="BB121" i="1" s="1" a="1"/>
  <c r="BB121" i="1" s="1"/>
  <c r="AQ119" i="1"/>
  <c r="BB119" i="1" s="1" a="1"/>
  <c r="BB119" i="1" s="1"/>
  <c r="AQ117" i="1"/>
  <c r="BB117" i="1" s="1" a="1"/>
  <c r="BB117" i="1" s="1"/>
  <c r="AQ115" i="1"/>
  <c r="BB115" i="1" s="1" a="1"/>
  <c r="BB115" i="1" s="1"/>
  <c r="AQ113" i="1"/>
  <c r="BB113" i="1" s="1" a="1"/>
  <c r="BB113" i="1" s="1"/>
  <c r="AQ111" i="1"/>
  <c r="BB111" i="1" s="1" a="1"/>
  <c r="BB111" i="1" s="1"/>
  <c r="AQ109" i="1"/>
  <c r="BB109" i="1" s="1" a="1"/>
  <c r="BB109" i="1" s="1"/>
  <c r="AQ107" i="1"/>
  <c r="BB107" i="1" s="1" a="1"/>
  <c r="BB107" i="1" s="1"/>
  <c r="AQ105" i="1"/>
  <c r="BB105" i="1" s="1" a="1"/>
  <c r="BB105" i="1" s="1"/>
  <c r="AQ103" i="1"/>
  <c r="BB103" i="1" s="1" a="1"/>
  <c r="BB103" i="1" s="1"/>
  <c r="AQ101" i="1"/>
  <c r="BB101" i="1" s="1" a="1"/>
  <c r="BB101" i="1" s="1"/>
  <c r="AQ99" i="1"/>
  <c r="BB99" i="1" s="1" a="1"/>
  <c r="BB99" i="1" s="1"/>
  <c r="AO135" i="1"/>
  <c r="AZ135" i="1" s="1" a="1"/>
  <c r="AZ135" i="1" s="1"/>
  <c r="AO133" i="1"/>
  <c r="AZ133" i="1" s="1" a="1"/>
  <c r="AZ133" i="1" s="1"/>
  <c r="AO131" i="1"/>
  <c r="AZ131" i="1" s="1" a="1"/>
  <c r="AZ131" i="1" s="1"/>
  <c r="AO129" i="1"/>
  <c r="AZ129" i="1" s="1" a="1"/>
  <c r="AZ129" i="1" s="1"/>
  <c r="AO127" i="1"/>
  <c r="AZ127" i="1" s="1" a="1"/>
  <c r="AZ127" i="1" s="1"/>
  <c r="AO125" i="1"/>
  <c r="AZ125" i="1" s="1" a="1"/>
  <c r="AZ125" i="1" s="1"/>
  <c r="AO123" i="1"/>
  <c r="AZ123" i="1" s="1" a="1"/>
  <c r="AZ123" i="1" s="1"/>
  <c r="AO121" i="1"/>
  <c r="AZ121" i="1" s="1" a="1"/>
  <c r="AZ121" i="1" s="1"/>
  <c r="AO119" i="1"/>
  <c r="AZ119" i="1" s="1" a="1"/>
  <c r="AZ119" i="1" s="1"/>
  <c r="AO117" i="1"/>
  <c r="AZ117" i="1" s="1" a="1"/>
  <c r="AZ117" i="1" s="1"/>
  <c r="AO115" i="1"/>
  <c r="AZ115" i="1" s="1" a="1"/>
  <c r="AZ115" i="1" s="1"/>
  <c r="AO113" i="1"/>
  <c r="AZ113" i="1" s="1" a="1"/>
  <c r="AZ113" i="1" s="1"/>
  <c r="AO111" i="1"/>
  <c r="AZ111" i="1" s="1" a="1"/>
  <c r="AZ111" i="1" s="1"/>
  <c r="AO109" i="1"/>
  <c r="AZ109" i="1" s="1" a="1"/>
  <c r="AZ109" i="1" s="1"/>
  <c r="AO107" i="1"/>
  <c r="AZ107" i="1" s="1" a="1"/>
  <c r="AZ107" i="1" s="1"/>
  <c r="AO105" i="1"/>
  <c r="AZ105" i="1" s="1" a="1"/>
  <c r="AZ105" i="1" s="1"/>
  <c r="AO103" i="1"/>
  <c r="AZ103" i="1" s="1" a="1"/>
  <c r="AZ103" i="1" s="1"/>
  <c r="AO101" i="1"/>
  <c r="AZ101" i="1" s="1" a="1"/>
  <c r="AZ101" i="1" s="1"/>
  <c r="AO99" i="1"/>
  <c r="AZ99" i="1" s="1" a="1"/>
  <c r="AZ99" i="1" s="1"/>
  <c r="AN135" i="1"/>
  <c r="AY135" i="1" s="1" a="1"/>
  <c r="AY135" i="1" s="1"/>
  <c r="AN133" i="1"/>
  <c r="AY133" i="1" s="1" a="1"/>
  <c r="AY133" i="1" s="1"/>
  <c r="AN131" i="1"/>
  <c r="AY131" i="1" s="1" a="1"/>
  <c r="AY131" i="1" s="1"/>
  <c r="AN129" i="1"/>
  <c r="AY129" i="1" s="1" a="1"/>
  <c r="AY129" i="1" s="1"/>
  <c r="AN127" i="1"/>
  <c r="AY127" i="1" s="1" a="1"/>
  <c r="AY127" i="1" s="1"/>
  <c r="AN125" i="1"/>
  <c r="AY125" i="1" s="1" a="1"/>
  <c r="AY125" i="1" s="1"/>
  <c r="AN123" i="1"/>
  <c r="AY123" i="1" s="1" a="1"/>
  <c r="AY123" i="1" s="1"/>
  <c r="AN121" i="1"/>
  <c r="AY121" i="1" s="1" a="1"/>
  <c r="AY121" i="1" s="1"/>
  <c r="AN119" i="1"/>
  <c r="AY119" i="1" s="1" a="1"/>
  <c r="AY119" i="1" s="1"/>
  <c r="AN117" i="1"/>
  <c r="AY117" i="1" s="1" a="1"/>
  <c r="AY117" i="1" s="1"/>
  <c r="AN115" i="1"/>
  <c r="AY115" i="1" s="1" a="1"/>
  <c r="AY115" i="1" s="1"/>
  <c r="AN113" i="1"/>
  <c r="AY113" i="1" s="1" a="1"/>
  <c r="AY113" i="1" s="1"/>
  <c r="AN111" i="1"/>
  <c r="AY111" i="1" s="1" a="1"/>
  <c r="AY111" i="1" s="1"/>
  <c r="AN109" i="1"/>
  <c r="AY109" i="1" s="1" a="1"/>
  <c r="AY109" i="1" s="1"/>
  <c r="AN107" i="1"/>
  <c r="AY107" i="1" s="1" a="1"/>
  <c r="AY107" i="1" s="1"/>
  <c r="AN105" i="1"/>
  <c r="AY105" i="1" s="1" a="1"/>
  <c r="AY105" i="1" s="1"/>
  <c r="AN103" i="1"/>
  <c r="AY103" i="1" s="1" a="1"/>
  <c r="AY103" i="1" s="1"/>
  <c r="AN101" i="1"/>
  <c r="AY101" i="1" s="1" a="1"/>
  <c r="AY101" i="1" s="1"/>
  <c r="AN99" i="1"/>
  <c r="AY99" i="1" s="1" a="1"/>
  <c r="AY99" i="1" s="1"/>
  <c r="AM135" i="1"/>
  <c r="AX135" i="1" s="1" a="1"/>
  <c r="AX135" i="1" s="1"/>
  <c r="AM133" i="1"/>
  <c r="AX133" i="1" s="1" a="1"/>
  <c r="AX133" i="1" s="1"/>
  <c r="AM131" i="1"/>
  <c r="AX131" i="1" s="1" a="1"/>
  <c r="AX131" i="1" s="1"/>
  <c r="AM125" i="1"/>
  <c r="AX125" i="1" s="1" a="1"/>
  <c r="AX125" i="1" s="1"/>
  <c r="AM121" i="1"/>
  <c r="AX121" i="1" s="1" a="1"/>
  <c r="AX121" i="1" s="1"/>
  <c r="AM115" i="1"/>
  <c r="AX115" i="1" s="1" a="1"/>
  <c r="AX115" i="1" s="1"/>
  <c r="AM113" i="1"/>
  <c r="AX113" i="1" s="1" a="1"/>
  <c r="AX113" i="1" s="1"/>
  <c r="AM111" i="1"/>
  <c r="AX111" i="1" s="1" a="1"/>
  <c r="AX111" i="1" s="1"/>
  <c r="AM109" i="1"/>
  <c r="AX109" i="1" s="1" a="1"/>
  <c r="AX109" i="1" s="1"/>
  <c r="AM107" i="1"/>
  <c r="AX107" i="1" s="1" a="1"/>
  <c r="AX107" i="1" s="1"/>
  <c r="AM105" i="1"/>
  <c r="AX105" i="1" s="1" a="1"/>
  <c r="AX105" i="1" s="1"/>
  <c r="AM103" i="1"/>
  <c r="AX103" i="1" s="1" a="1"/>
  <c r="AX103" i="1" s="1"/>
  <c r="AM101" i="1"/>
  <c r="AX101" i="1" s="1" a="1"/>
  <c r="AX101" i="1" s="1"/>
  <c r="AM99" i="1"/>
  <c r="AX99" i="1" s="1" a="1"/>
  <c r="AX99" i="1" s="1"/>
  <c r="AN112" i="1"/>
  <c r="AY112" i="1" s="1" a="1"/>
  <c r="AY112" i="1" s="1"/>
  <c r="AN102" i="1"/>
  <c r="AY102" i="1" s="1" a="1"/>
  <c r="AY102" i="1" s="1"/>
  <c r="AM106" i="1"/>
  <c r="AX106" i="1" s="1" a="1"/>
  <c r="AX106" i="1" s="1"/>
  <c r="AQ134" i="1"/>
  <c r="BB134" i="1" s="1" a="1"/>
  <c r="BB134" i="1" s="1"/>
  <c r="AQ132" i="1"/>
  <c r="BB132" i="1" s="1" a="1"/>
  <c r="BB132" i="1" s="1"/>
  <c r="AQ130" i="1"/>
  <c r="BB130" i="1" s="1" a="1"/>
  <c r="BB130" i="1" s="1"/>
  <c r="AQ128" i="1"/>
  <c r="BB128" i="1" s="1" a="1"/>
  <c r="BB128" i="1" s="1"/>
  <c r="AQ126" i="1"/>
  <c r="BB126" i="1" s="1" a="1"/>
  <c r="BB126" i="1" s="1"/>
  <c r="AQ124" i="1"/>
  <c r="BB124" i="1" s="1" a="1"/>
  <c r="BB124" i="1" s="1"/>
  <c r="AQ122" i="1"/>
  <c r="BB122" i="1" s="1" a="1"/>
  <c r="BB122" i="1" s="1"/>
  <c r="AQ120" i="1"/>
  <c r="BB120" i="1" s="1" a="1"/>
  <c r="BB120" i="1" s="1"/>
  <c r="AQ118" i="1"/>
  <c r="BB118" i="1" s="1" a="1"/>
  <c r="BB118" i="1" s="1"/>
  <c r="AQ116" i="1"/>
  <c r="BB116" i="1" s="1" a="1"/>
  <c r="BB116" i="1" s="1"/>
  <c r="AQ114" i="1"/>
  <c r="BB114" i="1" s="1" a="1"/>
  <c r="BB114" i="1" s="1"/>
  <c r="AQ112" i="1"/>
  <c r="BB112" i="1" s="1" a="1"/>
  <c r="BB112" i="1" s="1"/>
  <c r="AQ110" i="1"/>
  <c r="BB110" i="1" s="1" a="1"/>
  <c r="BB110" i="1" s="1"/>
  <c r="AQ108" i="1"/>
  <c r="BB108" i="1" s="1" a="1"/>
  <c r="BB108" i="1" s="1"/>
  <c r="AQ106" i="1"/>
  <c r="BB106" i="1" s="1" a="1"/>
  <c r="BB106" i="1" s="1"/>
  <c r="AQ104" i="1"/>
  <c r="BB104" i="1" s="1" a="1"/>
  <c r="BB104" i="1" s="1"/>
  <c r="AQ102" i="1"/>
  <c r="BB102" i="1" s="1" a="1"/>
  <c r="BB102" i="1" s="1"/>
  <c r="AQ100" i="1"/>
  <c r="BB100" i="1" s="1" a="1"/>
  <c r="BB100" i="1" s="1"/>
  <c r="AN110" i="1"/>
  <c r="AY110" i="1" s="1" a="1"/>
  <c r="AY110" i="1" s="1"/>
  <c r="AN106" i="1"/>
  <c r="AY106" i="1" s="1" a="1"/>
  <c r="AY106" i="1" s="1"/>
  <c r="AN104" i="1"/>
  <c r="AY104" i="1" s="1" a="1"/>
  <c r="AY104" i="1" s="1"/>
  <c r="AN100" i="1"/>
  <c r="AY100" i="1" s="1" a="1"/>
  <c r="AY100" i="1" s="1"/>
  <c r="AM120" i="1"/>
  <c r="AX120" i="1" s="1" a="1"/>
  <c r="AX120" i="1" s="1"/>
  <c r="AM116" i="1"/>
  <c r="AX116" i="1" s="1" a="1"/>
  <c r="AX116" i="1" s="1"/>
  <c r="AM114" i="1"/>
  <c r="AX114" i="1" s="1" a="1"/>
  <c r="AX114" i="1" s="1"/>
  <c r="AM110" i="1"/>
  <c r="AX110" i="1" s="1" a="1"/>
  <c r="AX110" i="1" s="1"/>
  <c r="AM108" i="1"/>
  <c r="AX108" i="1" s="1" a="1"/>
  <c r="AX108" i="1" s="1"/>
  <c r="AM102" i="1"/>
  <c r="AX102" i="1" s="1" a="1"/>
  <c r="AX102" i="1" s="1"/>
  <c r="AM100" i="1"/>
  <c r="AX100" i="1" s="1" a="1"/>
  <c r="AX100" i="1" s="1"/>
  <c r="AO134" i="1"/>
  <c r="AZ134" i="1" s="1" a="1"/>
  <c r="AZ134" i="1" s="1"/>
  <c r="AO132" i="1"/>
  <c r="AZ132" i="1" s="1" a="1"/>
  <c r="AZ132" i="1" s="1"/>
  <c r="AO130" i="1"/>
  <c r="AZ130" i="1" s="1" a="1"/>
  <c r="AZ130" i="1" s="1"/>
  <c r="AO128" i="1"/>
  <c r="AZ128" i="1" s="1" a="1"/>
  <c r="AZ128" i="1" s="1"/>
  <c r="AO126" i="1"/>
  <c r="AZ126" i="1" s="1" a="1"/>
  <c r="AZ126" i="1" s="1"/>
  <c r="AO124" i="1"/>
  <c r="AZ124" i="1" s="1" a="1"/>
  <c r="AZ124" i="1" s="1"/>
  <c r="AO122" i="1"/>
  <c r="AZ122" i="1" s="1" a="1"/>
  <c r="AZ122" i="1" s="1"/>
  <c r="AO120" i="1"/>
  <c r="AZ120" i="1" s="1" a="1"/>
  <c r="AZ120" i="1" s="1"/>
  <c r="AO118" i="1"/>
  <c r="AZ118" i="1" s="1" a="1"/>
  <c r="AZ118" i="1" s="1"/>
  <c r="AO116" i="1"/>
  <c r="AZ116" i="1" s="1" a="1"/>
  <c r="AZ116" i="1" s="1"/>
  <c r="AO114" i="1"/>
  <c r="AZ114" i="1" s="1" a="1"/>
  <c r="AZ114" i="1" s="1"/>
  <c r="AO112" i="1"/>
  <c r="AZ112" i="1" s="1" a="1"/>
  <c r="AZ112" i="1" s="1"/>
  <c r="AO110" i="1"/>
  <c r="AZ110" i="1" s="1" a="1"/>
  <c r="AZ110" i="1" s="1"/>
  <c r="AO108" i="1"/>
  <c r="AZ108" i="1" s="1" a="1"/>
  <c r="AZ108" i="1" s="1"/>
  <c r="AO106" i="1"/>
  <c r="AZ106" i="1" s="1" a="1"/>
  <c r="AZ106" i="1" s="1"/>
  <c r="AO104" i="1"/>
  <c r="AZ104" i="1" s="1" a="1"/>
  <c r="AZ104" i="1" s="1"/>
  <c r="AO102" i="1"/>
  <c r="AZ102" i="1" s="1" a="1"/>
  <c r="AZ102" i="1" s="1"/>
  <c r="AO100" i="1"/>
  <c r="AZ100" i="1" s="1" a="1"/>
  <c r="AZ100" i="1" s="1"/>
  <c r="AM104" i="1"/>
  <c r="AX104" i="1" s="1" a="1"/>
  <c r="AX104" i="1" s="1"/>
  <c r="AN134" i="1"/>
  <c r="AY134" i="1" s="1" a="1"/>
  <c r="AY134" i="1" s="1"/>
  <c r="AN132" i="1"/>
  <c r="AY132" i="1" s="1" a="1"/>
  <c r="AY132" i="1" s="1"/>
  <c r="AN130" i="1"/>
  <c r="AY130" i="1" s="1" a="1"/>
  <c r="AY130" i="1" s="1"/>
  <c r="AN128" i="1"/>
  <c r="AY128" i="1" s="1" a="1"/>
  <c r="AY128" i="1" s="1"/>
  <c r="AN126" i="1"/>
  <c r="AY126" i="1" s="1" a="1"/>
  <c r="AY126" i="1" s="1"/>
  <c r="AN124" i="1"/>
  <c r="AY124" i="1" s="1" a="1"/>
  <c r="AY124" i="1" s="1"/>
  <c r="AN122" i="1"/>
  <c r="AY122" i="1" s="1" a="1"/>
  <c r="AY122" i="1" s="1"/>
  <c r="AN120" i="1"/>
  <c r="AY120" i="1" s="1" a="1"/>
  <c r="AY120" i="1" s="1"/>
  <c r="AN118" i="1"/>
  <c r="AY118" i="1" s="1" a="1"/>
  <c r="AY118" i="1" s="1"/>
  <c r="AN116" i="1"/>
  <c r="AY116" i="1" s="1" a="1"/>
  <c r="AY116" i="1" s="1"/>
  <c r="AN114" i="1"/>
  <c r="AY114" i="1" s="1" a="1"/>
  <c r="AY114" i="1" s="1"/>
  <c r="AN108" i="1"/>
  <c r="AY108" i="1" s="1" a="1"/>
  <c r="AY108" i="1" s="1"/>
  <c r="AM134" i="1"/>
  <c r="AX134" i="1" s="1" a="1"/>
  <c r="AX134" i="1" s="1"/>
  <c r="AM130" i="1"/>
  <c r="AX130" i="1" s="1" a="1"/>
  <c r="AX130" i="1" s="1"/>
  <c r="AM126" i="1"/>
  <c r="AX126" i="1" s="1" a="1"/>
  <c r="AX126" i="1" s="1"/>
  <c r="AM112" i="1"/>
  <c r="AX112" i="1" s="1" a="1"/>
  <c r="AX112" i="1" s="1"/>
  <c r="AJ198" i="1"/>
  <c r="C22" i="4" s="1"/>
  <c r="AG265" i="1"/>
  <c r="X279" i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BI277" i="1"/>
  <c r="X234" i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BI232" i="1"/>
  <c r="X189" i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BI187" i="1"/>
  <c r="X144" i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BI142" i="1"/>
  <c r="AN160" i="1"/>
  <c r="AY160" i="1" s="1" a="1"/>
  <c r="AY160" i="1" s="1"/>
  <c r="AM147" i="1"/>
  <c r="AX147" i="1" s="1" a="1"/>
  <c r="AX147" i="1" s="1"/>
  <c r="AQ144" i="1"/>
  <c r="BB144" i="1" s="1" a="1"/>
  <c r="BB144" i="1" s="1"/>
  <c r="AM146" i="1"/>
  <c r="AX146" i="1" s="1" a="1"/>
  <c r="AX146" i="1" s="1"/>
  <c r="AN147" i="1"/>
  <c r="AY147" i="1" s="1" a="1"/>
  <c r="AY147" i="1" s="1"/>
  <c r="AM145" i="1"/>
  <c r="AX145" i="1" s="1" a="1"/>
  <c r="AX145" i="1" s="1"/>
  <c r="AN146" i="1"/>
  <c r="AY146" i="1" s="1" a="1"/>
  <c r="AY146" i="1" s="1"/>
  <c r="AO147" i="1"/>
  <c r="AZ147" i="1" s="1" a="1"/>
  <c r="AZ147" i="1" s="1"/>
  <c r="AO144" i="1"/>
  <c r="AZ144" i="1" s="1" a="1"/>
  <c r="AZ144" i="1" s="1"/>
  <c r="AN145" i="1"/>
  <c r="AY145" i="1" s="1" a="1"/>
  <c r="AY145" i="1" s="1"/>
  <c r="AO146" i="1"/>
  <c r="AZ146" i="1" s="1" a="1"/>
  <c r="AZ146" i="1" s="1"/>
  <c r="AQ147" i="1"/>
  <c r="BB147" i="1" s="1" a="1"/>
  <c r="BB147" i="1" s="1"/>
  <c r="AM144" i="1"/>
  <c r="AX144" i="1" s="1" a="1"/>
  <c r="AX144" i="1" s="1"/>
  <c r="AO145" i="1"/>
  <c r="AZ145" i="1" s="1" a="1"/>
  <c r="AZ145" i="1" s="1"/>
  <c r="AQ146" i="1"/>
  <c r="BB146" i="1" s="1" a="1"/>
  <c r="BB146" i="1" s="1"/>
  <c r="AN144" i="1"/>
  <c r="AY144" i="1" s="1" a="1"/>
  <c r="AY144" i="1" s="1"/>
  <c r="AQ145" i="1"/>
  <c r="BB145" i="1" s="1" a="1"/>
  <c r="BB145" i="1" s="1"/>
  <c r="AQ220" i="1"/>
  <c r="BB220" i="1" s="1" a="1"/>
  <c r="BB220" i="1" s="1"/>
  <c r="AQ246" i="1"/>
  <c r="BB246" i="1" s="1" a="1"/>
  <c r="BB246" i="1" s="1"/>
  <c r="AQ239" i="1"/>
  <c r="BB239" i="1" s="1" a="1"/>
  <c r="BB239" i="1" s="1"/>
  <c r="AQ171" i="1"/>
  <c r="BB171" i="1" s="1" a="1"/>
  <c r="BB171" i="1" s="1"/>
  <c r="AQ340" i="1"/>
  <c r="BB340" i="1" s="1" a="1"/>
  <c r="BB340" i="1" s="1"/>
  <c r="AQ201" i="1"/>
  <c r="BB201" i="1" s="1" a="1"/>
  <c r="BB201" i="1" s="1"/>
  <c r="AQ70" i="1"/>
  <c r="BB70" i="1" s="1" a="1"/>
  <c r="BB70" i="1" s="1"/>
  <c r="AQ166" i="1"/>
  <c r="BB166" i="1" s="1" a="1"/>
  <c r="BB166" i="1" s="1"/>
  <c r="AQ76" i="1"/>
  <c r="BB76" i="1" s="1" a="1"/>
  <c r="BB76" i="1" s="1"/>
  <c r="AQ295" i="1"/>
  <c r="BB295" i="1" s="1" a="1"/>
  <c r="BB295" i="1" s="1"/>
  <c r="AQ156" i="1"/>
  <c r="BB156" i="1" s="1" a="1"/>
  <c r="BB156" i="1" s="1"/>
  <c r="AQ250" i="1"/>
  <c r="BB250" i="1" s="1" a="1"/>
  <c r="BB250" i="1" s="1"/>
  <c r="AQ66" i="1"/>
  <c r="BB66" i="1" s="1" a="1"/>
  <c r="BB66" i="1" s="1"/>
  <c r="AQ341" i="1"/>
  <c r="BB341" i="1" s="1" a="1"/>
  <c r="BB341" i="1" s="1"/>
  <c r="AQ205" i="1"/>
  <c r="BB205" i="1" s="1" a="1"/>
  <c r="BB205" i="1" s="1"/>
  <c r="AQ351" i="1"/>
  <c r="BB351" i="1" s="1" a="1"/>
  <c r="BB351" i="1" s="1"/>
  <c r="AQ301" i="1"/>
  <c r="BB301" i="1" s="1" a="1"/>
  <c r="BB301" i="1" s="1"/>
  <c r="AQ160" i="1"/>
  <c r="BB160" i="1" s="1" a="1"/>
  <c r="BB160" i="1" s="1"/>
  <c r="AQ81" i="1"/>
  <c r="BB81" i="1" s="1" a="1"/>
  <c r="BB81" i="1" s="1"/>
  <c r="AQ346" i="1"/>
  <c r="BB346" i="1" s="1" a="1"/>
  <c r="BB346" i="1" s="1"/>
  <c r="AQ306" i="1"/>
  <c r="BB306" i="1" s="1" a="1"/>
  <c r="BB306" i="1" s="1"/>
  <c r="AQ245" i="1"/>
  <c r="BB245" i="1" s="1" a="1"/>
  <c r="BB245" i="1" s="1"/>
  <c r="AQ71" i="1"/>
  <c r="BB71" i="1" s="1" a="1"/>
  <c r="BB71" i="1" s="1"/>
  <c r="AQ291" i="1"/>
  <c r="BB291" i="1" s="1" a="1"/>
  <c r="BB291" i="1" s="1"/>
  <c r="AQ215" i="1"/>
  <c r="BB215" i="1" s="1" a="1"/>
  <c r="BB215" i="1" s="1"/>
  <c r="AQ336" i="1"/>
  <c r="BB336" i="1" s="1" a="1"/>
  <c r="BB336" i="1" s="1"/>
  <c r="AO69" i="1"/>
  <c r="AZ69" i="1" s="1" a="1"/>
  <c r="AZ69" i="1" s="1"/>
  <c r="AM225" i="1"/>
  <c r="AX225" i="1" s="1" a="1"/>
  <c r="AX225" i="1" s="1"/>
  <c r="AO90" i="1"/>
  <c r="AZ90" i="1" s="1" a="1"/>
  <c r="AZ90" i="1" s="1"/>
  <c r="AN177" i="1"/>
  <c r="AY177" i="1" s="1" a="1"/>
  <c r="AY177" i="1" s="1"/>
  <c r="AN60" i="1"/>
  <c r="AY60" i="1" s="1" a="1"/>
  <c r="AY60" i="1" s="1"/>
  <c r="AO70" i="1"/>
  <c r="AZ70" i="1" s="1" a="1"/>
  <c r="AZ70" i="1" s="1"/>
  <c r="AM165" i="1"/>
  <c r="AX165" i="1" s="1" a="1"/>
  <c r="AX165" i="1" s="1"/>
  <c r="AO161" i="1"/>
  <c r="AZ161" i="1" s="1" a="1"/>
  <c r="AZ161" i="1" s="1"/>
  <c r="AO55" i="1"/>
  <c r="AZ55" i="1" s="1" a="1"/>
  <c r="AZ55" i="1" s="1"/>
  <c r="AO58" i="1"/>
  <c r="AZ58" i="1" s="1" a="1"/>
  <c r="AZ58" i="1" s="1"/>
  <c r="AO165" i="1"/>
  <c r="AZ165" i="1" s="1" a="1"/>
  <c r="AZ165" i="1" s="1"/>
  <c r="AM59" i="1"/>
  <c r="AX59" i="1" s="1" a="1"/>
  <c r="AX59" i="1" s="1"/>
  <c r="AM85" i="1"/>
  <c r="AX85" i="1" s="1" a="1"/>
  <c r="AX85" i="1" s="1"/>
  <c r="AO59" i="1"/>
  <c r="AZ59" i="1" s="1" a="1"/>
  <c r="AZ59" i="1" s="1"/>
  <c r="AM90" i="1"/>
  <c r="AX90" i="1" s="1" a="1"/>
  <c r="AX90" i="1" s="1"/>
  <c r="AN56" i="1"/>
  <c r="AY56" i="1" s="1" a="1"/>
  <c r="AY56" i="1" s="1"/>
  <c r="AN165" i="1"/>
  <c r="AY165" i="1" s="1" a="1"/>
  <c r="AY165" i="1" s="1"/>
  <c r="AN77" i="1"/>
  <c r="AY77" i="1" s="1" a="1"/>
  <c r="AY77" i="1" s="1"/>
  <c r="AO60" i="1"/>
  <c r="AZ60" i="1" s="1" a="1"/>
  <c r="AZ60" i="1" s="1"/>
  <c r="AO79" i="1"/>
  <c r="AZ79" i="1" s="1" a="1"/>
  <c r="AZ79" i="1" s="1"/>
  <c r="AO199" i="1"/>
  <c r="AZ199" i="1" s="1" a="1"/>
  <c r="AZ199" i="1" s="1"/>
  <c r="AN66" i="1"/>
  <c r="AY66" i="1" s="1" a="1"/>
  <c r="AY66" i="1" s="1"/>
  <c r="AN67" i="1"/>
  <c r="AY67" i="1" s="1" a="1"/>
  <c r="AY67" i="1" s="1"/>
  <c r="AM69" i="1"/>
  <c r="AX69" i="1" s="1" a="1"/>
  <c r="AX69" i="1" s="1"/>
  <c r="AN82" i="1"/>
  <c r="AY82" i="1" s="1" a="1"/>
  <c r="AY82" i="1" s="1"/>
  <c r="AO156" i="1"/>
  <c r="AZ156" i="1" s="1" a="1"/>
  <c r="AZ156" i="1" s="1"/>
  <c r="AM176" i="1"/>
  <c r="AX176" i="1" s="1" a="1"/>
  <c r="AX176" i="1" s="1"/>
  <c r="AO212" i="1"/>
  <c r="AZ212" i="1" s="1" a="1"/>
  <c r="AZ212" i="1" s="1"/>
  <c r="AI150" i="1"/>
  <c r="AO166" i="1"/>
  <c r="AZ166" i="1" s="1" a="1"/>
  <c r="AZ166" i="1" s="1"/>
  <c r="AQ90" i="1"/>
  <c r="BB90" i="1" s="1" a="1"/>
  <c r="BB90" i="1" s="1"/>
  <c r="AO191" i="1"/>
  <c r="AZ191" i="1" s="1" a="1"/>
  <c r="AZ191" i="1" s="1"/>
  <c r="AO149" i="1"/>
  <c r="AZ149" i="1" s="1" a="1"/>
  <c r="AZ149" i="1" s="1"/>
  <c r="AN80" i="1"/>
  <c r="AY80" i="1" s="1" a="1"/>
  <c r="AY80" i="1" s="1"/>
  <c r="AO150" i="1"/>
  <c r="AZ150" i="1" s="1" a="1"/>
  <c r="AZ150" i="1" s="1"/>
  <c r="AQ154" i="1"/>
  <c r="BB154" i="1" s="1" a="1"/>
  <c r="BB154" i="1" s="1"/>
  <c r="AM200" i="1"/>
  <c r="AX200" i="1" s="1" a="1"/>
  <c r="AX200" i="1" s="1"/>
  <c r="AO151" i="1"/>
  <c r="AZ151" i="1" s="1" a="1"/>
  <c r="AZ151" i="1" s="1"/>
  <c r="AO175" i="1"/>
  <c r="AZ175" i="1" s="1" a="1"/>
  <c r="AZ175" i="1" s="1"/>
  <c r="AQ159" i="1"/>
  <c r="BB159" i="1" s="1" a="1"/>
  <c r="BB159" i="1" s="1"/>
  <c r="AO209" i="1"/>
  <c r="AZ209" i="1" s="1" a="1"/>
  <c r="AZ209" i="1" s="1"/>
  <c r="AJ152" i="1"/>
  <c r="AQ191" i="1"/>
  <c r="BB191" i="1" s="1" a="1"/>
  <c r="BB191" i="1" s="1"/>
  <c r="AO61" i="1"/>
  <c r="AZ61" i="1" s="1" a="1"/>
  <c r="AZ61" i="1" s="1"/>
  <c r="AN75" i="1"/>
  <c r="AY75" i="1" s="1" a="1"/>
  <c r="AY75" i="1" s="1"/>
  <c r="AN85" i="1"/>
  <c r="AY85" i="1" s="1" a="1"/>
  <c r="AY85" i="1" s="1"/>
  <c r="AM152" i="1"/>
  <c r="AX152" i="1" s="1" a="1"/>
  <c r="AX152" i="1" s="1"/>
  <c r="AQ61" i="1"/>
  <c r="BB61" i="1" s="1" a="1"/>
  <c r="BB61" i="1" s="1"/>
  <c r="AQ197" i="1"/>
  <c r="BB197" i="1" s="1" a="1"/>
  <c r="BB197" i="1" s="1"/>
  <c r="AM64" i="1"/>
  <c r="AX64" i="1" s="1" a="1"/>
  <c r="AX64" i="1" s="1"/>
  <c r="AO76" i="1"/>
  <c r="AZ76" i="1" s="1" a="1"/>
  <c r="AZ76" i="1" s="1"/>
  <c r="AN88" i="1"/>
  <c r="AY88" i="1" s="1" a="1"/>
  <c r="AY88" i="1" s="1"/>
  <c r="AN152" i="1"/>
  <c r="AY152" i="1" s="1" a="1"/>
  <c r="AY152" i="1" s="1"/>
  <c r="AQ67" i="1"/>
  <c r="BB67" i="1" s="1" a="1"/>
  <c r="BB67" i="1" s="1"/>
  <c r="AQ198" i="1"/>
  <c r="BB198" i="1" s="1" a="1"/>
  <c r="BB198" i="1" s="1"/>
  <c r="AO65" i="1"/>
  <c r="AZ65" i="1" s="1" a="1"/>
  <c r="AZ65" i="1" s="1"/>
  <c r="AO88" i="1"/>
  <c r="AZ88" i="1" s="1" a="1"/>
  <c r="AZ88" i="1" s="1"/>
  <c r="AM154" i="1"/>
  <c r="AX154" i="1" s="1" a="1"/>
  <c r="AX154" i="1" s="1"/>
  <c r="AN174" i="1"/>
  <c r="AY174" i="1" s="1" a="1"/>
  <c r="AY174" i="1" s="1"/>
  <c r="AQ68" i="1"/>
  <c r="BB68" i="1" s="1" a="1"/>
  <c r="BB68" i="1" s="1"/>
  <c r="AQ216" i="1"/>
  <c r="BB216" i="1" s="1" a="1"/>
  <c r="BB216" i="1" s="1"/>
  <c r="AI144" i="1"/>
  <c r="AI145" i="1"/>
  <c r="AI146" i="1"/>
  <c r="AJ153" i="1"/>
  <c r="AI193" i="1"/>
  <c r="AI289" i="1"/>
  <c r="AI290" i="1"/>
  <c r="AJ197" i="1"/>
  <c r="AM359" i="1"/>
  <c r="AX359" i="1" s="1" a="1"/>
  <c r="AX359" i="1" s="1"/>
  <c r="AN352" i="1"/>
  <c r="AY352" i="1" s="1" a="1"/>
  <c r="AY352" i="1" s="1"/>
  <c r="AM350" i="1"/>
  <c r="AX350" i="1" s="1" a="1"/>
  <c r="AX350" i="1" s="1"/>
  <c r="AO339" i="1"/>
  <c r="AZ339" i="1" s="1" a="1"/>
  <c r="AZ339" i="1" s="1"/>
  <c r="AQ337" i="1"/>
  <c r="BB337" i="1" s="1" a="1"/>
  <c r="BB337" i="1" s="1"/>
  <c r="AO335" i="1"/>
  <c r="AZ335" i="1" s="1" a="1"/>
  <c r="AZ335" i="1" s="1"/>
  <c r="AO333" i="1"/>
  <c r="AZ333" i="1" s="1" a="1"/>
  <c r="AZ333" i="1" s="1"/>
  <c r="AQ331" i="1"/>
  <c r="BB331" i="1" s="1" a="1"/>
  <c r="BB331" i="1" s="1"/>
  <c r="AM330" i="1"/>
  <c r="AX330" i="1" s="1" a="1"/>
  <c r="AX330" i="1" s="1"/>
  <c r="AO328" i="1"/>
  <c r="AZ328" i="1" s="1" a="1"/>
  <c r="AZ328" i="1" s="1"/>
  <c r="AQ326" i="1"/>
  <c r="BB326" i="1" s="1" a="1"/>
  <c r="BB326" i="1" s="1"/>
  <c r="AO340" i="1"/>
  <c r="AZ340" i="1" s="1" a="1"/>
  <c r="AZ340" i="1" s="1"/>
  <c r="AO332" i="1"/>
  <c r="AZ332" i="1" s="1" a="1"/>
  <c r="AZ332" i="1" s="1"/>
  <c r="AQ325" i="1"/>
  <c r="BB325" i="1" s="1" a="1"/>
  <c r="BB325" i="1" s="1"/>
  <c r="AN334" i="1"/>
  <c r="AY334" i="1" s="1" a="1"/>
  <c r="AY334" i="1" s="1"/>
  <c r="AO327" i="1"/>
  <c r="AZ327" i="1" s="1" a="1"/>
  <c r="AZ327" i="1" s="1"/>
  <c r="AN358" i="1"/>
  <c r="AY358" i="1" s="1" a="1"/>
  <c r="AY358" i="1" s="1"/>
  <c r="AO342" i="1"/>
  <c r="AZ342" i="1" s="1" a="1"/>
  <c r="AZ342" i="1" s="1"/>
  <c r="AN338" i="1"/>
  <c r="AY338" i="1" s="1" a="1"/>
  <c r="AY338" i="1" s="1"/>
  <c r="AM334" i="1"/>
  <c r="AX334" i="1" s="1" a="1"/>
  <c r="AX334" i="1" s="1"/>
  <c r="AQ330" i="1"/>
  <c r="BB330" i="1" s="1" a="1"/>
  <c r="BB330" i="1" s="1"/>
  <c r="AN327" i="1"/>
  <c r="AY327" i="1" s="1" a="1"/>
  <c r="AY327" i="1" s="1"/>
  <c r="AQ360" i="1"/>
  <c r="BB360" i="1" s="1" a="1"/>
  <c r="BB360" i="1" s="1"/>
  <c r="AQ357" i="1"/>
  <c r="BB357" i="1" s="1" a="1"/>
  <c r="BB357" i="1" s="1"/>
  <c r="AQ355" i="1"/>
  <c r="BB355" i="1" s="1" a="1"/>
  <c r="BB355" i="1" s="1"/>
  <c r="AQ345" i="1"/>
  <c r="BB345" i="1" s="1" a="1"/>
  <c r="BB345" i="1" s="1"/>
  <c r="AQ343" i="1"/>
  <c r="BB343" i="1" s="1" a="1"/>
  <c r="BB343" i="1" s="1"/>
  <c r="AO341" i="1"/>
  <c r="AZ341" i="1" s="1" a="1"/>
  <c r="AZ341" i="1" s="1"/>
  <c r="AN339" i="1"/>
  <c r="AY339" i="1" s="1" a="1"/>
  <c r="AY339" i="1" s="1"/>
  <c r="AO337" i="1"/>
  <c r="AZ337" i="1" s="1" a="1"/>
  <c r="AZ337" i="1" s="1"/>
  <c r="AN335" i="1"/>
  <c r="AY335" i="1" s="1" a="1"/>
  <c r="AY335" i="1" s="1"/>
  <c r="AN333" i="1"/>
  <c r="AY333" i="1" s="1" a="1"/>
  <c r="AY333" i="1" s="1"/>
  <c r="AO331" i="1"/>
  <c r="AZ331" i="1" s="1" a="1"/>
  <c r="AZ331" i="1" s="1"/>
  <c r="AN328" i="1"/>
  <c r="AY328" i="1" s="1" a="1"/>
  <c r="AY328" i="1" s="1"/>
  <c r="AO326" i="1"/>
  <c r="AZ326" i="1" s="1" a="1"/>
  <c r="AZ326" i="1" s="1"/>
  <c r="AQ324" i="1"/>
  <c r="BB324" i="1" s="1" a="1"/>
  <c r="BB324" i="1" s="1"/>
  <c r="AM328" i="1"/>
  <c r="AX328" i="1" s="1" a="1"/>
  <c r="AX328" i="1" s="1"/>
  <c r="AO324" i="1"/>
  <c r="AZ324" i="1" s="1" a="1"/>
  <c r="AZ324" i="1" s="1"/>
  <c r="AN357" i="1"/>
  <c r="AY357" i="1" s="1" a="1"/>
  <c r="AY357" i="1" s="1"/>
  <c r="AN355" i="1"/>
  <c r="AY355" i="1" s="1" a="1"/>
  <c r="AY355" i="1" s="1"/>
  <c r="AO353" i="1"/>
  <c r="AZ353" i="1" s="1" a="1"/>
  <c r="AZ353" i="1" s="1"/>
  <c r="AO351" i="1"/>
  <c r="AZ351" i="1" s="1" a="1"/>
  <c r="AZ351" i="1" s="1"/>
  <c r="AO349" i="1"/>
  <c r="AZ349" i="1" s="1" a="1"/>
  <c r="AZ349" i="1" s="1"/>
  <c r="AO347" i="1"/>
  <c r="AZ347" i="1" s="1" a="1"/>
  <c r="AZ347" i="1" s="1"/>
  <c r="AN345" i="1"/>
  <c r="AY345" i="1" s="1" a="1"/>
  <c r="AY345" i="1" s="1"/>
  <c r="AM341" i="1"/>
  <c r="AX341" i="1" s="1" a="1"/>
  <c r="AX341" i="1" s="1"/>
  <c r="AM337" i="1"/>
  <c r="AX337" i="1" s="1" a="1"/>
  <c r="AX337" i="1" s="1"/>
  <c r="AM355" i="1"/>
  <c r="AX355" i="1" s="1" a="1"/>
  <c r="AX355" i="1" s="1"/>
  <c r="AN353" i="1"/>
  <c r="AY353" i="1" s="1" a="1"/>
  <c r="AY353" i="1" s="1"/>
  <c r="AN351" i="1"/>
  <c r="AY351" i="1" s="1" a="1"/>
  <c r="AY351" i="1" s="1"/>
  <c r="AN347" i="1"/>
  <c r="AY347" i="1" s="1" a="1"/>
  <c r="AY347" i="1" s="1"/>
  <c r="AQ334" i="1"/>
  <c r="BB334" i="1" s="1" a="1"/>
  <c r="BB334" i="1" s="1"/>
  <c r="AQ332" i="1"/>
  <c r="BB332" i="1" s="1" a="1"/>
  <c r="BB332" i="1" s="1"/>
  <c r="AQ329" i="1"/>
  <c r="BB329" i="1" s="1" a="1"/>
  <c r="BB329" i="1" s="1"/>
  <c r="AJ328" i="1"/>
  <c r="AM324" i="1"/>
  <c r="AX324" i="1" s="1" a="1"/>
  <c r="AX324" i="1" s="1"/>
  <c r="AO336" i="1"/>
  <c r="AZ336" i="1" s="1" a="1"/>
  <c r="AZ336" i="1" s="1"/>
  <c r="AQ327" i="1"/>
  <c r="BB327" i="1" s="1" a="1"/>
  <c r="BB327" i="1" s="1"/>
  <c r="AQ356" i="1"/>
  <c r="BB356" i="1" s="1" a="1"/>
  <c r="BB356" i="1" s="1"/>
  <c r="AQ344" i="1"/>
  <c r="BB344" i="1" s="1" a="1"/>
  <c r="BB344" i="1" s="1"/>
  <c r="AN340" i="1"/>
  <c r="AY340" i="1" s="1" a="1"/>
  <c r="AY340" i="1" s="1"/>
  <c r="AN336" i="1"/>
  <c r="AY336" i="1" s="1" a="1"/>
  <c r="AY336" i="1" s="1"/>
  <c r="AO360" i="1"/>
  <c r="AZ360" i="1" s="1" a="1"/>
  <c r="AZ360" i="1" s="1"/>
  <c r="AJ359" i="1"/>
  <c r="AO357" i="1"/>
  <c r="AZ357" i="1" s="1" a="1"/>
  <c r="AZ357" i="1" s="1"/>
  <c r="AO355" i="1"/>
  <c r="AZ355" i="1" s="1" a="1"/>
  <c r="AZ355" i="1" s="1"/>
  <c r="AQ353" i="1"/>
  <c r="BB353" i="1" s="1" a="1"/>
  <c r="BB353" i="1" s="1"/>
  <c r="AQ349" i="1"/>
  <c r="BB349" i="1" s="1" a="1"/>
  <c r="BB349" i="1" s="1"/>
  <c r="AQ347" i="1"/>
  <c r="BB347" i="1" s="1" a="1"/>
  <c r="BB347" i="1" s="1"/>
  <c r="AO345" i="1"/>
  <c r="AZ345" i="1" s="1" a="1"/>
  <c r="AZ345" i="1" s="1"/>
  <c r="AO343" i="1"/>
  <c r="AZ343" i="1" s="1" a="1"/>
  <c r="AZ343" i="1" s="1"/>
  <c r="AN341" i="1"/>
  <c r="AY341" i="1" s="1" a="1"/>
  <c r="AY341" i="1" s="1"/>
  <c r="AM339" i="1"/>
  <c r="AX339" i="1" s="1" a="1"/>
  <c r="AX339" i="1" s="1"/>
  <c r="AN337" i="1"/>
  <c r="AY337" i="1" s="1" a="1"/>
  <c r="AY337" i="1" s="1"/>
  <c r="AM335" i="1"/>
  <c r="AX335" i="1" s="1" a="1"/>
  <c r="AX335" i="1" s="1"/>
  <c r="AM333" i="1"/>
  <c r="AX333" i="1" s="1" a="1"/>
  <c r="AX333" i="1" s="1"/>
  <c r="AN331" i="1"/>
  <c r="AY331" i="1" s="1" a="1"/>
  <c r="AY331" i="1" s="1"/>
  <c r="AJ330" i="1"/>
  <c r="AN326" i="1"/>
  <c r="AY326" i="1" s="1" a="1"/>
  <c r="AY326" i="1" s="1"/>
  <c r="AN343" i="1"/>
  <c r="AY343" i="1" s="1" a="1"/>
  <c r="AY343" i="1" s="1"/>
  <c r="AM331" i="1"/>
  <c r="AX331" i="1" s="1" a="1"/>
  <c r="AX331" i="1" s="1"/>
  <c r="AM326" i="1"/>
  <c r="AX326" i="1" s="1" a="1"/>
  <c r="AX326" i="1" s="1"/>
  <c r="AN324" i="1"/>
  <c r="AY324" i="1" s="1" a="1"/>
  <c r="AY324" i="1" s="1"/>
  <c r="AN349" i="1"/>
  <c r="AY349" i="1" s="1" a="1"/>
  <c r="AY349" i="1" s="1"/>
  <c r="AM345" i="1"/>
  <c r="AX345" i="1" s="1" a="1"/>
  <c r="AX345" i="1" s="1"/>
  <c r="AM351" i="1"/>
  <c r="AX351" i="1" s="1" a="1"/>
  <c r="AX351" i="1" s="1"/>
  <c r="AO334" i="1"/>
  <c r="AZ334" i="1" s="1" a="1"/>
  <c r="AZ334" i="1" s="1"/>
  <c r="AO329" i="1"/>
  <c r="AZ329" i="1" s="1" a="1"/>
  <c r="AZ329" i="1" s="1"/>
  <c r="AO358" i="1"/>
  <c r="AZ358" i="1" s="1" a="1"/>
  <c r="AZ358" i="1" s="1"/>
  <c r="AQ342" i="1"/>
  <c r="BB342" i="1" s="1" a="1"/>
  <c r="BB342" i="1" s="1"/>
  <c r="AO338" i="1"/>
  <c r="AZ338" i="1" s="1" a="1"/>
  <c r="AZ338" i="1" s="1"/>
  <c r="AN332" i="1"/>
  <c r="AY332" i="1" s="1" a="1"/>
  <c r="AY332" i="1" s="1"/>
  <c r="AO325" i="1"/>
  <c r="AZ325" i="1" s="1" a="1"/>
  <c r="AZ325" i="1" s="1"/>
  <c r="AQ354" i="1"/>
  <c r="BB354" i="1" s="1" a="1"/>
  <c r="BB354" i="1" s="1"/>
  <c r="AQ348" i="1"/>
  <c r="BB348" i="1" s="1" a="1"/>
  <c r="BB348" i="1" s="1"/>
  <c r="AO344" i="1"/>
  <c r="AZ344" i="1" s="1" a="1"/>
  <c r="AZ344" i="1" s="1"/>
  <c r="AM340" i="1"/>
  <c r="AX340" i="1" s="1" a="1"/>
  <c r="AX340" i="1" s="1"/>
  <c r="AM336" i="1"/>
  <c r="AX336" i="1" s="1" a="1"/>
  <c r="AX336" i="1" s="1"/>
  <c r="AM332" i="1"/>
  <c r="AX332" i="1" s="1" a="1"/>
  <c r="AX332" i="1" s="1"/>
  <c r="AM329" i="1"/>
  <c r="AX329" i="1" s="1" a="1"/>
  <c r="AX329" i="1" s="1"/>
  <c r="AN325" i="1"/>
  <c r="AY325" i="1" s="1" a="1"/>
  <c r="AY325" i="1" s="1"/>
  <c r="AN360" i="1"/>
  <c r="AY360" i="1" s="1" a="1"/>
  <c r="AY360" i="1" s="1"/>
  <c r="AM360" i="1"/>
  <c r="AX360" i="1" s="1" a="1"/>
  <c r="AX360" i="1" s="1"/>
  <c r="AQ358" i="1"/>
  <c r="BB358" i="1" s="1" a="1"/>
  <c r="BB358" i="1" s="1"/>
  <c r="AQ359" i="1"/>
  <c r="BB359" i="1" s="1" a="1"/>
  <c r="BB359" i="1" s="1"/>
  <c r="AO359" i="1"/>
  <c r="AZ359" i="1" s="1" a="1"/>
  <c r="AZ359" i="1" s="1"/>
  <c r="AM358" i="1"/>
  <c r="AX358" i="1" s="1" a="1"/>
  <c r="AX358" i="1" s="1"/>
  <c r="AN356" i="1"/>
  <c r="AY356" i="1" s="1" a="1"/>
  <c r="AY356" i="1" s="1"/>
  <c r="AO354" i="1"/>
  <c r="AZ354" i="1" s="1" a="1"/>
  <c r="AZ354" i="1" s="1"/>
  <c r="AQ352" i="1"/>
  <c r="BB352" i="1" s="1" a="1"/>
  <c r="BB352" i="1" s="1"/>
  <c r="AO350" i="1"/>
  <c r="AZ350" i="1" s="1" a="1"/>
  <c r="AZ350" i="1" s="1"/>
  <c r="AO348" i="1"/>
  <c r="AZ348" i="1" s="1" a="1"/>
  <c r="AZ348" i="1" s="1"/>
  <c r="AN346" i="1"/>
  <c r="AY346" i="1" s="1" a="1"/>
  <c r="AY346" i="1" s="1"/>
  <c r="AN344" i="1"/>
  <c r="AY344" i="1" s="1" a="1"/>
  <c r="AY344" i="1" s="1"/>
  <c r="AN342" i="1"/>
  <c r="AY342" i="1" s="1" a="1"/>
  <c r="AY342" i="1" s="1"/>
  <c r="AM338" i="1"/>
  <c r="AX338" i="1" s="1" a="1"/>
  <c r="AX338" i="1" s="1"/>
  <c r="AO330" i="1"/>
  <c r="AZ330" i="1" s="1" a="1"/>
  <c r="AZ330" i="1" s="1"/>
  <c r="AM327" i="1"/>
  <c r="AX327" i="1" s="1" a="1"/>
  <c r="AX327" i="1" s="1"/>
  <c r="AM325" i="1"/>
  <c r="AX325" i="1" s="1" a="1"/>
  <c r="AX325" i="1" s="1"/>
  <c r="AM356" i="1"/>
  <c r="AX356" i="1" s="1" a="1"/>
  <c r="AX356" i="1" s="1"/>
  <c r="AN354" i="1"/>
  <c r="AY354" i="1" s="1" a="1"/>
  <c r="AY354" i="1" s="1"/>
  <c r="AO352" i="1"/>
  <c r="AZ352" i="1" s="1" a="1"/>
  <c r="AZ352" i="1" s="1"/>
  <c r="AN350" i="1"/>
  <c r="AY350" i="1" s="1" a="1"/>
  <c r="AY350" i="1" s="1"/>
  <c r="AN348" i="1"/>
  <c r="AY348" i="1" s="1" a="1"/>
  <c r="AY348" i="1" s="1"/>
  <c r="AM346" i="1"/>
  <c r="AX346" i="1" s="1" a="1"/>
  <c r="AX346" i="1" s="1"/>
  <c r="AQ339" i="1"/>
  <c r="BB339" i="1" s="1" a="1"/>
  <c r="BB339" i="1" s="1"/>
  <c r="AQ335" i="1"/>
  <c r="BB335" i="1" s="1" a="1"/>
  <c r="BB335" i="1" s="1"/>
  <c r="AQ333" i="1"/>
  <c r="BB333" i="1" s="1" a="1"/>
  <c r="BB333" i="1" s="1"/>
  <c r="AN330" i="1"/>
  <c r="AY330" i="1" s="1" a="1"/>
  <c r="AY330" i="1" s="1"/>
  <c r="AQ328" i="1"/>
  <c r="BB328" i="1" s="1" a="1"/>
  <c r="BB328" i="1" s="1"/>
  <c r="AQ338" i="1"/>
  <c r="BB338" i="1" s="1" a="1"/>
  <c r="BB338" i="1" s="1"/>
  <c r="AN329" i="1"/>
  <c r="AY329" i="1" s="1" a="1"/>
  <c r="AY329" i="1" s="1"/>
  <c r="AO356" i="1"/>
  <c r="AZ356" i="1" s="1" a="1"/>
  <c r="AZ356" i="1" s="1"/>
  <c r="AQ350" i="1"/>
  <c r="BB350" i="1" s="1" a="1"/>
  <c r="BB350" i="1" s="1"/>
  <c r="AO346" i="1"/>
  <c r="AZ346" i="1" s="1" a="1"/>
  <c r="AZ346" i="1" s="1"/>
  <c r="AN359" i="1"/>
  <c r="AY359" i="1" s="1" a="1"/>
  <c r="AY359" i="1" s="1"/>
  <c r="AM310" i="1"/>
  <c r="AX310" i="1" s="1" a="1"/>
  <c r="AX310" i="1" s="1"/>
  <c r="AM300" i="1"/>
  <c r="AX300" i="1" s="1" a="1"/>
  <c r="AX300" i="1" s="1"/>
  <c r="AM279" i="1"/>
  <c r="AX279" i="1" s="1" a="1"/>
  <c r="AX279" i="1" s="1"/>
  <c r="AM238" i="1"/>
  <c r="AX238" i="1" s="1" a="1"/>
  <c r="AX238" i="1" s="1"/>
  <c r="AM255" i="1"/>
  <c r="AX255" i="1" s="1" a="1"/>
  <c r="AX255" i="1" s="1"/>
  <c r="AM265" i="1"/>
  <c r="AX265" i="1" s="1" a="1"/>
  <c r="AX265" i="1" s="1"/>
  <c r="AM313" i="1"/>
  <c r="AX313" i="1" s="1" a="1"/>
  <c r="AX313" i="1" s="1"/>
  <c r="AM282" i="1"/>
  <c r="AX282" i="1" s="1" a="1"/>
  <c r="AX282" i="1" s="1"/>
  <c r="AM280" i="1"/>
  <c r="AX280" i="1" s="1" a="1"/>
  <c r="AX280" i="1" s="1"/>
  <c r="AM270" i="1"/>
  <c r="AX270" i="1" s="1" a="1"/>
  <c r="AX270" i="1" s="1"/>
  <c r="AM236" i="1"/>
  <c r="AX236" i="1" s="1" a="1"/>
  <c r="AX236" i="1" s="1"/>
  <c r="AM235" i="1"/>
  <c r="AX235" i="1" s="1" a="1"/>
  <c r="AX235" i="1" s="1"/>
  <c r="AM234" i="1"/>
  <c r="AX234" i="1" s="1" a="1"/>
  <c r="AX234" i="1" s="1"/>
  <c r="AM306" i="1"/>
  <c r="AX306" i="1" s="1" a="1"/>
  <c r="AX306" i="1" s="1"/>
  <c r="AM284" i="1"/>
  <c r="AX284" i="1" s="1" a="1"/>
  <c r="AX284" i="1" s="1"/>
  <c r="AM315" i="1"/>
  <c r="AX315" i="1" s="1" a="1"/>
  <c r="AX315" i="1" s="1"/>
  <c r="AM261" i="1"/>
  <c r="AX261" i="1" s="1" a="1"/>
  <c r="AX261" i="1" s="1"/>
  <c r="AM250" i="1"/>
  <c r="AX250" i="1" s="1" a="1"/>
  <c r="AX250" i="1" s="1"/>
  <c r="AM150" i="1"/>
  <c r="AX150" i="1" s="1" a="1"/>
  <c r="AX150" i="1" s="1"/>
  <c r="AM268" i="1"/>
  <c r="AX268" i="1" s="1" a="1"/>
  <c r="AX268" i="1" s="1"/>
  <c r="AM266" i="1"/>
  <c r="AX266" i="1" s="1" a="1"/>
  <c r="AX266" i="1" s="1"/>
  <c r="AM305" i="1"/>
  <c r="AX305" i="1" s="1" a="1"/>
  <c r="AX305" i="1" s="1"/>
  <c r="AM260" i="1"/>
  <c r="AX260" i="1" s="1" a="1"/>
  <c r="AX260" i="1" s="1"/>
  <c r="AM151" i="1"/>
  <c r="AX151" i="1" s="1" a="1"/>
  <c r="AX151" i="1" s="1"/>
  <c r="AM294" i="1"/>
  <c r="AX294" i="1" s="1" a="1"/>
  <c r="AX294" i="1" s="1"/>
  <c r="AM86" i="1"/>
  <c r="AX86" i="1" s="1" a="1"/>
  <c r="AX86" i="1" s="1"/>
  <c r="AM283" i="1"/>
  <c r="AX283" i="1" s="1" a="1"/>
  <c r="AX283" i="1" s="1"/>
  <c r="AM243" i="1"/>
  <c r="AX243" i="1" s="1" a="1"/>
  <c r="AX243" i="1" s="1"/>
  <c r="AM193" i="1"/>
  <c r="AX193" i="1" s="1" a="1"/>
  <c r="AX193" i="1" s="1"/>
  <c r="AM194" i="1"/>
  <c r="AX194" i="1" s="1" a="1"/>
  <c r="AX194" i="1" s="1"/>
  <c r="AM249" i="1"/>
  <c r="AX249" i="1" s="1" a="1"/>
  <c r="AX249" i="1" s="1"/>
  <c r="AM256" i="1"/>
  <c r="AX256" i="1" s="1" a="1"/>
  <c r="AX256" i="1" s="1"/>
  <c r="AM289" i="1"/>
  <c r="AX289" i="1" s="1" a="1"/>
  <c r="AX289" i="1" s="1"/>
  <c r="AM281" i="1"/>
  <c r="AX281" i="1" s="1" a="1"/>
  <c r="AX281" i="1" s="1"/>
  <c r="AM290" i="1"/>
  <c r="AX290" i="1" s="1" a="1"/>
  <c r="AX290" i="1" s="1"/>
  <c r="AM311" i="1"/>
  <c r="AX311" i="1" s="1" a="1"/>
  <c r="AX311" i="1" s="1"/>
  <c r="AM301" i="1"/>
  <c r="AX301" i="1" s="1" a="1"/>
  <c r="AX301" i="1" s="1"/>
  <c r="AQ314" i="1"/>
  <c r="BB314" i="1" s="1" a="1"/>
  <c r="BB314" i="1" s="1"/>
  <c r="AQ304" i="1"/>
  <c r="BB304" i="1" s="1" a="1"/>
  <c r="BB304" i="1" s="1"/>
  <c r="AQ294" i="1"/>
  <c r="BB294" i="1" s="1" a="1"/>
  <c r="BB294" i="1" s="1"/>
  <c r="AQ284" i="1"/>
  <c r="BB284" i="1" s="1" a="1"/>
  <c r="BB284" i="1" s="1"/>
  <c r="AQ282" i="1"/>
  <c r="BB282" i="1" s="1" a="1"/>
  <c r="BB282" i="1" s="1"/>
  <c r="AQ300" i="1"/>
  <c r="BB300" i="1" s="1" a="1"/>
  <c r="BB300" i="1" s="1"/>
  <c r="AQ299" i="1"/>
  <c r="BB299" i="1" s="1" a="1"/>
  <c r="BB299" i="1" s="1"/>
  <c r="AQ288" i="1"/>
  <c r="BB288" i="1" s="1" a="1"/>
  <c r="BB288" i="1" s="1"/>
  <c r="AQ287" i="1"/>
  <c r="BB287" i="1" s="1" a="1"/>
  <c r="BB287" i="1" s="1"/>
  <c r="AQ285" i="1"/>
  <c r="BB285" i="1" s="1" a="1"/>
  <c r="BB285" i="1" s="1"/>
  <c r="AQ313" i="1"/>
  <c r="BB313" i="1" s="1" a="1"/>
  <c r="BB313" i="1" s="1"/>
  <c r="AQ303" i="1"/>
  <c r="BB303" i="1" s="1" a="1"/>
  <c r="BB303" i="1" s="1"/>
  <c r="AQ293" i="1"/>
  <c r="BB293" i="1" s="1" a="1"/>
  <c r="BB293" i="1" s="1"/>
  <c r="AQ283" i="1"/>
  <c r="BB283" i="1" s="1" a="1"/>
  <c r="BB283" i="1" s="1"/>
  <c r="AQ281" i="1"/>
  <c r="BB281" i="1" s="1" a="1"/>
  <c r="BB281" i="1" s="1"/>
  <c r="AQ290" i="1"/>
  <c r="BB290" i="1" s="1" a="1"/>
  <c r="BB290" i="1" s="1"/>
  <c r="AQ308" i="1"/>
  <c r="BB308" i="1" s="1" a="1"/>
  <c r="BB308" i="1" s="1"/>
  <c r="AQ297" i="1"/>
  <c r="BB297" i="1" s="1" a="1"/>
  <c r="BB297" i="1" s="1"/>
  <c r="AM67" i="1"/>
  <c r="AX67" i="1" s="1" a="1"/>
  <c r="AX67" i="1" s="1"/>
  <c r="AQ312" i="1"/>
  <c r="BB312" i="1" s="1" a="1"/>
  <c r="BB312" i="1" s="1"/>
  <c r="AQ302" i="1"/>
  <c r="BB302" i="1" s="1" a="1"/>
  <c r="BB302" i="1" s="1"/>
  <c r="AQ292" i="1"/>
  <c r="BB292" i="1" s="1" a="1"/>
  <c r="BB292" i="1" s="1"/>
  <c r="AQ310" i="1"/>
  <c r="BB310" i="1" s="1" a="1"/>
  <c r="BB310" i="1" s="1"/>
  <c r="AQ309" i="1"/>
  <c r="BB309" i="1" s="1" a="1"/>
  <c r="BB309" i="1" s="1"/>
  <c r="AQ298" i="1"/>
  <c r="BB298" i="1" s="1" a="1"/>
  <c r="BB298" i="1" s="1"/>
  <c r="AM157" i="1"/>
  <c r="AX157" i="1" s="1" a="1"/>
  <c r="AX157" i="1" s="1"/>
  <c r="AQ286" i="1"/>
  <c r="BB286" i="1" s="1" a="1"/>
  <c r="BB286" i="1" s="1"/>
  <c r="AM158" i="1"/>
  <c r="AX158" i="1" s="1" a="1"/>
  <c r="AX158" i="1" s="1"/>
  <c r="AQ311" i="1"/>
  <c r="BB311" i="1" s="1" a="1"/>
  <c r="BB311" i="1" s="1"/>
  <c r="AQ280" i="1"/>
  <c r="BB280" i="1" s="1" a="1"/>
  <c r="BB280" i="1" s="1"/>
  <c r="AQ279" i="1"/>
  <c r="BB279" i="1" s="1" a="1"/>
  <c r="BB279" i="1" s="1"/>
  <c r="AQ307" i="1"/>
  <c r="BB307" i="1" s="1" a="1"/>
  <c r="BB307" i="1" s="1"/>
  <c r="AQ296" i="1"/>
  <c r="BB296" i="1" s="1" a="1"/>
  <c r="BB296" i="1" s="1"/>
  <c r="AM68" i="1"/>
  <c r="AX68" i="1" s="1" a="1"/>
  <c r="AX68" i="1" s="1"/>
  <c r="AM292" i="1"/>
  <c r="AX292" i="1" s="1" a="1"/>
  <c r="AX292" i="1" s="1"/>
  <c r="AQ289" i="1"/>
  <c r="BB289" i="1" s="1" a="1"/>
  <c r="BB289" i="1" s="1"/>
  <c r="AM202" i="1"/>
  <c r="AX202" i="1" s="1" a="1"/>
  <c r="AX202" i="1" s="1"/>
  <c r="AQ315" i="1"/>
  <c r="BB315" i="1" s="1" a="1"/>
  <c r="BB315" i="1" s="1"/>
  <c r="AQ305" i="1"/>
  <c r="BB305" i="1" s="1" a="1"/>
  <c r="BB305" i="1" s="1"/>
  <c r="AM248" i="1"/>
  <c r="AX248" i="1" s="1" a="1"/>
  <c r="AX248" i="1" s="1"/>
  <c r="AM211" i="1"/>
  <c r="AX211" i="1" s="1" a="1"/>
  <c r="AX211" i="1" s="1"/>
  <c r="AM220" i="1"/>
  <c r="AX220" i="1" s="1" a="1"/>
  <c r="AX220" i="1" s="1"/>
  <c r="AM160" i="1"/>
  <c r="AX160" i="1" s="1" a="1"/>
  <c r="AX160" i="1" s="1"/>
  <c r="AM156" i="1"/>
  <c r="AX156" i="1" s="1" a="1"/>
  <c r="AX156" i="1" s="1"/>
  <c r="AM216" i="1"/>
  <c r="AX216" i="1" s="1" a="1"/>
  <c r="AX216" i="1" s="1"/>
  <c r="AM247" i="1"/>
  <c r="AX247" i="1" s="1" a="1"/>
  <c r="AX247" i="1" s="1"/>
  <c r="AM221" i="1"/>
  <c r="AX221" i="1" s="1" a="1"/>
  <c r="AX221" i="1" s="1"/>
  <c r="AM215" i="1"/>
  <c r="AX215" i="1" s="1" a="1"/>
  <c r="AX215" i="1" s="1"/>
  <c r="AM246" i="1"/>
  <c r="AX246" i="1" s="1" a="1"/>
  <c r="AX246" i="1" s="1"/>
  <c r="AM66" i="1"/>
  <c r="AX66" i="1" s="1" a="1"/>
  <c r="AX66" i="1" s="1"/>
  <c r="AM291" i="1"/>
  <c r="AX291" i="1" s="1" a="1"/>
  <c r="AX291" i="1" s="1"/>
  <c r="AM201" i="1"/>
  <c r="AX201" i="1" s="1" a="1"/>
  <c r="AX201" i="1" s="1"/>
  <c r="AM70" i="1"/>
  <c r="AX70" i="1" s="1" a="1"/>
  <c r="AX70" i="1" s="1"/>
  <c r="AM223" i="1"/>
  <c r="AX223" i="1" s="1" a="1"/>
  <c r="AX223" i="1" s="1"/>
  <c r="AM206" i="1"/>
  <c r="AX206" i="1" s="1" a="1"/>
  <c r="AX206" i="1" s="1"/>
  <c r="AM295" i="1"/>
  <c r="AX295" i="1" s="1" a="1"/>
  <c r="AX295" i="1" s="1"/>
  <c r="AN201" i="1"/>
  <c r="AY201" i="1" s="1" a="1"/>
  <c r="AY201" i="1" s="1"/>
  <c r="AM54" i="1"/>
  <c r="AX54" i="1" s="1" a="1"/>
  <c r="AX54" i="1" s="1"/>
  <c r="AN62" i="1"/>
  <c r="AY62" i="1" s="1" a="1"/>
  <c r="AY62" i="1" s="1"/>
  <c r="AN157" i="1"/>
  <c r="AY157" i="1" s="1" a="1"/>
  <c r="AY157" i="1" s="1"/>
  <c r="AQ58" i="1"/>
  <c r="BB58" i="1" s="1" a="1"/>
  <c r="BB58" i="1" s="1"/>
  <c r="AO202" i="1"/>
  <c r="AZ202" i="1" s="1" a="1"/>
  <c r="AZ202" i="1" s="1"/>
  <c r="AI151" i="1"/>
  <c r="AJ242" i="1"/>
  <c r="AO168" i="1"/>
  <c r="AZ168" i="1" s="1" a="1"/>
  <c r="AZ168" i="1" s="1"/>
  <c r="AQ163" i="1"/>
  <c r="BB163" i="1" s="1" a="1"/>
  <c r="BB163" i="1" s="1"/>
  <c r="AN55" i="1"/>
  <c r="AY55" i="1" s="1" a="1"/>
  <c r="AY55" i="1" s="1"/>
  <c r="AO63" i="1"/>
  <c r="AZ63" i="1" s="1" a="1"/>
  <c r="AZ63" i="1" s="1"/>
  <c r="AM75" i="1"/>
  <c r="AX75" i="1" s="1" a="1"/>
  <c r="AX75" i="1" s="1"/>
  <c r="AN83" i="1"/>
  <c r="AY83" i="1" s="1" a="1"/>
  <c r="AY83" i="1" s="1"/>
  <c r="AN149" i="1"/>
  <c r="AY149" i="1" s="1" a="1"/>
  <c r="AY149" i="1" s="1"/>
  <c r="AO159" i="1"/>
  <c r="AZ159" i="1" s="1" a="1"/>
  <c r="AZ159" i="1" s="1"/>
  <c r="AO173" i="1"/>
  <c r="AZ173" i="1" s="1" a="1"/>
  <c r="AZ173" i="1" s="1"/>
  <c r="AQ60" i="1"/>
  <c r="BB60" i="1" s="1" a="1"/>
  <c r="BB60" i="1" s="1"/>
  <c r="AM203" i="1"/>
  <c r="AX203" i="1" s="1" a="1"/>
  <c r="AX203" i="1" s="1"/>
  <c r="AI244" i="1"/>
  <c r="AI64" i="1"/>
  <c r="BM69" i="1"/>
  <c r="AJ144" i="1"/>
  <c r="AJ176" i="1"/>
  <c r="AI176" i="1"/>
  <c r="AH176" i="1"/>
  <c r="AG176" i="1" s="1"/>
  <c r="AI225" i="1"/>
  <c r="AH225" i="1"/>
  <c r="AG225" i="1" s="1"/>
  <c r="AJ225" i="1"/>
  <c r="AJ67" i="1"/>
  <c r="AI72" i="1"/>
  <c r="AI167" i="1"/>
  <c r="AJ167" i="1"/>
  <c r="AJ165" i="1"/>
  <c r="AI165" i="1"/>
  <c r="AJ169" i="1"/>
  <c r="AI169" i="1"/>
  <c r="AJ77" i="1"/>
  <c r="AJ90" i="1"/>
  <c r="AJ74" i="1"/>
  <c r="AJ83" i="1"/>
  <c r="AJ73" i="1"/>
  <c r="AJ85" i="1"/>
  <c r="AJ82" i="1"/>
  <c r="AH198" i="1"/>
  <c r="AG198" i="1" s="1"/>
  <c r="AH191" i="1"/>
  <c r="AG191" i="1" s="1"/>
  <c r="AH216" i="1"/>
  <c r="AG216" i="1" s="1"/>
  <c r="AH197" i="1"/>
  <c r="AG197" i="1" s="1"/>
  <c r="AQ157" i="1"/>
  <c r="BB157" i="1" s="1" a="1"/>
  <c r="BB157" i="1" s="1"/>
  <c r="AN196" i="1"/>
  <c r="AY196" i="1" s="1" a="1"/>
  <c r="AY196" i="1" s="1"/>
  <c r="AN216" i="1"/>
  <c r="AY216" i="1" s="1" a="1"/>
  <c r="AY216" i="1" s="1"/>
  <c r="AH154" i="1"/>
  <c r="AG154" i="1" s="1"/>
  <c r="AQ89" i="1"/>
  <c r="BB89" i="1" s="1" a="1"/>
  <c r="BB89" i="1" s="1"/>
  <c r="AM196" i="1"/>
  <c r="AX196" i="1" s="1" a="1"/>
  <c r="AX196" i="1" s="1"/>
  <c r="AN208" i="1"/>
  <c r="AY208" i="1" s="1" a="1"/>
  <c r="AY208" i="1" s="1"/>
  <c r="AO211" i="1"/>
  <c r="AZ211" i="1" s="1" a="1"/>
  <c r="AZ211" i="1" s="1"/>
  <c r="AQ189" i="1"/>
  <c r="BB189" i="1" s="1" a="1"/>
  <c r="BB189" i="1" s="1"/>
  <c r="AH161" i="1"/>
  <c r="AG161" i="1" s="1"/>
  <c r="AN78" i="1"/>
  <c r="AY78" i="1" s="1" a="1"/>
  <c r="AY78" i="1" s="1"/>
  <c r="AN86" i="1"/>
  <c r="AY86" i="1" s="1" a="1"/>
  <c r="AY86" i="1" s="1"/>
  <c r="AM155" i="1"/>
  <c r="AX155" i="1" s="1" a="1"/>
  <c r="AX155" i="1" s="1"/>
  <c r="AM162" i="1"/>
  <c r="AX162" i="1" s="1" a="1"/>
  <c r="AX162" i="1" s="1"/>
  <c r="AN170" i="1"/>
  <c r="AY170" i="1" s="1" a="1"/>
  <c r="AY170" i="1" s="1"/>
  <c r="AN180" i="1"/>
  <c r="AY180" i="1" s="1" a="1"/>
  <c r="AY180" i="1" s="1"/>
  <c r="AQ79" i="1"/>
  <c r="BB79" i="1" s="1" a="1"/>
  <c r="BB79" i="1" s="1"/>
  <c r="AQ168" i="1"/>
  <c r="BB168" i="1" s="1" a="1"/>
  <c r="BB168" i="1" s="1"/>
  <c r="AM192" i="1"/>
  <c r="AX192" i="1" s="1" a="1"/>
  <c r="AX192" i="1" s="1"/>
  <c r="AN203" i="1"/>
  <c r="AY203" i="1" s="1" a="1"/>
  <c r="AY203" i="1" s="1"/>
  <c r="AN219" i="1"/>
  <c r="AY219" i="1" s="1" a="1"/>
  <c r="AY219" i="1" s="1"/>
  <c r="AQ221" i="1"/>
  <c r="BB221" i="1" s="1" a="1"/>
  <c r="BB221" i="1" s="1"/>
  <c r="AM87" i="1"/>
  <c r="AX87" i="1" s="1" a="1"/>
  <c r="AX87" i="1" s="1"/>
  <c r="AN155" i="1"/>
  <c r="AY155" i="1" s="1" a="1"/>
  <c r="AY155" i="1" s="1"/>
  <c r="AN162" i="1"/>
  <c r="AY162" i="1" s="1" a="1"/>
  <c r="AY162" i="1" s="1"/>
  <c r="AN172" i="1"/>
  <c r="AY172" i="1" s="1" a="1"/>
  <c r="AY172" i="1" s="1"/>
  <c r="AO180" i="1"/>
  <c r="AZ180" i="1" s="1" a="1"/>
  <c r="AZ180" i="1" s="1"/>
  <c r="AQ80" i="1"/>
  <c r="BB80" i="1" s="1" a="1"/>
  <c r="BB80" i="1" s="1"/>
  <c r="AQ169" i="1"/>
  <c r="BB169" i="1" s="1" a="1"/>
  <c r="BB169" i="1" s="1"/>
  <c r="AO206" i="1"/>
  <c r="AZ206" i="1" s="1" a="1"/>
  <c r="AZ206" i="1" s="1"/>
  <c r="AO219" i="1"/>
  <c r="AZ219" i="1" s="1" a="1"/>
  <c r="AZ219" i="1" s="1"/>
  <c r="AQ222" i="1"/>
  <c r="BB222" i="1" s="1" a="1"/>
  <c r="BB222" i="1" s="1"/>
  <c r="AO56" i="1"/>
  <c r="AZ56" i="1" s="1" a="1"/>
  <c r="AZ56" i="1" s="1"/>
  <c r="AM65" i="1"/>
  <c r="AX65" i="1" s="1" a="1"/>
  <c r="AX65" i="1" s="1"/>
  <c r="AN72" i="1"/>
  <c r="AY72" i="1" s="1" a="1"/>
  <c r="AY72" i="1" s="1"/>
  <c r="AM80" i="1"/>
  <c r="AX80" i="1" s="1" a="1"/>
  <c r="AX80" i="1" s="1"/>
  <c r="AN87" i="1"/>
  <c r="AY87" i="1" s="1" a="1"/>
  <c r="AY87" i="1" s="1"/>
  <c r="AO148" i="1"/>
  <c r="AZ148" i="1" s="1" a="1"/>
  <c r="AZ148" i="1" s="1"/>
  <c r="AN156" i="1"/>
  <c r="AY156" i="1" s="1" a="1"/>
  <c r="AY156" i="1" s="1"/>
  <c r="AN163" i="1"/>
  <c r="AY163" i="1" s="1" a="1"/>
  <c r="AY163" i="1" s="1"/>
  <c r="AO172" i="1"/>
  <c r="AZ172" i="1" s="1" a="1"/>
  <c r="AZ172" i="1" s="1"/>
  <c r="AN150" i="1"/>
  <c r="AY150" i="1" s="1" a="1"/>
  <c r="AY150" i="1" s="1"/>
  <c r="AQ84" i="1"/>
  <c r="BB84" i="1" s="1" a="1"/>
  <c r="BB84" i="1" s="1"/>
  <c r="AQ180" i="1"/>
  <c r="BB180" i="1" s="1" a="1"/>
  <c r="BB180" i="1" s="1"/>
  <c r="AN195" i="1"/>
  <c r="AY195" i="1" s="1" a="1"/>
  <c r="AY195" i="1" s="1"/>
  <c r="AM241" i="1"/>
  <c r="AX241" i="1" s="1" a="1"/>
  <c r="AX241" i="1" s="1"/>
  <c r="AO257" i="1"/>
  <c r="AZ257" i="1" s="1" a="1"/>
  <c r="AZ257" i="1" s="1"/>
  <c r="AQ244" i="1"/>
  <c r="BB244" i="1" s="1" a="1"/>
  <c r="BB244" i="1" s="1"/>
  <c r="AI256" i="1"/>
  <c r="AH261" i="1"/>
  <c r="AG261" i="1" s="1"/>
  <c r="AN293" i="1"/>
  <c r="AY293" i="1" s="1" a="1"/>
  <c r="AY293" i="1" s="1"/>
  <c r="AI287" i="1"/>
  <c r="AM244" i="1"/>
  <c r="AX244" i="1" s="1" a="1"/>
  <c r="AX244" i="1" s="1"/>
  <c r="AO260" i="1"/>
  <c r="AZ260" i="1" s="1" a="1"/>
  <c r="AZ260" i="1" s="1"/>
  <c r="AQ254" i="1"/>
  <c r="BB254" i="1" s="1" a="1"/>
  <c r="BB254" i="1" s="1"/>
  <c r="AI241" i="1"/>
  <c r="AH251" i="1"/>
  <c r="AG251" i="1" s="1"/>
  <c r="AJ256" i="1"/>
  <c r="AI261" i="1"/>
  <c r="AO293" i="1"/>
  <c r="AZ293" i="1" s="1" a="1"/>
  <c r="AZ293" i="1" s="1"/>
  <c r="AN313" i="1"/>
  <c r="AY313" i="1" s="1" a="1"/>
  <c r="AY313" i="1" s="1"/>
  <c r="AN244" i="1"/>
  <c r="AY244" i="1" s="1" a="1"/>
  <c r="AY244" i="1" s="1"/>
  <c r="AQ255" i="1"/>
  <c r="BB255" i="1" s="1" a="1"/>
  <c r="BB255" i="1" s="1"/>
  <c r="AO297" i="1"/>
  <c r="AZ297" i="1" s="1" a="1"/>
  <c r="AZ297" i="1" s="1"/>
  <c r="AO296" i="1"/>
  <c r="AZ296" i="1" s="1" a="1"/>
  <c r="AZ296" i="1" s="1"/>
  <c r="AJ58" i="1"/>
  <c r="AM55" i="1"/>
  <c r="AX55" i="1" s="1" a="1"/>
  <c r="AX55" i="1" s="1"/>
  <c r="AM60" i="1"/>
  <c r="AX60" i="1" s="1" a="1"/>
  <c r="AX60" i="1" s="1"/>
  <c r="AN65" i="1"/>
  <c r="AY65" i="1" s="1" a="1"/>
  <c r="AY65" i="1" s="1"/>
  <c r="AN70" i="1"/>
  <c r="AY70" i="1" s="1" a="1"/>
  <c r="AY70" i="1" s="1"/>
  <c r="AO75" i="1"/>
  <c r="AZ75" i="1" s="1" a="1"/>
  <c r="AZ75" i="1" s="1"/>
  <c r="AO81" i="1"/>
  <c r="AZ81" i="1" s="1" a="1"/>
  <c r="AZ81" i="1" s="1"/>
  <c r="AO86" i="1"/>
  <c r="AZ86" i="1" s="1" a="1"/>
  <c r="AZ86" i="1" s="1"/>
  <c r="AJ150" i="1"/>
  <c r="AO155" i="1"/>
  <c r="AZ155" i="1" s="1" a="1"/>
  <c r="AZ155" i="1" s="1"/>
  <c r="AO160" i="1"/>
  <c r="AZ160" i="1" s="1" a="1"/>
  <c r="AZ160" i="1" s="1"/>
  <c r="AN166" i="1"/>
  <c r="AY166" i="1" s="1" a="1"/>
  <c r="AY166" i="1" s="1"/>
  <c r="AM173" i="1"/>
  <c r="AX173" i="1" s="1" a="1"/>
  <c r="AX173" i="1" s="1"/>
  <c r="AN179" i="1"/>
  <c r="AY179" i="1" s="1" a="1"/>
  <c r="AY179" i="1" s="1"/>
  <c r="AQ85" i="1"/>
  <c r="BB85" i="1" s="1" a="1"/>
  <c r="BB85" i="1" s="1"/>
  <c r="AQ162" i="1"/>
  <c r="BB162" i="1" s="1" a="1"/>
  <c r="BB162" i="1" s="1"/>
  <c r="AM195" i="1"/>
  <c r="AX195" i="1" s="1" a="1"/>
  <c r="AX195" i="1" s="1"/>
  <c r="AO201" i="1"/>
  <c r="AZ201" i="1" s="1" a="1"/>
  <c r="AZ201" i="1" s="1"/>
  <c r="AN209" i="1"/>
  <c r="AY209" i="1" s="1" a="1"/>
  <c r="AY209" i="1" s="1"/>
  <c r="AN218" i="1"/>
  <c r="AY218" i="1" s="1" a="1"/>
  <c r="AY218" i="1" s="1"/>
  <c r="AQ190" i="1"/>
  <c r="BB190" i="1" s="1" a="1"/>
  <c r="BB190" i="1" s="1"/>
  <c r="AN247" i="1"/>
  <c r="AY247" i="1" s="1" a="1"/>
  <c r="AY247" i="1" s="1"/>
  <c r="AQ264" i="1"/>
  <c r="BB264" i="1" s="1" a="1"/>
  <c r="BB264" i="1" s="1"/>
  <c r="AN280" i="1"/>
  <c r="AY280" i="1" s="1" a="1"/>
  <c r="AY280" i="1" s="1"/>
  <c r="AN301" i="1"/>
  <c r="AY301" i="1" s="1" a="1"/>
  <c r="AY301" i="1" s="1"/>
  <c r="AJ60" i="1"/>
  <c r="AJ179" i="1"/>
  <c r="AO247" i="1"/>
  <c r="AZ247" i="1" s="1" a="1"/>
  <c r="AZ247" i="1" s="1"/>
  <c r="AN264" i="1"/>
  <c r="AY264" i="1" s="1" a="1"/>
  <c r="AY264" i="1" s="1"/>
  <c r="AQ265" i="1"/>
  <c r="BB265" i="1" s="1" a="1"/>
  <c r="BB265" i="1" s="1"/>
  <c r="AN283" i="1"/>
  <c r="AY283" i="1" s="1" a="1"/>
  <c r="AY283" i="1" s="1"/>
  <c r="AO250" i="1"/>
  <c r="AZ250" i="1" s="1" a="1"/>
  <c r="AZ250" i="1" s="1"/>
  <c r="AN267" i="1"/>
  <c r="AY267" i="1" s="1" a="1"/>
  <c r="AY267" i="1" s="1"/>
  <c r="AO283" i="1"/>
  <c r="AZ283" i="1" s="1" a="1"/>
  <c r="AZ283" i="1" s="1"/>
  <c r="AN302" i="1"/>
  <c r="AY302" i="1" s="1" a="1"/>
  <c r="AY302" i="1" s="1"/>
  <c r="AN234" i="1"/>
  <c r="AY234" i="1" s="1" a="1"/>
  <c r="AY234" i="1" s="1"/>
  <c r="AM251" i="1"/>
  <c r="AX251" i="1" s="1" a="1"/>
  <c r="AX251" i="1" s="1"/>
  <c r="AO267" i="1"/>
  <c r="AZ267" i="1" s="1" a="1"/>
  <c r="AZ267" i="1" s="1"/>
  <c r="AO286" i="1"/>
  <c r="AZ286" i="1" s="1" a="1"/>
  <c r="AZ286" i="1" s="1"/>
  <c r="AN305" i="1"/>
  <c r="AY305" i="1" s="1" a="1"/>
  <c r="AY305" i="1" s="1"/>
  <c r="AN237" i="1"/>
  <c r="AY237" i="1" s="1" a="1"/>
  <c r="AY237" i="1" s="1"/>
  <c r="AO270" i="1"/>
  <c r="AZ270" i="1" s="1" a="1"/>
  <c r="AZ270" i="1" s="1"/>
  <c r="AI235" i="1"/>
  <c r="AM287" i="1"/>
  <c r="AX287" i="1" s="1" a="1"/>
  <c r="AX287" i="1" s="1"/>
  <c r="AO305" i="1"/>
  <c r="AZ305" i="1" s="1" a="1"/>
  <c r="AZ305" i="1" s="1"/>
  <c r="AI282" i="1"/>
  <c r="AJ204" i="1"/>
  <c r="AN57" i="1"/>
  <c r="AY57" i="1" s="1" a="1"/>
  <c r="AY57" i="1" s="1"/>
  <c r="AN68" i="1"/>
  <c r="AY68" i="1" s="1" a="1"/>
  <c r="AY68" i="1" s="1"/>
  <c r="AO78" i="1"/>
  <c r="AZ78" i="1" s="1" a="1"/>
  <c r="AZ78" i="1" s="1"/>
  <c r="AM89" i="1"/>
  <c r="AX89" i="1" s="1" a="1"/>
  <c r="AX89" i="1" s="1"/>
  <c r="AM153" i="1"/>
  <c r="AX153" i="1" s="1" a="1"/>
  <c r="AX153" i="1" s="1"/>
  <c r="AO163" i="1"/>
  <c r="AZ163" i="1" s="1" a="1"/>
  <c r="AZ163" i="1" s="1"/>
  <c r="AQ56" i="1"/>
  <c r="BB56" i="1" s="1" a="1"/>
  <c r="BB56" i="1" s="1"/>
  <c r="AN190" i="1"/>
  <c r="AY190" i="1" s="1" a="1"/>
  <c r="AY190" i="1" s="1"/>
  <c r="AO237" i="1"/>
  <c r="AZ237" i="1" s="1" a="1"/>
  <c r="AZ237" i="1" s="1"/>
  <c r="AN254" i="1"/>
  <c r="AY254" i="1" s="1" a="1"/>
  <c r="AY254" i="1" s="1"/>
  <c r="AJ290" i="1"/>
  <c r="AO309" i="1"/>
  <c r="AZ309" i="1" s="1" a="1"/>
  <c r="AZ309" i="1" s="1"/>
  <c r="AJ314" i="1"/>
  <c r="AI294" i="1"/>
  <c r="AH290" i="1"/>
  <c r="AG290" i="1" s="1"/>
  <c r="AJ285" i="1"/>
  <c r="AO315" i="1"/>
  <c r="AZ315" i="1" s="1" a="1"/>
  <c r="AZ315" i="1" s="1"/>
  <c r="AN312" i="1"/>
  <c r="AY312" i="1" s="1" a="1"/>
  <c r="AY312" i="1" s="1"/>
  <c r="AO304" i="1"/>
  <c r="AZ304" i="1" s="1" a="1"/>
  <c r="AZ304" i="1" s="1"/>
  <c r="AN300" i="1"/>
  <c r="AY300" i="1" s="1" a="1"/>
  <c r="AY300" i="1" s="1"/>
  <c r="AO292" i="1"/>
  <c r="AZ292" i="1" s="1" a="1"/>
  <c r="AZ292" i="1" s="1"/>
  <c r="AN289" i="1"/>
  <c r="AY289" i="1" s="1" a="1"/>
  <c r="AY289" i="1" s="1"/>
  <c r="AM286" i="1"/>
  <c r="AX286" i="1" s="1" a="1"/>
  <c r="AX286" i="1" s="1"/>
  <c r="AO282" i="1"/>
  <c r="AZ282" i="1" s="1" a="1"/>
  <c r="AZ282" i="1" s="1"/>
  <c r="AN279" i="1"/>
  <c r="AY279" i="1" s="1" a="1"/>
  <c r="AY279" i="1" s="1"/>
  <c r="AI240" i="1"/>
  <c r="AI234" i="1"/>
  <c r="AQ262" i="1"/>
  <c r="BB262" i="1" s="1" a="1"/>
  <c r="BB262" i="1" s="1"/>
  <c r="AQ252" i="1"/>
  <c r="BB252" i="1" s="1" a="1"/>
  <c r="BB252" i="1" s="1"/>
  <c r="AQ241" i="1"/>
  <c r="BB241" i="1" s="1" a="1"/>
  <c r="BB241" i="1" s="1"/>
  <c r="AO266" i="1"/>
  <c r="AZ266" i="1" s="1" a="1"/>
  <c r="AZ266" i="1" s="1"/>
  <c r="AN263" i="1"/>
  <c r="AY263" i="1" s="1" a="1"/>
  <c r="AY263" i="1" s="1"/>
  <c r="AO256" i="1"/>
  <c r="AZ256" i="1" s="1" a="1"/>
  <c r="AZ256" i="1" s="1"/>
  <c r="AN253" i="1"/>
  <c r="AY253" i="1" s="1" a="1"/>
  <c r="AY253" i="1" s="1"/>
  <c r="AO246" i="1"/>
  <c r="AZ246" i="1" s="1" a="1"/>
  <c r="AZ246" i="1" s="1"/>
  <c r="AN243" i="1"/>
  <c r="AY243" i="1" s="1" a="1"/>
  <c r="AY243" i="1" s="1"/>
  <c r="AM240" i="1"/>
  <c r="AX240" i="1" s="1" a="1"/>
  <c r="AX240" i="1" s="1"/>
  <c r="AO236" i="1"/>
  <c r="AZ236" i="1" s="1" a="1"/>
  <c r="AZ236" i="1" s="1"/>
  <c r="AI285" i="1"/>
  <c r="AI280" i="1"/>
  <c r="AN315" i="1"/>
  <c r="AY315" i="1" s="1" a="1"/>
  <c r="AY315" i="1" s="1"/>
  <c r="AO308" i="1"/>
  <c r="AZ308" i="1" s="1" a="1"/>
  <c r="AZ308" i="1" s="1"/>
  <c r="AN304" i="1"/>
  <c r="AY304" i="1" s="1" a="1"/>
  <c r="AY304" i="1" s="1"/>
  <c r="AO295" i="1"/>
  <c r="AZ295" i="1" s="1" a="1"/>
  <c r="AZ295" i="1" s="1"/>
  <c r="AN292" i="1"/>
  <c r="AY292" i="1" s="1" a="1"/>
  <c r="AY292" i="1" s="1"/>
  <c r="AJ289" i="1"/>
  <c r="AO285" i="1"/>
  <c r="AZ285" i="1" s="1" a="1"/>
  <c r="AZ285" i="1" s="1"/>
  <c r="AN282" i="1"/>
  <c r="AY282" i="1" s="1" a="1"/>
  <c r="AY282" i="1" s="1"/>
  <c r="AJ238" i="1"/>
  <c r="AQ261" i="1"/>
  <c r="BB261" i="1" s="1" a="1"/>
  <c r="BB261" i="1" s="1"/>
  <c r="AQ251" i="1"/>
  <c r="BB251" i="1" s="1" a="1"/>
  <c r="BB251" i="1" s="1"/>
  <c r="AQ240" i="1"/>
  <c r="BB240" i="1" s="1" a="1"/>
  <c r="BB240" i="1" s="1"/>
  <c r="AO269" i="1"/>
  <c r="AZ269" i="1" s="1" a="1"/>
  <c r="AZ269" i="1" s="1"/>
  <c r="AN266" i="1"/>
  <c r="AY266" i="1" s="1" a="1"/>
  <c r="AY266" i="1" s="1"/>
  <c r="AO259" i="1"/>
  <c r="AZ259" i="1" s="1" a="1"/>
  <c r="AZ259" i="1" s="1"/>
  <c r="AN256" i="1"/>
  <c r="AY256" i="1" s="1" a="1"/>
  <c r="AY256" i="1" s="1"/>
  <c r="AO249" i="1"/>
  <c r="AZ249" i="1" s="1" a="1"/>
  <c r="AZ249" i="1" s="1"/>
  <c r="AN246" i="1"/>
  <c r="AY246" i="1" s="1" a="1"/>
  <c r="AY246" i="1" s="1"/>
  <c r="AO239" i="1"/>
  <c r="AZ239" i="1" s="1" a="1"/>
  <c r="AZ239" i="1" s="1"/>
  <c r="AN236" i="1"/>
  <c r="AY236" i="1" s="1" a="1"/>
  <c r="AY236" i="1" s="1"/>
  <c r="AQ210" i="1"/>
  <c r="BB210" i="1" s="1" a="1"/>
  <c r="BB210" i="1" s="1"/>
  <c r="AO224" i="1"/>
  <c r="AZ224" i="1" s="1" a="1"/>
  <c r="AZ224" i="1" s="1"/>
  <c r="AN211" i="1"/>
  <c r="AY211" i="1" s="1" a="1"/>
  <c r="AY211" i="1" s="1"/>
  <c r="AO204" i="1"/>
  <c r="AZ204" i="1" s="1" a="1"/>
  <c r="AZ204" i="1" s="1"/>
  <c r="AM198" i="1"/>
  <c r="AX198" i="1" s="1" a="1"/>
  <c r="AX198" i="1" s="1"/>
  <c r="AO190" i="1"/>
  <c r="AZ190" i="1" s="1" a="1"/>
  <c r="AZ190" i="1" s="1"/>
  <c r="AQ175" i="1"/>
  <c r="BB175" i="1" s="1" a="1"/>
  <c r="BB175" i="1" s="1"/>
  <c r="AQ155" i="1"/>
  <c r="BB155" i="1" s="1" a="1"/>
  <c r="BB155" i="1" s="1"/>
  <c r="AQ83" i="1"/>
  <c r="BB83" i="1" s="1" a="1"/>
  <c r="BB83" i="1" s="1"/>
  <c r="AQ62" i="1"/>
  <c r="BB62" i="1" s="1" a="1"/>
  <c r="BB62" i="1" s="1"/>
  <c r="AO179" i="1"/>
  <c r="AZ179" i="1" s="1" a="1"/>
  <c r="AZ179" i="1" s="1"/>
  <c r="AM174" i="1"/>
  <c r="AX174" i="1" s="1" a="1"/>
  <c r="AX174" i="1" s="1"/>
  <c r="AN168" i="1"/>
  <c r="AY168" i="1" s="1" a="1"/>
  <c r="AY168" i="1" s="1"/>
  <c r="AM163" i="1"/>
  <c r="AX163" i="1" s="1" a="1"/>
  <c r="AX163" i="1" s="1"/>
  <c r="AN158" i="1"/>
  <c r="AY158" i="1" s="1" a="1"/>
  <c r="AY158" i="1" s="1"/>
  <c r="AN153" i="1"/>
  <c r="AY153" i="1" s="1" a="1"/>
  <c r="AY153" i="1" s="1"/>
  <c r="AN148" i="1"/>
  <c r="AY148" i="1" s="1" a="1"/>
  <c r="AY148" i="1" s="1"/>
  <c r="AN90" i="1"/>
  <c r="AY90" i="1" s="1" a="1"/>
  <c r="AY90" i="1" s="1"/>
  <c r="AO85" i="1"/>
  <c r="AZ85" i="1" s="1" a="1"/>
  <c r="AZ85" i="1" s="1"/>
  <c r="AO80" i="1"/>
  <c r="AZ80" i="1" s="1" a="1"/>
  <c r="AZ80" i="1" s="1"/>
  <c r="AN76" i="1"/>
  <c r="AY76" i="1" s="1" a="1"/>
  <c r="AY76" i="1" s="1"/>
  <c r="AO71" i="1"/>
  <c r="AZ71" i="1" s="1" a="1"/>
  <c r="AZ71" i="1" s="1"/>
  <c r="AO66" i="1"/>
  <c r="AZ66" i="1" s="1" a="1"/>
  <c r="AZ66" i="1" s="1"/>
  <c r="AM62" i="1"/>
  <c r="AX62" i="1" s="1" a="1"/>
  <c r="AX62" i="1" s="1"/>
  <c r="AM57" i="1"/>
  <c r="AX57" i="1" s="1" a="1"/>
  <c r="AX57" i="1" s="1"/>
  <c r="AO216" i="1"/>
  <c r="AZ216" i="1" s="1" a="1"/>
  <c r="AZ216" i="1" s="1"/>
  <c r="AJ284" i="1"/>
  <c r="AO311" i="1"/>
  <c r="AZ311" i="1" s="1" a="1"/>
  <c r="AZ311" i="1" s="1"/>
  <c r="AN308" i="1"/>
  <c r="AY308" i="1" s="1" a="1"/>
  <c r="AY308" i="1" s="1"/>
  <c r="AO299" i="1"/>
  <c r="AZ299" i="1" s="1" a="1"/>
  <c r="AZ299" i="1" s="1"/>
  <c r="AN295" i="1"/>
  <c r="AY295" i="1" s="1" a="1"/>
  <c r="AY295" i="1" s="1"/>
  <c r="AO288" i="1"/>
  <c r="AZ288" i="1" s="1" a="1"/>
  <c r="AZ288" i="1" s="1"/>
  <c r="AN285" i="1"/>
  <c r="AY285" i="1" s="1" a="1"/>
  <c r="AY285" i="1" s="1"/>
  <c r="AI238" i="1"/>
  <c r="AQ270" i="1"/>
  <c r="BB270" i="1" s="1" a="1"/>
  <c r="BB270" i="1" s="1"/>
  <c r="AQ260" i="1"/>
  <c r="BB260" i="1" s="1" a="1"/>
  <c r="BB260" i="1" s="1"/>
  <c r="AQ238" i="1"/>
  <c r="BB238" i="1" s="1" a="1"/>
  <c r="BB238" i="1" s="1"/>
  <c r="AN269" i="1"/>
  <c r="AY269" i="1" s="1" a="1"/>
  <c r="AY269" i="1" s="1"/>
  <c r="AO262" i="1"/>
  <c r="AZ262" i="1" s="1" a="1"/>
  <c r="AZ262" i="1" s="1"/>
  <c r="AN259" i="1"/>
  <c r="AY259" i="1" s="1" a="1"/>
  <c r="AY259" i="1" s="1"/>
  <c r="AO252" i="1"/>
  <c r="AZ252" i="1" s="1" a="1"/>
  <c r="AZ252" i="1" s="1"/>
  <c r="AN249" i="1"/>
  <c r="AY249" i="1" s="1" a="1"/>
  <c r="AY249" i="1" s="1"/>
  <c r="AO242" i="1"/>
  <c r="AZ242" i="1" s="1" a="1"/>
  <c r="AZ242" i="1" s="1"/>
  <c r="AN239" i="1"/>
  <c r="AY239" i="1" s="1" a="1"/>
  <c r="AY239" i="1" s="1"/>
  <c r="AH199" i="1"/>
  <c r="AG199" i="1" s="1"/>
  <c r="AI194" i="1"/>
  <c r="AQ209" i="1"/>
  <c r="BB209" i="1" s="1" a="1"/>
  <c r="BB209" i="1" s="1"/>
  <c r="AN223" i="1"/>
  <c r="AY223" i="1" s="1" a="1"/>
  <c r="AY223" i="1" s="1"/>
  <c r="AM210" i="1"/>
  <c r="AX210" i="1" s="1" a="1"/>
  <c r="AX210" i="1" s="1"/>
  <c r="AH289" i="1"/>
  <c r="AG289" i="1" s="1"/>
  <c r="AI284" i="1"/>
  <c r="AI279" i="1"/>
  <c r="AO314" i="1"/>
  <c r="AZ314" i="1" s="1" a="1"/>
  <c r="AZ314" i="1" s="1"/>
  <c r="AN311" i="1"/>
  <c r="AY311" i="1" s="1" a="1"/>
  <c r="AY311" i="1" s="1"/>
  <c r="AO303" i="1"/>
  <c r="AZ303" i="1" s="1" a="1"/>
  <c r="AZ303" i="1" s="1"/>
  <c r="AN299" i="1"/>
  <c r="AY299" i="1" s="1" a="1"/>
  <c r="AY299" i="1" s="1"/>
  <c r="AO291" i="1"/>
  <c r="AZ291" i="1" s="1" a="1"/>
  <c r="AZ291" i="1" s="1"/>
  <c r="AN288" i="1"/>
  <c r="AY288" i="1" s="1" a="1"/>
  <c r="AY288" i="1" s="1"/>
  <c r="AM285" i="1"/>
  <c r="AX285" i="1" s="1" a="1"/>
  <c r="AX285" i="1" s="1"/>
  <c r="AO281" i="1"/>
  <c r="AZ281" i="1" s="1" a="1"/>
  <c r="AZ281" i="1" s="1"/>
  <c r="AI249" i="1"/>
  <c r="AQ269" i="1"/>
  <c r="BB269" i="1" s="1" a="1"/>
  <c r="BB269" i="1" s="1"/>
  <c r="AQ259" i="1"/>
  <c r="BB259" i="1" s="1" a="1"/>
  <c r="BB259" i="1" s="1"/>
  <c r="AQ249" i="1"/>
  <c r="BB249" i="1" s="1" a="1"/>
  <c r="BB249" i="1" s="1"/>
  <c r="AQ237" i="1"/>
  <c r="BB237" i="1" s="1" a="1"/>
  <c r="BB237" i="1" s="1"/>
  <c r="AM269" i="1"/>
  <c r="AX269" i="1" s="1" a="1"/>
  <c r="AX269" i="1" s="1"/>
  <c r="AO265" i="1"/>
  <c r="AZ265" i="1" s="1" a="1"/>
  <c r="AZ265" i="1" s="1"/>
  <c r="AN262" i="1"/>
  <c r="AY262" i="1" s="1" a="1"/>
  <c r="AY262" i="1" s="1"/>
  <c r="AO255" i="1"/>
  <c r="AZ255" i="1" s="1" a="1"/>
  <c r="AZ255" i="1" s="1"/>
  <c r="AN252" i="1"/>
  <c r="AY252" i="1" s="1" a="1"/>
  <c r="AY252" i="1" s="1"/>
  <c r="AO245" i="1"/>
  <c r="AZ245" i="1" s="1" a="1"/>
  <c r="AZ245" i="1" s="1"/>
  <c r="AN242" i="1"/>
  <c r="AY242" i="1" s="1" a="1"/>
  <c r="AY242" i="1" s="1"/>
  <c r="AM239" i="1"/>
  <c r="AX239" i="1" s="1" a="1"/>
  <c r="AX239" i="1" s="1"/>
  <c r="AO235" i="1"/>
  <c r="AZ235" i="1" s="1" a="1"/>
  <c r="AZ235" i="1" s="1"/>
  <c r="AJ283" i="1"/>
  <c r="AO306" i="1"/>
  <c r="AZ306" i="1" s="1" a="1"/>
  <c r="AZ306" i="1" s="1"/>
  <c r="AN314" i="1"/>
  <c r="AY314" i="1" s="1" a="1"/>
  <c r="AY314" i="1" s="1"/>
  <c r="AO307" i="1"/>
  <c r="AZ307" i="1" s="1" a="1"/>
  <c r="AZ307" i="1" s="1"/>
  <c r="AN303" i="1"/>
  <c r="AY303" i="1" s="1" a="1"/>
  <c r="AY303" i="1" s="1"/>
  <c r="AO294" i="1"/>
  <c r="AZ294" i="1" s="1" a="1"/>
  <c r="AZ294" i="1" s="1"/>
  <c r="AN291" i="1"/>
  <c r="AY291" i="1" s="1" a="1"/>
  <c r="AY291" i="1" s="1"/>
  <c r="AM288" i="1"/>
  <c r="AX288" i="1" s="1" a="1"/>
  <c r="AX288" i="1" s="1"/>
  <c r="AO284" i="1"/>
  <c r="AZ284" i="1" s="1" a="1"/>
  <c r="AZ284" i="1" s="1"/>
  <c r="AN281" i="1"/>
  <c r="AY281" i="1" s="1" a="1"/>
  <c r="AY281" i="1" s="1"/>
  <c r="AI243" i="1"/>
  <c r="AI237" i="1"/>
  <c r="AQ268" i="1"/>
  <c r="BB268" i="1" s="1" a="1"/>
  <c r="BB268" i="1" s="1"/>
  <c r="AQ258" i="1"/>
  <c r="BB258" i="1" s="1" a="1"/>
  <c r="BB258" i="1" s="1"/>
  <c r="AQ248" i="1"/>
  <c r="BB248" i="1" s="1" a="1"/>
  <c r="BB248" i="1" s="1"/>
  <c r="AQ236" i="1"/>
  <c r="BB236" i="1" s="1" a="1"/>
  <c r="BB236" i="1" s="1"/>
  <c r="AO268" i="1"/>
  <c r="AZ268" i="1" s="1" a="1"/>
  <c r="AZ268" i="1" s="1"/>
  <c r="AN265" i="1"/>
  <c r="AY265" i="1" s="1" a="1"/>
  <c r="AY265" i="1" s="1"/>
  <c r="AO258" i="1"/>
  <c r="AZ258" i="1" s="1" a="1"/>
  <c r="AZ258" i="1" s="1"/>
  <c r="AN255" i="1"/>
  <c r="AY255" i="1" s="1" a="1"/>
  <c r="AY255" i="1" s="1"/>
  <c r="AO248" i="1"/>
  <c r="AZ248" i="1" s="1" a="1"/>
  <c r="AZ248" i="1" s="1"/>
  <c r="AN245" i="1"/>
  <c r="AY245" i="1" s="1" a="1"/>
  <c r="AY245" i="1" s="1"/>
  <c r="AM242" i="1"/>
  <c r="AX242" i="1" s="1" a="1"/>
  <c r="AX242" i="1" s="1"/>
  <c r="AO238" i="1"/>
  <c r="AZ238" i="1" s="1" a="1"/>
  <c r="AZ238" i="1" s="1"/>
  <c r="AN235" i="1"/>
  <c r="AY235" i="1" s="1" a="1"/>
  <c r="AY235" i="1" s="1"/>
  <c r="AJ159" i="1"/>
  <c r="AH296" i="1"/>
  <c r="AG296" i="1" s="1"/>
  <c r="AI288" i="1"/>
  <c r="AI283" i="1"/>
  <c r="AN306" i="1"/>
  <c r="AY306" i="1" s="1" a="1"/>
  <c r="AY306" i="1" s="1"/>
  <c r="AM314" i="1"/>
  <c r="AX314" i="1" s="1" a="1"/>
  <c r="AX314" i="1" s="1"/>
  <c r="AO310" i="1"/>
  <c r="AZ310" i="1" s="1" a="1"/>
  <c r="AZ310" i="1" s="1"/>
  <c r="AN307" i="1"/>
  <c r="AY307" i="1" s="1" a="1"/>
  <c r="AY307" i="1" s="1"/>
  <c r="AO298" i="1"/>
  <c r="AZ298" i="1" s="1" a="1"/>
  <c r="AZ298" i="1" s="1"/>
  <c r="AN294" i="1"/>
  <c r="AY294" i="1" s="1" a="1"/>
  <c r="AY294" i="1" s="1"/>
  <c r="AO287" i="1"/>
  <c r="AZ287" i="1" s="1" a="1"/>
  <c r="AZ287" i="1" s="1"/>
  <c r="AN284" i="1"/>
  <c r="AY284" i="1" s="1" a="1"/>
  <c r="AY284" i="1" s="1"/>
  <c r="AJ269" i="1"/>
  <c r="AQ267" i="1"/>
  <c r="BB267" i="1" s="1" a="1"/>
  <c r="BB267" i="1" s="1"/>
  <c r="AQ257" i="1"/>
  <c r="BB257" i="1" s="1" a="1"/>
  <c r="BB257" i="1" s="1"/>
  <c r="AQ247" i="1"/>
  <c r="BB247" i="1" s="1" a="1"/>
  <c r="BB247" i="1" s="1"/>
  <c r="AQ235" i="1"/>
  <c r="BB235" i="1" s="1" a="1"/>
  <c r="BB235" i="1" s="1"/>
  <c r="AN268" i="1"/>
  <c r="AY268" i="1" s="1" a="1"/>
  <c r="AY268" i="1" s="1"/>
  <c r="AO261" i="1"/>
  <c r="AZ261" i="1" s="1" a="1"/>
  <c r="AZ261" i="1" s="1"/>
  <c r="AN258" i="1"/>
  <c r="AY258" i="1" s="1" a="1"/>
  <c r="AY258" i="1" s="1"/>
  <c r="AO251" i="1"/>
  <c r="AZ251" i="1" s="1" a="1"/>
  <c r="AZ251" i="1" s="1"/>
  <c r="AN248" i="1"/>
  <c r="AY248" i="1" s="1" a="1"/>
  <c r="AY248" i="1" s="1"/>
  <c r="AM245" i="1"/>
  <c r="AX245" i="1" s="1" a="1"/>
  <c r="AX245" i="1" s="1"/>
  <c r="AO241" i="1"/>
  <c r="AZ241" i="1" s="1" a="1"/>
  <c r="AZ241" i="1" s="1"/>
  <c r="AN238" i="1"/>
  <c r="AY238" i="1" s="1" a="1"/>
  <c r="AY238" i="1" s="1"/>
  <c r="AH155" i="1"/>
  <c r="AG155" i="1" s="1"/>
  <c r="AO301" i="1"/>
  <c r="AZ301" i="1" s="1" a="1"/>
  <c r="AZ301" i="1" s="1"/>
  <c r="AO313" i="1"/>
  <c r="AZ313" i="1" s="1" a="1"/>
  <c r="AZ313" i="1" s="1"/>
  <c r="AN310" i="1"/>
  <c r="AY310" i="1" s="1" a="1"/>
  <c r="AY310" i="1" s="1"/>
  <c r="AO302" i="1"/>
  <c r="AZ302" i="1" s="1" a="1"/>
  <c r="AZ302" i="1" s="1"/>
  <c r="AN298" i="1"/>
  <c r="AY298" i="1" s="1" a="1"/>
  <c r="AY298" i="1" s="1"/>
  <c r="AO290" i="1"/>
  <c r="AZ290" i="1" s="1" a="1"/>
  <c r="AZ290" i="1" s="1"/>
  <c r="AN287" i="1"/>
  <c r="AY287" i="1" s="1" a="1"/>
  <c r="AY287" i="1" s="1"/>
  <c r="AO280" i="1"/>
  <c r="AZ280" i="1" s="1" a="1"/>
  <c r="AZ280" i="1" s="1"/>
  <c r="AJ261" i="1"/>
  <c r="AI242" i="1"/>
  <c r="AI236" i="1"/>
  <c r="AQ266" i="1"/>
  <c r="BB266" i="1" s="1" a="1"/>
  <c r="BB266" i="1" s="1"/>
  <c r="AQ256" i="1"/>
  <c r="BB256" i="1" s="1" a="1"/>
  <c r="BB256" i="1" s="1"/>
  <c r="AQ234" i="1"/>
  <c r="BB234" i="1" s="1" a="1"/>
  <c r="BB234" i="1" s="1"/>
  <c r="AO264" i="1"/>
  <c r="AZ264" i="1" s="1" a="1"/>
  <c r="AZ264" i="1" s="1"/>
  <c r="AN261" i="1"/>
  <c r="AY261" i="1" s="1" a="1"/>
  <c r="AY261" i="1" s="1"/>
  <c r="AO254" i="1"/>
  <c r="AZ254" i="1" s="1" a="1"/>
  <c r="AZ254" i="1" s="1"/>
  <c r="AN251" i="1"/>
  <c r="AY251" i="1" s="1" a="1"/>
  <c r="AY251" i="1" s="1"/>
  <c r="AO244" i="1"/>
  <c r="AZ244" i="1" s="1" a="1"/>
  <c r="AZ244" i="1" s="1"/>
  <c r="AN241" i="1"/>
  <c r="AY241" i="1" s="1" a="1"/>
  <c r="AY241" i="1" s="1"/>
  <c r="AO234" i="1"/>
  <c r="AZ234" i="1" s="1" a="1"/>
  <c r="AZ234" i="1" s="1"/>
  <c r="AJ294" i="1"/>
  <c r="AI286" i="1"/>
  <c r="AI281" i="1"/>
  <c r="AN296" i="1"/>
  <c r="AY296" i="1" s="1" a="1"/>
  <c r="AY296" i="1" s="1"/>
  <c r="AO312" i="1"/>
  <c r="AZ312" i="1" s="1" a="1"/>
  <c r="AZ312" i="1" s="1"/>
  <c r="AN309" i="1"/>
  <c r="AY309" i="1" s="1" a="1"/>
  <c r="AY309" i="1" s="1"/>
  <c r="AO300" i="1"/>
  <c r="AZ300" i="1" s="1" a="1"/>
  <c r="AZ300" i="1" s="1"/>
  <c r="AN297" i="1"/>
  <c r="AY297" i="1" s="1" a="1"/>
  <c r="AY297" i="1" s="1"/>
  <c r="AM293" i="1"/>
  <c r="AX293" i="1" s="1" a="1"/>
  <c r="AX293" i="1" s="1"/>
  <c r="AO289" i="1"/>
  <c r="AZ289" i="1" s="1" a="1"/>
  <c r="AZ289" i="1" s="1"/>
  <c r="AN286" i="1"/>
  <c r="AY286" i="1" s="1" a="1"/>
  <c r="AY286" i="1" s="1"/>
  <c r="AO279" i="1"/>
  <c r="AZ279" i="1" s="1" a="1"/>
  <c r="AZ279" i="1" s="1"/>
  <c r="AH256" i="1"/>
  <c r="AG256" i="1" s="1"/>
  <c r="AJ240" i="1"/>
  <c r="AQ263" i="1"/>
  <c r="BB263" i="1" s="1" a="1"/>
  <c r="BB263" i="1" s="1"/>
  <c r="AQ253" i="1"/>
  <c r="BB253" i="1" s="1" a="1"/>
  <c r="BB253" i="1" s="1"/>
  <c r="AQ242" i="1"/>
  <c r="BB242" i="1" s="1" a="1"/>
  <c r="BB242" i="1" s="1"/>
  <c r="AN270" i="1"/>
  <c r="AY270" i="1" s="1" a="1"/>
  <c r="AY270" i="1" s="1"/>
  <c r="AO263" i="1"/>
  <c r="AZ263" i="1" s="1" a="1"/>
  <c r="AZ263" i="1" s="1"/>
  <c r="AN260" i="1"/>
  <c r="AY260" i="1" s="1" a="1"/>
  <c r="AY260" i="1" s="1"/>
  <c r="AO253" i="1"/>
  <c r="AZ253" i="1" s="1" a="1"/>
  <c r="AZ253" i="1" s="1"/>
  <c r="AN250" i="1"/>
  <c r="AY250" i="1" s="1" a="1"/>
  <c r="AY250" i="1" s="1"/>
  <c r="AO243" i="1"/>
  <c r="AZ243" i="1" s="1" a="1"/>
  <c r="AZ243" i="1" s="1"/>
  <c r="AN240" i="1"/>
  <c r="AY240" i="1" s="1" a="1"/>
  <c r="AY240" i="1" s="1"/>
  <c r="AM237" i="1"/>
  <c r="AX237" i="1" s="1" a="1"/>
  <c r="AX237" i="1" s="1"/>
  <c r="AJ224" i="1"/>
  <c r="AH200" i="1"/>
  <c r="AG200" i="1" s="1"/>
  <c r="AJ195" i="1"/>
  <c r="AJ148" i="1"/>
  <c r="AQ72" i="1"/>
  <c r="BB72" i="1" s="1" a="1"/>
  <c r="BB72" i="1" s="1"/>
  <c r="AQ170" i="1"/>
  <c r="BB170" i="1" s="1" a="1"/>
  <c r="BB170" i="1" s="1"/>
  <c r="AM190" i="1"/>
  <c r="AX190" i="1" s="1" a="1"/>
  <c r="AX190" i="1" s="1"/>
  <c r="AO196" i="1"/>
  <c r="AZ196" i="1" s="1" a="1"/>
  <c r="AZ196" i="1" s="1"/>
  <c r="AM205" i="1"/>
  <c r="AX205" i="1" s="1" a="1"/>
  <c r="AX205" i="1" s="1"/>
  <c r="AN221" i="1"/>
  <c r="AY221" i="1" s="1" a="1"/>
  <c r="AY221" i="1" s="1"/>
  <c r="AQ203" i="1"/>
  <c r="BB203" i="1" s="1" a="1"/>
  <c r="BB203" i="1" s="1"/>
  <c r="AI154" i="1"/>
  <c r="AM63" i="1"/>
  <c r="AX63" i="1" s="1" a="1"/>
  <c r="AX63" i="1" s="1"/>
  <c r="AN73" i="1"/>
  <c r="AY73" i="1" s="1" a="1"/>
  <c r="AY73" i="1" s="1"/>
  <c r="AO83" i="1"/>
  <c r="AZ83" i="1" s="1" a="1"/>
  <c r="AZ83" i="1" s="1"/>
  <c r="AO158" i="1"/>
  <c r="AZ158" i="1" s="1" a="1"/>
  <c r="AZ158" i="1" s="1"/>
  <c r="AO169" i="1"/>
  <c r="AZ169" i="1" s="1" a="1"/>
  <c r="AZ169" i="1" s="1"/>
  <c r="AN176" i="1"/>
  <c r="AY176" i="1" s="1" a="1"/>
  <c r="AY176" i="1" s="1"/>
  <c r="AQ73" i="1"/>
  <c r="BB73" i="1" s="1" a="1"/>
  <c r="BB73" i="1" s="1"/>
  <c r="AQ173" i="1"/>
  <c r="BB173" i="1" s="1" a="1"/>
  <c r="BB173" i="1" s="1"/>
  <c r="AN198" i="1"/>
  <c r="AY198" i="1" s="1" a="1"/>
  <c r="AY198" i="1" s="1"/>
  <c r="AN213" i="1"/>
  <c r="AY213" i="1" s="1" a="1"/>
  <c r="AY213" i="1" s="1"/>
  <c r="AO221" i="1"/>
  <c r="AZ221" i="1" s="1" a="1"/>
  <c r="AZ221" i="1" s="1"/>
  <c r="AQ204" i="1"/>
  <c r="BB204" i="1" s="1" a="1"/>
  <c r="BB204" i="1" s="1"/>
  <c r="AJ89" i="1"/>
  <c r="AJ149" i="1"/>
  <c r="AJ154" i="1"/>
  <c r="AN58" i="1"/>
  <c r="AY58" i="1" s="1" a="1"/>
  <c r="AY58" i="1" s="1"/>
  <c r="AN63" i="1"/>
  <c r="AY63" i="1" s="1" a="1"/>
  <c r="AY63" i="1" s="1"/>
  <c r="AO68" i="1"/>
  <c r="AZ68" i="1" s="1" a="1"/>
  <c r="AZ68" i="1" s="1"/>
  <c r="AO73" i="1"/>
  <c r="AZ73" i="1" s="1" a="1"/>
  <c r="AZ73" i="1" s="1"/>
  <c r="AM79" i="1"/>
  <c r="AX79" i="1" s="1" a="1"/>
  <c r="AX79" i="1" s="1"/>
  <c r="AM84" i="1"/>
  <c r="AX84" i="1" s="1" a="1"/>
  <c r="AX84" i="1" s="1"/>
  <c r="AO89" i="1"/>
  <c r="AZ89" i="1" s="1" a="1"/>
  <c r="AZ89" i="1" s="1"/>
  <c r="AM148" i="1"/>
  <c r="AX148" i="1" s="1" a="1"/>
  <c r="AX148" i="1" s="1"/>
  <c r="AO153" i="1"/>
  <c r="AZ153" i="1" s="1" a="1"/>
  <c r="AZ153" i="1" s="1"/>
  <c r="AM159" i="1"/>
  <c r="AX159" i="1" s="1" a="1"/>
  <c r="AX159" i="1" s="1"/>
  <c r="AM164" i="1"/>
  <c r="AX164" i="1" s="1" a="1"/>
  <c r="AX164" i="1" s="1"/>
  <c r="AM170" i="1"/>
  <c r="AX170" i="1" s="1" a="1"/>
  <c r="AX170" i="1" s="1"/>
  <c r="AM177" i="1"/>
  <c r="AX177" i="1" s="1" a="1"/>
  <c r="AX177" i="1" s="1"/>
  <c r="AQ57" i="1"/>
  <c r="BB57" i="1" s="1" a="1"/>
  <c r="BB57" i="1" s="1"/>
  <c r="AQ78" i="1"/>
  <c r="BB78" i="1" s="1" a="1"/>
  <c r="BB78" i="1" s="1"/>
  <c r="AQ148" i="1"/>
  <c r="BB148" i="1" s="1" a="1"/>
  <c r="BB148" i="1" s="1"/>
  <c r="AQ174" i="1"/>
  <c r="BB174" i="1" s="1" a="1"/>
  <c r="BB174" i="1" s="1"/>
  <c r="AN191" i="1"/>
  <c r="AY191" i="1" s="1" a="1"/>
  <c r="AY191" i="1" s="1"/>
  <c r="AN199" i="1"/>
  <c r="AY199" i="1" s="1" a="1"/>
  <c r="AY199" i="1" s="1"/>
  <c r="AN206" i="1"/>
  <c r="AY206" i="1" s="1" a="1"/>
  <c r="AY206" i="1" s="1"/>
  <c r="AO214" i="1"/>
  <c r="AZ214" i="1" s="1" a="1"/>
  <c r="AZ214" i="1" s="1"/>
  <c r="AO222" i="1"/>
  <c r="AZ222" i="1" s="1" a="1"/>
  <c r="AZ222" i="1" s="1"/>
  <c r="AQ214" i="1"/>
  <c r="BB214" i="1" s="1" a="1"/>
  <c r="BB214" i="1" s="1"/>
  <c r="AO240" i="1"/>
  <c r="AZ240" i="1" s="1" a="1"/>
  <c r="AZ240" i="1" s="1"/>
  <c r="AN257" i="1"/>
  <c r="AY257" i="1" s="1" a="1"/>
  <c r="AY257" i="1" s="1"/>
  <c r="AQ243" i="1"/>
  <c r="BB243" i="1" s="1" a="1"/>
  <c r="BB243" i="1" s="1"/>
  <c r="AN290" i="1"/>
  <c r="AY290" i="1" s="1" a="1"/>
  <c r="AY290" i="1" s="1"/>
  <c r="AO198" i="1"/>
  <c r="AZ198" i="1" s="1" a="1"/>
  <c r="AZ198" i="1" s="1"/>
  <c r="AN205" i="1"/>
  <c r="AY205" i="1" s="1" a="1"/>
  <c r="AY205" i="1" s="1"/>
  <c r="AO218" i="1"/>
  <c r="AZ218" i="1" s="1" a="1"/>
  <c r="AZ218" i="1" s="1"/>
  <c r="AN225" i="1"/>
  <c r="AY225" i="1" s="1" a="1"/>
  <c r="AY225" i="1" s="1"/>
  <c r="AQ199" i="1"/>
  <c r="BB199" i="1" s="1" a="1"/>
  <c r="BB199" i="1" s="1"/>
  <c r="AQ211" i="1"/>
  <c r="BB211" i="1" s="1" a="1"/>
  <c r="BB211" i="1" s="1"/>
  <c r="AQ223" i="1"/>
  <c r="BB223" i="1" s="1" a="1"/>
  <c r="BB223" i="1" s="1"/>
  <c r="AO208" i="1"/>
  <c r="AZ208" i="1" s="1" a="1"/>
  <c r="AZ208" i="1" s="1"/>
  <c r="AN215" i="1"/>
  <c r="AY215" i="1" s="1" a="1"/>
  <c r="AY215" i="1" s="1"/>
  <c r="AM56" i="1"/>
  <c r="AX56" i="1" s="1" a="1"/>
  <c r="AX56" i="1" s="1"/>
  <c r="AN59" i="1"/>
  <c r="AY59" i="1" s="1" a="1"/>
  <c r="AY59" i="1" s="1"/>
  <c r="AO62" i="1"/>
  <c r="AZ62" i="1" s="1" a="1"/>
  <c r="AZ62" i="1" s="1"/>
  <c r="AN69" i="1"/>
  <c r="AY69" i="1" s="1" a="1"/>
  <c r="AY69" i="1" s="1"/>
  <c r="AO72" i="1"/>
  <c r="AZ72" i="1" s="1" a="1"/>
  <c r="AZ72" i="1" s="1"/>
  <c r="AM76" i="1"/>
  <c r="AX76" i="1" s="1" a="1"/>
  <c r="AX76" i="1" s="1"/>
  <c r="AN79" i="1"/>
  <c r="AY79" i="1" s="1" a="1"/>
  <c r="AY79" i="1" s="1"/>
  <c r="AO82" i="1"/>
  <c r="AZ82" i="1" s="1" a="1"/>
  <c r="AZ82" i="1" s="1"/>
  <c r="AN89" i="1"/>
  <c r="AY89" i="1" s="1" a="1"/>
  <c r="AY89" i="1" s="1"/>
  <c r="AM149" i="1"/>
  <c r="AX149" i="1" s="1" a="1"/>
  <c r="AX149" i="1" s="1"/>
  <c r="AO152" i="1"/>
  <c r="AZ152" i="1" s="1" a="1"/>
  <c r="AZ152" i="1" s="1"/>
  <c r="AN159" i="1"/>
  <c r="AY159" i="1" s="1" a="1"/>
  <c r="AY159" i="1" s="1"/>
  <c r="AO162" i="1"/>
  <c r="AZ162" i="1" s="1" a="1"/>
  <c r="AZ162" i="1" s="1"/>
  <c r="AM166" i="1"/>
  <c r="AX166" i="1" s="1" a="1"/>
  <c r="AX166" i="1" s="1"/>
  <c r="AN169" i="1"/>
  <c r="AY169" i="1" s="1" a="1"/>
  <c r="AY169" i="1" s="1"/>
  <c r="AN173" i="1"/>
  <c r="AY173" i="1" s="1" a="1"/>
  <c r="AY173" i="1" s="1"/>
  <c r="AO176" i="1"/>
  <c r="AZ176" i="1" s="1" a="1"/>
  <c r="AZ176" i="1" s="1"/>
  <c r="AM180" i="1"/>
  <c r="AX180" i="1" s="1" a="1"/>
  <c r="AX180" i="1" s="1"/>
  <c r="AQ59" i="1"/>
  <c r="BB59" i="1" s="1" a="1"/>
  <c r="BB59" i="1" s="1"/>
  <c r="AQ69" i="1"/>
  <c r="BB69" i="1" s="1" a="1"/>
  <c r="BB69" i="1" s="1"/>
  <c r="AQ82" i="1"/>
  <c r="BB82" i="1" s="1" a="1"/>
  <c r="BB82" i="1" s="1"/>
  <c r="AQ158" i="1"/>
  <c r="BB158" i="1" s="1" a="1"/>
  <c r="BB158" i="1" s="1"/>
  <c r="AQ172" i="1"/>
  <c r="BB172" i="1" s="1" a="1"/>
  <c r="BB172" i="1" s="1"/>
  <c r="AM191" i="1"/>
  <c r="AX191" i="1" s="1" a="1"/>
  <c r="AX191" i="1" s="1"/>
  <c r="AO195" i="1"/>
  <c r="AZ195" i="1" s="1" a="1"/>
  <c r="AZ195" i="1" s="1"/>
  <c r="AM199" i="1"/>
  <c r="AX199" i="1" s="1" a="1"/>
  <c r="AX199" i="1" s="1"/>
  <c r="AN202" i="1"/>
  <c r="AY202" i="1" s="1" a="1"/>
  <c r="AY202" i="1" s="1"/>
  <c r="AO205" i="1"/>
  <c r="AZ205" i="1" s="1" a="1"/>
  <c r="AZ205" i="1" s="1"/>
  <c r="AN212" i="1"/>
  <c r="AY212" i="1" s="1" a="1"/>
  <c r="AY212" i="1" s="1"/>
  <c r="AO215" i="1"/>
  <c r="AZ215" i="1" s="1" a="1"/>
  <c r="AZ215" i="1" s="1"/>
  <c r="AN222" i="1"/>
  <c r="AY222" i="1" s="1" a="1"/>
  <c r="AY222" i="1" s="1"/>
  <c r="AO225" i="1"/>
  <c r="AZ225" i="1" s="1" a="1"/>
  <c r="AZ225" i="1" s="1"/>
  <c r="AQ200" i="1"/>
  <c r="BB200" i="1" s="1" a="1"/>
  <c r="BB200" i="1" s="1"/>
  <c r="AQ212" i="1"/>
  <c r="BB212" i="1" s="1" a="1"/>
  <c r="BB212" i="1" s="1"/>
  <c r="AQ224" i="1"/>
  <c r="BB224" i="1" s="1" a="1"/>
  <c r="BB224" i="1" s="1"/>
  <c r="AQ202" i="1"/>
  <c r="BB202" i="1" s="1" a="1"/>
  <c r="BB202" i="1" s="1"/>
  <c r="AQ213" i="1"/>
  <c r="BB213" i="1" s="1" a="1"/>
  <c r="BB213" i="1" s="1"/>
  <c r="AQ225" i="1"/>
  <c r="BB225" i="1" s="1" a="1"/>
  <c r="BB225" i="1" s="1"/>
  <c r="AQ164" i="1"/>
  <c r="BB164" i="1" s="1" a="1"/>
  <c r="BB164" i="1" s="1"/>
  <c r="AM197" i="1"/>
  <c r="AX197" i="1" s="1" a="1"/>
  <c r="AX197" i="1" s="1"/>
  <c r="AN210" i="1"/>
  <c r="AY210" i="1" s="1" a="1"/>
  <c r="AY210" i="1" s="1"/>
  <c r="AN220" i="1"/>
  <c r="AY220" i="1" s="1" a="1"/>
  <c r="AY220" i="1" s="1"/>
  <c r="AQ192" i="1"/>
  <c r="BB192" i="1" s="1" a="1"/>
  <c r="BB192" i="1" s="1"/>
  <c r="AQ206" i="1"/>
  <c r="BB206" i="1" s="1" a="1"/>
  <c r="BB206" i="1" s="1"/>
  <c r="AQ217" i="1"/>
  <c r="BB217" i="1" s="1" a="1"/>
  <c r="BB217" i="1" s="1"/>
  <c r="AO170" i="1"/>
  <c r="AZ170" i="1" s="1" a="1"/>
  <c r="AZ170" i="1" s="1"/>
  <c r="AM178" i="1"/>
  <c r="AX178" i="1" s="1" a="1"/>
  <c r="AX178" i="1" s="1"/>
  <c r="AQ86" i="1"/>
  <c r="BB86" i="1" s="1" a="1"/>
  <c r="BB86" i="1" s="1"/>
  <c r="AQ177" i="1"/>
  <c r="BB177" i="1" s="1" a="1"/>
  <c r="BB177" i="1" s="1"/>
  <c r="AN192" i="1"/>
  <c r="AY192" i="1" s="1" a="1"/>
  <c r="AY192" i="1" s="1"/>
  <c r="AN200" i="1"/>
  <c r="AY200" i="1" s="1" a="1"/>
  <c r="AY200" i="1" s="1"/>
  <c r="AO213" i="1"/>
  <c r="AZ213" i="1" s="1" a="1"/>
  <c r="AZ213" i="1" s="1"/>
  <c r="AO223" i="1"/>
  <c r="AZ223" i="1" s="1" a="1"/>
  <c r="AZ223" i="1" s="1"/>
  <c r="AN54" i="1"/>
  <c r="AY54" i="1" s="1" a="1"/>
  <c r="AY54" i="1" s="1"/>
  <c r="AO57" i="1"/>
  <c r="AZ57" i="1" s="1" a="1"/>
  <c r="AZ57" i="1" s="1"/>
  <c r="AM61" i="1"/>
  <c r="AX61" i="1" s="1" a="1"/>
  <c r="AX61" i="1" s="1"/>
  <c r="AN64" i="1"/>
  <c r="AY64" i="1" s="1" a="1"/>
  <c r="AY64" i="1" s="1"/>
  <c r="AO67" i="1"/>
  <c r="AZ67" i="1" s="1" a="1"/>
  <c r="AZ67" i="1" s="1"/>
  <c r="AM71" i="1"/>
  <c r="AX71" i="1" s="1" a="1"/>
  <c r="AX71" i="1" s="1"/>
  <c r="AN74" i="1"/>
  <c r="AY74" i="1" s="1" a="1"/>
  <c r="AY74" i="1" s="1"/>
  <c r="AO77" i="1"/>
  <c r="AZ77" i="1" s="1" a="1"/>
  <c r="AZ77" i="1" s="1"/>
  <c r="AM81" i="1"/>
  <c r="AX81" i="1" s="1" a="1"/>
  <c r="AX81" i="1" s="1"/>
  <c r="AN84" i="1"/>
  <c r="AY84" i="1" s="1" a="1"/>
  <c r="AY84" i="1" s="1"/>
  <c r="AO87" i="1"/>
  <c r="AZ87" i="1" s="1" a="1"/>
  <c r="AZ87" i="1" s="1"/>
  <c r="AJ151" i="1"/>
  <c r="AN154" i="1"/>
  <c r="AY154" i="1" s="1" a="1"/>
  <c r="AY154" i="1" s="1"/>
  <c r="AO157" i="1"/>
  <c r="AZ157" i="1" s="1" a="1"/>
  <c r="AZ157" i="1" s="1"/>
  <c r="AM161" i="1"/>
  <c r="AX161" i="1" s="1" a="1"/>
  <c r="AX161" i="1" s="1"/>
  <c r="AN164" i="1"/>
  <c r="AY164" i="1" s="1" a="1"/>
  <c r="AY164" i="1" s="1"/>
  <c r="AO167" i="1"/>
  <c r="AZ167" i="1" s="1" a="1"/>
  <c r="AZ167" i="1" s="1"/>
  <c r="AM171" i="1"/>
  <c r="AX171" i="1" s="1" a="1"/>
  <c r="AX171" i="1" s="1"/>
  <c r="AM175" i="1"/>
  <c r="AX175" i="1" s="1" a="1"/>
  <c r="AX175" i="1" s="1"/>
  <c r="AN178" i="1"/>
  <c r="AY178" i="1" s="1" a="1"/>
  <c r="AY178" i="1" s="1"/>
  <c r="AQ54" i="1"/>
  <c r="BB54" i="1" s="1" a="1"/>
  <c r="BB54" i="1" s="1"/>
  <c r="AQ64" i="1"/>
  <c r="BB64" i="1" s="1" a="1"/>
  <c r="BB64" i="1" s="1"/>
  <c r="AQ75" i="1"/>
  <c r="BB75" i="1" s="1" a="1"/>
  <c r="BB75" i="1" s="1"/>
  <c r="AQ87" i="1"/>
  <c r="BB87" i="1" s="1" a="1"/>
  <c r="BB87" i="1" s="1"/>
  <c r="AQ152" i="1"/>
  <c r="BB152" i="1" s="1" a="1"/>
  <c r="BB152" i="1" s="1"/>
  <c r="AQ165" i="1"/>
  <c r="BB165" i="1" s="1" a="1"/>
  <c r="BB165" i="1" s="1"/>
  <c r="AQ178" i="1"/>
  <c r="BB178" i="1" s="1" a="1"/>
  <c r="BB178" i="1" s="1"/>
  <c r="AN189" i="1"/>
  <c r="AY189" i="1" s="1" a="1"/>
  <c r="AY189" i="1" s="1"/>
  <c r="AO192" i="1"/>
  <c r="AZ192" i="1" s="1" a="1"/>
  <c r="AZ192" i="1" s="1"/>
  <c r="AN197" i="1"/>
  <c r="AY197" i="1" s="1" a="1"/>
  <c r="AY197" i="1" s="1"/>
  <c r="AO200" i="1"/>
  <c r="AZ200" i="1" s="1" a="1"/>
  <c r="AZ200" i="1" s="1"/>
  <c r="AM204" i="1"/>
  <c r="AX204" i="1" s="1" a="1"/>
  <c r="AX204" i="1" s="1"/>
  <c r="AN207" i="1"/>
  <c r="AY207" i="1" s="1" a="1"/>
  <c r="AY207" i="1" s="1"/>
  <c r="AO210" i="1"/>
  <c r="AZ210" i="1" s="1" a="1"/>
  <c r="AZ210" i="1" s="1"/>
  <c r="AN217" i="1"/>
  <c r="AY217" i="1" s="1" a="1"/>
  <c r="AY217" i="1" s="1"/>
  <c r="AO220" i="1"/>
  <c r="AZ220" i="1" s="1" a="1"/>
  <c r="AZ220" i="1" s="1"/>
  <c r="AM224" i="1"/>
  <c r="AX224" i="1" s="1" a="1"/>
  <c r="AX224" i="1" s="1"/>
  <c r="AQ195" i="1"/>
  <c r="BB195" i="1" s="1" a="1"/>
  <c r="BB195" i="1" s="1"/>
  <c r="AQ207" i="1"/>
  <c r="BB207" i="1" s="1" a="1"/>
  <c r="BB207" i="1" s="1"/>
  <c r="AQ218" i="1"/>
  <c r="BB218" i="1" s="1" a="1"/>
  <c r="BB218" i="1" s="1"/>
  <c r="AN167" i="1"/>
  <c r="AY167" i="1" s="1" a="1"/>
  <c r="AY167" i="1" s="1"/>
  <c r="AO174" i="1"/>
  <c r="AZ174" i="1" s="1" a="1"/>
  <c r="AZ174" i="1" s="1"/>
  <c r="AQ63" i="1"/>
  <c r="BB63" i="1" s="1" a="1"/>
  <c r="BB63" i="1" s="1"/>
  <c r="AQ74" i="1"/>
  <c r="BB74" i="1" s="1" a="1"/>
  <c r="BB74" i="1" s="1"/>
  <c r="AQ149" i="1"/>
  <c r="BB149" i="1" s="1" a="1"/>
  <c r="BB149" i="1" s="1"/>
  <c r="AM189" i="1"/>
  <c r="AX189" i="1" s="1" a="1"/>
  <c r="AX189" i="1" s="1"/>
  <c r="AO203" i="1"/>
  <c r="AZ203" i="1" s="1" a="1"/>
  <c r="AZ203" i="1" s="1"/>
  <c r="AO54" i="1"/>
  <c r="AZ54" i="1" s="1" a="1"/>
  <c r="AZ54" i="1" s="1"/>
  <c r="AM58" i="1"/>
  <c r="AX58" i="1" s="1" a="1"/>
  <c r="AX58" i="1" s="1"/>
  <c r="AN61" i="1"/>
  <c r="AY61" i="1" s="1" a="1"/>
  <c r="AY61" i="1" s="1"/>
  <c r="AO64" i="1"/>
  <c r="AZ64" i="1" s="1" a="1"/>
  <c r="AZ64" i="1" s="1"/>
  <c r="AN71" i="1"/>
  <c r="AY71" i="1" s="1" a="1"/>
  <c r="AY71" i="1" s="1"/>
  <c r="AO74" i="1"/>
  <c r="AZ74" i="1" s="1" a="1"/>
  <c r="AZ74" i="1" s="1"/>
  <c r="AM78" i="1"/>
  <c r="AX78" i="1" s="1" a="1"/>
  <c r="AX78" i="1" s="1"/>
  <c r="AN81" i="1"/>
  <c r="AY81" i="1" s="1" a="1"/>
  <c r="AY81" i="1" s="1"/>
  <c r="AO84" i="1"/>
  <c r="AZ84" i="1" s="1" a="1"/>
  <c r="AZ84" i="1" s="1"/>
  <c r="AN151" i="1"/>
  <c r="AY151" i="1" s="1" a="1"/>
  <c r="AY151" i="1" s="1"/>
  <c r="AO154" i="1"/>
  <c r="AZ154" i="1" s="1" a="1"/>
  <c r="AZ154" i="1" s="1"/>
  <c r="AI158" i="1"/>
  <c r="AN161" i="1"/>
  <c r="AY161" i="1" s="1" a="1"/>
  <c r="AY161" i="1" s="1"/>
  <c r="AO164" i="1"/>
  <c r="AZ164" i="1" s="1" a="1"/>
  <c r="AZ164" i="1" s="1"/>
  <c r="AM168" i="1"/>
  <c r="AX168" i="1" s="1" a="1"/>
  <c r="AX168" i="1" s="1"/>
  <c r="AM172" i="1"/>
  <c r="AX172" i="1" s="1" a="1"/>
  <c r="AX172" i="1" s="1"/>
  <c r="AN175" i="1"/>
  <c r="AY175" i="1" s="1" a="1"/>
  <c r="AY175" i="1" s="1"/>
  <c r="AO178" i="1"/>
  <c r="AZ178" i="1" s="1" a="1"/>
  <c r="AZ178" i="1" s="1"/>
  <c r="AQ55" i="1"/>
  <c r="BB55" i="1" s="1" a="1"/>
  <c r="BB55" i="1" s="1"/>
  <c r="AQ65" i="1"/>
  <c r="BB65" i="1" s="1" a="1"/>
  <c r="BB65" i="1" s="1"/>
  <c r="AQ77" i="1"/>
  <c r="BB77" i="1" s="1" a="1"/>
  <c r="BB77" i="1" s="1"/>
  <c r="AQ88" i="1"/>
  <c r="BB88" i="1" s="1" a="1"/>
  <c r="BB88" i="1" s="1"/>
  <c r="AQ153" i="1"/>
  <c r="BB153" i="1" s="1" a="1"/>
  <c r="BB153" i="1" s="1"/>
  <c r="AQ167" i="1"/>
  <c r="BB167" i="1" s="1" a="1"/>
  <c r="BB167" i="1" s="1"/>
  <c r="AQ179" i="1"/>
  <c r="BB179" i="1" s="1" a="1"/>
  <c r="BB179" i="1" s="1"/>
  <c r="AO189" i="1"/>
  <c r="AZ189" i="1" s="1" a="1"/>
  <c r="AZ189" i="1" s="1"/>
  <c r="AO197" i="1"/>
  <c r="AZ197" i="1" s="1" a="1"/>
  <c r="AZ197" i="1" s="1"/>
  <c r="AN204" i="1"/>
  <c r="AY204" i="1" s="1" a="1"/>
  <c r="AY204" i="1" s="1"/>
  <c r="AO207" i="1"/>
  <c r="AZ207" i="1" s="1" a="1"/>
  <c r="AZ207" i="1" s="1"/>
  <c r="AN214" i="1"/>
  <c r="AY214" i="1" s="1" a="1"/>
  <c r="AY214" i="1" s="1"/>
  <c r="AO217" i="1"/>
  <c r="AZ217" i="1" s="1" a="1"/>
  <c r="AZ217" i="1" s="1"/>
  <c r="AN224" i="1"/>
  <c r="AY224" i="1" s="1" a="1"/>
  <c r="AY224" i="1" s="1"/>
  <c r="AQ196" i="1"/>
  <c r="BB196" i="1" s="1" a="1"/>
  <c r="BB196" i="1" s="1"/>
  <c r="AQ208" i="1"/>
  <c r="BB208" i="1" s="1" a="1"/>
  <c r="BB208" i="1" s="1"/>
  <c r="AQ219" i="1"/>
  <c r="BB219" i="1" s="1" a="1"/>
  <c r="BB219" i="1" s="1"/>
  <c r="AN171" i="1"/>
  <c r="AY171" i="1" s="1" a="1"/>
  <c r="AY171" i="1" s="1"/>
  <c r="AO171" i="1"/>
  <c r="AZ171" i="1" s="1" a="1"/>
  <c r="AZ171" i="1" s="1"/>
  <c r="AQ150" i="1"/>
  <c r="BB150" i="1" s="1" a="1"/>
  <c r="BB150" i="1" s="1"/>
  <c r="AQ176" i="1"/>
  <c r="BB176" i="1" s="1" a="1"/>
  <c r="BB176" i="1" s="1"/>
  <c r="AN193" i="1"/>
  <c r="AY193" i="1" s="1" a="1"/>
  <c r="AY193" i="1" s="1"/>
  <c r="AO193" i="1"/>
  <c r="AZ193" i="1" s="1" a="1"/>
  <c r="AZ193" i="1" s="1"/>
  <c r="AQ193" i="1"/>
  <c r="BB193" i="1" s="1" a="1"/>
  <c r="BB193" i="1" s="1"/>
  <c r="AN194" i="1"/>
  <c r="AY194" i="1" s="1" a="1"/>
  <c r="AY194" i="1" s="1"/>
  <c r="AQ194" i="1"/>
  <c r="BB194" i="1" s="1" a="1"/>
  <c r="BB194" i="1" s="1"/>
  <c r="AQ151" i="1"/>
  <c r="BB151" i="1" s="1" a="1"/>
  <c r="BB151" i="1" s="1"/>
  <c r="AQ161" i="1"/>
  <c r="BB161" i="1" s="1" a="1"/>
  <c r="BB161" i="1" s="1"/>
  <c r="AO194" i="1"/>
  <c r="AZ194" i="1" s="1" a="1"/>
  <c r="AZ194" i="1" s="1"/>
  <c r="AH220" i="1"/>
  <c r="AG220" i="1" s="1"/>
  <c r="AY571" i="1" l="1" a="1"/>
  <c r="AY571" i="1" s="1"/>
  <c r="BI571" i="1" s="1"/>
  <c r="AY586" i="1" a="1"/>
  <c r="AY586" i="1" s="1"/>
  <c r="BI586" i="1" s="1"/>
  <c r="BI484" i="1"/>
  <c r="BI487" i="1"/>
  <c r="BI573" i="1"/>
  <c r="BI577" i="1"/>
  <c r="BI483" i="1"/>
  <c r="BI583" i="1"/>
  <c r="AP461" i="1"/>
  <c r="AP494" i="1"/>
  <c r="BA494" i="1" s="1" a="1"/>
  <c r="BA494" i="1" s="1"/>
  <c r="BI539" i="1"/>
  <c r="AP537" i="1"/>
  <c r="BA537" i="1" s="1" a="1"/>
  <c r="BA537" i="1" s="1"/>
  <c r="BI492" i="1"/>
  <c r="AP516" i="1"/>
  <c r="BA516" i="1" s="1" a="1"/>
  <c r="BA516" i="1" s="1"/>
  <c r="AP553" i="1"/>
  <c r="AP522" i="1"/>
  <c r="BA522" i="1" s="1" a="1"/>
  <c r="BA522" i="1" s="1"/>
  <c r="BI524" i="1"/>
  <c r="AP468" i="1"/>
  <c r="BA468" i="1" s="1" a="1"/>
  <c r="BA468" i="1" s="1"/>
  <c r="AP460" i="1"/>
  <c r="BA460" i="1" s="1" a="1"/>
  <c r="BA460" i="1" s="1"/>
  <c r="AP491" i="1"/>
  <c r="BA491" i="1" s="1" a="1"/>
  <c r="BA491" i="1" s="1"/>
  <c r="AP541" i="1"/>
  <c r="BA541" i="1" s="1" a="1"/>
  <c r="BA541" i="1" s="1"/>
  <c r="AP521" i="1"/>
  <c r="BA521" i="1" s="1" a="1"/>
  <c r="BA521" i="1" s="1"/>
  <c r="AP473" i="1"/>
  <c r="BA473" i="1" s="1" a="1"/>
  <c r="BA473" i="1" s="1"/>
  <c r="BI473" i="1" s="1"/>
  <c r="AP486" i="1"/>
  <c r="BA486" i="1" s="1" a="1"/>
  <c r="BA486" i="1" s="1"/>
  <c r="AP560" i="1"/>
  <c r="BA560" i="1" s="1" a="1"/>
  <c r="BA560" i="1" s="1"/>
  <c r="AP508" i="1"/>
  <c r="BA508" i="1" s="1" a="1"/>
  <c r="BA508" i="1" s="1"/>
  <c r="AP559" i="1"/>
  <c r="AP561" i="1"/>
  <c r="BA561" i="1" s="1" a="1"/>
  <c r="BA561" i="1" s="1"/>
  <c r="AP513" i="1"/>
  <c r="AP520" i="1"/>
  <c r="BA520" i="1" s="1" a="1"/>
  <c r="BA520" i="1" s="1"/>
  <c r="AP509" i="1"/>
  <c r="BA509" i="1" s="1" a="1"/>
  <c r="BA509" i="1" s="1"/>
  <c r="AP585" i="1"/>
  <c r="BA585" i="1" s="1" a="1"/>
  <c r="BA585" i="1" s="1"/>
  <c r="BI585" i="1" s="1"/>
  <c r="AP463" i="1"/>
  <c r="BA463" i="1" s="1" a="1"/>
  <c r="BA463" i="1" s="1"/>
  <c r="AP512" i="1"/>
  <c r="BA512" i="1" s="1" a="1"/>
  <c r="BA512" i="1" s="1"/>
  <c r="AP562" i="1"/>
  <c r="BA562" i="1" s="1" a="1"/>
  <c r="BA562" i="1" s="1"/>
  <c r="AP514" i="1"/>
  <c r="BA514" i="1" s="1" a="1"/>
  <c r="BA514" i="1" s="1"/>
  <c r="AP563" i="1"/>
  <c r="BA563" i="1" s="1" a="1"/>
  <c r="BA563" i="1" s="1"/>
  <c r="AP532" i="1"/>
  <c r="BA532" i="1" s="1" a="1"/>
  <c r="BA532" i="1" s="1"/>
  <c r="AP569" i="1"/>
  <c r="BA569" i="1" s="1" a="1"/>
  <c r="BA569" i="1" s="1"/>
  <c r="BI530" i="1"/>
  <c r="AP462" i="1"/>
  <c r="BA462" i="1" s="1" a="1"/>
  <c r="BA462" i="1" s="1"/>
  <c r="AP587" i="1"/>
  <c r="BA587" i="1" s="1" a="1"/>
  <c r="BA587" i="1" s="1"/>
  <c r="AP465" i="1"/>
  <c r="BA465" i="1" s="1" a="1"/>
  <c r="BA465" i="1" s="1"/>
  <c r="AP574" i="1"/>
  <c r="BA574" i="1" s="1" a="1"/>
  <c r="BA574" i="1" s="1"/>
  <c r="AP557" i="1"/>
  <c r="BA557" i="1" s="1" a="1"/>
  <c r="BA557" i="1" s="1"/>
  <c r="AP519" i="1"/>
  <c r="BA519" i="1" s="1" a="1"/>
  <c r="BA519" i="1" s="1"/>
  <c r="AP475" i="1"/>
  <c r="BA475" i="1" s="1" a="1"/>
  <c r="BA475" i="1" s="1"/>
  <c r="AP565" i="1"/>
  <c r="BA565" i="1" s="1" a="1"/>
  <c r="BA565" i="1" s="1"/>
  <c r="AP467" i="1"/>
  <c r="BA467" i="1" s="1" a="1"/>
  <c r="BA467" i="1" s="1"/>
  <c r="AP485" i="1"/>
  <c r="BA485" i="1" s="1" a="1"/>
  <c r="BA485" i="1" s="1"/>
  <c r="AP510" i="1"/>
  <c r="BA510" i="1" s="1" a="1"/>
  <c r="BA510" i="1" s="1"/>
  <c r="AP540" i="1"/>
  <c r="BA540" i="1" s="1" a="1"/>
  <c r="BA540" i="1" s="1"/>
  <c r="AP527" i="1"/>
  <c r="BA527" i="1" s="1" a="1"/>
  <c r="BA527" i="1" s="1"/>
  <c r="BI479" i="1"/>
  <c r="BI529" i="1"/>
  <c r="AP584" i="1"/>
  <c r="BA584" i="1" s="1" a="1"/>
  <c r="BA584" i="1" s="1"/>
  <c r="AP472" i="1"/>
  <c r="BA472" i="1" s="1" a="1"/>
  <c r="BA472" i="1" s="1"/>
  <c r="AP579" i="1"/>
  <c r="BA579" i="1" s="1" a="1"/>
  <c r="BA579" i="1" s="1"/>
  <c r="AP564" i="1"/>
  <c r="BA564" i="1" s="1" a="1"/>
  <c r="BA564" i="1" s="1"/>
  <c r="BI581" i="1"/>
  <c r="AP471" i="1"/>
  <c r="BA471" i="1" s="1" a="1"/>
  <c r="BA471" i="1" s="1"/>
  <c r="AP470" i="1"/>
  <c r="BA470" i="1" s="1" a="1"/>
  <c r="BA470" i="1" s="1"/>
  <c r="AP533" i="1"/>
  <c r="BA533" i="1" s="1" a="1"/>
  <c r="BA533" i="1" s="1"/>
  <c r="AP511" i="1"/>
  <c r="BA511" i="1" s="1" a="1"/>
  <c r="BA511" i="1" s="1"/>
  <c r="AP580" i="1"/>
  <c r="BA580" i="1" s="1" a="1"/>
  <c r="BA580" i="1" s="1"/>
  <c r="AP528" i="1"/>
  <c r="BA528" i="1" s="1" a="1"/>
  <c r="BA528" i="1" s="1"/>
  <c r="BI582" i="1"/>
  <c r="AP523" i="1"/>
  <c r="BA523" i="1" s="1" a="1"/>
  <c r="BA523" i="1" s="1"/>
  <c r="AP567" i="1"/>
  <c r="BA567" i="1" s="1" a="1"/>
  <c r="BA567" i="1" s="1"/>
  <c r="AP558" i="1"/>
  <c r="BA558" i="1" s="1" a="1"/>
  <c r="BA558" i="1" s="1"/>
  <c r="AP481" i="1"/>
  <c r="BA481" i="1" s="1" a="1"/>
  <c r="BA481" i="1" s="1"/>
  <c r="AP507" i="1"/>
  <c r="BA507" i="1" s="1" a="1"/>
  <c r="BA507" i="1" s="1"/>
  <c r="BI536" i="1"/>
  <c r="AP570" i="1"/>
  <c r="BA570" i="1" s="1" a="1"/>
  <c r="BA570" i="1" s="1"/>
  <c r="AP554" i="1"/>
  <c r="BA554" i="1" s="1" a="1"/>
  <c r="BA554" i="1" s="1"/>
  <c r="BI531" i="1"/>
  <c r="AP459" i="1"/>
  <c r="BA459" i="1" s="1" a="1"/>
  <c r="BA459" i="1" s="1"/>
  <c r="AP575" i="1"/>
  <c r="BA575" i="1" s="1" a="1"/>
  <c r="BA575" i="1" s="1"/>
  <c r="BI525" i="1"/>
  <c r="AP464" i="1"/>
  <c r="BA464" i="1" s="1" a="1"/>
  <c r="BA464" i="1" s="1"/>
  <c r="AP495" i="1"/>
  <c r="BA495" i="1" s="1" a="1"/>
  <c r="BA495" i="1" s="1"/>
  <c r="BI526" i="1"/>
  <c r="AP474" i="1"/>
  <c r="BA474" i="1" s="1" a="1"/>
  <c r="BA474" i="1" s="1"/>
  <c r="AP469" i="1"/>
  <c r="BA469" i="1" s="1" a="1"/>
  <c r="BA469" i="1" s="1"/>
  <c r="BI535" i="1"/>
  <c r="AP518" i="1"/>
  <c r="BA518" i="1" s="1" a="1"/>
  <c r="BA518" i="1" s="1"/>
  <c r="AP542" i="1"/>
  <c r="BA542" i="1" s="1" a="1"/>
  <c r="BA542" i="1" s="1"/>
  <c r="AP490" i="1"/>
  <c r="BA490" i="1" s="1" a="1"/>
  <c r="BA490" i="1" s="1"/>
  <c r="AP555" i="1"/>
  <c r="BA555" i="1" s="1" a="1"/>
  <c r="BA555" i="1" s="1"/>
  <c r="AP589" i="1"/>
  <c r="BA589" i="1" s="1" a="1"/>
  <c r="BA589" i="1" s="1"/>
  <c r="BI578" i="1"/>
  <c r="BI576" i="1"/>
  <c r="AP506" i="1"/>
  <c r="BA506" i="1" s="1" a="1"/>
  <c r="BA506" i="1" s="1"/>
  <c r="BI534" i="1"/>
  <c r="AP493" i="1"/>
  <c r="BA493" i="1" s="1" a="1"/>
  <c r="BA493" i="1" s="1"/>
  <c r="AP588" i="1"/>
  <c r="BA588" i="1" s="1" a="1"/>
  <c r="BA588" i="1" s="1"/>
  <c r="BI478" i="1"/>
  <c r="AP538" i="1"/>
  <c r="BA538" i="1" s="1" a="1"/>
  <c r="BA538" i="1" s="1"/>
  <c r="BI482" i="1"/>
  <c r="AP480" i="1"/>
  <c r="BA480" i="1" s="1" a="1"/>
  <c r="BA480" i="1" s="1"/>
  <c r="AP476" i="1"/>
  <c r="BA476" i="1" s="1" a="1"/>
  <c r="BA476" i="1" s="1"/>
  <c r="AP556" i="1"/>
  <c r="BA556" i="1" s="1" a="1"/>
  <c r="BA556" i="1" s="1"/>
  <c r="BI572" i="1"/>
  <c r="BI488" i="1"/>
  <c r="AP515" i="1"/>
  <c r="BA515" i="1" s="1" a="1"/>
  <c r="BA515" i="1" s="1"/>
  <c r="AP566" i="1"/>
  <c r="BA566" i="1" s="1" a="1"/>
  <c r="BA566" i="1" s="1"/>
  <c r="AP517" i="1"/>
  <c r="BA517" i="1" s="1" a="1"/>
  <c r="BA517" i="1" s="1"/>
  <c r="AP466" i="1"/>
  <c r="BA466" i="1" s="1" a="1"/>
  <c r="BA466" i="1" s="1"/>
  <c r="AP568" i="1"/>
  <c r="BA568" i="1" s="1" a="1"/>
  <c r="BA568" i="1" s="1"/>
  <c r="BI477" i="1"/>
  <c r="BI489" i="1"/>
  <c r="BI444" i="1"/>
  <c r="BI432" i="1"/>
  <c r="BI438" i="1"/>
  <c r="BI447" i="1"/>
  <c r="BI433" i="1"/>
  <c r="BI439" i="1"/>
  <c r="BI442" i="1"/>
  <c r="BI434" i="1"/>
  <c r="BI437" i="1"/>
  <c r="BI443" i="1"/>
  <c r="AP369" i="1"/>
  <c r="BA369" i="1" s="1" a="1"/>
  <c r="BA369" i="1" s="1"/>
  <c r="AP370" i="1"/>
  <c r="BA370" i="1" s="1" a="1"/>
  <c r="BA370" i="1" s="1"/>
  <c r="AP371" i="1"/>
  <c r="BA371" i="1" s="1" a="1"/>
  <c r="BA371" i="1" s="1"/>
  <c r="AP372" i="1"/>
  <c r="BA372" i="1" s="1" a="1"/>
  <c r="BA372" i="1" s="1"/>
  <c r="AP373" i="1"/>
  <c r="BA373" i="1" s="1" a="1"/>
  <c r="BA373" i="1" s="1"/>
  <c r="AP374" i="1"/>
  <c r="BA374" i="1" s="1" a="1"/>
  <c r="BA374" i="1" s="1"/>
  <c r="AP375" i="1"/>
  <c r="BA375" i="1" s="1" a="1"/>
  <c r="BA375" i="1" s="1"/>
  <c r="AP376" i="1"/>
  <c r="BA376" i="1" s="1" a="1"/>
  <c r="BA376" i="1" s="1"/>
  <c r="AP377" i="1"/>
  <c r="BA377" i="1" s="1" a="1"/>
  <c r="BA377" i="1" s="1"/>
  <c r="AP378" i="1"/>
  <c r="BA378" i="1" s="1" a="1"/>
  <c r="BA378" i="1" s="1"/>
  <c r="AP379" i="1"/>
  <c r="BA379" i="1" s="1" a="1"/>
  <c r="BA379" i="1" s="1"/>
  <c r="AP380" i="1"/>
  <c r="BA380" i="1" s="1" a="1"/>
  <c r="BA380" i="1" s="1"/>
  <c r="AP381" i="1"/>
  <c r="BA381" i="1" s="1" a="1"/>
  <c r="BA381" i="1" s="1"/>
  <c r="AP382" i="1"/>
  <c r="BA382" i="1" s="1" a="1"/>
  <c r="BA382" i="1" s="1"/>
  <c r="AP383" i="1"/>
  <c r="BA383" i="1" s="1" a="1"/>
  <c r="BA383" i="1" s="1"/>
  <c r="AP384" i="1"/>
  <c r="BA384" i="1" s="1" a="1"/>
  <c r="BA384" i="1" s="1"/>
  <c r="AP385" i="1"/>
  <c r="BA385" i="1" s="1" a="1"/>
  <c r="BA385" i="1" s="1"/>
  <c r="AP386" i="1"/>
  <c r="BA386" i="1" s="1" a="1"/>
  <c r="BA386" i="1" s="1"/>
  <c r="AP390" i="1"/>
  <c r="BA390" i="1" s="1" a="1"/>
  <c r="BA390" i="1" s="1"/>
  <c r="AP391" i="1"/>
  <c r="BA391" i="1" s="1" a="1"/>
  <c r="BA391" i="1" s="1"/>
  <c r="AP395" i="1"/>
  <c r="BA395" i="1" s="1" a="1"/>
  <c r="BA395" i="1" s="1"/>
  <c r="AP396" i="1"/>
  <c r="BA396" i="1" s="1" a="1"/>
  <c r="BA396" i="1" s="1"/>
  <c r="AP400" i="1"/>
  <c r="BA400" i="1" s="1" a="1"/>
  <c r="BA400" i="1" s="1"/>
  <c r="AP401" i="1"/>
  <c r="BA401" i="1" s="1" a="1"/>
  <c r="BA401" i="1" s="1"/>
  <c r="AP403" i="1"/>
  <c r="BA403" i="1" s="1" a="1"/>
  <c r="BA403" i="1" s="1"/>
  <c r="AP404" i="1"/>
  <c r="BA404" i="1" s="1" a="1"/>
  <c r="BA404" i="1" s="1"/>
  <c r="AP405" i="1"/>
  <c r="BA405" i="1" s="1" a="1"/>
  <c r="BA405" i="1" s="1"/>
  <c r="AP414" i="1"/>
  <c r="BA414" i="1" s="1" a="1"/>
  <c r="BA414" i="1" s="1"/>
  <c r="AP415" i="1"/>
  <c r="BA415" i="1" s="1" a="1"/>
  <c r="BA415" i="1" s="1"/>
  <c r="AP416" i="1"/>
  <c r="BA416" i="1" s="1" a="1"/>
  <c r="BA416" i="1" s="1"/>
  <c r="AP417" i="1"/>
  <c r="BA417" i="1" s="1" a="1"/>
  <c r="BA417" i="1" s="1"/>
  <c r="AP418" i="1"/>
  <c r="BA418" i="1" s="1" a="1"/>
  <c r="BA418" i="1" s="1"/>
  <c r="AP419" i="1"/>
  <c r="BA419" i="1" s="1" a="1"/>
  <c r="BA419" i="1" s="1"/>
  <c r="AP420" i="1"/>
  <c r="BA420" i="1" s="1" a="1"/>
  <c r="BA420" i="1" s="1"/>
  <c r="AP421" i="1"/>
  <c r="BA421" i="1" s="1" a="1"/>
  <c r="BA421" i="1" s="1"/>
  <c r="AP422" i="1"/>
  <c r="BA422" i="1" s="1" a="1"/>
  <c r="BA422" i="1" s="1"/>
  <c r="AP423" i="1"/>
  <c r="BA423" i="1" s="1" a="1"/>
  <c r="BA423" i="1" s="1"/>
  <c r="AP424" i="1"/>
  <c r="BA424" i="1" s="1" a="1"/>
  <c r="BA424" i="1" s="1"/>
  <c r="AP425" i="1"/>
  <c r="BA425" i="1" s="1" a="1"/>
  <c r="BA425" i="1" s="1"/>
  <c r="AP426" i="1"/>
  <c r="BA426" i="1" s="1" a="1"/>
  <c r="BA426" i="1" s="1"/>
  <c r="AP427" i="1"/>
  <c r="BA427" i="1" s="1" a="1"/>
  <c r="BA427" i="1" s="1"/>
  <c r="AP428" i="1"/>
  <c r="BA428" i="1" s="1" a="1"/>
  <c r="BA428" i="1" s="1"/>
  <c r="AP429" i="1"/>
  <c r="BA429" i="1" s="1" a="1"/>
  <c r="BA429" i="1" s="1"/>
  <c r="AP430" i="1"/>
  <c r="BA430" i="1" s="1" a="1"/>
  <c r="BA430" i="1" s="1"/>
  <c r="AP431" i="1"/>
  <c r="BA431" i="1" s="1" a="1"/>
  <c r="BA431" i="1" s="1"/>
  <c r="AP435" i="1"/>
  <c r="BA435" i="1" s="1" a="1"/>
  <c r="BA435" i="1" s="1"/>
  <c r="AP436" i="1"/>
  <c r="BA436" i="1" s="1" a="1"/>
  <c r="BA436" i="1" s="1"/>
  <c r="AP440" i="1"/>
  <c r="BA440" i="1" s="1" a="1"/>
  <c r="BA440" i="1" s="1"/>
  <c r="AP441" i="1"/>
  <c r="BA441" i="1" s="1" a="1"/>
  <c r="BA441" i="1" s="1"/>
  <c r="AP445" i="1"/>
  <c r="BA445" i="1" s="1" a="1"/>
  <c r="BA445" i="1" s="1"/>
  <c r="AP446" i="1"/>
  <c r="BA446" i="1" s="1" a="1"/>
  <c r="BA446" i="1" s="1"/>
  <c r="AP448" i="1"/>
  <c r="BA448" i="1" s="1" a="1"/>
  <c r="BA448" i="1" s="1"/>
  <c r="AP449" i="1"/>
  <c r="BA449" i="1" s="1" a="1"/>
  <c r="BA449" i="1" s="1"/>
  <c r="AP450" i="1"/>
  <c r="BA450" i="1" s="1" a="1"/>
  <c r="BA450" i="1" s="1"/>
  <c r="AP130" i="1"/>
  <c r="BA130" i="1" s="1" a="1"/>
  <c r="BA130" i="1" s="1"/>
  <c r="AP109" i="1"/>
  <c r="BA109" i="1" s="1" a="1"/>
  <c r="BA109" i="1" s="1"/>
  <c r="AP134" i="1"/>
  <c r="BA134" i="1" s="1" a="1"/>
  <c r="BA134" i="1" s="1"/>
  <c r="AP111" i="1"/>
  <c r="BA111" i="1" s="1" a="1"/>
  <c r="BA111" i="1" s="1"/>
  <c r="AP106" i="1"/>
  <c r="BA106" i="1" s="1" a="1"/>
  <c r="BA106" i="1" s="1"/>
  <c r="AP113" i="1"/>
  <c r="BA113" i="1" s="1" a="1"/>
  <c r="BA113" i="1" s="1"/>
  <c r="AP100" i="1"/>
  <c r="BA100" i="1" s="1" a="1"/>
  <c r="BA100" i="1" s="1"/>
  <c r="AP115" i="1"/>
  <c r="BA115" i="1" s="1" a="1"/>
  <c r="BA115" i="1" s="1"/>
  <c r="AP104" i="1"/>
  <c r="BA104" i="1" s="1" a="1"/>
  <c r="BA104" i="1" s="1"/>
  <c r="AP102" i="1"/>
  <c r="BA102" i="1" s="1" a="1"/>
  <c r="BA102" i="1" s="1"/>
  <c r="AP121" i="1"/>
  <c r="BA121" i="1" s="1" a="1"/>
  <c r="BA121" i="1" s="1"/>
  <c r="AP108" i="1"/>
  <c r="BA108" i="1" s="1" a="1"/>
  <c r="BA108" i="1" s="1"/>
  <c r="AP99" i="1"/>
  <c r="BA99" i="1" s="1" a="1"/>
  <c r="BA99" i="1" s="1"/>
  <c r="AP125" i="1"/>
  <c r="BA125" i="1" s="1" a="1"/>
  <c r="BA125" i="1" s="1"/>
  <c r="AP110" i="1"/>
  <c r="BA110" i="1" s="1" a="1"/>
  <c r="BA110" i="1" s="1"/>
  <c r="AP101" i="1"/>
  <c r="BA101" i="1" s="1" a="1"/>
  <c r="BA101" i="1" s="1"/>
  <c r="AP131" i="1"/>
  <c r="BA131" i="1" s="1" a="1"/>
  <c r="BA131" i="1" s="1"/>
  <c r="AP114" i="1"/>
  <c r="BA114" i="1" s="1" a="1"/>
  <c r="BA114" i="1" s="1"/>
  <c r="AP103" i="1"/>
  <c r="BA103" i="1" s="1" a="1"/>
  <c r="BA103" i="1" s="1"/>
  <c r="AP133" i="1"/>
  <c r="BA133" i="1" s="1" a="1"/>
  <c r="BA133" i="1" s="1"/>
  <c r="AP112" i="1"/>
  <c r="BA112" i="1" s="1" a="1"/>
  <c r="BA112" i="1" s="1"/>
  <c r="AP116" i="1"/>
  <c r="BA116" i="1" s="1" a="1"/>
  <c r="BA116" i="1" s="1"/>
  <c r="AP105" i="1"/>
  <c r="BA105" i="1" s="1" a="1"/>
  <c r="BA105" i="1" s="1"/>
  <c r="AP135" i="1"/>
  <c r="BA135" i="1" s="1" a="1"/>
  <c r="BA135" i="1" s="1"/>
  <c r="AP126" i="1"/>
  <c r="BA126" i="1" s="1" a="1"/>
  <c r="BA126" i="1" s="1"/>
  <c r="AP120" i="1"/>
  <c r="BA120" i="1" s="1" a="1"/>
  <c r="BA120" i="1" s="1"/>
  <c r="AP107" i="1"/>
  <c r="BA107" i="1" s="1" a="1"/>
  <c r="BA107" i="1" s="1"/>
  <c r="BI357" i="1"/>
  <c r="AP145" i="1"/>
  <c r="BA145" i="1" s="1" a="1"/>
  <c r="BA145" i="1" s="1"/>
  <c r="AP146" i="1"/>
  <c r="BA146" i="1" s="1" a="1"/>
  <c r="BA146" i="1" s="1"/>
  <c r="AP147" i="1"/>
  <c r="BA147" i="1" s="1" a="1"/>
  <c r="BA147" i="1" s="1"/>
  <c r="AP144" i="1"/>
  <c r="BA144" i="1" s="1" a="1"/>
  <c r="BA144" i="1" s="1"/>
  <c r="AI190" i="1"/>
  <c r="AJ189" i="1"/>
  <c r="AJ75" i="1"/>
  <c r="AJ194" i="1"/>
  <c r="AH338" i="1"/>
  <c r="AG338" i="1" s="1"/>
  <c r="AH330" i="1"/>
  <c r="AG330" i="1" s="1"/>
  <c r="BM54" i="1"/>
  <c r="AH215" i="1"/>
  <c r="AG215" i="1" s="1"/>
  <c r="AI248" i="1"/>
  <c r="AH328" i="1"/>
  <c r="AG328" i="1" s="1"/>
  <c r="AH352" i="1"/>
  <c r="AG352" i="1" s="1"/>
  <c r="BI352" i="1"/>
  <c r="AH342" i="1"/>
  <c r="AG342" i="1" s="1"/>
  <c r="BI342" i="1"/>
  <c r="AH344" i="1"/>
  <c r="AG344" i="1" s="1"/>
  <c r="BI344" i="1"/>
  <c r="AJ202" i="1"/>
  <c r="AH347" i="1"/>
  <c r="AG347" i="1" s="1"/>
  <c r="BI347" i="1"/>
  <c r="AI159" i="1"/>
  <c r="AI247" i="1"/>
  <c r="AH349" i="1"/>
  <c r="AG349" i="1" s="1"/>
  <c r="BI349" i="1"/>
  <c r="AH331" i="1"/>
  <c r="AG331" i="1" s="1"/>
  <c r="AJ191" i="1"/>
  <c r="AI191" i="1"/>
  <c r="AI293" i="1"/>
  <c r="AJ239" i="1"/>
  <c r="AJ190" i="1"/>
  <c r="AH353" i="1"/>
  <c r="AG353" i="1" s="1"/>
  <c r="BI353" i="1"/>
  <c r="AH343" i="1"/>
  <c r="AG343" i="1" s="1"/>
  <c r="BI343" i="1"/>
  <c r="AI203" i="1"/>
  <c r="AJ192" i="1"/>
  <c r="AJ200" i="1"/>
  <c r="AI148" i="1"/>
  <c r="AI147" i="1"/>
  <c r="AI210" i="1"/>
  <c r="AI155" i="1"/>
  <c r="AH339" i="1"/>
  <c r="AG339" i="1" s="1"/>
  <c r="AH345" i="1"/>
  <c r="AG345" i="1" s="1"/>
  <c r="AJ203" i="1"/>
  <c r="AI245" i="1"/>
  <c r="AJ155" i="1"/>
  <c r="AI153" i="1"/>
  <c r="AI251" i="1"/>
  <c r="AH348" i="1"/>
  <c r="AG348" i="1" s="1"/>
  <c r="BI348" i="1"/>
  <c r="AH337" i="1"/>
  <c r="AG337" i="1" s="1"/>
  <c r="AI202" i="1"/>
  <c r="AI292" i="1"/>
  <c r="AH350" i="1"/>
  <c r="AG350" i="1" s="1"/>
  <c r="AH354" i="1"/>
  <c r="AG354" i="1" s="1"/>
  <c r="BI354" i="1"/>
  <c r="AH329" i="1"/>
  <c r="AG329" i="1" s="1"/>
  <c r="AI69" i="1"/>
  <c r="AI204" i="1"/>
  <c r="AI149" i="1"/>
  <c r="AJ199" i="1"/>
  <c r="AI198" i="1"/>
  <c r="AI192" i="1"/>
  <c r="AI157" i="1"/>
  <c r="BM64" i="1"/>
  <c r="AP331" i="1"/>
  <c r="BA331" i="1" s="1" a="1"/>
  <c r="BA331" i="1" s="1"/>
  <c r="AI54" i="1"/>
  <c r="AP359" i="1"/>
  <c r="BA359" i="1" s="1" a="1"/>
  <c r="BA359" i="1" s="1"/>
  <c r="AJ246" i="1"/>
  <c r="AH246" i="1"/>
  <c r="AG246" i="1" s="1"/>
  <c r="AI246" i="1"/>
  <c r="AP326" i="1"/>
  <c r="BA326" i="1" s="1" a="1"/>
  <c r="BA326" i="1" s="1"/>
  <c r="AI326" i="1"/>
  <c r="AH334" i="1"/>
  <c r="AG334" i="1" s="1"/>
  <c r="AJ334" i="1"/>
  <c r="AJ281" i="1"/>
  <c r="AJ282" i="1"/>
  <c r="AJ326" i="1"/>
  <c r="AH326" i="1"/>
  <c r="AG326" i="1" s="1"/>
  <c r="AI206" i="1"/>
  <c r="AJ206" i="1"/>
  <c r="AI215" i="1"/>
  <c r="AJ215" i="1"/>
  <c r="AP356" i="1"/>
  <c r="BA356" i="1" s="1" a="1"/>
  <c r="BA356" i="1" s="1"/>
  <c r="AJ356" i="1"/>
  <c r="AI356" i="1"/>
  <c r="AH356" i="1"/>
  <c r="AG356" i="1" s="1"/>
  <c r="AP329" i="1"/>
  <c r="BA329" i="1" s="1" a="1"/>
  <c r="BA329" i="1" s="1"/>
  <c r="AI329" i="1"/>
  <c r="AJ329" i="1"/>
  <c r="AI334" i="1"/>
  <c r="AP334" i="1"/>
  <c r="BA334" i="1" s="1" a="1"/>
  <c r="BA334" i="1" s="1"/>
  <c r="AJ221" i="1"/>
  <c r="AI221" i="1"/>
  <c r="AJ279" i="1"/>
  <c r="AJ293" i="1"/>
  <c r="AP325" i="1"/>
  <c r="BA325" i="1" s="1" a="1"/>
  <c r="BA325" i="1" s="1"/>
  <c r="AP332" i="1"/>
  <c r="BA332" i="1" s="1" a="1"/>
  <c r="BA332" i="1" s="1"/>
  <c r="AP330" i="1"/>
  <c r="BA330" i="1" s="1" a="1"/>
  <c r="BA330" i="1" s="1"/>
  <c r="AJ223" i="1"/>
  <c r="AI223" i="1"/>
  <c r="AJ280" i="1"/>
  <c r="AJ292" i="1"/>
  <c r="AJ333" i="1"/>
  <c r="AH333" i="1"/>
  <c r="AG333" i="1" s="1"/>
  <c r="AI327" i="1"/>
  <c r="AP327" i="1"/>
  <c r="BA327" i="1" s="1" a="1"/>
  <c r="BA327" i="1" s="1"/>
  <c r="AP336" i="1"/>
  <c r="BA336" i="1" s="1" a="1"/>
  <c r="BA336" i="1" s="1"/>
  <c r="AH336" i="1"/>
  <c r="AG336" i="1" s="1"/>
  <c r="AJ336" i="1"/>
  <c r="AI336" i="1"/>
  <c r="AJ327" i="1"/>
  <c r="AH327" i="1"/>
  <c r="AG327" i="1" s="1"/>
  <c r="AJ355" i="1"/>
  <c r="AI355" i="1"/>
  <c r="AP355" i="1"/>
  <c r="BA355" i="1" s="1" a="1"/>
  <c r="BA355" i="1" s="1"/>
  <c r="AJ216" i="1"/>
  <c r="AI216" i="1"/>
  <c r="AJ335" i="1"/>
  <c r="AH335" i="1"/>
  <c r="AG335" i="1" s="1"/>
  <c r="AP358" i="1"/>
  <c r="BA358" i="1" s="1" a="1"/>
  <c r="BA358" i="1" s="1"/>
  <c r="AJ358" i="1"/>
  <c r="AI358" i="1"/>
  <c r="AP340" i="1"/>
  <c r="BA340" i="1" s="1" a="1"/>
  <c r="BA340" i="1" s="1"/>
  <c r="AI340" i="1"/>
  <c r="AH340" i="1"/>
  <c r="AG340" i="1" s="1"/>
  <c r="AJ340" i="1"/>
  <c r="AP337" i="1"/>
  <c r="BA337" i="1" s="1" a="1"/>
  <c r="BA337" i="1" s="1"/>
  <c r="AJ337" i="1"/>
  <c r="AI337" i="1"/>
  <c r="AP328" i="1"/>
  <c r="BA328" i="1" s="1" a="1"/>
  <c r="BA328" i="1" s="1"/>
  <c r="AI328" i="1"/>
  <c r="AJ70" i="1"/>
  <c r="AI156" i="1"/>
  <c r="AH156" i="1"/>
  <c r="AG156" i="1" s="1"/>
  <c r="AJ156" i="1"/>
  <c r="AI338" i="1"/>
  <c r="AP338" i="1"/>
  <c r="BA338" i="1" s="1" a="1"/>
  <c r="BA338" i="1" s="1"/>
  <c r="AJ338" i="1"/>
  <c r="AJ351" i="1"/>
  <c r="AP351" i="1"/>
  <c r="BA351" i="1" s="1" a="1"/>
  <c r="BA351" i="1" s="1"/>
  <c r="AH351" i="1"/>
  <c r="AG351" i="1" s="1"/>
  <c r="AI351" i="1"/>
  <c r="AI333" i="1"/>
  <c r="AP333" i="1"/>
  <c r="BA333" i="1" s="1" a="1"/>
  <c r="BA333" i="1" s="1"/>
  <c r="AI324" i="1"/>
  <c r="AP324" i="1"/>
  <c r="BA324" i="1" s="1" a="1"/>
  <c r="BA324" i="1" s="1"/>
  <c r="AP341" i="1"/>
  <c r="BA341" i="1" s="1" a="1"/>
  <c r="BA341" i="1" s="1"/>
  <c r="AJ341" i="1"/>
  <c r="AH341" i="1"/>
  <c r="AG341" i="1" s="1"/>
  <c r="AI341" i="1"/>
  <c r="AH324" i="1"/>
  <c r="AG324" i="1" s="1"/>
  <c r="AJ324" i="1"/>
  <c r="AJ201" i="1"/>
  <c r="AH201" i="1"/>
  <c r="AG201" i="1" s="1"/>
  <c r="AI201" i="1"/>
  <c r="AJ160" i="1"/>
  <c r="AH160" i="1"/>
  <c r="AG160" i="1" s="1"/>
  <c r="AI160" i="1"/>
  <c r="AJ287" i="1"/>
  <c r="AP346" i="1"/>
  <c r="BA346" i="1" s="1" a="1"/>
  <c r="BA346" i="1" s="1"/>
  <c r="AJ346" i="1"/>
  <c r="AH346" i="1"/>
  <c r="AG346" i="1" s="1"/>
  <c r="AI346" i="1"/>
  <c r="AJ345" i="1"/>
  <c r="AP345" i="1"/>
  <c r="BA345" i="1" s="1" a="1"/>
  <c r="BA345" i="1" s="1"/>
  <c r="AI345" i="1"/>
  <c r="AI335" i="1"/>
  <c r="AP335" i="1"/>
  <c r="BA335" i="1" s="1" a="1"/>
  <c r="BA335" i="1" s="1"/>
  <c r="AJ291" i="1"/>
  <c r="AH291" i="1"/>
  <c r="AG291" i="1" s="1"/>
  <c r="AI291" i="1"/>
  <c r="AJ220" i="1"/>
  <c r="AI220" i="1"/>
  <c r="AJ288" i="1"/>
  <c r="AH288" i="1"/>
  <c r="AG288" i="1" s="1"/>
  <c r="AJ325" i="1"/>
  <c r="AH325" i="1"/>
  <c r="AG325" i="1" s="1"/>
  <c r="AI295" i="1"/>
  <c r="AH295" i="1"/>
  <c r="AG295" i="1" s="1"/>
  <c r="AJ295" i="1"/>
  <c r="AJ66" i="1"/>
  <c r="AJ211" i="1"/>
  <c r="AI211" i="1"/>
  <c r="AJ360" i="1"/>
  <c r="AI360" i="1"/>
  <c r="AP360" i="1"/>
  <c r="BA360" i="1" s="1" a="1"/>
  <c r="BA360" i="1" s="1"/>
  <c r="AP339" i="1"/>
  <c r="BA339" i="1" s="1" a="1"/>
  <c r="BA339" i="1" s="1"/>
  <c r="AI339" i="1"/>
  <c r="AH332" i="1"/>
  <c r="AG332" i="1" s="1"/>
  <c r="AJ332" i="1"/>
  <c r="AP350" i="1"/>
  <c r="BA350" i="1" s="1" a="1"/>
  <c r="BA350" i="1" s="1"/>
  <c r="AJ350" i="1"/>
  <c r="AI350" i="1"/>
  <c r="AJ251" i="1"/>
  <c r="AI56" i="1"/>
  <c r="BM56" i="1"/>
  <c r="BM65" i="1"/>
  <c r="AI65" i="1"/>
  <c r="BM63" i="1"/>
  <c r="AI63" i="1"/>
  <c r="AI57" i="1"/>
  <c r="BM57" i="1"/>
  <c r="AI58" i="1"/>
  <c r="BM58" i="1"/>
  <c r="AJ87" i="1"/>
  <c r="AJ193" i="1"/>
  <c r="AJ248" i="1"/>
  <c r="AH247" i="1"/>
  <c r="AG247" i="1" s="1"/>
  <c r="AJ247" i="1"/>
  <c r="AH236" i="1"/>
  <c r="AG236" i="1" s="1"/>
  <c r="AJ236" i="1"/>
  <c r="AH158" i="1"/>
  <c r="AG158" i="1" s="1"/>
  <c r="AJ158" i="1"/>
  <c r="AH234" i="1"/>
  <c r="AG234" i="1" s="1"/>
  <c r="AJ234" i="1"/>
  <c r="AH145" i="1"/>
  <c r="AG145" i="1" s="1"/>
  <c r="AJ145" i="1"/>
  <c r="AJ237" i="1"/>
  <c r="AH235" i="1"/>
  <c r="AG235" i="1" s="1"/>
  <c r="AJ235" i="1"/>
  <c r="AJ244" i="1"/>
  <c r="AH157" i="1"/>
  <c r="AG157" i="1" s="1"/>
  <c r="AJ157" i="1"/>
  <c r="AJ243" i="1"/>
  <c r="AJ266" i="1"/>
  <c r="AI266" i="1"/>
  <c r="AH266" i="1"/>
  <c r="AG266" i="1" s="1"/>
  <c r="AJ86" i="1"/>
  <c r="AJ311" i="1"/>
  <c r="AI311" i="1"/>
  <c r="AH311" i="1"/>
  <c r="AG311" i="1" s="1"/>
  <c r="AJ210" i="1"/>
  <c r="AJ252" i="1"/>
  <c r="AI252" i="1"/>
  <c r="AJ315" i="1"/>
  <c r="AI315" i="1"/>
  <c r="AI250" i="1"/>
  <c r="AH250" i="1"/>
  <c r="AG250" i="1" s="1"/>
  <c r="AJ250" i="1"/>
  <c r="AJ302" i="1"/>
  <c r="AI302" i="1"/>
  <c r="AJ308" i="1"/>
  <c r="AI308" i="1"/>
  <c r="AJ264" i="1"/>
  <c r="AI264" i="1"/>
  <c r="AJ263" i="1"/>
  <c r="AI263" i="1"/>
  <c r="AJ309" i="1"/>
  <c r="AI309" i="1"/>
  <c r="AJ313" i="1"/>
  <c r="AI313" i="1"/>
  <c r="AJ205" i="1"/>
  <c r="AI205" i="1"/>
  <c r="AH205" i="1"/>
  <c r="AG205" i="1" s="1"/>
  <c r="AJ262" i="1"/>
  <c r="AI262" i="1"/>
  <c r="AJ260" i="1"/>
  <c r="AI260" i="1"/>
  <c r="AJ268" i="1"/>
  <c r="AI268" i="1"/>
  <c r="AJ255" i="1"/>
  <c r="AI255" i="1"/>
  <c r="AJ254" i="1"/>
  <c r="AI254" i="1"/>
  <c r="AJ68" i="1"/>
  <c r="AJ310" i="1"/>
  <c r="AI310" i="1"/>
  <c r="AJ259" i="1"/>
  <c r="AI259" i="1"/>
  <c r="AJ300" i="1"/>
  <c r="AI300" i="1"/>
  <c r="AJ270" i="1"/>
  <c r="AI270" i="1"/>
  <c r="AJ307" i="1"/>
  <c r="AI307" i="1"/>
  <c r="AJ304" i="1"/>
  <c r="AI304" i="1"/>
  <c r="AJ303" i="1"/>
  <c r="AI303" i="1"/>
  <c r="AJ305" i="1"/>
  <c r="AI305" i="1"/>
  <c r="AJ258" i="1"/>
  <c r="AI258" i="1"/>
  <c r="AJ265" i="1"/>
  <c r="AI265" i="1"/>
  <c r="AJ298" i="1"/>
  <c r="AI298" i="1"/>
  <c r="AJ267" i="1"/>
  <c r="AI267" i="1"/>
  <c r="AJ257" i="1"/>
  <c r="AI257" i="1"/>
  <c r="AJ299" i="1"/>
  <c r="AI299" i="1"/>
  <c r="AJ253" i="1"/>
  <c r="AI253" i="1"/>
  <c r="AJ312" i="1"/>
  <c r="AI312" i="1"/>
  <c r="AJ297" i="1"/>
  <c r="AI297" i="1"/>
  <c r="BM67" i="1"/>
  <c r="AI67" i="1"/>
  <c r="AH239" i="1"/>
  <c r="AG239" i="1" s="1"/>
  <c r="AJ178" i="1"/>
  <c r="AI178" i="1"/>
  <c r="AI180" i="1"/>
  <c r="AJ180" i="1"/>
  <c r="AJ177" i="1"/>
  <c r="AI177" i="1"/>
  <c r="AI173" i="1"/>
  <c r="AJ173" i="1"/>
  <c r="AJ162" i="1"/>
  <c r="AI162" i="1"/>
  <c r="AJ175" i="1"/>
  <c r="AI175" i="1"/>
  <c r="AJ170" i="1"/>
  <c r="AI170" i="1"/>
  <c r="AI163" i="1"/>
  <c r="AJ163" i="1"/>
  <c r="AJ168" i="1"/>
  <c r="AI168" i="1"/>
  <c r="AJ164" i="1"/>
  <c r="AI164" i="1"/>
  <c r="AJ174" i="1"/>
  <c r="AI174" i="1"/>
  <c r="AJ172" i="1"/>
  <c r="AI172" i="1"/>
  <c r="BM73" i="1"/>
  <c r="AI73" i="1"/>
  <c r="AJ79" i="1"/>
  <c r="BM83" i="1"/>
  <c r="AI83" i="1"/>
  <c r="AJ84" i="1"/>
  <c r="BM74" i="1"/>
  <c r="AI74" i="1"/>
  <c r="AJ78" i="1"/>
  <c r="AI82" i="1"/>
  <c r="BM82" i="1"/>
  <c r="BM90" i="1"/>
  <c r="AI90" i="1"/>
  <c r="BM85" i="1"/>
  <c r="AI85" i="1"/>
  <c r="AJ88" i="1"/>
  <c r="BM75" i="1"/>
  <c r="AI75" i="1"/>
  <c r="BM77" i="1"/>
  <c r="AI77" i="1"/>
  <c r="AJ80" i="1"/>
  <c r="AH218" i="1"/>
  <c r="AG218" i="1" s="1"/>
  <c r="AH196" i="1"/>
  <c r="AG196" i="1" s="1"/>
  <c r="AH206" i="1"/>
  <c r="AG206" i="1" s="1"/>
  <c r="AH195" i="1"/>
  <c r="AG195" i="1" s="1"/>
  <c r="AH189" i="1"/>
  <c r="AG189" i="1" s="1"/>
  <c r="AH207" i="1"/>
  <c r="AG207" i="1" s="1"/>
  <c r="AH214" i="1"/>
  <c r="AG214" i="1" s="1"/>
  <c r="AH212" i="1"/>
  <c r="AG212" i="1" s="1"/>
  <c r="AH194" i="1"/>
  <c r="AG194" i="1" s="1"/>
  <c r="AH213" i="1"/>
  <c r="AG213" i="1" s="1"/>
  <c r="AH190" i="1"/>
  <c r="AG190" i="1" s="1"/>
  <c r="AH219" i="1"/>
  <c r="AG219" i="1" s="1"/>
  <c r="AH202" i="1"/>
  <c r="AG202" i="1" s="1"/>
  <c r="AH209" i="1"/>
  <c r="AG209" i="1" s="1"/>
  <c r="AH193" i="1"/>
  <c r="AG193" i="1" s="1"/>
  <c r="AH208" i="1"/>
  <c r="AG208" i="1" s="1"/>
  <c r="AH217" i="1"/>
  <c r="AG217" i="1" s="1"/>
  <c r="AH204" i="1"/>
  <c r="AG204" i="1" s="1"/>
  <c r="AH210" i="1"/>
  <c r="AG210" i="1" s="1"/>
  <c r="AH192" i="1"/>
  <c r="AG192" i="1" s="1"/>
  <c r="AH211" i="1"/>
  <c r="AG211" i="1" s="1"/>
  <c r="AH203" i="1"/>
  <c r="AG203" i="1" s="1"/>
  <c r="AI239" i="1"/>
  <c r="AJ245" i="1"/>
  <c r="AH245" i="1"/>
  <c r="AG245" i="1" s="1"/>
  <c r="AH312" i="1"/>
  <c r="AG312" i="1" s="1"/>
  <c r="AH310" i="1"/>
  <c r="AG310" i="1" s="1"/>
  <c r="AH309" i="1"/>
  <c r="AG309" i="1" s="1"/>
  <c r="AH308" i="1"/>
  <c r="AG308" i="1" s="1"/>
  <c r="AH307" i="1"/>
  <c r="AG307" i="1" s="1"/>
  <c r="AH305" i="1"/>
  <c r="AG305" i="1" s="1"/>
  <c r="AH304" i="1"/>
  <c r="AG304" i="1" s="1"/>
  <c r="AH303" i="1"/>
  <c r="AG303" i="1" s="1"/>
  <c r="AH302" i="1"/>
  <c r="AG302" i="1" s="1"/>
  <c r="AH300" i="1"/>
  <c r="AG300" i="1" s="1"/>
  <c r="AH299" i="1"/>
  <c r="AG299" i="1" s="1"/>
  <c r="AH298" i="1"/>
  <c r="AG298" i="1" s="1"/>
  <c r="AH297" i="1"/>
  <c r="AG297" i="1" s="1"/>
  <c r="AH294" i="1"/>
  <c r="AG294" i="1" s="1"/>
  <c r="AH293" i="1"/>
  <c r="AG293" i="1" s="1"/>
  <c r="AH292" i="1"/>
  <c r="AG292" i="1" s="1"/>
  <c r="AH287" i="1"/>
  <c r="AG287" i="1" s="1"/>
  <c r="AH286" i="1"/>
  <c r="AG286" i="1" s="1"/>
  <c r="AH285" i="1"/>
  <c r="AG285" i="1" s="1"/>
  <c r="AH284" i="1"/>
  <c r="AG284" i="1" s="1"/>
  <c r="AH283" i="1"/>
  <c r="AG283" i="1" s="1"/>
  <c r="AH282" i="1"/>
  <c r="AG282" i="1" s="1"/>
  <c r="AH281" i="1"/>
  <c r="AG281" i="1" s="1"/>
  <c r="AH264" i="1"/>
  <c r="AG264" i="1" s="1"/>
  <c r="AH263" i="1"/>
  <c r="AG263" i="1" s="1"/>
  <c r="AH262" i="1"/>
  <c r="AG262" i="1" s="1"/>
  <c r="AH260" i="1"/>
  <c r="AG260" i="1" s="1"/>
  <c r="AH259" i="1"/>
  <c r="AG259" i="1" s="1"/>
  <c r="AH258" i="1"/>
  <c r="AG258" i="1" s="1"/>
  <c r="AH257" i="1"/>
  <c r="AG257" i="1" s="1"/>
  <c r="AH255" i="1"/>
  <c r="AG255" i="1" s="1"/>
  <c r="AH254" i="1"/>
  <c r="AG254" i="1" s="1"/>
  <c r="AH253" i="1"/>
  <c r="AG253" i="1" s="1"/>
  <c r="AH252" i="1"/>
  <c r="AG252" i="1" s="1"/>
  <c r="AH249" i="1"/>
  <c r="AG249" i="1" s="1"/>
  <c r="AH248" i="1"/>
  <c r="AG248" i="1" s="1"/>
  <c r="AH244" i="1"/>
  <c r="AG244" i="1" s="1"/>
  <c r="AH243" i="1"/>
  <c r="AG243" i="1" s="1"/>
  <c r="AH242" i="1"/>
  <c r="AG242" i="1" s="1"/>
  <c r="AH241" i="1"/>
  <c r="AG241" i="1" s="1"/>
  <c r="AH240" i="1"/>
  <c r="AG240" i="1" s="1"/>
  <c r="AH238" i="1"/>
  <c r="AG238" i="1" s="1"/>
  <c r="AH237" i="1"/>
  <c r="AG237" i="1" s="1"/>
  <c r="AH280" i="1"/>
  <c r="AG280" i="1" s="1"/>
  <c r="AH279" i="1"/>
  <c r="AG279" i="1" s="1"/>
  <c r="AH177" i="1"/>
  <c r="AG177" i="1" s="1"/>
  <c r="AH175" i="1"/>
  <c r="AG175" i="1" s="1"/>
  <c r="AH174" i="1"/>
  <c r="AG174" i="1" s="1"/>
  <c r="AH173" i="1"/>
  <c r="AG173" i="1" s="1"/>
  <c r="AH172" i="1"/>
  <c r="AG172" i="1" s="1"/>
  <c r="AH170" i="1"/>
  <c r="AG170" i="1" s="1"/>
  <c r="AH169" i="1"/>
  <c r="AG169" i="1" s="1"/>
  <c r="AH168" i="1"/>
  <c r="AG168" i="1" s="1"/>
  <c r="AH167" i="1"/>
  <c r="AG167" i="1" s="1"/>
  <c r="AH165" i="1"/>
  <c r="AG165" i="1" s="1"/>
  <c r="AH164" i="1"/>
  <c r="AG164" i="1" s="1"/>
  <c r="AH163" i="1"/>
  <c r="AG163" i="1" s="1"/>
  <c r="AH162" i="1"/>
  <c r="AG162" i="1" s="1"/>
  <c r="AH159" i="1"/>
  <c r="AG159" i="1" s="1"/>
  <c r="AH153" i="1"/>
  <c r="AG153" i="1" s="1"/>
  <c r="AH152" i="1"/>
  <c r="AG152" i="1" s="1"/>
  <c r="AH151" i="1"/>
  <c r="AG151" i="1" s="1"/>
  <c r="AH150" i="1"/>
  <c r="AG150" i="1" s="1"/>
  <c r="AH149" i="1"/>
  <c r="AG149" i="1" s="1"/>
  <c r="AH148" i="1"/>
  <c r="AG148" i="1" s="1"/>
  <c r="AH147" i="1"/>
  <c r="AG147" i="1" s="1"/>
  <c r="AH146" i="1"/>
  <c r="AG146" i="1" s="1"/>
  <c r="AH144" i="1"/>
  <c r="AG144" i="1" s="1"/>
  <c r="AJ65" i="1"/>
  <c r="AJ64" i="1"/>
  <c r="AJ63" i="1"/>
  <c r="AJ62" i="1"/>
  <c r="AJ57" i="1"/>
  <c r="AJ56" i="1"/>
  <c r="AJ55" i="1"/>
  <c r="AJ54" i="1"/>
  <c r="BA559" i="1" l="1" a="1"/>
  <c r="BA559" i="1" s="1"/>
  <c r="BI559" i="1" s="1"/>
  <c r="BA553" i="1" a="1"/>
  <c r="BA553" i="1" s="1"/>
  <c r="BI553" i="1" s="1"/>
  <c r="BA513" i="1" a="1"/>
  <c r="BA513" i="1" s="1"/>
  <c r="BI513" i="1" s="1"/>
  <c r="BA461" i="1" a="1"/>
  <c r="BA461" i="1" s="1"/>
  <c r="BI461" i="1" s="1"/>
  <c r="BI522" i="1"/>
  <c r="BI565" i="1"/>
  <c r="BI491" i="1"/>
  <c r="BI515" i="1"/>
  <c r="BI567" i="1"/>
  <c r="BI520" i="1"/>
  <c r="BI485" i="1"/>
  <c r="BI463" i="1"/>
  <c r="BI527" i="1"/>
  <c r="BI459" i="1"/>
  <c r="BI481" i="1"/>
  <c r="BI574" i="1"/>
  <c r="BI537" i="1"/>
  <c r="BI517" i="1"/>
  <c r="BI540" i="1"/>
  <c r="BI475" i="1"/>
  <c r="BI587" i="1"/>
  <c r="BI538" i="1"/>
  <c r="BI518" i="1"/>
  <c r="BI589" i="1"/>
  <c r="BI490" i="1"/>
  <c r="BI580" i="1"/>
  <c r="BI493" i="1"/>
  <c r="BI480" i="1"/>
  <c r="BI495" i="1"/>
  <c r="BI554" i="1"/>
  <c r="BI533" i="1"/>
  <c r="BI579" i="1"/>
  <c r="BI514" i="1"/>
  <c r="BI508" i="1"/>
  <c r="BI568" i="1"/>
  <c r="BI472" i="1"/>
  <c r="BI519" i="1"/>
  <c r="BI462" i="1"/>
  <c r="BI560" i="1"/>
  <c r="BI556" i="1"/>
  <c r="BI555" i="1"/>
  <c r="BI469" i="1"/>
  <c r="BI507" i="1"/>
  <c r="BI471" i="1"/>
  <c r="BI584" i="1"/>
  <c r="BI557" i="1"/>
  <c r="BI569" i="1"/>
  <c r="BI512" i="1"/>
  <c r="BI566" i="1"/>
  <c r="BI558" i="1"/>
  <c r="BI564" i="1"/>
  <c r="BI467" i="1"/>
  <c r="BI532" i="1"/>
  <c r="BI486" i="1"/>
  <c r="BI561" i="1"/>
  <c r="BI460" i="1"/>
  <c r="BI465" i="1"/>
  <c r="BI563" i="1"/>
  <c r="BI506" i="1"/>
  <c r="BI468" i="1"/>
  <c r="BI542" i="1"/>
  <c r="BI511" i="1"/>
  <c r="BI464" i="1"/>
  <c r="BI570" i="1"/>
  <c r="BI523" i="1"/>
  <c r="BI470" i="1"/>
  <c r="BI510" i="1"/>
  <c r="BI521" i="1"/>
  <c r="BI466" i="1"/>
  <c r="BI588" i="1"/>
  <c r="BI575" i="1"/>
  <c r="BI562" i="1"/>
  <c r="BI509" i="1"/>
  <c r="BI541" i="1"/>
  <c r="BI494" i="1"/>
  <c r="BI528" i="1"/>
  <c r="BI476" i="1"/>
  <c r="BI474" i="1"/>
  <c r="BI516" i="1"/>
  <c r="BI449" i="1"/>
  <c r="BI440" i="1"/>
  <c r="BI429" i="1"/>
  <c r="BI428" i="1"/>
  <c r="BI450" i="1"/>
  <c r="BI441" i="1"/>
  <c r="BI430" i="1"/>
  <c r="BI425" i="1"/>
  <c r="BI448" i="1"/>
  <c r="BI436" i="1"/>
  <c r="BI446" i="1"/>
  <c r="BI435" i="1"/>
  <c r="BI427" i="1"/>
  <c r="BI417" i="1"/>
  <c r="BI424" i="1"/>
  <c r="BI445" i="1"/>
  <c r="BI431" i="1"/>
  <c r="BI426" i="1"/>
  <c r="BI423" i="1"/>
  <c r="BI422" i="1"/>
  <c r="BI421" i="1"/>
  <c r="BI420" i="1"/>
  <c r="BI419" i="1"/>
  <c r="BI418" i="1"/>
  <c r="BI416" i="1"/>
  <c r="BI415" i="1"/>
  <c r="BI414" i="1"/>
  <c r="BI346" i="1"/>
  <c r="BI341" i="1"/>
  <c r="BI340" i="1"/>
  <c r="BI329" i="1"/>
  <c r="BI338" i="1"/>
  <c r="BI330" i="1"/>
  <c r="BI332" i="1"/>
  <c r="BI333" i="1"/>
  <c r="BI358" i="1"/>
  <c r="BI325" i="1"/>
  <c r="BI144" i="1"/>
  <c r="BI335" i="1"/>
  <c r="BI350" i="1"/>
  <c r="BI336" i="1"/>
  <c r="BI356" i="1"/>
  <c r="BI326" i="1"/>
  <c r="BI147" i="1"/>
  <c r="BI327" i="1"/>
  <c r="BI146" i="1"/>
  <c r="BI351" i="1"/>
  <c r="BI345" i="1"/>
  <c r="BI145" i="1"/>
  <c r="BI355" i="1"/>
  <c r="BI359" i="1"/>
  <c r="BI339" i="1"/>
  <c r="BI337" i="1"/>
  <c r="BI334" i="1"/>
  <c r="BI360" i="1"/>
  <c r="BI331" i="1"/>
  <c r="BI324" i="1"/>
  <c r="BI328" i="1"/>
  <c r="AI66" i="1"/>
  <c r="BM66" i="1"/>
  <c r="BM70" i="1"/>
  <c r="AI70" i="1"/>
  <c r="AH66" i="1"/>
  <c r="AG66" i="1" s="1"/>
  <c r="BL66" i="1"/>
  <c r="AH70" i="1"/>
  <c r="AG70" i="1" s="1"/>
  <c r="BL70" i="1"/>
  <c r="AH87" i="1"/>
  <c r="AG87" i="1" s="1"/>
  <c r="BL87" i="1"/>
  <c r="AH86" i="1"/>
  <c r="AG86" i="1" s="1"/>
  <c r="BL86" i="1"/>
  <c r="AI86" i="1"/>
  <c r="BM86" i="1"/>
  <c r="BM68" i="1"/>
  <c r="AI68" i="1"/>
  <c r="BM84" i="1"/>
  <c r="AI84" i="1"/>
  <c r="AI80" i="1"/>
  <c r="BM80" i="1"/>
  <c r="BM79" i="1"/>
  <c r="AI79" i="1"/>
  <c r="AI88" i="1"/>
  <c r="BM88" i="1"/>
  <c r="BM78" i="1"/>
  <c r="AI78" i="1"/>
  <c r="BM87" i="1"/>
  <c r="AI87" i="1"/>
  <c r="AH56" i="1"/>
  <c r="AG56" i="1" s="1"/>
  <c r="BL56" i="1"/>
  <c r="AH74" i="1"/>
  <c r="AG74" i="1" s="1"/>
  <c r="BL74" i="1"/>
  <c r="AH58" i="1"/>
  <c r="AG58" i="1" s="1"/>
  <c r="BL58" i="1"/>
  <c r="AH57" i="1"/>
  <c r="AG57" i="1" s="1"/>
  <c r="BL57" i="1"/>
  <c r="AH77" i="1"/>
  <c r="AG77" i="1" s="1"/>
  <c r="BL77" i="1"/>
  <c r="AH79" i="1"/>
  <c r="AG79" i="1" s="1"/>
  <c r="BL79" i="1"/>
  <c r="AH63" i="1"/>
  <c r="AG63" i="1" s="1"/>
  <c r="BL63" i="1"/>
  <c r="AH64" i="1"/>
  <c r="AG64" i="1" s="1"/>
  <c r="BL64" i="1"/>
  <c r="AH75" i="1"/>
  <c r="AG75" i="1" s="1"/>
  <c r="BL75" i="1"/>
  <c r="AH65" i="1"/>
  <c r="AG65" i="1" s="1"/>
  <c r="BL65" i="1"/>
  <c r="AH78" i="1"/>
  <c r="AG78" i="1" s="1"/>
  <c r="BL78" i="1"/>
  <c r="AH59" i="1"/>
  <c r="AG59" i="1" s="1"/>
  <c r="BL59" i="1"/>
  <c r="AH54" i="1"/>
  <c r="AG54" i="1" s="1"/>
  <c r="BL54" i="1"/>
  <c r="AH67" i="1"/>
  <c r="AG67" i="1" s="1"/>
  <c r="BL67" i="1"/>
  <c r="AH61" i="1"/>
  <c r="AG61" i="1" s="1"/>
  <c r="BL61" i="1"/>
  <c r="AH68" i="1"/>
  <c r="AG68" i="1" s="1"/>
  <c r="BL68" i="1"/>
  <c r="AH82" i="1"/>
  <c r="AG82" i="1" s="1"/>
  <c r="BL82" i="1"/>
  <c r="AH73" i="1"/>
  <c r="AG73" i="1" s="1"/>
  <c r="BL73" i="1"/>
  <c r="AH60" i="1"/>
  <c r="AG60" i="1" s="1"/>
  <c r="BL60" i="1"/>
  <c r="AH80" i="1"/>
  <c r="AG80" i="1" s="1"/>
  <c r="BL80" i="1"/>
  <c r="AH55" i="1"/>
  <c r="AG55" i="1" s="1"/>
  <c r="BL55" i="1"/>
  <c r="AH62" i="1"/>
  <c r="AG62" i="1" s="1"/>
  <c r="BL62" i="1"/>
  <c r="AH69" i="1"/>
  <c r="AG69" i="1" s="1"/>
  <c r="BL69" i="1"/>
  <c r="AH83" i="1"/>
  <c r="AG83" i="1" s="1"/>
  <c r="BL83" i="1"/>
  <c r="AH72" i="1"/>
  <c r="AG72" i="1" s="1"/>
  <c r="BL72" i="1"/>
  <c r="AH84" i="1"/>
  <c r="AG84" i="1" s="1"/>
  <c r="BL84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E50" i="1"/>
  <c r="D50" i="1"/>
  <c r="C50" i="1"/>
  <c r="L74" i="1" l="1"/>
  <c r="M74" i="1"/>
  <c r="N74" i="1"/>
  <c r="P74" i="1"/>
  <c r="Q74" i="1"/>
  <c r="R74" i="1"/>
  <c r="T74" i="1"/>
  <c r="U74" i="1"/>
  <c r="AA138" i="1" l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225" i="1" l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W8" i="1" l="1"/>
  <c r="W7" i="1"/>
  <c r="W6" i="1"/>
  <c r="W5" i="1"/>
  <c r="W4" i="1"/>
  <c r="W3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L306" i="1" l="1"/>
  <c r="AW306" i="1" s="1"/>
  <c r="AL303" i="1"/>
  <c r="AW303" i="1" s="1"/>
  <c r="AP302" i="1"/>
  <c r="BA302" i="1" s="1" a="1"/>
  <c r="BA302" i="1" s="1"/>
  <c r="AL294" i="1"/>
  <c r="AW294" i="1" s="1"/>
  <c r="AL283" i="1"/>
  <c r="AW283" i="1" s="1"/>
  <c r="AL282" i="1"/>
  <c r="AW282" i="1" s="1"/>
  <c r="AP270" i="1"/>
  <c r="BA270" i="1" s="1" a="1"/>
  <c r="BA270" i="1" s="1"/>
  <c r="AP266" i="1"/>
  <c r="BA266" i="1" s="1" a="1"/>
  <c r="BA266" i="1" s="1"/>
  <c r="AL264" i="1"/>
  <c r="AW264" i="1" s="1"/>
  <c r="AP262" i="1"/>
  <c r="BA262" i="1" s="1" a="1"/>
  <c r="BA262" i="1" s="1"/>
  <c r="AL262" i="1"/>
  <c r="AW262" i="1" s="1"/>
  <c r="AL256" i="1"/>
  <c r="AW256" i="1" s="1"/>
  <c r="AP252" i="1"/>
  <c r="BA252" i="1" s="1" a="1"/>
  <c r="BA252" i="1" s="1"/>
  <c r="AP248" i="1"/>
  <c r="BA248" i="1" s="1" a="1"/>
  <c r="BA248" i="1" s="1"/>
  <c r="AP246" i="1"/>
  <c r="BA246" i="1" s="1" a="1"/>
  <c r="BA246" i="1" s="1"/>
  <c r="AL240" i="1"/>
  <c r="AW240" i="1" s="1"/>
  <c r="AP238" i="1"/>
  <c r="BA238" i="1" s="1" a="1"/>
  <c r="BA238" i="1" s="1"/>
  <c r="AP222" i="1"/>
  <c r="BA222" i="1" s="1" a="1"/>
  <c r="BA222" i="1" s="1"/>
  <c r="AP219" i="1"/>
  <c r="BA219" i="1" s="1" a="1"/>
  <c r="BA219" i="1" s="1"/>
  <c r="AP212" i="1"/>
  <c r="BA212" i="1" s="1" a="1"/>
  <c r="BA212" i="1" s="1"/>
  <c r="AP207" i="1"/>
  <c r="BA207" i="1" s="1" a="1"/>
  <c r="BA207" i="1" s="1"/>
  <c r="AL207" i="1"/>
  <c r="AW207" i="1" s="1"/>
  <c r="AP205" i="1"/>
  <c r="BA205" i="1" s="1" a="1"/>
  <c r="BA205" i="1" s="1"/>
  <c r="AL204" i="1"/>
  <c r="AW204" i="1" s="1"/>
  <c r="AL192" i="1"/>
  <c r="AW192" i="1" s="1"/>
  <c r="AP180" i="1"/>
  <c r="BA180" i="1" s="1" a="1"/>
  <c r="BA180" i="1" s="1"/>
  <c r="AP177" i="1"/>
  <c r="BA177" i="1" s="1" a="1"/>
  <c r="BA177" i="1" s="1"/>
  <c r="AL177" i="1"/>
  <c r="AW177" i="1" s="1"/>
  <c r="AL176" i="1"/>
  <c r="AW176" i="1" s="1"/>
  <c r="AP175" i="1"/>
  <c r="BA175" i="1" s="1" a="1"/>
  <c r="BA175" i="1" s="1"/>
  <c r="AL174" i="1"/>
  <c r="AW174" i="1" s="1"/>
  <c r="AP168" i="1"/>
  <c r="BA168" i="1" s="1" a="1"/>
  <c r="BA168" i="1" s="1"/>
  <c r="AL166" i="1"/>
  <c r="AW166" i="1" s="1"/>
  <c r="AP163" i="1"/>
  <c r="BA163" i="1" s="1" a="1"/>
  <c r="BA163" i="1" s="1"/>
  <c r="AL162" i="1"/>
  <c r="AW162" i="1" s="1"/>
  <c r="AP158" i="1"/>
  <c r="BA158" i="1" s="1" a="1"/>
  <c r="BA158" i="1" s="1"/>
  <c r="AL154" i="1"/>
  <c r="AW154" i="1" s="1"/>
  <c r="AP90" i="1"/>
  <c r="BA90" i="1" s="1" a="1"/>
  <c r="BA90" i="1" s="1"/>
  <c r="AP88" i="1"/>
  <c r="BA88" i="1" s="1" a="1"/>
  <c r="BA88" i="1" s="1"/>
  <c r="AL84" i="1"/>
  <c r="AW84" i="1" s="1"/>
  <c r="AP83" i="1"/>
  <c r="BA83" i="1" s="1" a="1"/>
  <c r="BA83" i="1" s="1"/>
  <c r="AP68" i="1"/>
  <c r="BA68" i="1" s="1" a="1"/>
  <c r="BA68" i="1" s="1"/>
  <c r="AP56" i="1"/>
  <c r="BA56" i="1" s="1" a="1"/>
  <c r="BA56" i="1" s="1"/>
  <c r="AL269" i="1"/>
  <c r="AW269" i="1" s="1"/>
  <c r="AL268" i="1"/>
  <c r="AW268" i="1" s="1"/>
  <c r="AP267" i="1"/>
  <c r="BA267" i="1" s="1" a="1"/>
  <c r="BA267" i="1" s="1"/>
  <c r="AL266" i="1"/>
  <c r="AW266" i="1" s="1"/>
  <c r="AP265" i="1"/>
  <c r="BA265" i="1" s="1" a="1"/>
  <c r="BA265" i="1" s="1"/>
  <c r="AP264" i="1"/>
  <c r="BA264" i="1" s="1" a="1"/>
  <c r="BA264" i="1" s="1"/>
  <c r="AL261" i="1"/>
  <c r="AW261" i="1" s="1"/>
  <c r="AP260" i="1"/>
  <c r="BA260" i="1" s="1" a="1"/>
  <c r="BA260" i="1" s="1"/>
  <c r="AP259" i="1"/>
  <c r="BA259" i="1" s="1" a="1"/>
  <c r="BA259" i="1" s="1"/>
  <c r="AL259" i="1"/>
  <c r="AW259" i="1" s="1"/>
  <c r="AP257" i="1"/>
  <c r="BA257" i="1" s="1" a="1"/>
  <c r="BA257" i="1" s="1"/>
  <c r="AL257" i="1"/>
  <c r="AW257" i="1" s="1"/>
  <c r="AP255" i="1"/>
  <c r="BA255" i="1" s="1" a="1"/>
  <c r="BA255" i="1" s="1"/>
  <c r="AP254" i="1"/>
  <c r="BA254" i="1" s="1" a="1"/>
  <c r="BA254" i="1" s="1"/>
  <c r="AP253" i="1"/>
  <c r="BA253" i="1" s="1" a="1"/>
  <c r="BA253" i="1" s="1"/>
  <c r="AL252" i="1"/>
  <c r="AW252" i="1" s="1"/>
  <c r="AP250" i="1"/>
  <c r="BA250" i="1" s="1" a="1"/>
  <c r="BA250" i="1" s="1"/>
  <c r="AL249" i="1"/>
  <c r="AW249" i="1" s="1"/>
  <c r="AP247" i="1"/>
  <c r="BA247" i="1" s="1" a="1"/>
  <c r="BA247" i="1" s="1"/>
  <c r="AL247" i="1"/>
  <c r="AW247" i="1" s="1"/>
  <c r="AP245" i="1"/>
  <c r="BA245" i="1" s="1" a="1"/>
  <c r="BA245" i="1" s="1"/>
  <c r="AL245" i="1"/>
  <c r="AW245" i="1" s="1"/>
  <c r="AL244" i="1"/>
  <c r="AW244" i="1" s="1"/>
  <c r="AL242" i="1"/>
  <c r="AW242" i="1" s="1"/>
  <c r="AL238" i="1"/>
  <c r="AW238" i="1" s="1"/>
  <c r="AL235" i="1"/>
  <c r="AW235" i="1" s="1"/>
  <c r="AP315" i="1"/>
  <c r="BA315" i="1" s="1" a="1"/>
  <c r="BA315" i="1" s="1"/>
  <c r="AL315" i="1"/>
  <c r="AW315" i="1" s="1"/>
  <c r="AP311" i="1"/>
  <c r="BA311" i="1" s="1" a="1"/>
  <c r="BA311" i="1" s="1"/>
  <c r="AL312" i="1"/>
  <c r="AW312" i="1" s="1"/>
  <c r="AL313" i="1"/>
  <c r="AW313" i="1" s="1"/>
  <c r="AP313" i="1"/>
  <c r="BA313" i="1" s="1" a="1"/>
  <c r="BA313" i="1" s="1"/>
  <c r="AP310" i="1"/>
  <c r="BA310" i="1" s="1" a="1"/>
  <c r="BA310" i="1" s="1"/>
  <c r="AL310" i="1"/>
  <c r="AW310" i="1" s="1"/>
  <c r="AP308" i="1"/>
  <c r="BA308" i="1" s="1" a="1"/>
  <c r="BA308" i="1" s="1"/>
  <c r="AL308" i="1"/>
  <c r="AW308" i="1" s="1"/>
  <c r="AL307" i="1"/>
  <c r="AW307" i="1" s="1"/>
  <c r="AP305" i="1"/>
  <c r="BA305" i="1" s="1" a="1"/>
  <c r="BA305" i="1" s="1"/>
  <c r="AL305" i="1"/>
  <c r="AW305" i="1" s="1"/>
  <c r="AP304" i="1"/>
  <c r="BA304" i="1" s="1" a="1"/>
  <c r="BA304" i="1" s="1"/>
  <c r="AP303" i="1"/>
  <c r="BA303" i="1" s="1" a="1"/>
  <c r="BA303" i="1" s="1"/>
  <c r="AL301" i="1"/>
  <c r="AW301" i="1" s="1"/>
  <c r="AL300" i="1"/>
  <c r="AW300" i="1" s="1"/>
  <c r="AP299" i="1"/>
  <c r="BA299" i="1" s="1" a="1"/>
  <c r="BA299" i="1" s="1"/>
  <c r="AP298" i="1"/>
  <c r="BA298" i="1" s="1" a="1"/>
  <c r="BA298" i="1" s="1"/>
  <c r="AL298" i="1"/>
  <c r="AW298" i="1" s="1"/>
  <c r="AM296" i="1"/>
  <c r="AX296" i="1" s="1" a="1"/>
  <c r="AX296" i="1" s="1"/>
  <c r="AL296" i="1"/>
  <c r="AW296" i="1" s="1"/>
  <c r="AL295" i="1"/>
  <c r="AW295" i="1" s="1"/>
  <c r="AP293" i="1"/>
  <c r="BA293" i="1" s="1" a="1"/>
  <c r="BA293" i="1" s="1"/>
  <c r="AL293" i="1"/>
  <c r="AW293" i="1" s="1"/>
  <c r="AP292" i="1"/>
  <c r="BA292" i="1" s="1" a="1"/>
  <c r="BA292" i="1" s="1"/>
  <c r="AP291" i="1"/>
  <c r="BA291" i="1" s="1" a="1"/>
  <c r="BA291" i="1" s="1"/>
  <c r="AL291" i="1"/>
  <c r="AW291" i="1" s="1"/>
  <c r="AL289" i="1"/>
  <c r="AW289" i="1" s="1"/>
  <c r="AL288" i="1"/>
  <c r="AW288" i="1" s="1"/>
  <c r="AL286" i="1"/>
  <c r="AW286" i="1" s="1"/>
  <c r="AL284" i="1"/>
  <c r="AW284" i="1" s="1"/>
  <c r="AP281" i="1"/>
  <c r="BA281" i="1" s="1" a="1"/>
  <c r="BA281" i="1" s="1"/>
  <c r="AL281" i="1"/>
  <c r="AW281" i="1" s="1"/>
  <c r="AL279" i="1"/>
  <c r="AW279" i="1" s="1"/>
  <c r="AP225" i="1"/>
  <c r="BA225" i="1" s="1" a="1"/>
  <c r="BA225" i="1" s="1"/>
  <c r="AL225" i="1"/>
  <c r="AW225" i="1" s="1"/>
  <c r="AP223" i="1"/>
  <c r="BA223" i="1" s="1" a="1"/>
  <c r="BA223" i="1" s="1"/>
  <c r="AL223" i="1"/>
  <c r="AW223" i="1" s="1"/>
  <c r="AL222" i="1"/>
  <c r="AW222" i="1" s="1"/>
  <c r="AP221" i="1"/>
  <c r="BA221" i="1" s="1" a="1"/>
  <c r="BA221" i="1" s="1"/>
  <c r="AP220" i="1"/>
  <c r="BA220" i="1" s="1" a="1"/>
  <c r="BA220" i="1" s="1"/>
  <c r="AL220" i="1"/>
  <c r="AW220" i="1" s="1"/>
  <c r="AP218" i="1"/>
  <c r="BA218" i="1" s="1" a="1"/>
  <c r="BA218" i="1" s="1"/>
  <c r="AL218" i="1"/>
  <c r="AW218" i="1" s="1"/>
  <c r="AL217" i="1"/>
  <c r="AW217" i="1" s="1"/>
  <c r="AP216" i="1"/>
  <c r="BA216" i="1" s="1" a="1"/>
  <c r="BA216" i="1" s="1"/>
  <c r="AP215" i="1"/>
  <c r="BA215" i="1" s="1" a="1"/>
  <c r="BA215" i="1" s="1"/>
  <c r="AL215" i="1"/>
  <c r="AW215" i="1" s="1"/>
  <c r="AP214" i="1"/>
  <c r="BA214" i="1" s="1" a="1"/>
  <c r="BA214" i="1" s="1"/>
  <c r="AP213" i="1"/>
  <c r="BA213" i="1" s="1" a="1"/>
  <c r="BA213" i="1" s="1"/>
  <c r="AL213" i="1"/>
  <c r="AW213" i="1" s="1"/>
  <c r="AP211" i="1"/>
  <c r="BA211" i="1" s="1" a="1"/>
  <c r="BA211" i="1" s="1"/>
  <c r="AL211" i="1"/>
  <c r="AW211" i="1" s="1"/>
  <c r="AL210" i="1"/>
  <c r="AW210" i="1" s="1"/>
  <c r="AP209" i="1"/>
  <c r="BA209" i="1" s="1" a="1"/>
  <c r="BA209" i="1" s="1"/>
  <c r="AP208" i="1"/>
  <c r="BA208" i="1" s="1" a="1"/>
  <c r="BA208" i="1" s="1"/>
  <c r="AL208" i="1"/>
  <c r="AW208" i="1" s="1"/>
  <c r="AL206" i="1"/>
  <c r="AW206" i="1" s="1"/>
  <c r="AL205" i="1"/>
  <c r="AW205" i="1" s="1"/>
  <c r="AP203" i="1"/>
  <c r="BA203" i="1" s="1" a="1"/>
  <c r="BA203" i="1" s="1"/>
  <c r="AL203" i="1"/>
  <c r="AW203" i="1" s="1"/>
  <c r="AP202" i="1"/>
  <c r="BA202" i="1" s="1" a="1"/>
  <c r="BA202" i="1" s="1"/>
  <c r="AP201" i="1"/>
  <c r="BA201" i="1" s="1" a="1"/>
  <c r="BA201" i="1" s="1"/>
  <c r="AL201" i="1"/>
  <c r="AW201" i="1" s="1"/>
  <c r="AL199" i="1"/>
  <c r="AW199" i="1" s="1"/>
  <c r="AL198" i="1"/>
  <c r="AW198" i="1" s="1"/>
  <c r="AL196" i="1"/>
  <c r="AW196" i="1" s="1"/>
  <c r="AL194" i="1"/>
  <c r="AW194" i="1" s="1"/>
  <c r="AL193" i="1"/>
  <c r="AW193" i="1" s="1"/>
  <c r="AL191" i="1"/>
  <c r="AW191" i="1" s="1"/>
  <c r="AL189" i="1"/>
  <c r="AW189" i="1" s="1"/>
  <c r="AL180" i="1"/>
  <c r="AW180" i="1" s="1"/>
  <c r="AP178" i="1"/>
  <c r="BA178" i="1" s="1" a="1"/>
  <c r="BA178" i="1" s="1"/>
  <c r="AL178" i="1"/>
  <c r="AW178" i="1" s="1"/>
  <c r="AP176" i="1"/>
  <c r="BA176" i="1" s="1" a="1"/>
  <c r="BA176" i="1" s="1"/>
  <c r="AL175" i="1"/>
  <c r="AW175" i="1" s="1"/>
  <c r="AP174" i="1"/>
  <c r="BA174" i="1" s="1" a="1"/>
  <c r="BA174" i="1" s="1"/>
  <c r="AP173" i="1"/>
  <c r="BA173" i="1" s="1" a="1"/>
  <c r="BA173" i="1" s="1"/>
  <c r="AL173" i="1"/>
  <c r="AW173" i="1" s="1"/>
  <c r="AP172" i="1"/>
  <c r="BA172" i="1" s="1" a="1"/>
  <c r="BA172" i="1" s="1"/>
  <c r="AL171" i="1"/>
  <c r="AW171" i="1" s="1"/>
  <c r="AP169" i="1"/>
  <c r="BA169" i="1" s="1" a="1"/>
  <c r="BA169" i="1" s="1"/>
  <c r="AL169" i="1"/>
  <c r="AW169" i="1" s="1"/>
  <c r="AL168" i="1"/>
  <c r="AW168" i="1" s="1"/>
  <c r="AP167" i="1"/>
  <c r="BA167" i="1" s="1" a="1"/>
  <c r="BA167" i="1" s="1"/>
  <c r="AP164" i="1"/>
  <c r="BA164" i="1" s="1" a="1"/>
  <c r="BA164" i="1" s="1"/>
  <c r="AL164" i="1"/>
  <c r="AW164" i="1" s="1"/>
  <c r="AL163" i="1"/>
  <c r="AW163" i="1" s="1"/>
  <c r="AP162" i="1"/>
  <c r="BA162" i="1" s="1" a="1"/>
  <c r="BA162" i="1" s="1"/>
  <c r="AL161" i="1"/>
  <c r="AW161" i="1" s="1"/>
  <c r="AP160" i="1"/>
  <c r="BA160" i="1" s="1" a="1"/>
  <c r="BA160" i="1" s="1"/>
  <c r="AL159" i="1"/>
  <c r="AW159" i="1" s="1"/>
  <c r="AP157" i="1"/>
  <c r="BA157" i="1" s="1" a="1"/>
  <c r="BA157" i="1" s="1"/>
  <c r="AL157" i="1"/>
  <c r="AW157" i="1" s="1"/>
  <c r="AL156" i="1"/>
  <c r="AW156" i="1" s="1"/>
  <c r="AL152" i="1"/>
  <c r="AW152" i="1" s="1"/>
  <c r="AL151" i="1"/>
  <c r="AW151" i="1" s="1"/>
  <c r="AL149" i="1"/>
  <c r="AW149" i="1" s="1"/>
  <c r="AL89" i="1"/>
  <c r="AW89" i="1" s="1"/>
  <c r="AL88" i="1"/>
  <c r="AW88" i="1" s="1"/>
  <c r="AP87" i="1"/>
  <c r="BA87" i="1" s="1" a="1"/>
  <c r="BA87" i="1" s="1"/>
  <c r="AL86" i="1"/>
  <c r="AW86" i="1" s="1"/>
  <c r="AP85" i="1"/>
  <c r="BA85" i="1" s="1" a="1"/>
  <c r="BA85" i="1" s="1"/>
  <c r="AP84" i="1"/>
  <c r="BA84" i="1" s="1" a="1"/>
  <c r="BA84" i="1" s="1"/>
  <c r="AL82" i="1"/>
  <c r="AW82" i="1" s="1"/>
  <c r="AL81" i="1"/>
  <c r="AW81" i="1" s="1"/>
  <c r="AP80" i="1"/>
  <c r="BA80" i="1" s="1" a="1"/>
  <c r="BA80" i="1" s="1"/>
  <c r="AP79" i="1"/>
  <c r="BA79" i="1" s="1" a="1"/>
  <c r="BA79" i="1" s="1"/>
  <c r="AL79" i="1"/>
  <c r="AW79" i="1" s="1"/>
  <c r="AP77" i="1"/>
  <c r="BA77" i="1" s="1" a="1"/>
  <c r="BA77" i="1" s="1"/>
  <c r="AL77" i="1"/>
  <c r="AW77" i="1" s="1"/>
  <c r="AL76" i="1"/>
  <c r="AW76" i="1" s="1"/>
  <c r="AP75" i="1"/>
  <c r="BA75" i="1" s="1" a="1"/>
  <c r="BA75" i="1" s="1"/>
  <c r="AL75" i="1"/>
  <c r="AW75" i="1" s="1"/>
  <c r="AL74" i="1"/>
  <c r="AW74" i="1" s="1"/>
  <c r="AP72" i="1"/>
  <c r="BA72" i="1" s="1" a="1"/>
  <c r="BA72" i="1" s="1"/>
  <c r="AL72" i="1"/>
  <c r="AW72" i="1" s="1"/>
  <c r="AL70" i="1"/>
  <c r="AW70" i="1" s="1"/>
  <c r="AL69" i="1"/>
  <c r="AW69" i="1" s="1"/>
  <c r="AP67" i="1"/>
  <c r="BA67" i="1" s="1" a="1"/>
  <c r="BA67" i="1" s="1"/>
  <c r="AL67" i="1"/>
  <c r="AW67" i="1" s="1"/>
  <c r="AL65" i="1"/>
  <c r="AW65" i="1" s="1"/>
  <c r="AL64" i="1"/>
  <c r="AW64" i="1" s="1"/>
  <c r="AL63" i="1"/>
  <c r="AW63" i="1" s="1"/>
  <c r="AL62" i="1"/>
  <c r="AW62" i="1" s="1"/>
  <c r="AL60" i="1"/>
  <c r="AW60" i="1" s="1"/>
  <c r="AL58" i="1"/>
  <c r="AW58" i="1" s="1"/>
  <c r="AL57" i="1"/>
  <c r="AW57" i="1" s="1"/>
  <c r="AL55" i="1"/>
  <c r="AW55" i="1" s="1"/>
  <c r="BI164" i="1" l="1"/>
  <c r="BI315" i="1"/>
  <c r="BI163" i="1"/>
  <c r="BI215" i="1"/>
  <c r="BI225" i="1"/>
  <c r="BI293" i="1"/>
  <c r="BI305" i="1"/>
  <c r="BI207" i="1"/>
  <c r="BI223" i="1"/>
  <c r="BI168" i="1"/>
  <c r="BI266" i="1"/>
  <c r="BI205" i="1"/>
  <c r="BI203" i="1"/>
  <c r="BI169" i="1"/>
  <c r="BI157" i="1"/>
  <c r="BI257" i="1"/>
  <c r="BI175" i="1"/>
  <c r="BI222" i="1"/>
  <c r="BI72" i="1"/>
  <c r="BI208" i="1"/>
  <c r="BI281" i="1"/>
  <c r="BI218" i="1"/>
  <c r="BI173" i="1"/>
  <c r="BI298" i="1"/>
  <c r="BI310" i="1"/>
  <c r="BI245" i="1"/>
  <c r="BI259" i="1"/>
  <c r="BI178" i="1"/>
  <c r="BI162" i="1"/>
  <c r="BI88" i="1"/>
  <c r="BI177" i="1"/>
  <c r="BI220" i="1"/>
  <c r="BI211" i="1"/>
  <c r="BI180" i="1"/>
  <c r="BI84" i="1"/>
  <c r="BI174" i="1"/>
  <c r="BI313" i="1"/>
  <c r="BI176" i="1"/>
  <c r="BI201" i="1"/>
  <c r="BI264" i="1"/>
  <c r="BI303" i="1"/>
  <c r="BI262" i="1"/>
  <c r="BI247" i="1"/>
  <c r="BI79" i="1"/>
  <c r="BI75" i="1"/>
  <c r="BI238" i="1"/>
  <c r="BI77" i="1"/>
  <c r="BI213" i="1"/>
  <c r="BI67" i="1"/>
  <c r="BI252" i="1"/>
  <c r="BI308" i="1"/>
  <c r="BI291" i="1"/>
  <c r="AP191" i="1"/>
  <c r="BA191" i="1" s="1" a="1"/>
  <c r="BA191" i="1" s="1"/>
  <c r="AP261" i="1"/>
  <c r="BA261" i="1" s="1" a="1"/>
  <c r="BA261" i="1" s="1"/>
  <c r="AI296" i="1"/>
  <c r="AJ296" i="1"/>
  <c r="AJ59" i="1"/>
  <c r="AP306" i="1"/>
  <c r="BA306" i="1" s="1" a="1"/>
  <c r="BA306" i="1" s="1"/>
  <c r="AJ306" i="1"/>
  <c r="AI306" i="1"/>
  <c r="AH306" i="1"/>
  <c r="AG306" i="1" s="1"/>
  <c r="AP301" i="1"/>
  <c r="BA301" i="1" s="1" a="1"/>
  <c r="BA301" i="1" s="1"/>
  <c r="AJ301" i="1"/>
  <c r="AI301" i="1"/>
  <c r="AH301" i="1"/>
  <c r="AG301" i="1" s="1"/>
  <c r="AP171" i="1"/>
  <c r="BA171" i="1" s="1" a="1"/>
  <c r="BA171" i="1" s="1"/>
  <c r="AI171" i="1"/>
  <c r="AH171" i="1"/>
  <c r="AG171" i="1" s="1"/>
  <c r="AJ171" i="1"/>
  <c r="AP166" i="1"/>
  <c r="BA166" i="1" s="1" a="1"/>
  <c r="BA166" i="1" s="1"/>
  <c r="AJ166" i="1"/>
  <c r="AI166" i="1"/>
  <c r="AH166" i="1"/>
  <c r="AG166" i="1" s="1"/>
  <c r="AP81" i="1"/>
  <c r="BA81" i="1" s="1" a="1"/>
  <c r="BA81" i="1" s="1"/>
  <c r="AJ81" i="1"/>
  <c r="AP210" i="1"/>
  <c r="BA210" i="1" s="1" a="1"/>
  <c r="BA210" i="1" s="1"/>
  <c r="AP243" i="1"/>
  <c r="BA243" i="1" s="1" a="1"/>
  <c r="BA243" i="1" s="1"/>
  <c r="AL170" i="1"/>
  <c r="AW170" i="1" s="1"/>
  <c r="AL237" i="1"/>
  <c r="AW237" i="1" s="1"/>
  <c r="AL243" i="1"/>
  <c r="AW243" i="1" s="1"/>
  <c r="AL267" i="1"/>
  <c r="AW267" i="1" s="1"/>
  <c r="AL87" i="1"/>
  <c r="AP241" i="1"/>
  <c r="BA241" i="1" s="1" a="1"/>
  <c r="BA241" i="1" s="1"/>
  <c r="AL314" i="1"/>
  <c r="AW314" i="1" s="1"/>
  <c r="AL254" i="1"/>
  <c r="AW254" i="1" s="1"/>
  <c r="AL195" i="1"/>
  <c r="AW195" i="1" s="1"/>
  <c r="AL212" i="1"/>
  <c r="AW212" i="1" s="1"/>
  <c r="BI212" i="1" s="1"/>
  <c r="AL250" i="1"/>
  <c r="AW250" i="1" s="1"/>
  <c r="AL302" i="1"/>
  <c r="AW302" i="1" s="1"/>
  <c r="AL83" i="1"/>
  <c r="AL158" i="1"/>
  <c r="AL263" i="1"/>
  <c r="AW263" i="1" s="1"/>
  <c r="AL311" i="1"/>
  <c r="AW311" i="1" s="1"/>
  <c r="BI311" i="1" s="1"/>
  <c r="AL59" i="1"/>
  <c r="AW59" i="1" s="1"/>
  <c r="AL224" i="1"/>
  <c r="AW224" i="1" s="1"/>
  <c r="AL239" i="1"/>
  <c r="AW239" i="1" s="1"/>
  <c r="AL150" i="1"/>
  <c r="AW150" i="1" s="1"/>
  <c r="AL255" i="1"/>
  <c r="AW255" i="1" s="1"/>
  <c r="AL200" i="1"/>
  <c r="AW200" i="1" s="1"/>
  <c r="AL290" i="1"/>
  <c r="AW290" i="1" s="1"/>
  <c r="AL216" i="1"/>
  <c r="AW216" i="1" s="1"/>
  <c r="BI216" i="1" s="1"/>
  <c r="AL71" i="1"/>
  <c r="AW71" i="1" s="1"/>
  <c r="AL219" i="1"/>
  <c r="AW219" i="1" s="1"/>
  <c r="AL234" i="1"/>
  <c r="AW234" i="1" s="1"/>
  <c r="AL251" i="1"/>
  <c r="AW251" i="1" s="1"/>
  <c r="AL299" i="1"/>
  <c r="AW299" i="1" s="1"/>
  <c r="BI299" i="1" s="1"/>
  <c r="AL54" i="1"/>
  <c r="AW54" i="1" s="1"/>
  <c r="AL66" i="1"/>
  <c r="AW66" i="1" s="1"/>
  <c r="AL78" i="1"/>
  <c r="AW78" i="1" s="1"/>
  <c r="AL90" i="1"/>
  <c r="AL153" i="1"/>
  <c r="AW153" i="1" s="1"/>
  <c r="AL165" i="1"/>
  <c r="AW165" i="1" s="1"/>
  <c r="AL246" i="1"/>
  <c r="AW246" i="1" s="1"/>
  <c r="AL258" i="1"/>
  <c r="AW258" i="1" s="1"/>
  <c r="AL270" i="1"/>
  <c r="AW270" i="1" s="1"/>
  <c r="AL285" i="1"/>
  <c r="AW285" i="1" s="1"/>
  <c r="AL297" i="1"/>
  <c r="AW297" i="1" s="1"/>
  <c r="AL309" i="1"/>
  <c r="AW309" i="1" s="1"/>
  <c r="AL56" i="1"/>
  <c r="AL68" i="1"/>
  <c r="AL80" i="1"/>
  <c r="AL155" i="1"/>
  <c r="AW155" i="1" s="1"/>
  <c r="AL167" i="1"/>
  <c r="AL179" i="1"/>
  <c r="AW179" i="1" s="1"/>
  <c r="AL197" i="1"/>
  <c r="AW197" i="1" s="1"/>
  <c r="AL209" i="1"/>
  <c r="AW209" i="1" s="1"/>
  <c r="BI209" i="1" s="1"/>
  <c r="AL221" i="1"/>
  <c r="AW221" i="1" s="1"/>
  <c r="AL190" i="1"/>
  <c r="AW190" i="1" s="1"/>
  <c r="AL202" i="1"/>
  <c r="AW202" i="1" s="1"/>
  <c r="BI202" i="1" s="1"/>
  <c r="AL236" i="1"/>
  <c r="AW236" i="1" s="1"/>
  <c r="AL248" i="1"/>
  <c r="AW248" i="1" s="1"/>
  <c r="BI248" i="1" s="1"/>
  <c r="AL260" i="1"/>
  <c r="AW260" i="1" s="1"/>
  <c r="BI260" i="1" s="1"/>
  <c r="AL287" i="1"/>
  <c r="AW287" i="1" s="1"/>
  <c r="AP66" i="1"/>
  <c r="BA66" i="1" s="1" a="1"/>
  <c r="BA66" i="1" s="1"/>
  <c r="AP156" i="1"/>
  <c r="BA156" i="1" s="1" a="1"/>
  <c r="BA156" i="1" s="1"/>
  <c r="AL61" i="1"/>
  <c r="AW61" i="1" s="1"/>
  <c r="AL73" i="1"/>
  <c r="AW73" i="1" s="1"/>
  <c r="AL85" i="1"/>
  <c r="AL148" i="1"/>
  <c r="AW148" i="1" s="1"/>
  <c r="AL160" i="1"/>
  <c r="AL172" i="1"/>
  <c r="AL214" i="1"/>
  <c r="AW214" i="1" s="1"/>
  <c r="AL241" i="1"/>
  <c r="AW241" i="1" s="1"/>
  <c r="AL253" i="1"/>
  <c r="AW253" i="1" s="1"/>
  <c r="BI253" i="1" s="1"/>
  <c r="AL265" i="1"/>
  <c r="AW265" i="1" s="1"/>
  <c r="BI265" i="1" s="1"/>
  <c r="AL280" i="1"/>
  <c r="AW280" i="1" s="1"/>
  <c r="AL292" i="1"/>
  <c r="AW292" i="1" s="1"/>
  <c r="BI292" i="1" s="1"/>
  <c r="AL304" i="1"/>
  <c r="AW304" i="1" s="1"/>
  <c r="AP295" i="1"/>
  <c r="BA295" i="1" s="1" a="1"/>
  <c r="BA295" i="1" s="1"/>
  <c r="AP239" i="1"/>
  <c r="BA239" i="1" s="1" a="1"/>
  <c r="BA239" i="1" s="1"/>
  <c r="AP268" i="1"/>
  <c r="BA268" i="1" s="1" a="1"/>
  <c r="BA268" i="1" s="1"/>
  <c r="AP300" i="1"/>
  <c r="BA300" i="1" s="1" a="1"/>
  <c r="BA300" i="1" s="1"/>
  <c r="AP312" i="1"/>
  <c r="BA312" i="1" s="1" a="1"/>
  <c r="BA312" i="1" s="1"/>
  <c r="AP307" i="1"/>
  <c r="BA307" i="1" s="1" a="1"/>
  <c r="BA307" i="1" s="1"/>
  <c r="AP288" i="1"/>
  <c r="BA288" i="1" s="1" a="1"/>
  <c r="BA288" i="1" s="1"/>
  <c r="AP244" i="1"/>
  <c r="BA244" i="1" s="1" a="1"/>
  <c r="BA244" i="1" s="1"/>
  <c r="AP263" i="1"/>
  <c r="BA263" i="1" s="1" a="1"/>
  <c r="BA263" i="1" s="1"/>
  <c r="AP290" i="1"/>
  <c r="BA290" i="1" s="1" a="1"/>
  <c r="BA290" i="1" s="1"/>
  <c r="AP309" i="1"/>
  <c r="BA309" i="1" s="1" a="1"/>
  <c r="BA309" i="1" s="1"/>
  <c r="AP297" i="1"/>
  <c r="BA297" i="1" s="1" a="1"/>
  <c r="BA297" i="1" s="1"/>
  <c r="AP285" i="1"/>
  <c r="BA285" i="1" s="1" a="1"/>
  <c r="BA285" i="1" s="1"/>
  <c r="AP234" i="1"/>
  <c r="BA234" i="1" s="1" a="1"/>
  <c r="BA234" i="1" s="1"/>
  <c r="AP237" i="1"/>
  <c r="BA237" i="1" s="1" a="1"/>
  <c r="BA237" i="1" s="1"/>
  <c r="AP249" i="1"/>
  <c r="BA249" i="1" s="1" a="1"/>
  <c r="BA249" i="1" s="1"/>
  <c r="AP258" i="1"/>
  <c r="BA258" i="1" s="1" a="1"/>
  <c r="BA258" i="1" s="1"/>
  <c r="AP242" i="1"/>
  <c r="BA242" i="1" s="1" a="1"/>
  <c r="BA242" i="1" s="1"/>
  <c r="AP256" i="1"/>
  <c r="BA256" i="1" s="1" a="1"/>
  <c r="BA256" i="1" s="1"/>
  <c r="AP314" i="1"/>
  <c r="BA314" i="1" s="1" a="1"/>
  <c r="BA314" i="1" s="1"/>
  <c r="AP269" i="1"/>
  <c r="BA269" i="1" s="1" a="1"/>
  <c r="BA269" i="1" s="1"/>
  <c r="AP240" i="1"/>
  <c r="BA240" i="1" s="1" a="1"/>
  <c r="BA240" i="1" s="1"/>
  <c r="AP235" i="1"/>
  <c r="BA235" i="1" s="1" a="1"/>
  <c r="BA235" i="1" s="1"/>
  <c r="AP236" i="1"/>
  <c r="BA236" i="1" s="1" a="1"/>
  <c r="BA236" i="1" s="1"/>
  <c r="AP199" i="1"/>
  <c r="BA199" i="1" s="1" a="1"/>
  <c r="BA199" i="1" s="1"/>
  <c r="AP190" i="1"/>
  <c r="BA190" i="1" s="1" a="1"/>
  <c r="BA190" i="1" s="1"/>
  <c r="AP206" i="1"/>
  <c r="BA206" i="1" s="1" a="1"/>
  <c r="BA206" i="1" s="1"/>
  <c r="AP198" i="1"/>
  <c r="BA198" i="1" s="1" a="1"/>
  <c r="BA198" i="1" s="1"/>
  <c r="AP153" i="1"/>
  <c r="BA153" i="1" s="1" a="1"/>
  <c r="BA153" i="1" s="1"/>
  <c r="AP279" i="1"/>
  <c r="BA279" i="1" s="1" a="1"/>
  <c r="BA279" i="1" s="1"/>
  <c r="AP150" i="1"/>
  <c r="BA150" i="1" s="1" a="1"/>
  <c r="BA150" i="1" s="1"/>
  <c r="AP165" i="1"/>
  <c r="BA165" i="1" s="1" a="1"/>
  <c r="BA165" i="1" s="1"/>
  <c r="AP200" i="1"/>
  <c r="BA200" i="1" s="1" a="1"/>
  <c r="BA200" i="1" s="1"/>
  <c r="AP196" i="1"/>
  <c r="BA196" i="1" s="1" a="1"/>
  <c r="BA196" i="1" s="1"/>
  <c r="AP194" i="1"/>
  <c r="BA194" i="1" s="1" a="1"/>
  <c r="BA194" i="1" s="1"/>
  <c r="AP151" i="1"/>
  <c r="BA151" i="1" s="1" a="1"/>
  <c r="BA151" i="1" s="1"/>
  <c r="AP155" i="1"/>
  <c r="BA155" i="1" s="1" a="1"/>
  <c r="BA155" i="1" s="1"/>
  <c r="AP179" i="1"/>
  <c r="BA179" i="1" s="1" a="1"/>
  <c r="BA179" i="1" s="1"/>
  <c r="AP192" i="1"/>
  <c r="BA192" i="1" s="1" a="1"/>
  <c r="BA192" i="1" s="1"/>
  <c r="AP195" i="1"/>
  <c r="BA195" i="1" s="1" a="1"/>
  <c r="BA195" i="1" s="1"/>
  <c r="AP284" i="1"/>
  <c r="BA284" i="1" s="1" a="1"/>
  <c r="BA284" i="1" s="1"/>
  <c r="AP189" i="1"/>
  <c r="BA189" i="1" s="1" a="1"/>
  <c r="BA189" i="1" s="1"/>
  <c r="AP197" i="1"/>
  <c r="BA197" i="1" s="1" a="1"/>
  <c r="BA197" i="1" s="1"/>
  <c r="AP282" i="1"/>
  <c r="BA282" i="1" s="1" a="1"/>
  <c r="BA282" i="1" s="1"/>
  <c r="AP289" i="1"/>
  <c r="BA289" i="1" s="1" a="1"/>
  <c r="BA289" i="1" s="1"/>
  <c r="AP286" i="1"/>
  <c r="BA286" i="1" s="1" a="1"/>
  <c r="BA286" i="1" s="1"/>
  <c r="AP204" i="1"/>
  <c r="BA204" i="1" s="1" a="1"/>
  <c r="BA204" i="1" s="1"/>
  <c r="AP280" i="1"/>
  <c r="BA280" i="1" s="1" a="1"/>
  <c r="BA280" i="1" s="1"/>
  <c r="AP296" i="1"/>
  <c r="BA296" i="1" s="1" a="1"/>
  <c r="BA296" i="1" s="1"/>
  <c r="AP224" i="1"/>
  <c r="BA224" i="1" s="1" a="1"/>
  <c r="BA224" i="1" s="1"/>
  <c r="AP294" i="1"/>
  <c r="BA294" i="1" s="1" a="1"/>
  <c r="BA294" i="1" s="1"/>
  <c r="AP154" i="1"/>
  <c r="BA154" i="1" s="1" a="1"/>
  <c r="BA154" i="1" s="1"/>
  <c r="AP170" i="1"/>
  <c r="BA170" i="1" s="1" a="1"/>
  <c r="BA170" i="1" s="1"/>
  <c r="AP159" i="1"/>
  <c r="BA159" i="1" s="1" a="1"/>
  <c r="BA159" i="1" s="1"/>
  <c r="AP217" i="1"/>
  <c r="BA217" i="1" s="1" a="1"/>
  <c r="BA217" i="1" s="1"/>
  <c r="AP193" i="1"/>
  <c r="BA193" i="1" s="1" a="1"/>
  <c r="BA193" i="1" s="1"/>
  <c r="AP283" i="1"/>
  <c r="BA283" i="1" s="1" a="1"/>
  <c r="BA283" i="1" s="1"/>
  <c r="AP287" i="1"/>
  <c r="BA287" i="1" s="1" a="1"/>
  <c r="BA287" i="1" s="1"/>
  <c r="AP62" i="1"/>
  <c r="BA62" i="1" s="1" a="1"/>
  <c r="BA62" i="1" s="1"/>
  <c r="AP64" i="1"/>
  <c r="BA64" i="1" s="1" a="1"/>
  <c r="BA64" i="1" s="1"/>
  <c r="AP89" i="1"/>
  <c r="BA89" i="1" s="1" a="1"/>
  <c r="BA89" i="1" s="1"/>
  <c r="AP55" i="1"/>
  <c r="BA55" i="1" s="1" a="1"/>
  <c r="BA55" i="1" s="1"/>
  <c r="AP60" i="1"/>
  <c r="BA60" i="1" s="1" a="1"/>
  <c r="BA60" i="1" s="1"/>
  <c r="AP63" i="1"/>
  <c r="BA63" i="1" s="1" a="1"/>
  <c r="BA63" i="1" s="1"/>
  <c r="AP57" i="1"/>
  <c r="BA57" i="1" s="1" a="1"/>
  <c r="BA57" i="1" s="1"/>
  <c r="AP61" i="1"/>
  <c r="BA61" i="1" s="1" a="1"/>
  <c r="BA61" i="1" s="1"/>
  <c r="AP65" i="1"/>
  <c r="BA65" i="1" s="1" a="1"/>
  <c r="BA65" i="1" s="1"/>
  <c r="AP69" i="1"/>
  <c r="BA69" i="1" s="1" a="1"/>
  <c r="BA69" i="1" s="1"/>
  <c r="AP73" i="1"/>
  <c r="BA73" i="1" s="1" a="1"/>
  <c r="BA73" i="1" s="1"/>
  <c r="AP70" i="1"/>
  <c r="BA70" i="1" s="1" a="1"/>
  <c r="BA70" i="1" s="1"/>
  <c r="AP74" i="1"/>
  <c r="BA74" i="1" s="1" a="1"/>
  <c r="BA74" i="1" s="1"/>
  <c r="AP78" i="1"/>
  <c r="BA78" i="1" s="1" a="1"/>
  <c r="BA78" i="1" s="1"/>
  <c r="AP82" i="1"/>
  <c r="BA82" i="1" s="1" a="1"/>
  <c r="BA82" i="1" s="1"/>
  <c r="AP86" i="1"/>
  <c r="BA86" i="1" s="1" a="1"/>
  <c r="BA86" i="1" s="1"/>
  <c r="BI255" i="1" l="1"/>
  <c r="BI270" i="1"/>
  <c r="BI219" i="1"/>
  <c r="BI304" i="1"/>
  <c r="BI214" i="1"/>
  <c r="BI246" i="1"/>
  <c r="BI250" i="1"/>
  <c r="BI221" i="1"/>
  <c r="BI302" i="1"/>
  <c r="BI254" i="1"/>
  <c r="BI153" i="1"/>
  <c r="BI258" i="1"/>
  <c r="BI312" i="1"/>
  <c r="BI154" i="1"/>
  <c r="BI195" i="1"/>
  <c r="BI198" i="1"/>
  <c r="BI249" i="1"/>
  <c r="BI300" i="1"/>
  <c r="BI294" i="1"/>
  <c r="BI192" i="1"/>
  <c r="BI206" i="1"/>
  <c r="BI237" i="1"/>
  <c r="BI268" i="1"/>
  <c r="BI86" i="1"/>
  <c r="BI55" i="1"/>
  <c r="BI224" i="1"/>
  <c r="BI179" i="1"/>
  <c r="BI190" i="1"/>
  <c r="BI234" i="1"/>
  <c r="BI239" i="1"/>
  <c r="BI171" i="1"/>
  <c r="BI261" i="1"/>
  <c r="BI307" i="1"/>
  <c r="BI306" i="1"/>
  <c r="BI199" i="1"/>
  <c r="BI295" i="1"/>
  <c r="BI243" i="1"/>
  <c r="BI191" i="1"/>
  <c r="BI279" i="1"/>
  <c r="BI155" i="1"/>
  <c r="BI280" i="1"/>
  <c r="BI151" i="1"/>
  <c r="BI236" i="1"/>
  <c r="BI297" i="1"/>
  <c r="BI78" i="1"/>
  <c r="BI62" i="1"/>
  <c r="BI204" i="1"/>
  <c r="BI194" i="1"/>
  <c r="BI235" i="1"/>
  <c r="BI309" i="1"/>
  <c r="BI156" i="1"/>
  <c r="BI159" i="1"/>
  <c r="BI70" i="1"/>
  <c r="BI196" i="1"/>
  <c r="BI240" i="1"/>
  <c r="BI290" i="1"/>
  <c r="BI66" i="1"/>
  <c r="BI81" i="1"/>
  <c r="BI301" i="1"/>
  <c r="BI61" i="1"/>
  <c r="BI89" i="1"/>
  <c r="BI286" i="1"/>
  <c r="BI73" i="1"/>
  <c r="BI200" i="1"/>
  <c r="BI269" i="1"/>
  <c r="BI263" i="1"/>
  <c r="BI242" i="1"/>
  <c r="BI82" i="1"/>
  <c r="BI287" i="1"/>
  <c r="BI283" i="1"/>
  <c r="BI289" i="1"/>
  <c r="BI69" i="1"/>
  <c r="BI193" i="1"/>
  <c r="BI282" i="1"/>
  <c r="BI165" i="1"/>
  <c r="BI314" i="1"/>
  <c r="BI244" i="1"/>
  <c r="BI189" i="1"/>
  <c r="BI166" i="1"/>
  <c r="BI64" i="1"/>
  <c r="BI65" i="1"/>
  <c r="BI217" i="1"/>
  <c r="BI197" i="1"/>
  <c r="BI150" i="1"/>
  <c r="BI256" i="1"/>
  <c r="BI288" i="1"/>
  <c r="BI241" i="1"/>
  <c r="BI267" i="1"/>
  <c r="BI296" i="1"/>
  <c r="BI210" i="1"/>
  <c r="BI284" i="1"/>
  <c r="BI285" i="1"/>
  <c r="AW90" i="1"/>
  <c r="BI90" i="1" s="1"/>
  <c r="AW172" i="1"/>
  <c r="BI172" i="1" s="1"/>
  <c r="AW87" i="1"/>
  <c r="BI87" i="1" s="1"/>
  <c r="AW167" i="1"/>
  <c r="BI167" i="1" s="1"/>
  <c r="AW85" i="1"/>
  <c r="BI85" i="1" s="1"/>
  <c r="AW80" i="1"/>
  <c r="BI80" i="1" s="1"/>
  <c r="AW158" i="1"/>
  <c r="BI158" i="1" s="1"/>
  <c r="BI57" i="1"/>
  <c r="AW160" i="1"/>
  <c r="BI160" i="1" s="1"/>
  <c r="BI74" i="1"/>
  <c r="BI170" i="1"/>
  <c r="AW68" i="1"/>
  <c r="BI68" i="1" s="1"/>
  <c r="AW83" i="1"/>
  <c r="BI83" i="1" s="1"/>
  <c r="BI63" i="1"/>
  <c r="BI60" i="1"/>
  <c r="AW56" i="1"/>
  <c r="BI56" i="1" s="1"/>
  <c r="AH81" i="1"/>
  <c r="AG81" i="1" s="1"/>
  <c r="BL81" i="1"/>
  <c r="AI81" i="1"/>
  <c r="BM81" i="1"/>
  <c r="AI59" i="1"/>
  <c r="BM59" i="1"/>
  <c r="AP251" i="1"/>
  <c r="BA251" i="1" s="1" a="1"/>
  <c r="BA251" i="1" s="1"/>
  <c r="AP71" i="1"/>
  <c r="BA71" i="1" s="1" a="1"/>
  <c r="BA71" i="1" s="1"/>
  <c r="AJ71" i="1"/>
  <c r="AP76" i="1"/>
  <c r="BA76" i="1" s="1" a="1"/>
  <c r="BA76" i="1" s="1"/>
  <c r="AJ76" i="1"/>
  <c r="BI71" i="1" l="1"/>
  <c r="BI76" i="1"/>
  <c r="BI251" i="1"/>
  <c r="AH76" i="1"/>
  <c r="AG76" i="1" s="1"/>
  <c r="BL76" i="1"/>
  <c r="AI76" i="1"/>
  <c r="BM76" i="1"/>
  <c r="AH71" i="1"/>
  <c r="AG71" i="1" s="1"/>
  <c r="BL71" i="1"/>
  <c r="AI71" i="1"/>
  <c r="BM71" i="1"/>
  <c r="BI50" i="1" l="1"/>
  <c r="U92" i="1"/>
  <c r="U95" i="1" s="1"/>
  <c r="Q92" i="1"/>
  <c r="Q95" i="1" s="1"/>
  <c r="M92" i="1"/>
  <c r="M95" i="1" s="1"/>
  <c r="I92" i="1"/>
  <c r="I95" i="1" s="1"/>
  <c r="E92" i="1"/>
  <c r="E95" i="1" s="1"/>
  <c r="U86" i="1"/>
  <c r="U89" i="1" s="1"/>
  <c r="Q86" i="1"/>
  <c r="Q89" i="1" s="1"/>
  <c r="M86" i="1"/>
  <c r="M89" i="1" s="1"/>
  <c r="I86" i="1"/>
  <c r="I89" i="1" s="1"/>
  <c r="E86" i="1"/>
  <c r="E89" i="1" s="1"/>
  <c r="U80" i="1"/>
  <c r="U83" i="1" s="1"/>
  <c r="Q80" i="1"/>
  <c r="Q83" i="1" s="1"/>
  <c r="M80" i="1"/>
  <c r="M83" i="1" s="1"/>
  <c r="I80" i="1"/>
  <c r="I83" i="1" s="1"/>
  <c r="E80" i="1"/>
  <c r="E83" i="1" s="1"/>
  <c r="U77" i="1"/>
  <c r="Q77" i="1"/>
  <c r="M77" i="1"/>
  <c r="I74" i="1"/>
  <c r="I77" i="1" s="1"/>
  <c r="E74" i="1"/>
  <c r="E77" i="1" s="1"/>
  <c r="U68" i="1"/>
  <c r="U71" i="1" s="1"/>
  <c r="R68" i="1"/>
  <c r="R71" i="1" s="1"/>
  <c r="O68" i="1"/>
  <c r="O71" i="1" s="1"/>
  <c r="L68" i="1"/>
  <c r="L71" i="1" s="1"/>
  <c r="I68" i="1"/>
  <c r="I71" i="1" s="1"/>
  <c r="U62" i="1"/>
  <c r="U65" i="1" s="1"/>
  <c r="R62" i="1"/>
  <c r="R65" i="1" s="1"/>
  <c r="O62" i="1"/>
  <c r="O65" i="1" s="1"/>
  <c r="L62" i="1"/>
  <c r="L65" i="1" s="1"/>
  <c r="I62" i="1"/>
  <c r="I65" i="1" s="1"/>
  <c r="E62" i="1"/>
  <c r="E65" i="1" s="1"/>
  <c r="U56" i="1"/>
  <c r="U59" i="1" s="1"/>
  <c r="R56" i="1"/>
  <c r="R59" i="1" s="1"/>
  <c r="O56" i="1"/>
  <c r="O59" i="1" s="1"/>
  <c r="L56" i="1"/>
  <c r="L59" i="1" s="1"/>
  <c r="I56" i="1"/>
  <c r="I59" i="1" s="1"/>
  <c r="E56" i="1"/>
  <c r="E59" i="1" s="1"/>
  <c r="T92" i="1"/>
  <c r="T94" i="1" s="1"/>
  <c r="P92" i="1"/>
  <c r="P94" i="1" s="1"/>
  <c r="L92" i="1"/>
  <c r="L94" i="1" s="1"/>
  <c r="H92" i="1"/>
  <c r="H94" i="1" s="1"/>
  <c r="D92" i="1"/>
  <c r="D94" i="1" s="1"/>
  <c r="T86" i="1"/>
  <c r="T88" i="1" s="1"/>
  <c r="P86" i="1"/>
  <c r="P88" i="1" s="1"/>
  <c r="L86" i="1"/>
  <c r="L88" i="1" s="1"/>
  <c r="H86" i="1"/>
  <c r="H88" i="1" s="1"/>
  <c r="D86" i="1"/>
  <c r="D88" i="1" s="1"/>
  <c r="T80" i="1"/>
  <c r="T82" i="1" s="1"/>
  <c r="P80" i="1"/>
  <c r="P82" i="1" s="1"/>
  <c r="L80" i="1"/>
  <c r="L82" i="1" s="1"/>
  <c r="H80" i="1"/>
  <c r="H82" i="1" s="1"/>
  <c r="D80" i="1"/>
  <c r="D82" i="1" s="1"/>
  <c r="T76" i="1"/>
  <c r="P76" i="1"/>
  <c r="L76" i="1"/>
  <c r="H74" i="1"/>
  <c r="H76" i="1" s="1"/>
  <c r="D74" i="1"/>
  <c r="D76" i="1" s="1"/>
  <c r="T68" i="1"/>
  <c r="T70" i="1" s="1"/>
  <c r="Q68" i="1"/>
  <c r="Q70" i="1" s="1"/>
  <c r="N68" i="1"/>
  <c r="N70" i="1" s="1"/>
  <c r="K68" i="1"/>
  <c r="K70" i="1" s="1"/>
  <c r="H68" i="1"/>
  <c r="H70" i="1" s="1"/>
  <c r="G68" i="1"/>
  <c r="G70" i="1" s="1"/>
  <c r="F68" i="1"/>
  <c r="F70" i="1" s="1"/>
  <c r="T62" i="1"/>
  <c r="T64" i="1" s="1"/>
  <c r="Q62" i="1"/>
  <c r="Q64" i="1" s="1"/>
  <c r="N62" i="1"/>
  <c r="N64" i="1" s="1"/>
  <c r="K62" i="1"/>
  <c r="K64" i="1" s="1"/>
  <c r="H62" i="1"/>
  <c r="H64" i="1" s="1"/>
  <c r="D62" i="1"/>
  <c r="D64" i="1" s="1"/>
  <c r="T56" i="1"/>
  <c r="T58" i="1" s="1"/>
  <c r="Q56" i="1"/>
  <c r="Q58" i="1" s="1"/>
  <c r="N56" i="1"/>
  <c r="N58" i="1" s="1"/>
  <c r="K56" i="1"/>
  <c r="K58" i="1" s="1"/>
  <c r="H56" i="1"/>
  <c r="H58" i="1" s="1"/>
  <c r="D56" i="1"/>
  <c r="D58" i="1" s="1"/>
  <c r="R92" i="1"/>
  <c r="R94" i="1" s="1"/>
  <c r="N92" i="1"/>
  <c r="N94" i="1" s="1"/>
  <c r="J92" i="1"/>
  <c r="J94" i="1" s="1"/>
  <c r="F92" i="1"/>
  <c r="F94" i="1" s="1"/>
  <c r="C92" i="1"/>
  <c r="C94" i="1" s="1"/>
  <c r="R86" i="1"/>
  <c r="R88" i="1" s="1"/>
  <c r="N86" i="1"/>
  <c r="N88" i="1" s="1"/>
  <c r="J86" i="1"/>
  <c r="J88" i="1" s="1"/>
  <c r="F86" i="1"/>
  <c r="F88" i="1" s="1"/>
  <c r="C86" i="1"/>
  <c r="C88" i="1" s="1"/>
  <c r="R80" i="1"/>
  <c r="R82" i="1" s="1"/>
  <c r="N80" i="1"/>
  <c r="N82" i="1" s="1"/>
  <c r="J80" i="1"/>
  <c r="J82" i="1" s="1"/>
  <c r="F80" i="1"/>
  <c r="F82" i="1" s="1"/>
  <c r="C80" i="1"/>
  <c r="C82" i="1" s="1"/>
  <c r="R76" i="1"/>
  <c r="N76" i="1"/>
  <c r="J74" i="1"/>
  <c r="J76" i="1" s="1"/>
  <c r="F74" i="1"/>
  <c r="F76" i="1" s="1"/>
  <c r="C74" i="1"/>
  <c r="C76" i="1" s="1"/>
  <c r="S68" i="1"/>
  <c r="S70" i="1" s="1"/>
  <c r="P68" i="1"/>
  <c r="P70" i="1" s="1"/>
  <c r="M68" i="1"/>
  <c r="M70" i="1" s="1"/>
  <c r="J68" i="1"/>
  <c r="J70" i="1" s="1"/>
  <c r="E68" i="1"/>
  <c r="E70" i="1" s="1"/>
  <c r="D68" i="1"/>
  <c r="D70" i="1" s="1"/>
  <c r="C68" i="1"/>
  <c r="C70" i="1" s="1"/>
  <c r="S62" i="1"/>
  <c r="S64" i="1" s="1"/>
  <c r="P62" i="1"/>
  <c r="P64" i="1" s="1"/>
  <c r="M62" i="1"/>
  <c r="M64" i="1" s="1"/>
  <c r="J62" i="1"/>
  <c r="J64" i="1" s="1"/>
  <c r="G62" i="1"/>
  <c r="G64" i="1" s="1"/>
  <c r="C62" i="1"/>
  <c r="C64" i="1" s="1"/>
  <c r="S56" i="1"/>
  <c r="S58" i="1" s="1"/>
  <c r="P56" i="1"/>
  <c r="P58" i="1" s="1"/>
  <c r="M56" i="1"/>
  <c r="M58" i="1" s="1"/>
  <c r="J56" i="1"/>
  <c r="J58" i="1" s="1"/>
  <c r="G56" i="1"/>
  <c r="G58" i="1" s="1"/>
  <c r="G8" i="1" s="1"/>
  <c r="C56" i="1"/>
  <c r="C58" i="1" s="1"/>
  <c r="S53" i="1"/>
  <c r="P53" i="1"/>
  <c r="R95" i="1"/>
  <c r="N95" i="1"/>
  <c r="J95" i="1"/>
  <c r="F95" i="1"/>
  <c r="C95" i="1"/>
  <c r="R89" i="1"/>
  <c r="N89" i="1"/>
  <c r="J89" i="1"/>
  <c r="F89" i="1"/>
  <c r="C89" i="1"/>
  <c r="R83" i="1"/>
  <c r="N83" i="1"/>
  <c r="J83" i="1"/>
  <c r="F83" i="1"/>
  <c r="C83" i="1"/>
  <c r="R77" i="1"/>
  <c r="N77" i="1"/>
  <c r="J77" i="1"/>
  <c r="F77" i="1"/>
  <c r="C77" i="1"/>
  <c r="S71" i="1"/>
  <c r="P71" i="1"/>
  <c r="M71" i="1"/>
  <c r="J71" i="1"/>
  <c r="C71" i="1"/>
  <c r="S65" i="1"/>
  <c r="P65" i="1"/>
  <c r="M65" i="1"/>
  <c r="J65" i="1"/>
  <c r="G65" i="1"/>
  <c r="C65" i="1"/>
  <c r="S59" i="1"/>
  <c r="P59" i="1"/>
  <c r="M59" i="1"/>
  <c r="J59" i="1"/>
  <c r="G59" i="1"/>
  <c r="C59" i="1"/>
  <c r="M53" i="1"/>
  <c r="J53" i="1"/>
  <c r="G53" i="1"/>
  <c r="C53" i="1"/>
  <c r="G83" i="1"/>
  <c r="K83" i="1"/>
  <c r="O83" i="1"/>
  <c r="O89" i="1"/>
  <c r="K89" i="1"/>
  <c r="G89" i="1"/>
  <c r="G95" i="1"/>
  <c r="K95" i="1"/>
  <c r="O95" i="1"/>
  <c r="S95" i="1"/>
  <c r="S89" i="1"/>
  <c r="S83" i="1"/>
  <c r="S77" i="1"/>
  <c r="O77" i="1"/>
  <c r="K77" i="1"/>
  <c r="G77" i="1"/>
  <c r="G71" i="1"/>
  <c r="E71" i="1"/>
  <c r="AJ161" i="1" l="1"/>
  <c r="AI161" i="1"/>
  <c r="L66" i="1"/>
  <c r="L67" i="1" s="1"/>
  <c r="I78" i="1"/>
  <c r="I79" i="1" s="1"/>
  <c r="I90" i="1"/>
  <c r="I91" i="1" s="1"/>
  <c r="M78" i="1"/>
  <c r="M79" i="1" s="1"/>
  <c r="M90" i="1"/>
  <c r="M91" i="1" s="1"/>
  <c r="E60" i="1"/>
  <c r="E61" i="1" s="1"/>
  <c r="R66" i="1"/>
  <c r="R67" i="1" s="1"/>
  <c r="Q78" i="1"/>
  <c r="Q79" i="1" s="1"/>
  <c r="Q90" i="1"/>
  <c r="Q91" i="1" s="1"/>
  <c r="I60" i="1"/>
  <c r="I61" i="1" s="1"/>
  <c r="U66" i="1"/>
  <c r="U67" i="1" s="1"/>
  <c r="U78" i="1"/>
  <c r="U79" i="1" s="1"/>
  <c r="U90" i="1"/>
  <c r="U91" i="1" s="1"/>
  <c r="L60" i="1"/>
  <c r="L61" i="1" s="1"/>
  <c r="I72" i="1"/>
  <c r="I73" i="1" s="1"/>
  <c r="E84" i="1"/>
  <c r="E85" i="1" s="1"/>
  <c r="E96" i="1"/>
  <c r="E97" i="1" s="1"/>
  <c r="O60" i="1"/>
  <c r="O61" i="1" s="1"/>
  <c r="L72" i="1"/>
  <c r="L73" i="1" s="1"/>
  <c r="I84" i="1"/>
  <c r="I85" i="1" s="1"/>
  <c r="I96" i="1"/>
  <c r="I97" i="1" s="1"/>
  <c r="R60" i="1"/>
  <c r="R61" i="1" s="1"/>
  <c r="O72" i="1"/>
  <c r="O73" i="1" s="1"/>
  <c r="M84" i="1"/>
  <c r="M85" i="1" s="1"/>
  <c r="I66" i="1"/>
  <c r="I67" i="1" s="1"/>
  <c r="E90" i="1"/>
  <c r="E91" i="1" s="1"/>
  <c r="U60" i="1"/>
  <c r="U61" i="1" s="1"/>
  <c r="R72" i="1"/>
  <c r="R73" i="1" s="1"/>
  <c r="Q84" i="1"/>
  <c r="Q85" i="1" s="1"/>
  <c r="Q96" i="1"/>
  <c r="Q97" i="1" s="1"/>
  <c r="M96" i="1"/>
  <c r="M97" i="1" s="1"/>
  <c r="E78" i="1"/>
  <c r="E79" i="1" s="1"/>
  <c r="O66" i="1"/>
  <c r="O67" i="1" s="1"/>
  <c r="E66" i="1"/>
  <c r="E67" i="1" s="1"/>
  <c r="U72" i="1"/>
  <c r="U73" i="1" s="1"/>
  <c r="U84" i="1"/>
  <c r="U85" i="1" s="1"/>
  <c r="U96" i="1"/>
  <c r="U97" i="1" s="1"/>
  <c r="AP58" i="1"/>
  <c r="BA58" i="1" s="1" a="1"/>
  <c r="BA58" i="1" s="1"/>
  <c r="AP54" i="1"/>
  <c r="BA54" i="1" s="1" a="1"/>
  <c r="BA54" i="1" s="1"/>
  <c r="AP59" i="1"/>
  <c r="BA59" i="1" s="1" a="1"/>
  <c r="BA59" i="1" s="1"/>
  <c r="AP152" i="1"/>
  <c r="BA152" i="1" s="1" a="1"/>
  <c r="BA152" i="1" s="1"/>
  <c r="AP148" i="1"/>
  <c r="BA148" i="1" s="1" a="1"/>
  <c r="BA148" i="1" s="1"/>
  <c r="AP149" i="1"/>
  <c r="BA149" i="1" s="1" a="1"/>
  <c r="BA149" i="1" s="1"/>
  <c r="AP161" i="1"/>
  <c r="BA161" i="1" s="1" a="1"/>
  <c r="BA161" i="1" s="1"/>
  <c r="BI149" i="1" l="1"/>
  <c r="BI161" i="1"/>
  <c r="BI148" i="1"/>
  <c r="BI59" i="1"/>
  <c r="BI54" i="1"/>
  <c r="BI152" i="1"/>
  <c r="BI58" i="1"/>
  <c r="E9" i="1" l="1"/>
  <c r="R48" i="1"/>
  <c r="R36" i="1"/>
  <c r="C48" i="1"/>
  <c r="M12" i="1"/>
  <c r="U30" i="1"/>
  <c r="L24" i="1"/>
  <c r="D42" i="1"/>
  <c r="M36" i="1"/>
  <c r="T18" i="1"/>
  <c r="M48" i="1"/>
  <c r="E18" i="1"/>
  <c r="U48" i="1"/>
  <c r="I36" i="1"/>
  <c r="F36" i="1"/>
  <c r="P30" i="1"/>
  <c r="R42" i="1"/>
  <c r="T48" i="1"/>
  <c r="U42" i="1"/>
  <c r="K18" i="1"/>
  <c r="J48" i="1"/>
  <c r="E36" i="1"/>
  <c r="L18" i="1"/>
  <c r="H42" i="1"/>
  <c r="F48" i="1"/>
  <c r="H18" i="1"/>
  <c r="R18" i="1"/>
  <c r="F30" i="1"/>
  <c r="O12" i="1"/>
  <c r="D30" i="1"/>
  <c r="K12" i="1"/>
  <c r="F42" i="1"/>
  <c r="Q12" i="1"/>
  <c r="M42" i="1"/>
  <c r="L48" i="1"/>
  <c r="G12" i="1"/>
  <c r="K24" i="1"/>
  <c r="N42" i="1"/>
  <c r="Q18" i="1"/>
  <c r="M24" i="1"/>
  <c r="Q36" i="1"/>
  <c r="R12" i="1"/>
  <c r="T30" i="1"/>
  <c r="P12" i="1"/>
  <c r="S12" i="1"/>
  <c r="N48" i="1"/>
  <c r="Q42" i="1"/>
  <c r="U12" i="1"/>
  <c r="P36" i="1"/>
  <c r="D48" i="1"/>
  <c r="H48" i="1"/>
  <c r="C36" i="1"/>
  <c r="U18" i="1"/>
  <c r="E30" i="1"/>
  <c r="U24" i="1"/>
  <c r="P42" i="1"/>
  <c r="I12" i="1"/>
  <c r="C42" i="1"/>
  <c r="C18" i="1"/>
  <c r="T42" i="1"/>
  <c r="R30" i="1"/>
  <c r="L42" i="1"/>
  <c r="M18" i="1"/>
  <c r="P48" i="1"/>
  <c r="N36" i="1"/>
  <c r="T36" i="1"/>
  <c r="S18" i="1"/>
  <c r="F24" i="1"/>
  <c r="J42" i="1"/>
  <c r="P18" i="1"/>
  <c r="N30" i="1"/>
  <c r="O24" i="1"/>
  <c r="H36" i="1"/>
  <c r="S24" i="1"/>
  <c r="J12" i="1"/>
  <c r="N24" i="1"/>
  <c r="P24" i="1"/>
  <c r="Q30" i="1"/>
  <c r="L30" i="1"/>
  <c r="L36" i="1"/>
  <c r="Q48" i="1"/>
  <c r="E42" i="1"/>
  <c r="I24" i="1"/>
  <c r="D18" i="1"/>
  <c r="R24" i="1"/>
  <c r="N18" i="1"/>
  <c r="N12" i="1"/>
  <c r="H30" i="1"/>
  <c r="T24" i="1"/>
  <c r="G18" i="1"/>
  <c r="T12" i="1"/>
  <c r="M30" i="1"/>
  <c r="H12" i="1"/>
  <c r="C30" i="1"/>
  <c r="I18" i="1"/>
  <c r="J36" i="1"/>
  <c r="D36" i="1"/>
  <c r="Q24" i="1"/>
  <c r="I30" i="1"/>
  <c r="U36" i="1"/>
  <c r="J30" i="1"/>
  <c r="I42" i="1"/>
  <c r="J24" i="1"/>
  <c r="I48" i="1"/>
  <c r="O18" i="1"/>
  <c r="C24" i="1"/>
  <c r="E48" i="1"/>
  <c r="L12" i="1"/>
  <c r="J18" i="1"/>
  <c r="D12" i="1"/>
  <c r="M27" i="1"/>
  <c r="E12" i="1"/>
  <c r="C12" i="1"/>
  <c r="C15" i="1"/>
  <c r="F20" i="1"/>
  <c r="G14" i="1"/>
  <c r="J14" i="1"/>
  <c r="L26" i="1"/>
  <c r="C44" i="1"/>
  <c r="D44" i="1"/>
  <c r="I45" i="1"/>
  <c r="R15" i="1"/>
  <c r="Q8" i="1"/>
  <c r="N45" i="1"/>
  <c r="L15" i="1"/>
  <c r="K14" i="1"/>
  <c r="R26" i="1"/>
  <c r="C26" i="1"/>
  <c r="E27" i="1"/>
  <c r="U15" i="1"/>
  <c r="P21" i="1"/>
  <c r="T38" i="1"/>
  <c r="D26" i="1"/>
  <c r="E45" i="1"/>
  <c r="Q45" i="1"/>
  <c r="G15" i="1"/>
  <c r="T8" i="1"/>
  <c r="K8" i="1"/>
  <c r="R9" i="1"/>
  <c r="J32" i="1"/>
  <c r="T14" i="1"/>
  <c r="C14" i="1"/>
  <c r="J8" i="1"/>
  <c r="S8" i="1"/>
  <c r="P8" i="1"/>
  <c r="H38" i="1"/>
  <c r="R21" i="1"/>
  <c r="J44" i="1"/>
  <c r="P44" i="1"/>
  <c r="F32" i="1"/>
  <c r="H14" i="1"/>
  <c r="J26" i="1"/>
  <c r="D32" i="1"/>
  <c r="L9" i="1"/>
  <c r="F38" i="1"/>
  <c r="T32" i="1"/>
  <c r="I21" i="1"/>
  <c r="M8" i="1"/>
  <c r="L32" i="1"/>
  <c r="H8" i="1"/>
  <c r="T26" i="1"/>
  <c r="H44" i="1"/>
  <c r="H26" i="1"/>
  <c r="J33" i="1"/>
  <c r="J15" i="1"/>
  <c r="M33" i="1"/>
  <c r="T20" i="1"/>
  <c r="N32" i="1"/>
  <c r="O21" i="1"/>
  <c r="L44" i="1"/>
  <c r="P14" i="1"/>
  <c r="M20" i="1"/>
  <c r="N8" i="1"/>
  <c r="I27" i="1"/>
  <c r="F39" i="1"/>
  <c r="R39" i="1"/>
  <c r="C39" i="1"/>
  <c r="P15" i="1"/>
  <c r="I33" i="1"/>
  <c r="H32" i="1"/>
  <c r="F33" i="1"/>
  <c r="N38" i="1"/>
  <c r="F45" i="1"/>
  <c r="S14" i="1"/>
  <c r="U45" i="1"/>
  <c r="M3" i="1"/>
  <c r="C38" i="1"/>
  <c r="L21" i="1"/>
  <c r="E33" i="1"/>
  <c r="U27" i="1"/>
  <c r="S3" i="1"/>
  <c r="M15" i="1"/>
  <c r="F44" i="1"/>
  <c r="C8" i="1"/>
  <c r="I39" i="1"/>
  <c r="R33" i="1"/>
  <c r="N14" i="1"/>
  <c r="J3" i="1"/>
  <c r="S21" i="1"/>
  <c r="U9" i="1"/>
  <c r="Q39" i="1"/>
  <c r="O15" i="1"/>
  <c r="Q14" i="1"/>
  <c r="R44" i="1"/>
  <c r="P9" i="1"/>
  <c r="P20" i="1"/>
  <c r="C3" i="1"/>
  <c r="D14" i="1"/>
  <c r="P32" i="1"/>
  <c r="F26" i="1"/>
  <c r="I15" i="1"/>
  <c r="N26" i="1"/>
  <c r="J39" i="1"/>
  <c r="M45" i="1"/>
  <c r="D38" i="1"/>
  <c r="G9" i="1"/>
  <c r="P3" i="1"/>
  <c r="U21" i="1"/>
  <c r="S15" i="1"/>
  <c r="F27" i="1"/>
  <c r="C32" i="1"/>
  <c r="N20" i="1"/>
  <c r="L38" i="1"/>
  <c r="C33" i="1"/>
  <c r="C20" i="1"/>
  <c r="U39" i="1"/>
  <c r="G3" i="1"/>
  <c r="E39" i="1"/>
  <c r="R32" i="1"/>
  <c r="C21" i="1"/>
  <c r="M14" i="1"/>
  <c r="R45" i="1"/>
  <c r="J9" i="1"/>
  <c r="I9" i="1"/>
  <c r="J38" i="1"/>
  <c r="C9" i="1"/>
  <c r="D8" i="1"/>
  <c r="J45" i="1"/>
  <c r="R38" i="1"/>
  <c r="Q20" i="1"/>
  <c r="O9" i="1"/>
  <c r="T44" i="1"/>
  <c r="M21" i="1"/>
  <c r="M39" i="1"/>
  <c r="C27" i="1"/>
  <c r="K20" i="1"/>
  <c r="J27" i="1"/>
  <c r="R27" i="1"/>
  <c r="J21" i="1"/>
  <c r="N33" i="1"/>
  <c r="Q33" i="1"/>
  <c r="S9" i="1"/>
  <c r="M9" i="1"/>
  <c r="C45" i="1"/>
  <c r="P38" i="1"/>
  <c r="N39" i="1"/>
  <c r="J20" i="1"/>
  <c r="N44" i="1"/>
  <c r="U33" i="1"/>
  <c r="S20" i="1"/>
  <c r="P26" i="1"/>
  <c r="Q27" i="1"/>
  <c r="N27" i="1"/>
  <c r="E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<sst xmlns="http://schemas.openxmlformats.org/spreadsheetml/2006/main" count="3992" uniqueCount="682">
  <si>
    <t>R47</t>
  </si>
  <si>
    <t>Layout</t>
  </si>
  <si>
    <t>Row</t>
  </si>
  <si>
    <t>Column</t>
  </si>
  <si>
    <t>Index</t>
  </si>
  <si>
    <t>Primary</t>
  </si>
  <si>
    <t>F-shift</t>
  </si>
  <si>
    <t>G-shift</t>
  </si>
  <si>
    <t>Alpha</t>
  </si>
  <si>
    <t>f-Alpha</t>
  </si>
  <si>
    <t>g-Alpha</t>
  </si>
  <si>
    <t>TAM</t>
  </si>
  <si>
    <t>primary</t>
  </si>
  <si>
    <t>fShifted</t>
  </si>
  <si>
    <t>gShifted</t>
  </si>
  <si>
    <t>keyLblAim</t>
  </si>
  <si>
    <t>primaryAim</t>
  </si>
  <si>
    <t>fShiftedAim</t>
  </si>
  <si>
    <t>gShiftedAim</t>
  </si>
  <si>
    <t>primaryTam</t>
  </si>
  <si>
    <t>IN CODE</t>
  </si>
  <si>
    <t>DROPLIST</t>
  </si>
  <si>
    <t>From WP code</t>
  </si>
  <si>
    <t>kbd_std_N43</t>
  </si>
  <si>
    <t>kbd_std_D47</t>
  </si>
  <si>
    <t>DM42</t>
  </si>
  <si>
    <t>S47</t>
  </si>
  <si>
    <t>C 4 3</t>
  </si>
  <si>
    <t>DELETED</t>
  </si>
  <si>
    <t>NEW</t>
  </si>
  <si>
    <t>C47</t>
  </si>
  <si>
    <t>F1</t>
  </si>
  <si>
    <t>F2</t>
  </si>
  <si>
    <t>F3</t>
  </si>
  <si>
    <t>DOCUMENTATION</t>
  </si>
  <si>
    <t>CODE GENERATION</t>
  </si>
  <si>
    <t>not be be edited manually</t>
  </si>
  <si>
    <t>F4</t>
  </si>
  <si>
    <t>//This variable is to store in flash memory</t>
  </si>
  <si>
    <t>Lookup label items</t>
  </si>
  <si>
    <t>Double lookup F:G</t>
  </si>
  <si>
    <t>lookup label items</t>
  </si>
  <si>
    <t>manual input</t>
  </si>
  <si>
    <t>F6</t>
  </si>
  <si>
    <t xml:space="preserve">  //keyID,              primary,              fShifted,             gShifted,             keyLblAim,            primaryAim,           fShiftedAim,          gShiftedAim,          primaryTam</t>
  </si>
  <si>
    <t>HelperA</t>
  </si>
  <si>
    <t>HelperB</t>
  </si>
  <si>
    <t>Sigma+</t>
  </si>
  <si>
    <t>-&gt;I</t>
  </si>
  <si>
    <t>a b/c</t>
  </si>
  <si>
    <t>A</t>
  </si>
  <si>
    <t>ITM_a.lo</t>
  </si>
  <si>
    <t>ITM_SIGMA</t>
  </si>
  <si>
    <t>ITM_REG_A</t>
  </si>
  <si>
    <t>1/x</t>
  </si>
  <si>
    <t>y^x</t>
  </si>
  <si>
    <t>#</t>
  </si>
  <si>
    <t>B</t>
  </si>
  <si>
    <t>ITM_b.lo</t>
  </si>
  <si>
    <t>ITM_CIRCUMFLEX</t>
  </si>
  <si>
    <t>ITM_REG_B</t>
  </si>
  <si>
    <t>√x</t>
  </si>
  <si>
    <t>x^2</t>
  </si>
  <si>
    <t>.ms</t>
  </si>
  <si>
    <t>C</t>
  </si>
  <si>
    <t>ITM_c.lo</t>
  </si>
  <si>
    <t>ITM_ROOT_SIGN</t>
  </si>
  <si>
    <t>ITM_REG_C</t>
  </si>
  <si>
    <t>LOG</t>
  </si>
  <si>
    <t>10^x</t>
  </si>
  <si>
    <t>.d</t>
  </si>
  <si>
    <t>D</t>
  </si>
  <si>
    <t>ITM_d.lo</t>
  </si>
  <si>
    <t>ITM_LG_SIGN</t>
  </si>
  <si>
    <t>ITM_REG_D</t>
  </si>
  <si>
    <t>LN</t>
  </si>
  <si>
    <t>e^x</t>
  </si>
  <si>
    <t>LBL</t>
  </si>
  <si>
    <t>E</t>
  </si>
  <si>
    <t>ITM_e.lo</t>
  </si>
  <si>
    <t>ITM_LN_SIGN</t>
  </si>
  <si>
    <t>ITM_NULL</t>
  </si>
  <si>
    <t>XEQ</t>
  </si>
  <si>
    <t>[ alpha ]</t>
  </si>
  <si>
    <t>GTO</t>
  </si>
  <si>
    <t>F</t>
  </si>
  <si>
    <t>ITM_f.lo</t>
  </si>
  <si>
    <t>ITM_alpha.lo</t>
  </si>
  <si>
    <t>STO</t>
  </si>
  <si>
    <t>|x|</t>
  </si>
  <si>
    <t>angle</t>
  </si>
  <si>
    <t>G</t>
  </si>
  <si>
    <t>ITM_g.lo</t>
  </si>
  <si>
    <t>ITM_VERTICAL_BAR</t>
  </si>
  <si>
    <t>RCL</t>
  </si>
  <si>
    <t>%</t>
  </si>
  <si>
    <t>Delta %</t>
  </si>
  <si>
    <t>H</t>
  </si>
  <si>
    <t>ITM_h.lo</t>
  </si>
  <si>
    <t>ITM_DELTA</t>
  </si>
  <si>
    <t>ITM_HEX</t>
  </si>
  <si>
    <t>RDN</t>
  </si>
  <si>
    <t>pi</t>
  </si>
  <si>
    <t>x√y</t>
  </si>
  <si>
    <t>I</t>
  </si>
  <si>
    <t>ITM_i.lo</t>
  </si>
  <si>
    <t>ITM_pi.lo</t>
  </si>
  <si>
    <t>ITM_REG_I</t>
  </si>
  <si>
    <t>SIN</t>
  </si>
  <si>
    <t>ASIN</t>
  </si>
  <si>
    <t>op_i</t>
  </si>
  <si>
    <t>J</t>
  </si>
  <si>
    <t>ITM_j.lo</t>
  </si>
  <si>
    <t>ITM_SIN_SIGN</t>
  </si>
  <si>
    <t>ITM_REG_J</t>
  </si>
  <si>
    <t>COS</t>
  </si>
  <si>
    <t>ACOS</t>
  </si>
  <si>
    <t>-&gt;R</t>
  </si>
  <si>
    <t>K</t>
  </si>
  <si>
    <t>ITM_k.lo</t>
  </si>
  <si>
    <t>ITM_COS_SIGN</t>
  </si>
  <si>
    <t>ITM_REG_K</t>
  </si>
  <si>
    <t>TAN</t>
  </si>
  <si>
    <t>ATAN</t>
  </si>
  <si>
    <t>-&gt;P</t>
  </si>
  <si>
    <t>L</t>
  </si>
  <si>
    <t>ITM_l.lo</t>
  </si>
  <si>
    <t>ITM_TAN_SIGN</t>
  </si>
  <si>
    <t>ITM_REG_L</t>
  </si>
  <si>
    <t>ENTER</t>
  </si>
  <si>
    <t>COMPLEX</t>
  </si>
  <si>
    <t>[ CPX ]</t>
  </si>
  <si>
    <t>ITM_XSWAP</t>
  </si>
  <si>
    <t>ITM_XPARSE</t>
  </si>
  <si>
    <t>ITM_ENTER</t>
  </si>
  <si>
    <t>x &lt;&gt; y</t>
  </si>
  <si>
    <t>LASTx</t>
  </si>
  <si>
    <t>[ STK ]</t>
  </si>
  <si>
    <t>M</t>
  </si>
  <si>
    <t>ITM_m.lo</t>
  </si>
  <si>
    <t>ITM_ex</t>
  </si>
  <si>
    <t>CHS</t>
  </si>
  <si>
    <t>[ MODE ]</t>
  </si>
  <si>
    <t xml:space="preserve">[ TRG ] </t>
  </si>
  <si>
    <t>N</t>
  </si>
  <si>
    <t>ITM_n.lo</t>
  </si>
  <si>
    <t>ITM_PLUS_MINUS</t>
  </si>
  <si>
    <t>EEX</t>
  </si>
  <si>
    <t>[ DISP ]</t>
  </si>
  <si>
    <t>[ EXP ]</t>
  </si>
  <si>
    <t>O</t>
  </si>
  <si>
    <t>ITM_o.lo</t>
  </si>
  <si>
    <t>ITM_EEXCHR</t>
  </si>
  <si>
    <t>ITM_OCT</t>
  </si>
  <si>
    <t>&lt;=</t>
  </si>
  <si>
    <t>Undo</t>
  </si>
  <si>
    <t>[ CLR ]</t>
  </si>
  <si>
    <t>ITM_CLA</t>
  </si>
  <si>
    <t>ITM_BACKSPACE</t>
  </si>
  <si>
    <t>Up</t>
  </si>
  <si>
    <t>Scroll Up</t>
  </si>
  <si>
    <t>REGS</t>
  </si>
  <si>
    <t>&lt;-HOME</t>
  </si>
  <si>
    <t>CHR_caseUP</t>
  </si>
  <si>
    <t>DOCU_CHR_super</t>
  </si>
  <si>
    <t>ITM_UP1</t>
  </si>
  <si>
    <t>[ EQN ]</t>
  </si>
  <si>
    <t>[ HOME ]</t>
  </si>
  <si>
    <t>P</t>
  </si>
  <si>
    <t>ITM_p.lo</t>
  </si>
  <si>
    <t>ITM_7</t>
  </si>
  <si>
    <t>[ ADV ]</t>
  </si>
  <si>
    <t>[ FIN ]</t>
  </si>
  <si>
    <t>Q</t>
  </si>
  <si>
    <t>ITM_q.lo</t>
  </si>
  <si>
    <t>ITM_8</t>
  </si>
  <si>
    <t>[ MATX ]</t>
  </si>
  <si>
    <t>[ X.FN ]</t>
  </si>
  <si>
    <t>R</t>
  </si>
  <si>
    <t>ITM_r.lo</t>
  </si>
  <si>
    <t>ITM_9</t>
  </si>
  <si>
    <t>÷</t>
  </si>
  <si>
    <t>[ STAT ]</t>
  </si>
  <si>
    <t>[ PLOT ]</t>
  </si>
  <si>
    <t>S</t>
  </si>
  <si>
    <t>ITM_s.lo</t>
  </si>
  <si>
    <t>ITM_OBELUS</t>
  </si>
  <si>
    <t>ITM_DIV</t>
  </si>
  <si>
    <t>Dn</t>
  </si>
  <si>
    <t>Scroll Dn</t>
  </si>
  <si>
    <t>FLGS</t>
  </si>
  <si>
    <t>END-&gt;</t>
  </si>
  <si>
    <t>CHR_caseDN</t>
  </si>
  <si>
    <t>DOCU_CHR_sub</t>
  </si>
  <si>
    <t>ITM_DOWN1</t>
  </si>
  <si>
    <t>[ BASE ]</t>
  </si>
  <si>
    <t>[ BITS ]</t>
  </si>
  <si>
    <t>T</t>
  </si>
  <si>
    <t>ITM_t.lo</t>
  </si>
  <si>
    <t>ITM_4</t>
  </si>
  <si>
    <t>[ CONV ]</t>
  </si>
  <si>
    <t>[ CLK ]</t>
  </si>
  <si>
    <t>U</t>
  </si>
  <si>
    <t>ITM_u.lo</t>
  </si>
  <si>
    <t>ITM_5</t>
  </si>
  <si>
    <t>[ FLAG ]</t>
  </si>
  <si>
    <t>[ REAL ]</t>
  </si>
  <si>
    <t>V</t>
  </si>
  <si>
    <t>ITM_v.lo</t>
  </si>
  <si>
    <t>ITM_6</t>
  </si>
  <si>
    <t>✕</t>
  </si>
  <si>
    <t>[ PROB ]</t>
  </si>
  <si>
    <t>[ INTS ]</t>
  </si>
  <si>
    <t>W</t>
  </si>
  <si>
    <t>ITM_w.lo</t>
  </si>
  <si>
    <t>ITM_CROSS</t>
  </si>
  <si>
    <t>ITM_MULT</t>
  </si>
  <si>
    <t>f/g</t>
  </si>
  <si>
    <t xml:space="preserve"> </t>
  </si>
  <si>
    <t>DOCU_CHR_caseFLIP</t>
  </si>
  <si>
    <t>DOCU_CHR_numSET</t>
  </si>
  <si>
    <t>KEY_fg</t>
  </si>
  <si>
    <t>ASN</t>
  </si>
  <si>
    <t>[ KEYS ]</t>
  </si>
  <si>
    <t>X</t>
  </si>
  <si>
    <t>ITM_x.lo</t>
  </si>
  <si>
    <t>ITM_1</t>
  </si>
  <si>
    <t>USER</t>
  </si>
  <si>
    <t>Y</t>
  </si>
  <si>
    <t>ITM_y.lo</t>
  </si>
  <si>
    <t>ITM_2</t>
  </si>
  <si>
    <t>[ P.FN ]</t>
  </si>
  <si>
    <t>[ LOOP ]</t>
  </si>
  <si>
    <t>Z</t>
  </si>
  <si>
    <t>ITM_z.lo</t>
  </si>
  <si>
    <t>ITM_3</t>
  </si>
  <si>
    <t>-</t>
  </si>
  <si>
    <t>[ PRINT ]</t>
  </si>
  <si>
    <t>[ I/O ]</t>
  </si>
  <si>
    <t>_</t>
  </si>
  <si>
    <t>ITM_MINUS</t>
  </si>
  <si>
    <t>ITM_SUB</t>
  </si>
  <si>
    <t>EXIT</t>
  </si>
  <si>
    <t>OFF</t>
  </si>
  <si>
    <t>SNAP</t>
  </si>
  <si>
    <t>ITM_OFF</t>
  </si>
  <si>
    <t>ITM_SNAP</t>
  </si>
  <si>
    <t>ITM_EXIT1</t>
  </si>
  <si>
    <t>VIEW</t>
  </si>
  <si>
    <t>STOPW</t>
  </si>
  <si>
    <t>:</t>
  </si>
  <si>
    <t>ITM_SEMICOLON</t>
  </si>
  <si>
    <t>ITM_0</t>
  </si>
  <si>
    <t>•</t>
  </si>
  <si>
    <t>SHOW</t>
  </si>
  <si>
    <t>[ INFO ]</t>
  </si>
  <si>
    <t>,</t>
  </si>
  <si>
    <t>ITM_PERIOD</t>
  </si>
  <si>
    <t>R/S</t>
  </si>
  <si>
    <t>PRGM</t>
  </si>
  <si>
    <t>[ TEST ]</t>
  </si>
  <si>
    <t>？</t>
  </si>
  <si>
    <t>ITM_SLASH</t>
  </si>
  <si>
    <t>+</t>
  </si>
  <si>
    <t>[ CAT ]</t>
  </si>
  <si>
    <t>[ CNST ]</t>
  </si>
  <si>
    <t>spc</t>
  </si>
  <si>
    <t>ITM_PLUS</t>
  </si>
  <si>
    <t>ITM_ADD</t>
  </si>
  <si>
    <t xml:space="preserve">  //keyID,              primary,              fShifted,             gShifted,             keyLblAim,            primaryAim,           fShiftedAim,          gShiftedAim,          primaryTam         </t>
  </si>
  <si>
    <t>};</t>
  </si>
  <si>
    <t>Code used from WP43 files</t>
  </si>
  <si>
    <t>WP43</t>
  </si>
  <si>
    <t>VALUES</t>
  </si>
  <si>
    <t>restoring full tables</t>
  </si>
  <si>
    <t>[ UNIT ]</t>
  </si>
  <si>
    <t>MNU_ALPHAINTL</t>
  </si>
  <si>
    <t>ITM_ALPHA</t>
  </si>
  <si>
    <t>ITM_1ONX</t>
  </si>
  <si>
    <t>ITM_TGLFRT</t>
  </si>
  <si>
    <t>MNU_UNITCONV_C43</t>
  </si>
  <si>
    <t>ITM_A</t>
  </si>
  <si>
    <t xml:space="preserve"> # </t>
  </si>
  <si>
    <t>ITM_NUMBER_SIGN</t>
  </si>
  <si>
    <t>ITM_BETA</t>
  </si>
  <si>
    <t>MNU_EXP</t>
  </si>
  <si>
    <t>ITM_toINT</t>
  </si>
  <si>
    <t>MNU_BITS</t>
  </si>
  <si>
    <t>ITM_B</t>
  </si>
  <si>
    <t>d.ms</t>
  </si>
  <si>
    <t>[ &lt;CONV ]</t>
  </si>
  <si>
    <t>ITM_LEFT_PARENTHESIS</t>
  </si>
  <si>
    <t>ITM_GAMMA</t>
  </si>
  <si>
    <t>MNU_TRI</t>
  </si>
  <si>
    <t>ITM_DMS</t>
  </si>
  <si>
    <t>MNU_ANGLECONV_C43</t>
  </si>
  <si>
    <t>ITM_C</t>
  </si>
  <si>
    <t>ln</t>
  </si>
  <si>
    <t>ITM_RIGHT_PARENTHESIS</t>
  </si>
  <si>
    <t>ITM_LN</t>
  </si>
  <si>
    <t>ITM_dotD</t>
  </si>
  <si>
    <t>ITM_LOG10</t>
  </si>
  <si>
    <t>ITM_D</t>
  </si>
  <si>
    <t>-&gt;h.ms</t>
  </si>
  <si>
    <t>ITM_ALOG_SYMBOL</t>
  </si>
  <si>
    <t>ITM_EPSILON</t>
  </si>
  <si>
    <t>ITM_E</t>
  </si>
  <si>
    <t>ITM_EXP</t>
  </si>
  <si>
    <t>ITM_toHMS</t>
  </si>
  <si>
    <t>ITM_10x</t>
  </si>
  <si>
    <t>ITM_PHI</t>
  </si>
  <si>
    <t>ITM_SQUAREROOTX</t>
  </si>
  <si>
    <t>ITM_AIM</t>
  </si>
  <si>
    <t>MNU_ALPHAFN</t>
  </si>
  <si>
    <t>ITM_F</t>
  </si>
  <si>
    <t>ITM_alpha</t>
  </si>
  <si>
    <t>SAVE</t>
  </si>
  <si>
    <t>ITM_ASSIGN</t>
  </si>
  <si>
    <t>ITM_STO</t>
  </si>
  <si>
    <t>ITM_SAVE</t>
  </si>
  <si>
    <t>ITM_G</t>
  </si>
  <si>
    <t>ITM_RBR</t>
  </si>
  <si>
    <t>ITM_CHI</t>
  </si>
  <si>
    <t>ITM_RCL</t>
  </si>
  <si>
    <t>ITM_VIEW</t>
  </si>
  <si>
    <t>ITM_H</t>
  </si>
  <si>
    <t>R Up</t>
  </si>
  <si>
    <t>ITM_DOWN_ARROW</t>
  </si>
  <si>
    <t>ITM_IOTA</t>
  </si>
  <si>
    <t>ITM_Rdown</t>
  </si>
  <si>
    <t>ITM_Rup</t>
  </si>
  <si>
    <t>MNU_CPX</t>
  </si>
  <si>
    <t>ITM_I</t>
  </si>
  <si>
    <t>CC</t>
  </si>
  <si>
    <t>ITM_ETA</t>
  </si>
  <si>
    <t>ITM_CC</t>
  </si>
  <si>
    <t>ITM_MAGNITUDE</t>
  </si>
  <si>
    <t>ITM_ARG</t>
  </si>
  <si>
    <t>ITM_J</t>
  </si>
  <si>
    <t xml:space="preserve"> f </t>
  </si>
  <si>
    <t>ITM_SHIFTf</t>
  </si>
  <si>
    <t xml:space="preserve"> g </t>
  </si>
  <si>
    <t>ITM_USERMODE</t>
  </si>
  <si>
    <t>ITM_SHIFTg</t>
  </si>
  <si>
    <t>FILL</t>
  </si>
  <si>
    <t>DROP Dn</t>
  </si>
  <si>
    <t>ITM_FILL</t>
  </si>
  <si>
    <t>ITM_DROP</t>
  </si>
  <si>
    <t>x &lt;&gt;</t>
  </si>
  <si>
    <t>ITM_KAPPA</t>
  </si>
  <si>
    <t>ITM_XexY</t>
  </si>
  <si>
    <t>ITM_Xex</t>
  </si>
  <si>
    <t>MNU_STK</t>
  </si>
  <si>
    <t>ITM_K</t>
  </si>
  <si>
    <t>ITM_LAMBDA</t>
  </si>
  <si>
    <t>ITM_CHS</t>
  </si>
  <si>
    <t>ITM_DELTAPC</t>
  </si>
  <si>
    <t>MNU_FIN</t>
  </si>
  <si>
    <t>ITM_L</t>
  </si>
  <si>
    <t>DSP</t>
  </si>
  <si>
    <t>ITM_UP_ARROW</t>
  </si>
  <si>
    <t>ITM_MU</t>
  </si>
  <si>
    <t>ITM_EXPONENT</t>
  </si>
  <si>
    <t>ITM_DSP</t>
  </si>
  <si>
    <t>MNU_DISP</t>
  </si>
  <si>
    <t>ITM_M</t>
  </si>
  <si>
    <t>ITM_UNDO</t>
  </si>
  <si>
    <t>MNU_CLR</t>
  </si>
  <si>
    <t>| |</t>
  </si>
  <si>
    <t>MOD</t>
  </si>
  <si>
    <t>ITM_NU</t>
  </si>
  <si>
    <t>ITM_PARALLEL</t>
  </si>
  <si>
    <t>ITM_MOD</t>
  </si>
  <si>
    <t>ITM_N</t>
  </si>
  <si>
    <t>ITM_OMEGA</t>
  </si>
  <si>
    <t>ITM_O</t>
  </si>
  <si>
    <t>MNU_MODE</t>
  </si>
  <si>
    <t>ITM_P</t>
  </si>
  <si>
    <t>ITM_PI</t>
  </si>
  <si>
    <t>RTN</t>
  </si>
  <si>
    <t>ITM_LBL</t>
  </si>
  <si>
    <t>ITM_RTN</t>
  </si>
  <si>
    <t>ITM_Q</t>
  </si>
  <si>
    <t>MNU_FLAGS</t>
  </si>
  <si>
    <t>ITM_XEQ</t>
  </si>
  <si>
    <t>ITM_GTO</t>
  </si>
  <si>
    <t>x!</t>
  </si>
  <si>
    <t>ITM_PROD_SIGN</t>
  </si>
  <si>
    <t>ITM_RHO</t>
  </si>
  <si>
    <t>ITM_XFACT</t>
  </si>
  <si>
    <t>MNU_PROB</t>
  </si>
  <si>
    <t>ITM_R</t>
  </si>
  <si>
    <t>[ SUM ]</t>
  </si>
  <si>
    <t>MNU_SUMS_C43</t>
  </si>
  <si>
    <t>MNU_STAT</t>
  </si>
  <si>
    <t>ITM_S</t>
  </si>
  <si>
    <t>ITM_TAU</t>
  </si>
  <si>
    <t>ITM_toREC2</t>
  </si>
  <si>
    <t>ITM_toPOL2</t>
  </si>
  <si>
    <t>ITM_T</t>
  </si>
  <si>
    <t>ITM_THETA</t>
  </si>
  <si>
    <t>ITM_TIMER</t>
  </si>
  <si>
    <t>MNU_CLK</t>
  </si>
  <si>
    <t>ITM_U</t>
  </si>
  <si>
    <t>SF</t>
  </si>
  <si>
    <t>ITM_BST</t>
  </si>
  <si>
    <t>ITM_SF</t>
  </si>
  <si>
    <t>[ PART ]</t>
  </si>
  <si>
    <t>MNU_ALPHAMATH</t>
  </si>
  <si>
    <t>MNU_INTS</t>
  </si>
  <si>
    <t>MNU_PARTS_C43</t>
  </si>
  <si>
    <t>ITM_V</t>
  </si>
  <si>
    <t>ITM_PSI</t>
  </si>
  <si>
    <t>MNU_ADV</t>
  </si>
  <si>
    <t>MNU_EQN</t>
  </si>
  <si>
    <t>ITM_W</t>
  </si>
  <si>
    <t>ITM_XI</t>
  </si>
  <si>
    <t>MNU_MATX</t>
  </si>
  <si>
    <t>MNU_XFN</t>
  </si>
  <si>
    <t>ITM_X</t>
  </si>
  <si>
    <t>ITM_UPSILON</t>
  </si>
  <si>
    <t>ITM_CONSTpi</t>
  </si>
  <si>
    <t>MNU_CONST</t>
  </si>
  <si>
    <t>ITM_Y</t>
  </si>
  <si>
    <t>CF</t>
  </si>
  <si>
    <t>ITM_SST</t>
  </si>
  <si>
    <t>ITM_CF</t>
  </si>
  <si>
    <t>ITM_ZETA</t>
  </si>
  <si>
    <t>MNU_LOOP</t>
  </si>
  <si>
    <t>MNU_TEST</t>
  </si>
  <si>
    <t>ITM_Z</t>
  </si>
  <si>
    <t>ITM_PRINTER</t>
  </si>
  <si>
    <t>MNU_IO</t>
  </si>
  <si>
    <t>MNU_PRINT</t>
  </si>
  <si>
    <t>ITM_QUESTION_MARK</t>
  </si>
  <si>
    <t>MNU_ALPHADOT</t>
  </si>
  <si>
    <t>ITM_SHOW</t>
  </si>
  <si>
    <t>MNU_INFO</t>
  </si>
  <si>
    <t>ITM_COMMA</t>
  </si>
  <si>
    <t>ITM_RS</t>
  </si>
  <si>
    <t>ITM_PR</t>
  </si>
  <si>
    <t>MNU_PFN</t>
  </si>
  <si>
    <t>ITM_SPACE</t>
  </si>
  <si>
    <t>MNU_CATALOG</t>
  </si>
  <si>
    <t>E47</t>
  </si>
  <si>
    <t>R up</t>
  </si>
  <si>
    <t>DRG</t>
  </si>
  <si>
    <t>[ SETUP ]</t>
  </si>
  <si>
    <t>V47</t>
  </si>
  <si>
    <t>N47</t>
  </si>
  <si>
    <t>D47</t>
  </si>
  <si>
    <t>Sigma-</t>
  </si>
  <si>
    <t>[ BLUE47 ]</t>
  </si>
  <si>
    <t>i_pol</t>
  </si>
  <si>
    <t>Label</t>
  </si>
  <si>
    <t>Item</t>
  </si>
  <si>
    <t>keyLblAim lookups</t>
  </si>
  <si>
    <t>0</t>
  </si>
  <si>
    <t>.lo</t>
  </si>
  <si>
    <t>formula</t>
  </si>
  <si>
    <t>MNU_</t>
  </si>
  <si>
    <t>value</t>
  </si>
  <si>
    <t>Substitute(Substitute(A1; ".lo"; ""); "MNU_"; "-MNU_")</t>
  </si>
  <si>
    <t>1</t>
  </si>
  <si>
    <t>gShiftedAim -&gt;</t>
  </si>
  <si>
    <t>B2</t>
  </si>
  <si>
    <t>2</t>
  </si>
  <si>
    <t>Substitute(B2; "ITM_SEMICOLON"; "ITM_0")</t>
  </si>
  <si>
    <t>3</t>
  </si>
  <si>
    <t>ITM_T_HOME</t>
  </si>
  <si>
    <t>ITM_T_END</t>
  </si>
  <si>
    <t>"ITM_T_HOME"; "ITM_UP1"; "ITM_T_END"; "ITM_DOWN1"; "DOCU_CHR_sub"; "ITM_DOWN_ARROW"; "DOCU_CHR_super"; "ITM_UP_ARROW"; "DOCU_ITM_AIM_TAM"; "ITM_alpha"; "DOCU_CHR_caseFLIP"; "ITM_NULL"; "DOCU_CHR_numSET"; "ITM_NULL"; "DOCU_ITM_RADIX"; "ITM_PERIOD"; "ITM_SEMICOLON"; "ITM_0"; an33</t>
  </si>
  <si>
    <t>4</t>
  </si>
  <si>
    <t>5</t>
  </si>
  <si>
    <t>6</t>
  </si>
  <si>
    <t>DOCU_ITM_RADIX</t>
  </si>
  <si>
    <t>7</t>
  </si>
  <si>
    <t>8</t>
  </si>
  <si>
    <t>9</t>
  </si>
  <si>
    <t>MNU_TRG_C47</t>
  </si>
  <si>
    <t>ITM_HASH_JM</t>
  </si>
  <si>
    <t>ITM_UNDERSCORE</t>
  </si>
  <si>
    <t>ITM_RI</t>
  </si>
  <si>
    <t>;</t>
  </si>
  <si>
    <t>ITM_COLON</t>
  </si>
  <si>
    <t>.</t>
  </si>
  <si>
    <t>ITM_ms</t>
  </si>
  <si>
    <t>(Digit)</t>
  </si>
  <si>
    <t>(FlipChar)</t>
  </si>
  <si>
    <t>MNU_BASE</t>
  </si>
  <si>
    <t>MNU_BLUE_C47</t>
  </si>
  <si>
    <t>MNU_UNITCONV</t>
  </si>
  <si>
    <t>MNU_HOME</t>
  </si>
  <si>
    <t>MNU_PARTS</t>
  </si>
  <si>
    <t>MNU_PLOTTING</t>
  </si>
  <si>
    <t>MNU_SETUP</t>
  </si>
  <si>
    <t>[ TRG...]</t>
  </si>
  <si>
    <t>MNU_TRG_C47_MORE</t>
  </si>
  <si>
    <t>/</t>
  </si>
  <si>
    <t>#16</t>
  </si>
  <si>
    <t>#8</t>
  </si>
  <si>
    <t>ITM_PC</t>
  </si>
  <si>
    <t>^</t>
  </si>
  <si>
    <t>+/-</t>
  </si>
  <si>
    <t>&lt;&gt;</t>
  </si>
  <si>
    <t>&lt;E&gt;</t>
  </si>
  <si>
    <t>|</t>
  </si>
  <si>
    <t>√</t>
  </si>
  <si>
    <t>a</t>
  </si>
  <si>
    <t>a.PARSE</t>
  </si>
  <si>
    <t>ITM_arccos</t>
  </si>
  <si>
    <t>alpha</t>
  </si>
  <si>
    <t>ITM_arcsin</t>
  </si>
  <si>
    <t>ITM_arctan</t>
  </si>
  <si>
    <t>b</t>
  </si>
  <si>
    <t>c</t>
  </si>
  <si>
    <t>CLA</t>
  </si>
  <si>
    <t>KEY_COMPLEX</t>
  </si>
  <si>
    <t>ITM_cos</t>
  </si>
  <si>
    <t>d</t>
  </si>
  <si>
    <t>Delta</t>
  </si>
  <si>
    <t>ITM_DRG</t>
  </si>
  <si>
    <t>e</t>
  </si>
  <si>
    <t>f</t>
  </si>
  <si>
    <t>ITM_FLGSV</t>
  </si>
  <si>
    <t>g</t>
  </si>
  <si>
    <t>h</t>
  </si>
  <si>
    <t>i</t>
  </si>
  <si>
    <t>ITM_op_j_pol</t>
  </si>
  <si>
    <t>j</t>
  </si>
  <si>
    <t>k</t>
  </si>
  <si>
    <t>l</t>
  </si>
  <si>
    <t>ITM_LASTX</t>
  </si>
  <si>
    <t>LIN</t>
  </si>
  <si>
    <t>ITM_LINPOL</t>
  </si>
  <si>
    <t>m</t>
  </si>
  <si>
    <t>n</t>
  </si>
  <si>
    <t>o</t>
  </si>
  <si>
    <t>ITM_op_j</t>
  </si>
  <si>
    <t>p</t>
  </si>
  <si>
    <t>PRN</t>
  </si>
  <si>
    <t>ITM_PRN</t>
  </si>
  <si>
    <t>q</t>
  </si>
  <si>
    <t>r</t>
  </si>
  <si>
    <t>Reg A</t>
  </si>
  <si>
    <t>Reg B</t>
  </si>
  <si>
    <t>Reg C</t>
  </si>
  <si>
    <t>Reg D</t>
  </si>
  <si>
    <t>Reg I</t>
  </si>
  <si>
    <t>Reg J</t>
  </si>
  <si>
    <t>Reg K</t>
  </si>
  <si>
    <t>Reg L</t>
  </si>
  <si>
    <t>s</t>
  </si>
  <si>
    <t>Sigma</t>
  </si>
  <si>
    <t>ITM_SIGMAMINUS</t>
  </si>
  <si>
    <t>ITM_SIGMAPLUS</t>
  </si>
  <si>
    <t>ITM_sin</t>
  </si>
  <si>
    <t>Sub</t>
  </si>
  <si>
    <t>Super</t>
  </si>
  <si>
    <t>t</t>
  </si>
  <si>
    <t>ITM_tan</t>
  </si>
  <si>
    <t>u</t>
  </si>
  <si>
    <t>v</t>
  </si>
  <si>
    <t>w</t>
  </si>
  <si>
    <t>x</t>
  </si>
  <si>
    <t>X.SWAP</t>
  </si>
  <si>
    <t>ITM_SQUARE</t>
  </si>
  <si>
    <t>ITM_XTHROOT</t>
  </si>
  <si>
    <t>y</t>
  </si>
  <si>
    <t>ITM_YX</t>
  </si>
  <si>
    <t>z</t>
  </si>
  <si>
    <t>WP43 specific</t>
  </si>
  <si>
    <t>(</t>
  </si>
  <si>
    <t>)</t>
  </si>
  <si>
    <t>MNU_ANGLECONV_43S</t>
  </si>
  <si>
    <t>[ aDOT ]</t>
  </si>
  <si>
    <t>[ aINTL ]</t>
  </si>
  <si>
    <t>[ aMATH ]</t>
  </si>
  <si>
    <t>=&gt;D.MS</t>
  </si>
  <si>
    <t>ITM_DMS2</t>
  </si>
  <si>
    <t>Beta</t>
  </si>
  <si>
    <t>Chi</t>
  </si>
  <si>
    <t>D.MS</t>
  </si>
  <si>
    <t>Epsilon</t>
  </si>
  <si>
    <t>Eta</t>
  </si>
  <si>
    <t>Gamma</t>
  </si>
  <si>
    <t>Iota</t>
  </si>
  <si>
    <t>Kappa</t>
  </si>
  <si>
    <t>Lambda</t>
  </si>
  <si>
    <t>Mu</t>
  </si>
  <si>
    <t>Nu</t>
  </si>
  <si>
    <t>Omega</t>
  </si>
  <si>
    <t>Phi</t>
  </si>
  <si>
    <t>&lt;printer&gt;</t>
  </si>
  <si>
    <t>Psi</t>
  </si>
  <si>
    <t>Rho</t>
  </si>
  <si>
    <t>Tau</t>
  </si>
  <si>
    <t>Theta</t>
  </si>
  <si>
    <t>Upsilon</t>
  </si>
  <si>
    <t>Xi</t>
  </si>
  <si>
    <t>Zeta</t>
  </si>
  <si>
    <t>COPIED D47 FROM DR5 TO THIS SHEET</t>
  </si>
  <si>
    <t>RENAMED JM4 SHEET TO DR5J</t>
  </si>
  <si>
    <t>Removed nonexistent layouts</t>
  </si>
  <si>
    <t>Inserted V47</t>
  </si>
  <si>
    <t>corrections</t>
  </si>
  <si>
    <t>Changes by Jaco:</t>
  </si>
  <si>
    <t>Restored the last line of code in each section being different, in blue</t>
  </si>
  <si>
    <t>Restored theAdded "  " before each line of code to be compatible</t>
  </si>
  <si>
    <t>In the target code, in the text editor, changed C47, C43,  fAim back to "0" in the code, due to complex ideosyncrasies in the simulator labelling. Not fixing it now.</t>
  </si>
  <si>
    <t>xx</t>
  </si>
  <si>
    <t>(in the other layouts this has not been changed - it is todo)</t>
  </si>
  <si>
    <t>Added WP43 adapted code for C47, to spreadsheet as text</t>
  </si>
  <si>
    <t>Swapped DM42 CLX and UNDO back (added Sigma- to the Lookup table)</t>
  </si>
  <si>
    <t>Errors on the V47: See the red marked cells in MAIN tab.</t>
  </si>
  <si>
    <t>Errors in V47. I forced this one NULL:</t>
  </si>
  <si>
    <t>Changes by Jaco</t>
  </si>
  <si>
    <t>Deleted Sheet1</t>
  </si>
  <si>
    <t>Added EXIT to E47 AIM primary</t>
  </si>
  <si>
    <t>Cleared "Checked OK" column as all is checked at this point</t>
  </si>
  <si>
    <t>CASE UP</t>
  </si>
  <si>
    <t>CASE DN</t>
  </si>
  <si>
    <t>MNU_TAMALPHA</t>
  </si>
  <si>
    <t>[TAMALPHA]</t>
  </si>
  <si>
    <t>MNU_PREFIX</t>
  </si>
  <si>
    <t>Removed</t>
  </si>
  <si>
    <t>INFO</t>
  </si>
  <si>
    <t>3rty</t>
  </si>
  <si>
    <t>ITM_CUBEROOT</t>
  </si>
  <si>
    <t>3√y</t>
  </si>
  <si>
    <t>MNU_KEYS</t>
  </si>
  <si>
    <t>[ TRG ]</t>
  </si>
  <si>
    <t>MNU_TRG</t>
  </si>
  <si>
    <t>[ TRG_D47 ]</t>
  </si>
  <si>
    <t>[ TRIG ]</t>
  </si>
  <si>
    <t>ITM_EXCLAMATION_MARK</t>
  </si>
  <si>
    <t>!</t>
  </si>
  <si>
    <t>ITM_EulerE</t>
  </si>
  <si>
    <t>ITM_op_i_char</t>
  </si>
  <si>
    <t>&lt;e&gt;</t>
  </si>
  <si>
    <t>&lt;i&gt;</t>
  </si>
  <si>
    <t>&lt;j&gt;</t>
  </si>
  <si>
    <t>ITM_op_j_char</t>
  </si>
  <si>
    <t>ITM_ALOG_SIGN</t>
  </si>
  <si>
    <t>[ PFX ]</t>
  </si>
  <si>
    <t>[ a.FN ]</t>
  </si>
  <si>
    <t>R47bkfg</t>
  </si>
  <si>
    <t>R47fgbk</t>
  </si>
  <si>
    <t>R47fg_g</t>
  </si>
  <si>
    <t>ITM_PERCENT</t>
  </si>
  <si>
    <t>ITM_EQUAL</t>
  </si>
  <si>
    <t>=</t>
  </si>
  <si>
    <t>#if defined(PC_BUILD)</t>
  </si>
  <si>
    <t>#endif //PC_BUILD</t>
  </si>
  <si>
    <t>ITM_REG_M</t>
  </si>
  <si>
    <t>ITM_REG_N</t>
  </si>
  <si>
    <t>ITM_REG_P</t>
  </si>
  <si>
    <t>ITM_REG_Q</t>
  </si>
  <si>
    <t>ITM_REG_R</t>
  </si>
  <si>
    <t>ITM_REG_S</t>
  </si>
  <si>
    <t>Reg M</t>
  </si>
  <si>
    <t>Reg N</t>
  </si>
  <si>
    <t>Reg P</t>
  </si>
  <si>
    <t>Reg Q</t>
  </si>
  <si>
    <t>Reg R</t>
  </si>
  <si>
    <t>Reg S</t>
  </si>
  <si>
    <t>ITM_FP</t>
  </si>
  <si>
    <t>ITM_2HEX</t>
  </si>
  <si>
    <t>ITM_2OCT</t>
  </si>
  <si>
    <t>HEX</t>
  </si>
  <si>
    <t>OCT</t>
  </si>
  <si>
    <t>FP</t>
  </si>
  <si>
    <t>ITM_REG_E</t>
  </si>
  <si>
    <t>ITM_REG_G</t>
  </si>
  <si>
    <t>ITM_REG_H</t>
  </si>
  <si>
    <t>ITM_REG_O</t>
  </si>
  <si>
    <t>ITM_REG_F</t>
  </si>
  <si>
    <t>Reg E</t>
  </si>
  <si>
    <t>Reg F</t>
  </si>
  <si>
    <t>Reg G</t>
  </si>
  <si>
    <t>Reg H</t>
  </si>
  <si>
    <t>Reg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</si>
</sst>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7" x14ac:knownFonts="1">
    <font>
      <sz val="12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onsolas"/>
      <family val="3"/>
    </font>
    <font>
      <sz val="12"/>
      <color theme="5"/>
      <name val="Consolas"/>
      <family val="3"/>
    </font>
    <font>
      <sz val="12"/>
      <name val="Consolas"/>
      <family val="3"/>
    </font>
    <font>
      <sz val="12"/>
      <color theme="0" tint="-0.249977111117893"/>
      <name val="Calibri"/>
      <family val="2"/>
      <scheme val="minor"/>
    </font>
    <font>
      <b/>
      <sz val="12"/>
      <color rgb="FF000000"/>
      <name val="Calibri"/>
      <family val="2"/>
      <charset val="1"/>
    </font>
    <font>
      <b/>
      <sz val="12"/>
      <color rgb="FFFF0000"/>
      <name val="Calibri"/>
      <family val="2"/>
      <charset val="1"/>
    </font>
    <font>
      <sz val="12"/>
      <color rgb="FF808080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000000"/>
      <name val="Calibri"/>
      <family val="2"/>
    </font>
    <font>
      <sz val="16"/>
      <color theme="0" tint="-0.499984740745262"/>
      <name val="Calibri"/>
      <family val="2"/>
      <scheme val="minor"/>
    </font>
    <font>
      <sz val="36"/>
      <color theme="1"/>
      <name val="Calibri"/>
      <family val="2"/>
      <scheme val="minor"/>
    </font>
    <font>
      <sz val="12"/>
      <color rgb="FF7030A0"/>
      <name val="Calibri"/>
      <family val="2"/>
      <scheme val="minor"/>
    </font>
    <font>
      <i/>
      <sz val="12"/>
      <color rgb="FF7030A0"/>
      <name val="Calibri"/>
      <family val="2"/>
      <scheme val="minor"/>
    </font>
    <font>
      <i/>
      <sz val="16"/>
      <color rgb="FF7030A0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 tint="-0.499984740745262"/>
      <name val="Calibri"/>
      <family val="2"/>
      <charset val="1"/>
    </font>
    <font>
      <i/>
      <sz val="12"/>
      <color rgb="FFFF0000"/>
      <name val="Calibri"/>
      <family val="2"/>
      <scheme val="minor"/>
    </font>
    <font>
      <sz val="12"/>
      <color rgb="FF0070C0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2"/>
      <color theme="4"/>
      <name val="Consolas"/>
      <family val="3"/>
    </font>
    <font>
      <sz val="12"/>
      <color theme="9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24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theme="7"/>
      <name val="Calibri"/>
      <family val="2"/>
      <charset val="1"/>
    </font>
    <font>
      <i/>
      <sz val="12"/>
      <color rgb="FF0070C0"/>
      <name val="Calibri"/>
      <family val="2"/>
      <scheme val="minor"/>
    </font>
    <font>
      <i/>
      <sz val="16"/>
      <color rgb="FF0070C0"/>
      <name val="Calibri"/>
      <family val="2"/>
      <scheme val="minor"/>
    </font>
    <font>
      <b/>
      <i/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BFBFBF"/>
      </patternFill>
    </fill>
    <fill>
      <patternFill patternType="solid">
        <fgColor rgb="FFF2F2F2"/>
        <bgColor rgb="FFF0F0F0"/>
      </patternFill>
    </fill>
    <fill>
      <patternFill patternType="solid">
        <fgColor rgb="FF808080"/>
        <bgColor rgb="FF666699"/>
      </patternFill>
    </fill>
    <fill>
      <patternFill patternType="solid">
        <fgColor rgb="FFBFBFBF"/>
        <bgColor rgb="FFB4C7E7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33CCCC"/>
      </patternFill>
    </fill>
    <fill>
      <patternFill patternType="solid">
        <fgColor rgb="FFC00000"/>
        <bgColor rgb="FFFF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rgb="FFFF0000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699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9">
    <xf numFmtId="0" fontId="0" fillId="0" borderId="0" xfId="0"/>
    <xf numFmtId="0" fontId="0" fillId="0" borderId="0" xfId="0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0" fillId="0" borderId="0" xfId="0" applyNumberFormat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8" borderId="13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14" fillId="11" borderId="0" xfId="0" applyFont="1" applyFill="1" applyAlignment="1">
      <alignment horizontal="left" vertical="center"/>
    </xf>
    <xf numFmtId="0" fontId="14" fillId="13" borderId="0" xfId="0" applyFont="1" applyFill="1" applyAlignment="1">
      <alignment horizontal="left" vertical="center"/>
    </xf>
    <xf numFmtId="0" fontId="0" fillId="19" borderId="9" xfId="0" applyFill="1" applyBorder="1" applyAlignment="1">
      <alignment horizontal="center" vertical="center"/>
    </xf>
    <xf numFmtId="14" fontId="9" fillId="0" borderId="0" xfId="0" applyNumberFormat="1" applyFont="1"/>
    <xf numFmtId="0" fontId="9" fillId="0" borderId="0" xfId="0" applyFont="1"/>
    <xf numFmtId="49" fontId="4" fillId="0" borderId="0" xfId="0" applyNumberFormat="1" applyFont="1"/>
    <xf numFmtId="0" fontId="14" fillId="6" borderId="0" xfId="0" applyFont="1" applyFill="1" applyAlignment="1">
      <alignment horizontal="left" vertical="center"/>
    </xf>
    <xf numFmtId="14" fontId="0" fillId="0" borderId="0" xfId="0" applyNumberFormat="1"/>
    <xf numFmtId="0" fontId="5" fillId="5" borderId="9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3" borderId="0" xfId="0" applyFont="1" applyFill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0" fillId="8" borderId="10" xfId="0" applyFill="1" applyBorder="1" applyAlignment="1">
      <alignment horizontal="center" vertical="center"/>
    </xf>
    <xf numFmtId="0" fontId="0" fillId="11" borderId="0" xfId="0" applyFill="1" applyAlignment="1">
      <alignment horizontal="left" vertical="center" indent="1"/>
    </xf>
    <xf numFmtId="0" fontId="5" fillId="6" borderId="9" xfId="0" applyFont="1" applyFill="1" applyBorder="1"/>
    <xf numFmtId="49" fontId="5" fillId="6" borderId="9" xfId="0" applyNumberFormat="1" applyFont="1" applyFill="1" applyBorder="1" applyAlignment="1">
      <alignment horizontal="left"/>
    </xf>
    <xf numFmtId="49" fontId="0" fillId="0" borderId="9" xfId="0" applyNumberFormat="1" applyBorder="1" applyAlignment="1">
      <alignment horizontal="left"/>
    </xf>
    <xf numFmtId="49" fontId="4" fillId="0" borderId="9" xfId="0" applyNumberFormat="1" applyFont="1" applyBorder="1" applyAlignment="1">
      <alignment horizontal="left"/>
    </xf>
    <xf numFmtId="49" fontId="0" fillId="11" borderId="9" xfId="0" applyNumberFormat="1" applyFill="1" applyBorder="1" applyAlignment="1">
      <alignment horizontal="left"/>
    </xf>
    <xf numFmtId="0" fontId="10" fillId="12" borderId="9" xfId="0" applyFont="1" applyFill="1" applyBorder="1" applyAlignment="1">
      <alignment horizontal="left" vertical="center"/>
    </xf>
    <xf numFmtId="49" fontId="0" fillId="23" borderId="9" xfId="0" applyNumberFormat="1" applyFill="1" applyBorder="1" applyAlignment="1">
      <alignment horizontal="left"/>
    </xf>
    <xf numFmtId="0" fontId="15" fillId="14" borderId="9" xfId="0" applyFont="1" applyFill="1" applyBorder="1" applyAlignment="1">
      <alignment horizontal="left"/>
    </xf>
    <xf numFmtId="49" fontId="15" fillId="14" borderId="9" xfId="0" applyNumberFormat="1" applyFont="1" applyFill="1" applyBorder="1" applyAlignment="1">
      <alignment horizontal="left"/>
    </xf>
    <xf numFmtId="49" fontId="0" fillId="0" borderId="0" xfId="0" applyNumberFormat="1" applyAlignment="1">
      <alignment horizontal="left"/>
    </xf>
    <xf numFmtId="49" fontId="0" fillId="6" borderId="9" xfId="0" applyNumberFormat="1" applyFill="1" applyBorder="1" applyAlignment="1">
      <alignment horizontal="left"/>
    </xf>
    <xf numFmtId="0" fontId="0" fillId="25" borderId="9" xfId="0" applyFill="1" applyBorder="1" applyAlignment="1">
      <alignment horizontal="left"/>
    </xf>
    <xf numFmtId="0" fontId="0" fillId="19" borderId="10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25" fillId="0" borderId="0" xfId="0" applyFont="1" applyAlignment="1">
      <alignment horizontal="left" vertical="center" indent="1"/>
    </xf>
    <xf numFmtId="0" fontId="26" fillId="0" borderId="0" xfId="0" applyFont="1" applyAlignment="1">
      <alignment horizontal="left" vertical="center" indent="1"/>
    </xf>
    <xf numFmtId="0" fontId="0" fillId="26" borderId="19" xfId="0" applyFill="1" applyBorder="1" applyAlignment="1">
      <alignment horizontal="center" vertical="center"/>
    </xf>
    <xf numFmtId="0" fontId="0" fillId="26" borderId="21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4" fillId="23" borderId="9" xfId="0" applyFont="1" applyFill="1" applyBorder="1"/>
    <xf numFmtId="49" fontId="0" fillId="0" borderId="10" xfId="0" applyNumberFormat="1" applyBorder="1" applyAlignment="1">
      <alignment horizontal="left"/>
    </xf>
    <xf numFmtId="49" fontId="0" fillId="0" borderId="29" xfId="0" applyNumberFormat="1" applyBorder="1" applyAlignment="1">
      <alignment horizontal="left"/>
    </xf>
    <xf numFmtId="49" fontId="0" fillId="24" borderId="17" xfId="0" applyNumberFormat="1" applyFill="1" applyBorder="1" applyAlignment="1">
      <alignment horizontal="left"/>
    </xf>
    <xf numFmtId="49" fontId="0" fillId="24" borderId="19" xfId="0" applyNumberFormat="1" applyFill="1" applyBorder="1" applyAlignment="1">
      <alignment horizontal="left"/>
    </xf>
    <xf numFmtId="49" fontId="4" fillId="24" borderId="22" xfId="0" applyNumberFormat="1" applyFont="1" applyFill="1" applyBorder="1" applyAlignment="1">
      <alignment horizontal="left"/>
    </xf>
    <xf numFmtId="49" fontId="4" fillId="24" borderId="24" xfId="0" applyNumberFormat="1" applyFont="1" applyFill="1" applyBorder="1" applyAlignment="1">
      <alignment horizontal="left"/>
    </xf>
    <xf numFmtId="49" fontId="0" fillId="27" borderId="17" xfId="0" applyNumberFormat="1" applyFill="1" applyBorder="1" applyAlignment="1">
      <alignment horizontal="left"/>
    </xf>
    <xf numFmtId="49" fontId="4" fillId="27" borderId="22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 indent="1"/>
    </xf>
    <xf numFmtId="0" fontId="0" fillId="0" borderId="9" xfId="0" applyBorder="1"/>
    <xf numFmtId="0" fontId="0" fillId="7" borderId="9" xfId="0" applyFill="1" applyBorder="1"/>
    <xf numFmtId="0" fontId="4" fillId="7" borderId="0" xfId="0" applyFont="1" applyFill="1"/>
    <xf numFmtId="0" fontId="30" fillId="0" borderId="0" xfId="0" applyFont="1" applyAlignment="1">
      <alignment horizontal="center"/>
    </xf>
    <xf numFmtId="0" fontId="4" fillId="7" borderId="9" xfId="0" applyFont="1" applyFill="1" applyBorder="1"/>
    <xf numFmtId="0" fontId="7" fillId="24" borderId="28" xfId="0" applyFont="1" applyFill="1" applyBorder="1" applyAlignment="1" applyProtection="1">
      <alignment horizontal="center" vertical="center"/>
      <protection locked="0"/>
    </xf>
    <xf numFmtId="0" fontId="32" fillId="28" borderId="0" xfId="0" applyFont="1" applyFill="1" applyAlignment="1">
      <alignment horizontal="left" vertical="center" indent="1"/>
    </xf>
    <xf numFmtId="0" fontId="27" fillId="3" borderId="0" xfId="0" applyFont="1" applyFill="1" applyAlignment="1">
      <alignment horizontal="left" vertical="center" indent="1"/>
    </xf>
    <xf numFmtId="0" fontId="33" fillId="0" borderId="0" xfId="0" applyFont="1" applyAlignment="1">
      <alignment horizontal="left" vertical="center"/>
    </xf>
    <xf numFmtId="15" fontId="0" fillId="0" borderId="0" xfId="0" applyNumberFormat="1"/>
    <xf numFmtId="0" fontId="34" fillId="0" borderId="0" xfId="0" applyFont="1" applyAlignment="1">
      <alignment horizontal="center" vertical="center"/>
    </xf>
    <xf numFmtId="0" fontId="0" fillId="10" borderId="0" xfId="0" applyFill="1"/>
    <xf numFmtId="0" fontId="35" fillId="0" borderId="0" xfId="0" applyFont="1" applyAlignment="1">
      <alignment horizontal="center" vertical="center"/>
    </xf>
    <xf numFmtId="0" fontId="36" fillId="5" borderId="9" xfId="0" applyFont="1" applyFill="1" applyBorder="1" applyAlignment="1">
      <alignment horizontal="center" vertical="center"/>
    </xf>
    <xf numFmtId="0" fontId="37" fillId="5" borderId="9" xfId="0" applyFont="1" applyFill="1" applyBorder="1" applyAlignment="1">
      <alignment horizontal="center" vertical="center"/>
    </xf>
    <xf numFmtId="0" fontId="38" fillId="5" borderId="17" xfId="0" applyFont="1" applyFill="1" applyBorder="1" applyAlignment="1">
      <alignment horizontal="center" vertical="center"/>
    </xf>
    <xf numFmtId="0" fontId="38" fillId="5" borderId="18" xfId="0" applyFont="1" applyFill="1" applyBorder="1" applyAlignment="1">
      <alignment horizontal="center" vertical="center"/>
    </xf>
    <xf numFmtId="0" fontId="38" fillId="5" borderId="19" xfId="0" applyFont="1" applyFill="1" applyBorder="1" applyAlignment="1">
      <alignment horizontal="center" vertical="center"/>
    </xf>
    <xf numFmtId="0" fontId="38" fillId="5" borderId="20" xfId="0" applyFont="1" applyFill="1" applyBorder="1" applyAlignment="1">
      <alignment horizontal="center" vertical="center"/>
    </xf>
    <xf numFmtId="0" fontId="38" fillId="5" borderId="9" xfId="0" applyFont="1" applyFill="1" applyBorder="1" applyAlignment="1">
      <alignment horizontal="center" vertical="center"/>
    </xf>
    <xf numFmtId="0" fontId="38" fillId="5" borderId="21" xfId="0" applyFont="1" applyFill="1" applyBorder="1" applyAlignment="1">
      <alignment horizontal="center" vertical="center"/>
    </xf>
    <xf numFmtId="0" fontId="38" fillId="5" borderId="22" xfId="0" applyFont="1" applyFill="1" applyBorder="1" applyAlignment="1">
      <alignment horizontal="center" vertical="center"/>
    </xf>
    <xf numFmtId="0" fontId="38" fillId="5" borderId="23" xfId="0" applyFont="1" applyFill="1" applyBorder="1" applyAlignment="1">
      <alignment horizontal="center" vertical="center"/>
    </xf>
    <xf numFmtId="0" fontId="38" fillId="5" borderId="24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8" borderId="9" xfId="0" applyFont="1" applyFill="1" applyBorder="1" applyAlignment="1">
      <alignment horizontal="center" vertical="center"/>
    </xf>
    <xf numFmtId="0" fontId="38" fillId="8" borderId="10" xfId="0" applyFont="1" applyFill="1" applyBorder="1" applyAlignment="1">
      <alignment horizontal="center" vertical="center"/>
    </xf>
    <xf numFmtId="0" fontId="38" fillId="8" borderId="13" xfId="0" applyFont="1" applyFill="1" applyBorder="1" applyAlignment="1">
      <alignment horizontal="center" vertical="center"/>
    </xf>
    <xf numFmtId="164" fontId="38" fillId="0" borderId="0" xfId="0" applyNumberFormat="1" applyFont="1" applyAlignment="1">
      <alignment horizontal="center" vertical="center"/>
    </xf>
    <xf numFmtId="0" fontId="38" fillId="10" borderId="21" xfId="0" applyFont="1" applyFill="1" applyBorder="1" applyAlignment="1">
      <alignment horizontal="center" vertical="center"/>
    </xf>
    <xf numFmtId="0" fontId="38" fillId="19" borderId="9" xfId="0" applyFont="1" applyFill="1" applyBorder="1" applyAlignment="1">
      <alignment horizontal="center" vertical="center"/>
    </xf>
    <xf numFmtId="0" fontId="38" fillId="19" borderId="10" xfId="0" applyFont="1" applyFill="1" applyBorder="1" applyAlignment="1">
      <alignment horizontal="center" vertical="center"/>
    </xf>
    <xf numFmtId="0" fontId="38" fillId="0" borderId="0" xfId="0" applyFont="1" applyAlignment="1">
      <alignment horizontal="left" vertical="center" indent="1"/>
    </xf>
    <xf numFmtId="16" fontId="0" fillId="0" borderId="0" xfId="0" applyNumberFormat="1"/>
    <xf numFmtId="0" fontId="5" fillId="0" borderId="0" xfId="0" applyFont="1" applyAlignment="1">
      <alignment horizontal="right"/>
    </xf>
    <xf numFmtId="0" fontId="5" fillId="23" borderId="9" xfId="0" applyFont="1" applyFill="1" applyBorder="1"/>
    <xf numFmtId="0" fontId="25" fillId="3" borderId="0" xfId="0" applyFont="1" applyFill="1" applyAlignment="1">
      <alignment horizontal="left" vertical="center" indent="1"/>
    </xf>
    <xf numFmtId="0" fontId="9" fillId="0" borderId="0" xfId="0" applyFont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6" fillId="7" borderId="13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6" fillId="15" borderId="9" xfId="0" applyFont="1" applyFill="1" applyBorder="1" applyAlignment="1">
      <alignment horizontal="center" vertical="center"/>
    </xf>
    <xf numFmtId="0" fontId="3" fillId="12" borderId="20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5" fillId="13" borderId="9" xfId="0" applyFont="1" applyFill="1" applyBorder="1" applyAlignment="1">
      <alignment horizontal="center" vertical="center"/>
    </xf>
    <xf numFmtId="0" fontId="28" fillId="13" borderId="9" xfId="0" applyFont="1" applyFill="1" applyBorder="1" applyAlignment="1">
      <alignment horizontal="center" vertical="center"/>
    </xf>
    <xf numFmtId="0" fontId="40" fillId="29" borderId="20" xfId="0" applyFont="1" applyFill="1" applyBorder="1" applyAlignment="1">
      <alignment horizontal="center" vertical="center"/>
    </xf>
    <xf numFmtId="0" fontId="0" fillId="4" borderId="9" xfId="0" quotePrefix="1" applyFill="1" applyBorder="1" applyAlignment="1">
      <alignment horizontal="center" vertical="center"/>
    </xf>
    <xf numFmtId="0" fontId="0" fillId="23" borderId="9" xfId="0" applyFill="1" applyBorder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28" fillId="10" borderId="9" xfId="0" applyFont="1" applyFill="1" applyBorder="1" applyAlignment="1">
      <alignment horizontal="center" vertical="center"/>
    </xf>
    <xf numFmtId="0" fontId="5" fillId="15" borderId="9" xfId="0" applyFont="1" applyFill="1" applyBorder="1" applyAlignment="1">
      <alignment horizontal="center" vertical="center"/>
    </xf>
    <xf numFmtId="0" fontId="16" fillId="16" borderId="9" xfId="0" applyFont="1" applyFill="1" applyBorder="1" applyAlignment="1">
      <alignment horizontal="center" vertical="center"/>
    </xf>
    <xf numFmtId="0" fontId="17" fillId="17" borderId="9" xfId="0" applyFont="1" applyFill="1" applyBorder="1" applyAlignment="1">
      <alignment horizontal="center" vertical="center"/>
    </xf>
    <xf numFmtId="0" fontId="18" fillId="17" borderId="9" xfId="0" applyFont="1" applyFill="1" applyBorder="1" applyAlignment="1">
      <alignment horizontal="center" vertical="center"/>
    </xf>
    <xf numFmtId="0" fontId="19" fillId="18" borderId="9" xfId="0" applyFont="1" applyFill="1" applyBorder="1" applyAlignment="1">
      <alignment horizontal="center" vertical="center"/>
    </xf>
    <xf numFmtId="0" fontId="29" fillId="16" borderId="9" xfId="0" applyFont="1" applyFill="1" applyBorder="1" applyAlignment="1">
      <alignment horizontal="center" vertical="center"/>
    </xf>
    <xf numFmtId="0" fontId="20" fillId="17" borderId="9" xfId="0" applyFont="1" applyFill="1" applyBorder="1" applyAlignment="1">
      <alignment horizontal="center" vertical="center"/>
    </xf>
    <xf numFmtId="0" fontId="19" fillId="18" borderId="10" xfId="0" applyFont="1" applyFill="1" applyBorder="1" applyAlignment="1">
      <alignment horizontal="center" vertical="center"/>
    </xf>
    <xf numFmtId="0" fontId="18" fillId="17" borderId="13" xfId="0" applyFont="1" applyFill="1" applyBorder="1" applyAlignment="1">
      <alignment horizontal="center" vertical="center"/>
    </xf>
    <xf numFmtId="0" fontId="19" fillId="18" borderId="17" xfId="0" applyFont="1" applyFill="1" applyBorder="1" applyAlignment="1">
      <alignment horizontal="center" vertical="center"/>
    </xf>
    <xf numFmtId="0" fontId="0" fillId="20" borderId="18" xfId="0" applyFill="1" applyBorder="1" applyAlignment="1">
      <alignment horizontal="center" vertical="center"/>
    </xf>
    <xf numFmtId="0" fontId="0" fillId="21" borderId="18" xfId="0" applyFill="1" applyBorder="1" applyAlignment="1">
      <alignment horizontal="center" vertical="center"/>
    </xf>
    <xf numFmtId="0" fontId="19" fillId="18" borderId="20" xfId="0" applyFont="1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0" fillId="21" borderId="9" xfId="0" applyFill="1" applyBorder="1" applyAlignment="1">
      <alignment horizontal="center" vertical="center"/>
    </xf>
    <xf numFmtId="0" fontId="0" fillId="22" borderId="9" xfId="0" applyFill="1" applyBorder="1" applyAlignment="1">
      <alignment horizontal="center" vertical="center"/>
    </xf>
    <xf numFmtId="0" fontId="21" fillId="20" borderId="9" xfId="0" applyFont="1" applyFill="1" applyBorder="1" applyAlignment="1">
      <alignment horizontal="center" vertical="center"/>
    </xf>
    <xf numFmtId="0" fontId="19" fillId="22" borderId="20" xfId="0" applyFont="1" applyFill="1" applyBorder="1" applyAlignment="1">
      <alignment horizontal="center" vertical="center"/>
    </xf>
    <xf numFmtId="0" fontId="19" fillId="18" borderId="22" xfId="0" applyFont="1" applyFill="1" applyBorder="1" applyAlignment="1">
      <alignment horizontal="center" vertical="center"/>
    </xf>
    <xf numFmtId="0" fontId="0" fillId="20" borderId="23" xfId="0" applyFill="1" applyBorder="1" applyAlignment="1">
      <alignment horizontal="center" vertical="center"/>
    </xf>
    <xf numFmtId="0" fontId="0" fillId="21" borderId="23" xfId="0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indent="1"/>
    </xf>
    <xf numFmtId="0" fontId="3" fillId="12" borderId="9" xfId="0" applyFont="1" applyFill="1" applyBorder="1" applyAlignment="1">
      <alignment horizontal="left"/>
    </xf>
    <xf numFmtId="0" fontId="0" fillId="0" borderId="9" xfId="0" applyBorder="1" applyAlignment="1">
      <alignment horizontal="left"/>
    </xf>
    <xf numFmtId="0" fontId="9" fillId="0" borderId="9" xfId="0" applyFont="1" applyBorder="1" applyAlignment="1">
      <alignment horizontal="left"/>
    </xf>
    <xf numFmtId="0" fontId="38" fillId="0" borderId="9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0" fillId="5" borderId="0" xfId="0" applyFill="1"/>
    <xf numFmtId="49" fontId="0" fillId="3" borderId="9" xfId="0" applyNumberFormat="1" applyFill="1" applyBorder="1" applyAlignment="1">
      <alignment horizontal="left"/>
    </xf>
    <xf numFmtId="49" fontId="0" fillId="4" borderId="9" xfId="0" applyNumberFormat="1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4" borderId="0" xfId="0" applyFill="1" applyAlignment="1">
      <alignment horizontal="left" vertical="center" indent="1"/>
    </xf>
    <xf numFmtId="0" fontId="0" fillId="23" borderId="0" xfId="0" applyFill="1" applyAlignment="1">
      <alignment horizontal="center" vertical="center"/>
    </xf>
    <xf numFmtId="0" fontId="4" fillId="23" borderId="9" xfId="0" applyFont="1" applyFill="1" applyBorder="1"/>
    <xf numFmtId="0" fontId="41" fillId="23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center" indent="1"/>
    </xf>
    <xf numFmtId="0" fontId="24" fillId="0" borderId="0" xfId="0" applyFont="1" applyAlignment="1">
      <alignment horizontal="center" vertical="center"/>
    </xf>
    <xf numFmtId="0" fontId="42" fillId="0" borderId="9" xfId="0" applyFont="1" applyBorder="1" applyAlignment="1">
      <alignment horizontal="left" vertical="center" indent="1"/>
    </xf>
    <xf numFmtId="0" fontId="0" fillId="3" borderId="9" xfId="0" quotePrefix="1" applyFill="1" applyBorder="1" applyAlignment="1">
      <alignment horizontal="center" vertical="center"/>
    </xf>
    <xf numFmtId="49" fontId="4" fillId="3" borderId="9" xfId="0" applyNumberFormat="1" applyFont="1" applyFill="1" applyBorder="1" applyAlignment="1">
      <alignment horizontal="left"/>
    </xf>
    <xf numFmtId="0" fontId="43" fillId="18" borderId="20" xfId="0" applyFont="1" applyFill="1" applyBorder="1" applyAlignment="1">
      <alignment horizontal="center" vertical="center"/>
    </xf>
    <xf numFmtId="49" fontId="0" fillId="0" borderId="9" xfId="0" applyNumberFormat="1" applyBorder="1"/>
    <xf numFmtId="49" fontId="5" fillId="0" borderId="9" xfId="0" applyNumberFormat="1" applyFont="1" applyBorder="1" applyAlignment="1">
      <alignment horizontal="left"/>
    </xf>
    <xf numFmtId="0" fontId="43" fillId="18" borderId="17" xfId="0" applyFont="1" applyFill="1" applyBorder="1" applyAlignment="1">
      <alignment horizontal="center" vertical="center"/>
    </xf>
    <xf numFmtId="0" fontId="40" fillId="29" borderId="15" xfId="0" applyFont="1" applyFill="1" applyBorder="1" applyAlignment="1">
      <alignment horizontal="center" vertical="center"/>
    </xf>
    <xf numFmtId="0" fontId="0" fillId="30" borderId="9" xfId="0" quotePrefix="1" applyFill="1" applyBorder="1" applyAlignment="1">
      <alignment horizontal="center" vertical="center"/>
    </xf>
    <xf numFmtId="0" fontId="0" fillId="30" borderId="9" xfId="0" applyFill="1" applyBorder="1" applyAlignment="1">
      <alignment horizontal="center" vertical="center"/>
    </xf>
    <xf numFmtId="49" fontId="0" fillId="5" borderId="0" xfId="0" applyNumberFormat="1" applyFill="1" applyAlignment="1">
      <alignment horizontal="left"/>
    </xf>
    <xf numFmtId="14" fontId="0" fillId="0" borderId="0" xfId="0" applyNumberForma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39" fillId="0" borderId="9" xfId="0" applyFont="1" applyBorder="1" applyAlignment="1">
      <alignment horizontal="left" vertical="center" indent="1"/>
    </xf>
    <xf numFmtId="0" fontId="44" fillId="0" borderId="0" xfId="0" applyFont="1" applyAlignment="1">
      <alignment horizontal="left" vertical="center" indent="1"/>
    </xf>
    <xf numFmtId="0" fontId="31" fillId="0" borderId="0" xfId="0" applyFont="1" applyAlignment="1">
      <alignment horizontal="center" vertical="center"/>
    </xf>
    <xf numFmtId="0" fontId="44" fillId="0" borderId="25" xfId="0" applyFont="1" applyBorder="1" applyAlignment="1">
      <alignment horizontal="left" vertical="center" indent="1"/>
    </xf>
    <xf numFmtId="0" fontId="44" fillId="0" borderId="26" xfId="0" applyFont="1" applyBorder="1" applyAlignment="1">
      <alignment horizontal="left" vertical="center" indent="1"/>
    </xf>
    <xf numFmtId="0" fontId="44" fillId="0" borderId="27" xfId="0" applyFont="1" applyBorder="1" applyAlignment="1">
      <alignment horizontal="left" vertical="center" indent="1"/>
    </xf>
    <xf numFmtId="0" fontId="44" fillId="0" borderId="17" xfId="0" applyFont="1" applyBorder="1" applyAlignment="1">
      <alignment horizontal="left" vertical="center" indent="1"/>
    </xf>
    <xf numFmtId="0" fontId="39" fillId="0" borderId="18" xfId="0" applyFont="1" applyBorder="1" applyAlignment="1">
      <alignment horizontal="left" vertical="center" indent="1"/>
    </xf>
    <xf numFmtId="0" fontId="44" fillId="0" borderId="19" xfId="0" applyFont="1" applyBorder="1" applyAlignment="1">
      <alignment horizontal="left" vertical="center" indent="1"/>
    </xf>
    <xf numFmtId="0" fontId="44" fillId="0" borderId="20" xfId="0" applyFont="1" applyBorder="1" applyAlignment="1">
      <alignment horizontal="left" vertical="center" indent="1"/>
    </xf>
    <xf numFmtId="0" fontId="44" fillId="0" borderId="21" xfId="0" applyFont="1" applyBorder="1" applyAlignment="1">
      <alignment horizontal="left" vertical="center" indent="1"/>
    </xf>
    <xf numFmtId="0" fontId="39" fillId="0" borderId="21" xfId="0" applyFont="1" applyBorder="1" applyAlignment="1">
      <alignment horizontal="left" vertical="center" indent="1"/>
    </xf>
    <xf numFmtId="0" fontId="39" fillId="0" borderId="20" xfId="0" applyFont="1" applyBorder="1" applyAlignment="1">
      <alignment horizontal="left" vertical="center" indent="1"/>
    </xf>
    <xf numFmtId="0" fontId="39" fillId="0" borderId="22" xfId="0" applyFont="1" applyBorder="1" applyAlignment="1">
      <alignment horizontal="left" vertical="center" indent="1"/>
    </xf>
    <xf numFmtId="0" fontId="39" fillId="0" borderId="23" xfId="0" applyFont="1" applyBorder="1" applyAlignment="1">
      <alignment horizontal="left" vertical="center" indent="1"/>
    </xf>
    <xf numFmtId="0" fontId="39" fillId="0" borderId="24" xfId="0" applyFont="1" applyBorder="1" applyAlignment="1">
      <alignment horizontal="left" vertical="center" indent="1"/>
    </xf>
    <xf numFmtId="0" fontId="45" fillId="0" borderId="0" xfId="0" applyFont="1" applyAlignment="1">
      <alignment horizontal="left" vertical="center" indent="1"/>
    </xf>
    <xf numFmtId="0" fontId="10" fillId="0" borderId="15" xfId="0" applyFont="1" applyBorder="1" applyAlignment="1">
      <alignment horizontal="center" vertical="center"/>
    </xf>
    <xf numFmtId="0" fontId="11" fillId="15" borderId="15" xfId="0" applyFont="1" applyFill="1" applyBorder="1" applyAlignment="1">
      <alignment horizontal="center" vertical="center"/>
    </xf>
    <xf numFmtId="0" fontId="11" fillId="15" borderId="30" xfId="0" applyFont="1" applyFill="1" applyBorder="1" applyAlignment="1">
      <alignment horizontal="center" vertical="center"/>
    </xf>
    <xf numFmtId="0" fontId="11" fillId="15" borderId="16" xfId="0" applyFont="1" applyFill="1" applyBorder="1" applyAlignment="1">
      <alignment horizontal="center" vertical="center"/>
    </xf>
    <xf numFmtId="0" fontId="37" fillId="0" borderId="9" xfId="0" applyFont="1" applyBorder="1" applyAlignment="1">
      <alignment horizontal="left" vertical="center" indent="1"/>
    </xf>
    <xf numFmtId="0" fontId="37" fillId="0" borderId="23" xfId="0" applyFont="1" applyBorder="1" applyAlignment="1">
      <alignment horizontal="left" vertical="center" indent="1"/>
    </xf>
    <xf numFmtId="0" fontId="46" fillId="31" borderId="20" xfId="0" applyFont="1" applyFill="1" applyBorder="1" applyAlignment="1">
      <alignment horizontal="left" vertical="center" indent="1"/>
    </xf>
    <xf numFmtId="0" fontId="46" fillId="31" borderId="22" xfId="0" applyFont="1" applyFill="1" applyBorder="1" applyAlignment="1">
      <alignment horizontal="left" vertical="center" indent="1"/>
    </xf>
    <xf numFmtId="0" fontId="46" fillId="4" borderId="20" xfId="0" applyFont="1" applyFill="1" applyBorder="1" applyAlignment="1">
      <alignment horizontal="left" vertical="center" indent="1"/>
    </xf>
    <xf numFmtId="0" fontId="46" fillId="4" borderId="22" xfId="0" applyFont="1" applyFill="1" applyBorder="1" applyAlignment="1">
      <alignment horizontal="left" vertical="center" indent="1"/>
    </xf>
    <xf numFmtId="0" fontId="46" fillId="10" borderId="20" xfId="0" applyFont="1" applyFill="1" applyBorder="1" applyAlignment="1">
      <alignment horizontal="left" vertical="center" indent="1"/>
    </xf>
    <xf numFmtId="0" fontId="46" fillId="32" borderId="20" xfId="0" applyFont="1" applyFill="1" applyBorder="1" applyAlignment="1">
      <alignment horizontal="left" vertical="center" indent="1"/>
    </xf>
    <xf numFmtId="0" fontId="5" fillId="32" borderId="9" xfId="0" applyFont="1" applyFill="1" applyBorder="1" applyAlignment="1">
      <alignment horizontal="left" vertical="center" indent="1"/>
    </xf>
    <xf numFmtId="0" fontId="5" fillId="10" borderId="9" xfId="0" applyFont="1" applyFill="1" applyBorder="1" applyAlignment="1">
      <alignment horizontal="left" vertical="center" indent="1"/>
    </xf>
    <xf numFmtId="0" fontId="28" fillId="10" borderId="9" xfId="0" applyFont="1" applyFill="1" applyBorder="1"/>
    <xf numFmtId="0" fontId="0" fillId="11" borderId="21" xfId="0" applyFill="1" applyBorder="1" applyAlignment="1">
      <alignment horizontal="center" vertical="center"/>
    </xf>
    <xf numFmtId="0" fontId="39" fillId="33" borderId="20" xfId="0" applyFont="1" applyFill="1" applyBorder="1" applyAlignment="1">
      <alignment horizontal="left" vertical="center" indent="1"/>
    </xf>
    <xf numFmtId="0" fontId="39" fillId="33" borderId="9" xfId="0" applyFont="1" applyFill="1" applyBorder="1" applyAlignment="1">
      <alignment horizontal="left" vertical="center" indent="1"/>
    </xf>
    <xf numFmtId="0" fontId="37" fillId="0" borderId="21" xfId="0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49" fontId="0" fillId="34" borderId="0" xfId="0" applyNumberFormat="1" applyFill="1" applyAlignment="1">
      <alignment horizontal="left"/>
    </xf>
    <xf numFmtId="0" fontId="0" fillId="11" borderId="0" xfId="0" applyFill="1" applyAlignment="1">
      <alignment horizontal="left" vertical="center" indent="1"/>
    </xf>
    <xf numFmtId="0" fontId="22" fillId="0" borderId="7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44" fillId="0" borderId="19" xfId="0" applyFont="1" applyFill="1" applyBorder="1" applyAlignment="1">
      <alignment horizontal="left" vertical="center" indent="1"/>
    </xf>
    <xf numFmtId="0" fontId="44" fillId="0" borderId="21" xfId="0" applyFont="1" applyFill="1" applyBorder="1" applyAlignment="1">
      <alignment horizontal="left" vertical="center" indent="1"/>
    </xf>
    <xf numFmtId="0" fontId="39" fillId="0" borderId="21" xfId="0" applyFont="1" applyFill="1" applyBorder="1" applyAlignment="1">
      <alignment horizontal="left" vertical="center" indent="1"/>
    </xf>
    <xf numFmtId="0" fontId="37" fillId="0" borderId="21" xfId="0" applyFont="1" applyFill="1" applyBorder="1" applyAlignment="1">
      <alignment horizontal="left" vertical="center" indent="1"/>
    </xf>
    <xf numFmtId="0" fontId="39" fillId="0" borderId="19" xfId="0" applyFont="1" applyFill="1" applyBorder="1" applyAlignment="1">
      <alignment horizontal="left" vertical="center" indent="1"/>
    </xf>
    <xf numFmtId="49" fontId="0" fillId="0" borderId="9" xfId="0" applyNumberFormat="1" applyFill="1" applyBorder="1" applyAlignment="1">
      <alignment horizontal="left"/>
    </xf>
  </cellXfs>
  <cellStyles count="1">
    <cellStyle name="Normal" xfId="0" builtinId="0"/>
  </cellStyles>
  <dxfs count="377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723"/>
  <sheetViews>
    <sheetView tabSelected="1" topLeftCell="AH1" zoomScale="87" zoomScaleNormal="90" workbookViewId="0">
      <pane ySplit="1" topLeftCell="A544" activePane="bottomLeft" state="frozen"/>
      <selection activeCell="I21" sqref="I21"/>
      <selection pane="bottomLeft" activeCell="AP548" sqref="AP548"/>
    </sheetView>
  </sheetViews>
  <sheetFormatPr baseColWidth="10" defaultColWidth="10.83203125" defaultRowHeight="16" x14ac:dyDescent="0.2"/>
  <cols>
    <col min="1" max="1" width="19.6640625" style="1" bestFit="1" customWidth="1"/>
    <col min="2" max="2" width="3.5" style="1" bestFit="1" customWidth="1"/>
    <col min="3" max="3" width="11.33203125" style="1" bestFit="1" customWidth="1"/>
    <col min="4" max="4" width="9" style="1" bestFit="1" customWidth="1"/>
    <col min="5" max="5" width="18.1640625" style="1" bestFit="1" customWidth="1"/>
    <col min="6" max="6" width="10" style="1" bestFit="1" customWidth="1"/>
    <col min="7" max="7" width="9" style="1" bestFit="1" customWidth="1"/>
    <col min="8" max="8" width="10" style="1" bestFit="1" customWidth="1"/>
    <col min="9" max="9" width="12.1640625" style="1" bestFit="1" customWidth="1"/>
    <col min="10" max="10" width="11.33203125" style="1" bestFit="1" customWidth="1"/>
    <col min="11" max="11" width="9" style="1" bestFit="1" customWidth="1"/>
    <col min="12" max="12" width="10" style="1" bestFit="1" customWidth="1"/>
    <col min="13" max="13" width="14.5" style="1" bestFit="1" customWidth="1"/>
    <col min="14" max="14" width="13.33203125" style="1" bestFit="1" customWidth="1"/>
    <col min="15" max="15" width="9" style="1" bestFit="1" customWidth="1"/>
    <col min="16" max="16" width="10.6640625" style="1" bestFit="1" customWidth="1"/>
    <col min="17" max="17" width="9.33203125" style="1" bestFit="1" customWidth="1"/>
    <col min="18" max="18" width="10.6640625" style="1" bestFit="1" customWidth="1"/>
    <col min="19" max="19" width="9" style="1" bestFit="1" customWidth="1"/>
    <col min="20" max="20" width="10.1640625" style="1" bestFit="1" customWidth="1"/>
    <col min="21" max="21" width="15.33203125" style="1" bestFit="1" customWidth="1"/>
    <col min="22" max="22" width="15.1640625" style="1" bestFit="1" customWidth="1"/>
    <col min="23" max="23" width="23.83203125" style="1" bestFit="1" customWidth="1"/>
    <col min="24" max="24" width="12.5" style="1" bestFit="1" customWidth="1"/>
    <col min="25" max="25" width="10.5" style="3" bestFit="1" customWidth="1"/>
    <col min="26" max="26" width="13.5" style="3" bestFit="1" customWidth="1"/>
    <col min="27" max="27" width="11.6640625" style="1" bestFit="1" customWidth="1"/>
    <col min="28" max="28" width="13.5" style="1" bestFit="1" customWidth="1"/>
    <col min="29" max="29" width="12" style="1" bestFit="1" customWidth="1"/>
    <col min="30" max="30" width="12.33203125" style="1" bestFit="1" customWidth="1"/>
    <col min="31" max="31" width="4" style="1" bestFit="1" customWidth="1"/>
    <col min="32" max="32" width="11.83203125" style="1" bestFit="1" customWidth="1"/>
    <col min="33" max="33" width="11.83203125" style="77" customWidth="1"/>
    <col min="34" max="34" width="20.33203125" style="89" bestFit="1" customWidth="1"/>
    <col min="35" max="35" width="15.33203125" style="89" bestFit="1" customWidth="1"/>
    <col min="36" max="36" width="14.83203125" style="89" bestFit="1" customWidth="1"/>
    <col min="37" max="37" width="18.1640625" style="1" customWidth="1"/>
    <col min="38" max="38" width="8.1640625" style="8" bestFit="1" customWidth="1"/>
    <col min="39" max="39" width="21.6640625" style="27" bestFit="1" customWidth="1"/>
    <col min="40" max="40" width="23.5" style="27" bestFit="1" customWidth="1"/>
    <col min="41" max="41" width="24.5" style="27" bestFit="1" customWidth="1"/>
    <col min="42" max="42" width="21.1640625" style="46" bestFit="1" customWidth="1"/>
    <col min="43" max="43" width="24" style="27" bestFit="1" customWidth="1"/>
    <col min="44" max="44" width="27" style="187" bestFit="1" customWidth="1"/>
    <col min="45" max="45" width="28.5" style="187" bestFit="1" customWidth="1"/>
    <col min="46" max="46" width="24" style="187" bestFit="1" customWidth="1"/>
    <col min="47" max="47" width="19.5" style="1" customWidth="1"/>
    <col min="48" max="48" width="10.83203125" style="1"/>
    <col min="49" max="49" width="4.1640625" style="1" bestFit="1" customWidth="1"/>
    <col min="50" max="50" width="21.6640625" style="27" bestFit="1" customWidth="1"/>
    <col min="51" max="52" width="25" style="27" bestFit="1" customWidth="1"/>
    <col min="53" max="53" width="21.5" style="171" bestFit="1" customWidth="1"/>
    <col min="54" max="54" width="24" style="27" bestFit="1" customWidth="1"/>
    <col min="55" max="55" width="26.5" style="27" bestFit="1" customWidth="1"/>
    <col min="56" max="56" width="21.83203125" style="27" bestFit="1" customWidth="1"/>
    <col min="57" max="57" width="19.33203125" style="27" bestFit="1" customWidth="1"/>
    <col min="58" max="59" width="10.83203125" style="1"/>
    <col min="60" max="60" width="6" style="1" bestFit="1" customWidth="1"/>
    <col min="61" max="61" width="255.83203125" style="11" bestFit="1" customWidth="1"/>
    <col min="62" max="63" width="10.83203125" style="1"/>
    <col min="64" max="64" width="19.33203125" style="1" bestFit="1" customWidth="1"/>
    <col min="65" max="65" width="19" style="1" bestFit="1" customWidth="1"/>
    <col min="66" max="69" width="10.83203125" style="1"/>
    <col min="70" max="70" width="19.33203125" style="1" bestFit="1" customWidth="1"/>
    <col min="71" max="71" width="16.83203125" style="1" bestFit="1" customWidth="1"/>
    <col min="72" max="72" width="21.83203125" style="1" bestFit="1" customWidth="1"/>
    <col min="73" max="73" width="19.33203125" style="1" bestFit="1" customWidth="1"/>
    <col min="74" max="74" width="21.6640625" style="1" bestFit="1" customWidth="1"/>
    <col min="75" max="75" width="24.33203125" style="1" bestFit="1" customWidth="1"/>
    <col min="76" max="76" width="18.1640625" style="1" bestFit="1" customWidth="1"/>
    <col min="77" max="77" width="15.83203125" style="1" bestFit="1" customWidth="1"/>
    <col min="78" max="16384" width="10.83203125" style="1"/>
  </cols>
  <sheetData>
    <row r="1" spans="1:120" ht="32" thickBot="1" x14ac:dyDescent="0.25">
      <c r="A1" s="70" t="s">
        <v>30</v>
      </c>
      <c r="X1" s="2" t="s">
        <v>1</v>
      </c>
      <c r="Y1" s="2" t="s">
        <v>2</v>
      </c>
      <c r="Z1" s="2" t="s">
        <v>3</v>
      </c>
      <c r="AA1" s="2" t="s">
        <v>4</v>
      </c>
      <c r="AB1" s="2" t="s">
        <v>5</v>
      </c>
      <c r="AC1" s="2" t="s">
        <v>6</v>
      </c>
      <c r="AD1" s="2" t="s">
        <v>7</v>
      </c>
      <c r="AE1" s="102"/>
      <c r="AF1" s="2" t="s">
        <v>8</v>
      </c>
      <c r="AH1" s="78" t="s">
        <v>9</v>
      </c>
      <c r="AI1" s="78" t="s">
        <v>10</v>
      </c>
      <c r="AJ1" s="78" t="s">
        <v>11</v>
      </c>
      <c r="AK1" s="6"/>
      <c r="AM1" s="27" t="s">
        <v>12</v>
      </c>
      <c r="AN1" s="27" t="s">
        <v>13</v>
      </c>
      <c r="AO1" s="27" t="s">
        <v>14</v>
      </c>
      <c r="AP1" s="46" t="s">
        <v>15</v>
      </c>
      <c r="AQ1" s="27" t="s">
        <v>16</v>
      </c>
      <c r="AR1" s="187" t="s">
        <v>17</v>
      </c>
      <c r="AS1" s="187" t="s">
        <v>18</v>
      </c>
      <c r="AT1" s="187" t="s">
        <v>19</v>
      </c>
      <c r="AX1" s="27" t="s">
        <v>12</v>
      </c>
      <c r="AY1" s="27" t="s">
        <v>13</v>
      </c>
      <c r="AZ1" s="27" t="s">
        <v>14</v>
      </c>
      <c r="BA1" s="46" t="s">
        <v>15</v>
      </c>
      <c r="BB1" s="27" t="s">
        <v>16</v>
      </c>
      <c r="BC1" s="27" t="s">
        <v>17</v>
      </c>
      <c r="BD1" s="27" t="s">
        <v>18</v>
      </c>
      <c r="BE1" s="27" t="s">
        <v>19</v>
      </c>
    </row>
    <row r="2" spans="1:120" ht="22" thickBot="1" x14ac:dyDescent="0.25">
      <c r="V2" s="1" t="s">
        <v>20</v>
      </c>
      <c r="W2" s="1" t="s">
        <v>21</v>
      </c>
      <c r="X2" s="103"/>
      <c r="Y2" s="104"/>
      <c r="Z2" s="104"/>
      <c r="AA2" s="105">
        <v>1</v>
      </c>
      <c r="AB2" s="105">
        <v>2</v>
      </c>
      <c r="AC2" s="105">
        <v>3</v>
      </c>
      <c r="AD2" s="105">
        <v>4</v>
      </c>
      <c r="AE2" s="102"/>
      <c r="AF2" s="24">
        <v>5</v>
      </c>
      <c r="AH2" s="79"/>
      <c r="AI2" s="79"/>
      <c r="AJ2" s="79"/>
      <c r="AK2" s="6"/>
    </row>
    <row r="3" spans="1:120" ht="21" x14ac:dyDescent="0.2">
      <c r="C3" s="239" t="str">
        <f>VLOOKUP(LEFT(C53,LEN(layout)+3),label,RIGHT(C53,1)+1,0)</f>
        <v>F1</v>
      </c>
      <c r="D3" s="241"/>
      <c r="E3" s="230"/>
      <c r="G3" s="239" t="str">
        <f>VLOOKUP(LEFT(G53,LEN(layout)+3),label,RIGHT(G53,1)+1,0)</f>
        <v>F2</v>
      </c>
      <c r="H3" s="241"/>
      <c r="I3" s="230"/>
      <c r="J3" s="239" t="str">
        <f>VLOOKUP(LEFT(J53,LEN(layout)+3),label,RIGHT(J53,1)+1,0)</f>
        <v>F3</v>
      </c>
      <c r="K3" s="241"/>
      <c r="L3" s="230"/>
      <c r="M3" s="239" t="str">
        <f>VLOOKUP(LEFT(M53,LEN(layout)+3),label,RIGHT(M53,1)+1,0)</f>
        <v>F4</v>
      </c>
      <c r="N3" s="241"/>
      <c r="O3" s="230"/>
      <c r="P3" s="239" t="str">
        <f>VLOOKUP(LEFT(P53,LEN(layout)+3),label,RIGHT(P53,1)+1,0)</f>
        <v>F4</v>
      </c>
      <c r="Q3" s="241"/>
      <c r="R3" s="230"/>
      <c r="S3" s="239" t="str">
        <f>VLOOKUP(LEFT(S53,LEN(layout)+3),label,RIGHT(S53,1)+1,0)</f>
        <v>F6</v>
      </c>
      <c r="T3" s="241"/>
      <c r="U3" s="230"/>
      <c r="W3" s="205" t="str">
        <f>X48</f>
        <v>C47</v>
      </c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L3" s="1"/>
      <c r="AM3" s="1"/>
      <c r="AN3" s="1"/>
      <c r="AO3" s="1"/>
      <c r="AP3" s="1"/>
      <c r="AQ3" s="1"/>
      <c r="AR3" s="188"/>
      <c r="AS3" s="188"/>
      <c r="AT3" s="188"/>
      <c r="AX3" s="1"/>
      <c r="AY3" s="1"/>
      <c r="AZ3" s="1"/>
      <c r="BA3" s="172"/>
      <c r="BB3" s="1"/>
      <c r="BC3" s="1"/>
      <c r="BD3" s="1"/>
      <c r="BE3" s="1"/>
      <c r="BI3" s="1"/>
    </row>
    <row r="4" spans="1:120" ht="21" x14ac:dyDescent="0.2">
      <c r="C4" s="242"/>
      <c r="D4" s="244"/>
      <c r="E4" s="230"/>
      <c r="G4" s="242"/>
      <c r="H4" s="244"/>
      <c r="I4" s="230"/>
      <c r="J4" s="242"/>
      <c r="K4" s="244"/>
      <c r="L4" s="230"/>
      <c r="M4" s="242"/>
      <c r="N4" s="244"/>
      <c r="O4" s="230"/>
      <c r="P4" s="242"/>
      <c r="Q4" s="244"/>
      <c r="R4" s="230"/>
      <c r="S4" s="242"/>
      <c r="T4" s="244"/>
      <c r="U4" s="230"/>
      <c r="V4" s="1" t="s">
        <v>22</v>
      </c>
      <c r="W4" s="203" t="str">
        <f>X93</f>
        <v>WP43</v>
      </c>
      <c r="X4" s="168"/>
      <c r="Y4" s="168"/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L4" s="1"/>
      <c r="AM4" s="1"/>
      <c r="AN4" s="1"/>
      <c r="AO4" s="1"/>
      <c r="AP4" s="1"/>
      <c r="AQ4" s="1"/>
      <c r="AR4" s="188"/>
      <c r="AS4" s="188"/>
      <c r="AT4" s="188"/>
      <c r="AX4" s="1"/>
      <c r="AY4" s="1"/>
      <c r="AZ4" s="1"/>
      <c r="BA4" s="172"/>
      <c r="BB4" s="1"/>
      <c r="BC4" s="1"/>
      <c r="BD4" s="1"/>
      <c r="BE4" s="1"/>
      <c r="BI4" s="1"/>
    </row>
    <row r="5" spans="1:120" ht="22" thickBot="1" x14ac:dyDescent="0.25">
      <c r="C5" s="245"/>
      <c r="D5" s="247"/>
      <c r="E5" s="230"/>
      <c r="G5" s="245"/>
      <c r="H5" s="247"/>
      <c r="I5" s="230"/>
      <c r="J5" s="245"/>
      <c r="K5" s="247"/>
      <c r="L5" s="230"/>
      <c r="M5" s="245"/>
      <c r="N5" s="247"/>
      <c r="O5" s="230"/>
      <c r="P5" s="245"/>
      <c r="Q5" s="247"/>
      <c r="R5" s="230"/>
      <c r="S5" s="245"/>
      <c r="T5" s="247"/>
      <c r="U5" s="230"/>
      <c r="W5" s="203" t="str">
        <f>X138</f>
        <v>E47</v>
      </c>
      <c r="X5" s="168"/>
      <c r="Y5" s="168"/>
      <c r="Z5" s="168"/>
      <c r="AA5" s="168"/>
      <c r="AB5" s="168"/>
      <c r="AC5" s="168"/>
      <c r="AD5" s="168"/>
      <c r="AE5" s="168"/>
      <c r="AF5" s="168"/>
      <c r="AG5" s="168"/>
      <c r="AH5" s="168"/>
      <c r="AI5" s="168"/>
      <c r="AJ5" s="168"/>
      <c r="AL5" s="1"/>
      <c r="AM5" s="1"/>
      <c r="AN5" s="1"/>
      <c r="AO5" s="1"/>
      <c r="AP5" s="1"/>
      <c r="AQ5" s="1"/>
      <c r="AR5" s="188"/>
      <c r="AS5" s="188"/>
      <c r="AT5" s="188"/>
      <c r="AX5" s="1"/>
      <c r="AY5" s="1"/>
      <c r="AZ5" s="1"/>
      <c r="BA5" s="172"/>
      <c r="BB5" s="1"/>
      <c r="BC5" s="1"/>
      <c r="BD5" s="1"/>
      <c r="BE5" s="1"/>
      <c r="BI5" s="1"/>
    </row>
    <row r="6" spans="1:120" ht="21" x14ac:dyDescent="0.2">
      <c r="W6" s="203" t="str">
        <f>X183</f>
        <v>V47</v>
      </c>
      <c r="X6" s="168"/>
      <c r="Y6" s="168"/>
      <c r="Z6" s="168"/>
      <c r="AA6" s="168"/>
      <c r="AB6" s="168"/>
      <c r="AC6" s="168"/>
      <c r="AD6" s="168"/>
      <c r="AE6" s="168"/>
      <c r="AF6" s="168"/>
      <c r="AG6" s="168"/>
      <c r="AH6" s="168"/>
      <c r="AI6" s="168"/>
      <c r="AJ6" s="168"/>
      <c r="AL6" s="1"/>
      <c r="AM6" s="1"/>
      <c r="AN6" s="1"/>
      <c r="AO6" s="1"/>
      <c r="AP6" s="1"/>
      <c r="AQ6" s="1"/>
      <c r="AR6" s="188"/>
      <c r="AS6" s="188"/>
      <c r="AT6" s="188"/>
      <c r="AX6" s="1"/>
      <c r="AY6" s="1"/>
      <c r="AZ6" s="1"/>
      <c r="BA6" s="172"/>
      <c r="BB6" s="1"/>
      <c r="BC6" s="1"/>
      <c r="BD6" s="1"/>
      <c r="BE6" s="1"/>
      <c r="BI6" s="1"/>
    </row>
    <row r="7" spans="1:120" ht="21" x14ac:dyDescent="0.2">
      <c r="V7" s="1" t="s">
        <v>23</v>
      </c>
      <c r="W7" s="203" t="str">
        <f>X228</f>
        <v>N47</v>
      </c>
      <c r="X7" s="168"/>
      <c r="Y7" s="168"/>
      <c r="Z7" s="168"/>
      <c r="AA7" s="168"/>
      <c r="AB7" s="168"/>
      <c r="AC7" s="168"/>
      <c r="AD7" s="168"/>
      <c r="AE7" s="168"/>
      <c r="AF7" s="168"/>
      <c r="AG7" s="168"/>
      <c r="AH7" s="168"/>
      <c r="AI7" s="168"/>
      <c r="AJ7" s="168"/>
      <c r="AL7" s="1"/>
      <c r="AM7" s="1"/>
      <c r="AN7" s="1"/>
      <c r="AO7" s="1"/>
      <c r="AP7" s="1"/>
      <c r="AQ7" s="1"/>
      <c r="AR7" s="188"/>
      <c r="AS7" s="188"/>
      <c r="AT7" s="188"/>
      <c r="AX7" s="1"/>
      <c r="AY7" s="1"/>
      <c r="AZ7" s="1"/>
      <c r="BA7" s="172"/>
      <c r="BB7" s="1"/>
      <c r="BC7" s="1"/>
      <c r="BD7" s="1"/>
      <c r="BE7" s="1"/>
      <c r="BI7" s="1"/>
    </row>
    <row r="8" spans="1:120" s="6" customFormat="1" ht="22" thickBot="1" x14ac:dyDescent="0.25">
      <c r="C8" s="7" t="str">
        <f>VLOOKUP(LEFT(C58,LEN(layout)+3),label,RIGHT(C58,1)+1,0)</f>
        <v>-&gt;I</v>
      </c>
      <c r="D8" s="7" t="str">
        <f>VLOOKUP(LEFT(D58,LEN(layout)+3),label,RIGHT(D58,1)+1,0)</f>
        <v>a b/c</v>
      </c>
      <c r="E8" s="7"/>
      <c r="F8" s="7"/>
      <c r="G8" s="7" t="str">
        <f>VLOOKUP(LEFT(G58,LEN(layout)+3),label,RIGHT(G58,1)+1,0)</f>
        <v>y^x</v>
      </c>
      <c r="H8" s="7" t="str">
        <f>VLOOKUP(LEFT(H58,LEN(layout)+3),label,RIGHT(H58,1)+1,0)</f>
        <v>#</v>
      </c>
      <c r="I8" s="7"/>
      <c r="J8" s="7" t="str">
        <f>VLOOKUP(LEFT(J58,LEN(layout)+3),label,RIGHT(J58,1)+1,0)</f>
        <v>x^2</v>
      </c>
      <c r="K8" s="7" t="str">
        <f>VLOOKUP(LEFT(K58,LEN(layout)+3),label,RIGHT(K58,1)+1,0)</f>
        <v>.ms</v>
      </c>
      <c r="L8" s="7"/>
      <c r="M8" s="7" t="str">
        <f>VLOOKUP(LEFT(M58,LEN(layout)+3),label,RIGHT(M58,1)+1,0)</f>
        <v>10^x</v>
      </c>
      <c r="N8" s="7" t="str">
        <f>VLOOKUP(LEFT(N58,LEN(layout)+3),label,RIGHT(N58,1)+1,0)</f>
        <v>.d</v>
      </c>
      <c r="O8" s="7"/>
      <c r="P8" s="7" t="str">
        <f>VLOOKUP(LEFT(P58,LEN(layout)+3),label,RIGHT(P58,1)+1,0)</f>
        <v>e^x</v>
      </c>
      <c r="Q8" s="7" t="str">
        <f>VLOOKUP(LEFT(Q58,LEN(layout)+3),label,RIGHT(Q58,1)+1,0)</f>
        <v>LBL</v>
      </c>
      <c r="R8" s="7"/>
      <c r="S8" s="7" t="str">
        <f>VLOOKUP(LEFT(S58,LEN(layout)+3),label,RIGHT(S58,1)+1,0)</f>
        <v>[ alpha ]</v>
      </c>
      <c r="T8" s="7" t="str">
        <f>VLOOKUP(LEFT(T58,LEN(layout)+3),label,RIGHT(T58,1)+1,0)</f>
        <v>GTO</v>
      </c>
      <c r="V8" s="6" t="s">
        <v>24</v>
      </c>
      <c r="W8" s="203" t="str">
        <f>X273</f>
        <v>D47</v>
      </c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"/>
      <c r="AL8" s="1"/>
      <c r="AM8" s="1"/>
      <c r="AN8" s="1"/>
      <c r="AO8" s="1"/>
      <c r="AP8" s="1"/>
      <c r="AQ8" s="1"/>
      <c r="AR8" s="188"/>
      <c r="AS8" s="188"/>
      <c r="AT8" s="188"/>
      <c r="AU8" s="1"/>
      <c r="AV8" s="1"/>
      <c r="AW8" s="1"/>
      <c r="AX8" s="1"/>
      <c r="AY8" s="1"/>
      <c r="AZ8" s="1"/>
      <c r="BA8" s="172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</row>
    <row r="9" spans="1:120" ht="21" x14ac:dyDescent="0.2">
      <c r="C9" s="239" t="str">
        <f>VLOOKUP(LEFT(C59,LEN(layout)+3),label,RIGHT(C59,1)+1,0)</f>
        <v>Sigma+</v>
      </c>
      <c r="D9" s="241"/>
      <c r="E9" s="238" t="str">
        <f>SUBSTITUTE(VLOOKUP(LEFT(E59,LEN(layout)+3),label,RIGHT(E59,1)+2,0),0,"")</f>
        <v>A</v>
      </c>
      <c r="G9" s="239" t="str">
        <f>VLOOKUP(LEFT(G59,LEN(layout)+3),label,RIGHT(G59,1)+1,0)</f>
        <v>1/x</v>
      </c>
      <c r="H9" s="241"/>
      <c r="I9" s="238" t="str">
        <f>SUBSTITUTE(VLOOKUP(LEFT(I59,LEN(layout)+3),label,RIGHT(I59,1)+2,0),0,"")</f>
        <v>B</v>
      </c>
      <c r="J9" s="239" t="str">
        <f>VLOOKUP(LEFT(J59,LEN(layout)+3),label,RIGHT(J59,1)+1,0)</f>
        <v>√x</v>
      </c>
      <c r="K9" s="241"/>
      <c r="L9" s="238" t="str">
        <f>SUBSTITUTE(VLOOKUP(LEFT(L59,LEN(layout)+3),label,RIGHT(L59,1)+2,0),0,"")</f>
        <v>C</v>
      </c>
      <c r="M9" s="239" t="str">
        <f>VLOOKUP(LEFT(M59,LEN(layout)+3),label,RIGHT(M59,1)+1,0)</f>
        <v>LOG</v>
      </c>
      <c r="N9" s="241"/>
      <c r="O9" s="238" t="str">
        <f>SUBSTITUTE(VLOOKUP(LEFT(O59,LEN(layout)+3),label,RIGHT(O59,1)+2,0),0,"")</f>
        <v>D</v>
      </c>
      <c r="P9" s="239" t="str">
        <f>VLOOKUP(LEFT(P59,LEN(layout)+3),label,RIGHT(P59,1)+1,0)</f>
        <v>LN</v>
      </c>
      <c r="Q9" s="241"/>
      <c r="R9" s="238" t="str">
        <f>SUBSTITUTE(VLOOKUP(LEFT(R59,LEN(layout)+3),label,RIGHT(R59,1)+2,0),0,"")</f>
        <v>E</v>
      </c>
      <c r="S9" s="239" t="str">
        <f>VLOOKUP(LEFT(S59,LEN(layout)+3),label,RIGHT(S59,1)+1,0)</f>
        <v>XEQ</v>
      </c>
      <c r="T9" s="241"/>
      <c r="U9" s="238" t="str">
        <f>SUBSTITUTE(VLOOKUP(LEFT(U59,LEN(layout)+3),label,RIGHT(U59,1)+2,0),0,"")</f>
        <v>F</v>
      </c>
      <c r="W9" s="204" t="s">
        <v>25</v>
      </c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168"/>
      <c r="AL9" s="1"/>
      <c r="AM9" s="1"/>
      <c r="AN9" s="1"/>
      <c r="AO9" s="1"/>
      <c r="AP9" s="1"/>
      <c r="AQ9" s="1"/>
      <c r="AR9" s="188"/>
      <c r="AS9" s="188"/>
      <c r="AT9" s="188"/>
      <c r="AX9" s="1"/>
      <c r="AY9" s="1"/>
      <c r="AZ9" s="1"/>
      <c r="BA9" s="172"/>
      <c r="BB9" s="1"/>
      <c r="BC9" s="1"/>
      <c r="BD9" s="1"/>
      <c r="BE9" s="1"/>
      <c r="BI9" s="1"/>
    </row>
    <row r="10" spans="1:120" ht="21" x14ac:dyDescent="0.2">
      <c r="C10" s="242"/>
      <c r="D10" s="244"/>
      <c r="E10" s="238"/>
      <c r="G10" s="242"/>
      <c r="H10" s="244"/>
      <c r="I10" s="238"/>
      <c r="J10" s="242"/>
      <c r="K10" s="244"/>
      <c r="L10" s="238"/>
      <c r="M10" s="242"/>
      <c r="N10" s="244"/>
      <c r="O10" s="238"/>
      <c r="P10" s="242"/>
      <c r="Q10" s="244"/>
      <c r="R10" s="238"/>
      <c r="S10" s="242"/>
      <c r="T10" s="244"/>
      <c r="U10" s="238"/>
      <c r="W10" s="203" t="s">
        <v>26</v>
      </c>
      <c r="X10" s="168"/>
      <c r="Y10" s="168"/>
      <c r="Z10" s="168"/>
      <c r="AA10" s="168"/>
      <c r="AB10" s="168"/>
      <c r="AC10" s="168"/>
      <c r="AD10" s="168"/>
      <c r="AE10" s="168"/>
      <c r="AF10" s="168"/>
      <c r="AG10" s="168"/>
      <c r="AH10" s="168"/>
      <c r="AI10" s="168"/>
      <c r="AJ10" s="168"/>
      <c r="AL10" s="1"/>
      <c r="AM10" s="1"/>
      <c r="AN10" s="1"/>
      <c r="AO10" s="1"/>
      <c r="AP10" s="1"/>
      <c r="AQ10" s="1"/>
      <c r="AR10" s="188"/>
      <c r="AS10" s="188"/>
      <c r="AT10" s="188"/>
      <c r="AX10" s="1"/>
      <c r="AY10" s="1"/>
      <c r="AZ10" s="1"/>
      <c r="BA10" s="172"/>
      <c r="BB10" s="1"/>
      <c r="BC10" s="1"/>
      <c r="BD10" s="1"/>
      <c r="BE10" s="1"/>
      <c r="BI10" s="1"/>
    </row>
    <row r="11" spans="1:120" ht="22" thickBot="1" x14ac:dyDescent="0.25">
      <c r="C11" s="245"/>
      <c r="D11" s="247"/>
      <c r="E11" s="238"/>
      <c r="G11" s="245"/>
      <c r="H11" s="247"/>
      <c r="I11" s="238"/>
      <c r="J11" s="245"/>
      <c r="K11" s="247"/>
      <c r="L11" s="238"/>
      <c r="M11" s="245"/>
      <c r="N11" s="247"/>
      <c r="O11" s="238"/>
      <c r="P11" s="245"/>
      <c r="Q11" s="247"/>
      <c r="R11" s="238"/>
      <c r="S11" s="245"/>
      <c r="T11" s="247"/>
      <c r="U11" s="238"/>
      <c r="W11" s="204" t="s">
        <v>0</v>
      </c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L11" s="1"/>
      <c r="AM11" s="1"/>
      <c r="AN11" s="1"/>
      <c r="AO11" s="1"/>
      <c r="AP11" s="1"/>
      <c r="AQ11" s="1"/>
      <c r="AR11" s="188"/>
      <c r="AS11" s="188"/>
      <c r="AT11" s="188"/>
      <c r="AX11" s="1"/>
      <c r="AY11" s="1"/>
      <c r="AZ11" s="1"/>
      <c r="BA11" s="172"/>
      <c r="BB11" s="1"/>
      <c r="BC11" s="1"/>
      <c r="BD11" s="1"/>
      <c r="BE11" s="1"/>
      <c r="BI11" s="1"/>
    </row>
    <row r="12" spans="1:120" ht="21" x14ac:dyDescent="0.2">
      <c r="C12" s="25" t="str">
        <f>VLOOKUP(LEFT(C58,LEN(layout)+3),label,RIGHT(C58,1)+6,0)</f>
        <v>a</v>
      </c>
      <c r="D12" s="25" t="str">
        <f>VLOOKUP(LEFT(D58,LEN(layout)+3),label,RIGHT(D58,1)+6,0)</f>
        <v>Sigma</v>
      </c>
      <c r="E12" s="26" t="str">
        <f>VLOOKUP(LEFT(E59,LEN(layout)+3),label,RIGHT(E59,1)+6,0)</f>
        <v>Reg A</v>
      </c>
      <c r="F12" s="25"/>
      <c r="G12" s="25" t="str">
        <f>VLOOKUP(LEFT(G58,LEN(layout)+3),label,RIGHT(G58,1)+6,0)</f>
        <v>b</v>
      </c>
      <c r="H12" s="25" t="str">
        <f>VLOOKUP(LEFT(H58,LEN(layout)+3),label,RIGHT(H58,1)+6,0)</f>
        <v>^</v>
      </c>
      <c r="I12" s="26" t="str">
        <f>VLOOKUP(LEFT(I59,LEN(layout)+3),label,RIGHT(I59,1)+6,0)</f>
        <v>Reg B</v>
      </c>
      <c r="J12" s="25" t="str">
        <f>VLOOKUP(LEFT(J58,LEN(layout)+3),label,RIGHT(J58,1)+6,0)</f>
        <v>c</v>
      </c>
      <c r="K12" s="25" t="str">
        <f>VLOOKUP(LEFT(K58,LEN(layout)+3),label,RIGHT(K58,1)+6,0)</f>
        <v>√</v>
      </c>
      <c r="L12" s="26" t="str">
        <f>VLOOKUP(LEFT(L59,LEN(layout)+3),label,RIGHT(L59,1)+6,0)</f>
        <v>Reg C</v>
      </c>
      <c r="M12" s="25" t="str">
        <f>VLOOKUP(LEFT(M58,LEN(layout)+3),label,RIGHT(M58,1)+6,0)</f>
        <v>d</v>
      </c>
      <c r="N12" s="25" t="str">
        <f>VLOOKUP(LEFT(N58,LEN(layout)+3),label,RIGHT(N58,1)+6,0)</f>
        <v>LOG</v>
      </c>
      <c r="O12" s="26" t="str">
        <f>VLOOKUP(LEFT(O59,LEN(layout)+3),label,RIGHT(O59,1)+6,0)</f>
        <v>Reg D</v>
      </c>
      <c r="P12" s="25" t="str">
        <f>VLOOKUP(LEFT(P58,LEN(layout)+3),label,RIGHT(P58,1)+6,0)</f>
        <v>e</v>
      </c>
      <c r="Q12" s="25" t="str">
        <f>VLOOKUP(LEFT(Q58,LEN(layout)+3),label,RIGHT(Q58,1)+6,0)</f>
        <v>LN</v>
      </c>
      <c r="R12" s="26" t="str">
        <f>VLOOKUP(LEFT(R59,LEN(layout)+3),label,RIGHT(R59,1)+6,0)</f>
        <v>Reg E</v>
      </c>
      <c r="S12" s="25" t="str">
        <f>VLOOKUP(LEFT(S58,LEN(layout)+3),label,RIGHT(S58,1)+6,0)</f>
        <v>f</v>
      </c>
      <c r="T12" s="25" t="str">
        <f>VLOOKUP(LEFT(T58,LEN(layout)+3),label,RIGHT(T58,1)+6,0)</f>
        <v>alpha</v>
      </c>
      <c r="U12" s="26" t="str">
        <f>VLOOKUP(LEFT(U59,LEN(layout)+3),label,RIGHT(U59,1)+6,0)</f>
        <v>[TAMALPHA]</v>
      </c>
      <c r="W12" s="204" t="s">
        <v>646</v>
      </c>
      <c r="X12" s="168"/>
      <c r="Y12" s="168"/>
      <c r="Z12" s="168"/>
      <c r="AA12" s="168"/>
      <c r="AB12" s="168"/>
      <c r="AC12" s="168"/>
      <c r="AD12" s="168"/>
      <c r="AE12" s="168"/>
      <c r="AF12" s="168"/>
      <c r="AG12" s="168"/>
      <c r="AH12" s="168"/>
      <c r="AI12" s="168"/>
      <c r="AJ12" s="168"/>
      <c r="AL12" s="1"/>
      <c r="AM12" s="1"/>
      <c r="AN12" s="1"/>
      <c r="AO12" s="1"/>
      <c r="AP12" s="1"/>
      <c r="AQ12" s="1"/>
      <c r="AR12" s="188"/>
      <c r="AS12" s="188"/>
      <c r="AT12" s="188"/>
      <c r="AX12" s="1"/>
      <c r="AY12" s="1"/>
      <c r="AZ12" s="1"/>
      <c r="BA12" s="172"/>
      <c r="BB12" s="1"/>
      <c r="BC12" s="1"/>
      <c r="BD12" s="1"/>
      <c r="BE12" s="1"/>
      <c r="BI12" s="1"/>
    </row>
    <row r="13" spans="1:120" ht="21" x14ac:dyDescent="0.2">
      <c r="W13" s="204" t="s">
        <v>647</v>
      </c>
      <c r="X13" s="168"/>
      <c r="Y13" s="168"/>
      <c r="Z13" s="168"/>
      <c r="AA13" s="168"/>
      <c r="AB13" s="168"/>
      <c r="AC13" s="168"/>
      <c r="AD13" s="168"/>
      <c r="AE13" s="168"/>
      <c r="AF13" s="168"/>
      <c r="AG13" s="168"/>
      <c r="AH13" s="168"/>
      <c r="AI13" s="168"/>
      <c r="AJ13" s="168"/>
      <c r="AL13" s="1"/>
      <c r="AM13" s="1"/>
      <c r="AN13" s="1"/>
      <c r="AO13" s="1"/>
      <c r="AP13" s="1"/>
      <c r="AQ13" s="1"/>
      <c r="AR13" s="188"/>
      <c r="AS13" s="188"/>
      <c r="AT13" s="188"/>
      <c r="AX13" s="1"/>
      <c r="AY13" s="1"/>
      <c r="AZ13" s="1"/>
      <c r="BA13" s="172"/>
      <c r="BB13" s="1"/>
      <c r="BC13" s="1"/>
      <c r="BD13" s="1"/>
      <c r="BE13" s="1"/>
      <c r="BI13" s="1"/>
    </row>
    <row r="14" spans="1:120" s="6" customFormat="1" ht="22" thickBot="1" x14ac:dyDescent="0.25">
      <c r="C14" s="7" t="str">
        <f>VLOOKUP(LEFT(C64,LEN(layout)+3),label,RIGHT(C64,1)+1,0)</f>
        <v>|x|</v>
      </c>
      <c r="D14" s="7" t="str">
        <f>VLOOKUP(LEFT(D64,LEN(layout)+3),label,RIGHT(D64,1)+1,0)</f>
        <v>angle</v>
      </c>
      <c r="E14" s="7"/>
      <c r="F14" s="7"/>
      <c r="G14" s="7" t="str">
        <f>VLOOKUP(LEFT(G64,LEN(layout)+3),label,RIGHT(G64,1)+1,0)</f>
        <v>%</v>
      </c>
      <c r="H14" s="7" t="str">
        <f>VLOOKUP(LEFT(H64,LEN(layout)+3),label,RIGHT(H64,1)+1,0)</f>
        <v>Delta %</v>
      </c>
      <c r="I14" s="7"/>
      <c r="J14" s="7" t="str">
        <f>VLOOKUP(LEFT(J64,LEN(layout)+3),label,RIGHT(J64,1)+1,0)</f>
        <v>pi</v>
      </c>
      <c r="K14" s="7" t="str">
        <f>VLOOKUP(LEFT(K64,LEN(layout)+3),label,RIGHT(K64,1)+1,0)</f>
        <v>x√y</v>
      </c>
      <c r="L14" s="7"/>
      <c r="M14" s="7" t="str">
        <f>VLOOKUP(LEFT(M64,LEN(layout)+3),label,RIGHT(M64,1)+1,0)</f>
        <v>ASIN</v>
      </c>
      <c r="N14" s="7" t="str">
        <f>VLOOKUP(LEFT(N64,LEN(layout)+3),label,RIGHT(N64,1)+1,0)</f>
        <v>op_i</v>
      </c>
      <c r="O14" s="7"/>
      <c r="P14" s="7" t="str">
        <f>VLOOKUP(LEFT(P64,LEN(layout)+3),label,RIGHT(P64,1)+1,0)</f>
        <v>ACOS</v>
      </c>
      <c r="Q14" s="7" t="str">
        <f>VLOOKUP(LEFT(Q64,LEN(layout)+3),label,RIGHT(Q64,1)+1,0)</f>
        <v>-&gt;R</v>
      </c>
      <c r="R14" s="7"/>
      <c r="S14" s="7" t="str">
        <f>VLOOKUP(LEFT(S64,LEN(layout)+3),label,RIGHT(S64,1)+1,0)</f>
        <v>ATAN</v>
      </c>
      <c r="T14" s="7" t="str">
        <f>VLOOKUP(LEFT(T64,LEN(layout)+3),label,RIGHT(T64,1)+1,0)</f>
        <v>-&gt;P</v>
      </c>
      <c r="W14" s="206" t="s">
        <v>648</v>
      </c>
      <c r="X14" s="168"/>
      <c r="Y14" s="168"/>
      <c r="Z14" s="168"/>
      <c r="AA14" s="168"/>
      <c r="AB14" s="168"/>
      <c r="AC14" s="168"/>
      <c r="AD14" s="168"/>
      <c r="AE14" s="168"/>
      <c r="AF14" s="168"/>
      <c r="AG14" s="168"/>
      <c r="AH14" s="168"/>
      <c r="AI14" s="168"/>
      <c r="AJ14" s="168"/>
      <c r="AK14" s="1"/>
      <c r="AL14" s="1"/>
      <c r="AM14" s="1"/>
      <c r="AN14" s="1"/>
      <c r="AO14" s="1"/>
      <c r="AP14" s="1"/>
      <c r="AQ14" s="1"/>
      <c r="AR14" s="188"/>
      <c r="AS14" s="188"/>
      <c r="AT14" s="188"/>
      <c r="AU14" s="1"/>
      <c r="AV14" s="1"/>
      <c r="AW14" s="1"/>
      <c r="AX14" s="1"/>
      <c r="AY14" s="1"/>
      <c r="AZ14" s="1"/>
      <c r="BA14" s="172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</row>
    <row r="15" spans="1:120" x14ac:dyDescent="0.2">
      <c r="C15" s="239" t="str">
        <f>VLOOKUP(LEFT(C65,LEN(layout)+3),label,RIGHT(C65,1)+1,0)</f>
        <v>STO</v>
      </c>
      <c r="D15" s="241"/>
      <c r="E15" s="238" t="str">
        <f>SUBSTITUTE(VLOOKUP(LEFT(E65,LEN(layout)+3),label,RIGHT(E65,1)+2,0),0,"")</f>
        <v>G</v>
      </c>
      <c r="G15" s="239" t="str">
        <f>VLOOKUP(LEFT(G65,LEN(layout)+3),label,RIGHT(G65,1)+1,0)</f>
        <v>RCL</v>
      </c>
      <c r="H15" s="241"/>
      <c r="I15" s="238" t="str">
        <f>SUBSTITUTE(VLOOKUP(LEFT(I65,LEN(layout)+3),label,RIGHT(I65,1)+2,0),0,"")</f>
        <v>H</v>
      </c>
      <c r="J15" s="239" t="str">
        <f>VLOOKUP(LEFT(J65,LEN(layout)+3),label,RIGHT(J65,1)+1,0)</f>
        <v>RDN</v>
      </c>
      <c r="K15" s="241"/>
      <c r="L15" s="238" t="str">
        <f>SUBSTITUTE(VLOOKUP(LEFT(L65,LEN(layout)+3),label,RIGHT(L65,1)+2,0),0,"")</f>
        <v>I</v>
      </c>
      <c r="M15" s="239" t="str">
        <f>VLOOKUP(LEFT(M65,LEN(layout)+3),label,RIGHT(M65,1)+1,0)</f>
        <v>SIN</v>
      </c>
      <c r="N15" s="241"/>
      <c r="O15" s="238" t="str">
        <f>SUBSTITUTE(VLOOKUP(LEFT(O65,LEN(layout)+3),label,RIGHT(O65,1)+2,0),0,"")</f>
        <v>J</v>
      </c>
      <c r="P15" s="239" t="str">
        <f>VLOOKUP(LEFT(P65,LEN(layout)+3),label,RIGHT(P65,1)+1,0)</f>
        <v>COS</v>
      </c>
      <c r="Q15" s="241"/>
      <c r="R15" s="238" t="str">
        <f>SUBSTITUTE(VLOOKUP(LEFT(R65,LEN(layout)+3),label,RIGHT(R65,1)+2,0),0,"")</f>
        <v>K</v>
      </c>
      <c r="S15" s="239" t="str">
        <f>VLOOKUP(LEFT(S65,LEN(layout)+3),label,RIGHT(S65,1)+1,0)</f>
        <v>TAN</v>
      </c>
      <c r="T15" s="241"/>
      <c r="U15" s="238" t="str">
        <f>SUBSTITUTE(VLOOKUP(LEFT(U65,LEN(layout)+3),label,RIGHT(U65,1)+2,0),0,"")</f>
        <v>L</v>
      </c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L15" s="1"/>
      <c r="AM15" s="1"/>
      <c r="AN15" s="1"/>
      <c r="AO15" s="1"/>
      <c r="AP15" s="1"/>
      <c r="AQ15" s="1"/>
      <c r="AR15" s="188"/>
      <c r="AS15" s="188"/>
      <c r="AT15" s="188"/>
      <c r="AX15" s="1"/>
      <c r="AY15" s="1"/>
      <c r="AZ15" s="1"/>
      <c r="BA15" s="172"/>
      <c r="BB15" s="1"/>
      <c r="BC15" s="1"/>
      <c r="BD15" s="1"/>
      <c r="BE15" s="1"/>
      <c r="BI15" s="1"/>
    </row>
    <row r="16" spans="1:120" x14ac:dyDescent="0.2">
      <c r="C16" s="242"/>
      <c r="D16" s="244"/>
      <c r="E16" s="238"/>
      <c r="G16" s="242"/>
      <c r="H16" s="244"/>
      <c r="I16" s="238"/>
      <c r="J16" s="242"/>
      <c r="K16" s="244"/>
      <c r="L16" s="238"/>
      <c r="M16" s="242"/>
      <c r="N16" s="244"/>
      <c r="O16" s="238"/>
      <c r="P16" s="242"/>
      <c r="Q16" s="244"/>
      <c r="R16" s="238"/>
      <c r="S16" s="242"/>
      <c r="T16" s="244"/>
      <c r="U16" s="23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L16" s="1"/>
      <c r="AM16" s="1"/>
      <c r="AN16" s="1"/>
      <c r="AO16" s="1"/>
      <c r="AP16" s="1"/>
      <c r="AQ16" s="1"/>
      <c r="AR16" s="188"/>
      <c r="AS16" s="188"/>
      <c r="AT16" s="188"/>
      <c r="AX16" s="1"/>
      <c r="AY16" s="1"/>
      <c r="AZ16" s="1"/>
      <c r="BA16" s="172"/>
      <c r="BB16" s="1"/>
      <c r="BC16" s="1"/>
      <c r="BD16" s="1"/>
      <c r="BE16" s="1"/>
      <c r="BI16" s="1"/>
    </row>
    <row r="17" spans="3:120" ht="17" thickBot="1" x14ac:dyDescent="0.25">
      <c r="C17" s="245"/>
      <c r="D17" s="247"/>
      <c r="E17" s="238"/>
      <c r="G17" s="245"/>
      <c r="H17" s="247"/>
      <c r="I17" s="238"/>
      <c r="J17" s="245"/>
      <c r="K17" s="247"/>
      <c r="L17" s="238"/>
      <c r="M17" s="245"/>
      <c r="N17" s="247"/>
      <c r="O17" s="238"/>
      <c r="P17" s="245"/>
      <c r="Q17" s="247"/>
      <c r="R17" s="238"/>
      <c r="S17" s="245"/>
      <c r="T17" s="247"/>
      <c r="U17" s="238"/>
      <c r="X17" s="168"/>
      <c r="Y17" s="168"/>
      <c r="Z17" s="168"/>
      <c r="AA17" s="168"/>
      <c r="AB17" s="168"/>
      <c r="AC17" s="168"/>
      <c r="AD17" s="168"/>
      <c r="AE17" s="168"/>
      <c r="AF17" s="168"/>
      <c r="AG17" s="168"/>
      <c r="AH17" s="168"/>
      <c r="AI17" s="168"/>
      <c r="AJ17" s="168"/>
      <c r="AL17" s="1"/>
      <c r="AM17" s="1"/>
      <c r="AN17" s="1"/>
      <c r="AO17" s="1"/>
      <c r="AP17" s="1"/>
      <c r="AQ17" s="1"/>
      <c r="AR17" s="188"/>
      <c r="AS17" s="188"/>
      <c r="AT17" s="188"/>
      <c r="AX17" s="1"/>
      <c r="AY17" s="1"/>
      <c r="AZ17" s="1"/>
      <c r="BA17" s="172"/>
      <c r="BB17" s="1"/>
      <c r="BC17" s="1"/>
      <c r="BD17" s="1"/>
      <c r="BE17" s="1"/>
      <c r="BI17" s="1"/>
    </row>
    <row r="18" spans="3:120" ht="21" x14ac:dyDescent="0.2">
      <c r="C18" s="25" t="str">
        <f>VLOOKUP(LEFT(C64,LEN(layout)+3),label,RIGHT(C64,1)+6,0)</f>
        <v>g</v>
      </c>
      <c r="D18" s="25" t="str">
        <f>VLOOKUP(LEFT(D64,LEN(layout)+3),label,RIGHT(D64,1)+6,0)</f>
        <v>|</v>
      </c>
      <c r="E18" s="26" t="str">
        <f>VLOOKUP(LEFT(E65,LEN(layout)+3),label,RIGHT(E65,1)+6,0)</f>
        <v>Reg G</v>
      </c>
      <c r="F18" s="25"/>
      <c r="G18" s="25" t="str">
        <f>VLOOKUP(LEFT(G64,LEN(layout)+3),label,RIGHT(G64,1)+6,0)</f>
        <v>h</v>
      </c>
      <c r="H18" s="25" t="str">
        <f>VLOOKUP(LEFT(H64,LEN(layout)+3),label,RIGHT(H64,1)+6,0)</f>
        <v>Delta</v>
      </c>
      <c r="I18" s="26" t="str">
        <f>VLOOKUP(LEFT(I65,LEN(layout)+3),label,RIGHT(I65,1)+6,0)</f>
        <v>Reg H</v>
      </c>
      <c r="J18" s="25" t="str">
        <f>VLOOKUP(LEFT(J64,LEN(layout)+3),label,RIGHT(J64,1)+6,0)</f>
        <v>i</v>
      </c>
      <c r="K18" s="25" t="str">
        <f>VLOOKUP(LEFT(K64,LEN(layout)+3),label,RIGHT(K64,1)+6,0)</f>
        <v>pi</v>
      </c>
      <c r="L18" s="26" t="str">
        <f>VLOOKUP(LEFT(L65,LEN(layout)+3),label,RIGHT(L65,1)+6,0)</f>
        <v>Reg I</v>
      </c>
      <c r="M18" s="25" t="str">
        <f>VLOOKUP(LEFT(M64,LEN(layout)+3),label,RIGHT(M64,1)+6,0)</f>
        <v>j</v>
      </c>
      <c r="N18" s="25" t="str">
        <f>VLOOKUP(LEFT(N64,LEN(layout)+3),label,RIGHT(N64,1)+6,0)</f>
        <v>SIN</v>
      </c>
      <c r="O18" s="26" t="str">
        <f>VLOOKUP(LEFT(O65,LEN(layout)+3),label,RIGHT(O65,1)+6,0)</f>
        <v>Reg J</v>
      </c>
      <c r="P18" s="25" t="str">
        <f>VLOOKUP(LEFT(P64,LEN(layout)+3),label,RIGHT(P64,1)+6,0)</f>
        <v>k</v>
      </c>
      <c r="Q18" s="25" t="str">
        <f>VLOOKUP(LEFT(Q64,LEN(layout)+3),label,RIGHT(Q64,1)+6,0)</f>
        <v>COS</v>
      </c>
      <c r="R18" s="26" t="str">
        <f>VLOOKUP(LEFT(R65,LEN(layout)+3),label,RIGHT(R65,1)+6,0)</f>
        <v>Reg K</v>
      </c>
      <c r="S18" s="25" t="str">
        <f>VLOOKUP(LEFT(S64,LEN(layout)+3),label,RIGHT(S64,1)+6,0)</f>
        <v>l</v>
      </c>
      <c r="T18" s="25" t="str">
        <f>VLOOKUP(LEFT(T64,LEN(layout)+3),label,RIGHT(T64,1)+6,0)</f>
        <v>TAN</v>
      </c>
      <c r="U18" s="26" t="str">
        <f>VLOOKUP(LEFT(U65,LEN(layout)+3),label,RIGHT(U65,1)+6,0)</f>
        <v>Reg L</v>
      </c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L18" s="1"/>
      <c r="AM18" s="1"/>
      <c r="AN18" s="1"/>
      <c r="AO18" s="1"/>
      <c r="AP18" s="1"/>
      <c r="AQ18" s="1"/>
      <c r="AR18" s="188"/>
      <c r="AS18" s="188"/>
      <c r="AT18" s="188"/>
      <c r="AX18" s="1"/>
      <c r="AY18" s="1"/>
      <c r="AZ18" s="1"/>
      <c r="BA18" s="172"/>
      <c r="BB18" s="1"/>
      <c r="BC18" s="1"/>
      <c r="BD18" s="1"/>
      <c r="BE18" s="1"/>
      <c r="BI18" s="1"/>
    </row>
    <row r="19" spans="3:120" x14ac:dyDescent="0.2"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  <c r="AL19" s="1"/>
      <c r="AM19" s="1"/>
      <c r="AN19" s="1"/>
      <c r="AO19" s="1"/>
      <c r="AP19" s="1"/>
      <c r="AQ19" s="1"/>
      <c r="AR19" s="188"/>
      <c r="AS19" s="188"/>
      <c r="AT19" s="188"/>
      <c r="AX19" s="1"/>
      <c r="AY19" s="1"/>
      <c r="AZ19" s="1"/>
      <c r="BA19" s="172"/>
      <c r="BB19" s="1"/>
      <c r="BC19" s="1"/>
      <c r="BD19" s="1"/>
      <c r="BE19" s="1"/>
      <c r="BI19" s="1"/>
    </row>
    <row r="20" spans="3:120" s="6" customFormat="1" ht="22" thickBot="1" x14ac:dyDescent="0.25">
      <c r="C20" s="248" t="str">
        <f>VLOOKUP(LEFT(C70,LEN(layout)+3),label,RIGHT(C70,1)+1,0)</f>
        <v>COMPLEX</v>
      </c>
      <c r="D20" s="248"/>
      <c r="E20" s="248"/>
      <c r="F20" s="248" t="str">
        <f>VLOOKUP(LEFT(F70,LEN(layout)+3),label,RIGHT(F70,1)+1,0)</f>
        <v>[ CPX ]</v>
      </c>
      <c r="G20" s="248"/>
      <c r="H20" s="248"/>
      <c r="I20" s="7"/>
      <c r="J20" s="7" t="str">
        <f>VLOOKUP(LEFT(J70,LEN(layout)+3),label,RIGHT(J70,1)+1,0)</f>
        <v>LASTx</v>
      </c>
      <c r="K20" s="7" t="str">
        <f>VLOOKUP(LEFT(K70,LEN(layout)+3),label,RIGHT(K70,1)+1,0)</f>
        <v>[ STK ]</v>
      </c>
      <c r="L20" s="7"/>
      <c r="M20" s="7" t="str">
        <f>VLOOKUP(LEFT(M70,LEN(layout)+3),label,RIGHT(M70,1)+1,0)</f>
        <v>[ MODE ]</v>
      </c>
      <c r="N20" s="7" t="str">
        <f>VLOOKUP(LEFT(N70,LEN(layout)+3),label,RIGHT(N70,1)+1,0)</f>
        <v xml:space="preserve">[ TRG ] </v>
      </c>
      <c r="O20" s="7"/>
      <c r="P20" s="7" t="str">
        <f>VLOOKUP(LEFT(P70,LEN(layout)+3),label,RIGHT(P70,1)+1,0)</f>
        <v>[ DISP ]</v>
      </c>
      <c r="Q20" s="7" t="str">
        <f>VLOOKUP(LEFT(Q70,LEN(layout)+3),label,RIGHT(Q70,1)+1,0)</f>
        <v>[ EXP ]</v>
      </c>
      <c r="R20" s="7"/>
      <c r="S20" s="7" t="str">
        <f>VLOOKUP(LEFT(S70,LEN(layout)+3),label,RIGHT(S70,1)+1,0)</f>
        <v>Undo</v>
      </c>
      <c r="T20" s="7" t="str">
        <f>VLOOKUP(LEFT(T70,LEN(layout)+3),label,RIGHT(T70,1)+1,0)</f>
        <v>[ CLR ]</v>
      </c>
      <c r="X20" s="168"/>
      <c r="Y20" s="168"/>
      <c r="Z20" s="168"/>
      <c r="AA20" s="168"/>
      <c r="AB20" s="168" t="s">
        <v>27</v>
      </c>
      <c r="AC20" s="168" t="s">
        <v>28</v>
      </c>
      <c r="AD20" s="168"/>
      <c r="AE20" s="168"/>
      <c r="AF20" s="168"/>
      <c r="AG20" s="168"/>
      <c r="AH20" s="168"/>
      <c r="AI20" s="168"/>
      <c r="AJ20" s="168"/>
      <c r="AK20" s="1"/>
      <c r="AL20" s="1"/>
      <c r="AM20" s="1"/>
      <c r="AN20" s="1"/>
      <c r="AO20" s="1"/>
      <c r="AP20" s="1"/>
      <c r="AQ20" s="1"/>
      <c r="AR20" s="188"/>
      <c r="AS20" s="188"/>
      <c r="AT20" s="188"/>
      <c r="AU20" s="1"/>
      <c r="AV20" s="1"/>
      <c r="AW20" s="1"/>
      <c r="AX20" s="1"/>
      <c r="AY20" s="1"/>
      <c r="AZ20" s="1"/>
      <c r="BA20" s="172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</row>
    <row r="21" spans="3:120" x14ac:dyDescent="0.2">
      <c r="C21" s="239" t="str">
        <f>VLOOKUP(LEFT(C71,LEN(layout)+3),label,RIGHT(C71,1)+1,0)</f>
        <v>ENTER</v>
      </c>
      <c r="D21" s="240"/>
      <c r="E21" s="240"/>
      <c r="F21" s="228"/>
      <c r="G21" s="228"/>
      <c r="H21" s="229"/>
      <c r="I21" s="238" t="str">
        <f>SUBSTITUTE(VLOOKUP(LEFT(I71,LEN(layout)+3),label,RIGHT(I71,1)+2,0),0,"")</f>
        <v>ENTER</v>
      </c>
      <c r="J21" s="239" t="str">
        <f>VLOOKUP(LEFT(J71,LEN(layout)+3),label,RIGHT(J71,1)+1,0)</f>
        <v>x &lt;&gt; y</v>
      </c>
      <c r="K21" s="241"/>
      <c r="L21" s="238" t="str">
        <f>SUBSTITUTE(VLOOKUP(LEFT(L71,LEN(layout)+3),label,RIGHT(L71,1)+2,0),0,"")</f>
        <v>M</v>
      </c>
      <c r="M21" s="239" t="str">
        <f>VLOOKUP(LEFT(M71,LEN(layout)+3),label,RIGHT(M71,1)+1,0)</f>
        <v>CHS</v>
      </c>
      <c r="N21" s="241"/>
      <c r="O21" s="238" t="str">
        <f>SUBSTITUTE(VLOOKUP(LEFT(O71,LEN(layout)+3),label,RIGHT(O71,1)+2,0),0,"")</f>
        <v>N</v>
      </c>
      <c r="P21" s="239" t="str">
        <f>VLOOKUP(LEFT(P71,LEN(layout)+3),label,RIGHT(P71,1)+1,0)</f>
        <v>EEX</v>
      </c>
      <c r="Q21" s="241"/>
      <c r="R21" s="238" t="str">
        <f>SUBSTITUTE(VLOOKUP(LEFT(R71,LEN(layout)+3),label,RIGHT(R71,1)+2,0),0,"")</f>
        <v>O</v>
      </c>
      <c r="S21" s="239" t="str">
        <f>VLOOKUP(LEFT(S71,LEN(layout)+3),label,RIGHT(S71,1)+1,0)</f>
        <v>&lt;=</v>
      </c>
      <c r="T21" s="241"/>
      <c r="U21" s="238" t="str">
        <f>SUBSTITUTE(VLOOKUP(LEFT(U71,LEN(layout)+3),label,RIGHT(U71,1)+2,0),0,"")</f>
        <v>&lt;=</v>
      </c>
      <c r="X21" s="168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L21" s="1"/>
      <c r="AM21" s="1"/>
      <c r="AN21" s="1"/>
      <c r="AO21" s="1"/>
      <c r="AP21" s="1"/>
      <c r="AQ21" s="1"/>
      <c r="AR21" s="188"/>
      <c r="AS21" s="188"/>
      <c r="AT21" s="188"/>
      <c r="AX21" s="1"/>
      <c r="AY21" s="1"/>
      <c r="AZ21" s="1"/>
      <c r="BA21" s="172"/>
      <c r="BB21" s="1"/>
      <c r="BC21" s="1"/>
      <c r="BD21" s="1"/>
      <c r="BE21" s="1"/>
      <c r="BI21" s="1"/>
    </row>
    <row r="22" spans="3:120" x14ac:dyDescent="0.2">
      <c r="C22" s="242"/>
      <c r="D22" s="243"/>
      <c r="E22" s="243"/>
      <c r="F22" s="231"/>
      <c r="G22" s="231"/>
      <c r="H22" s="232"/>
      <c r="I22" s="238"/>
      <c r="J22" s="242"/>
      <c r="K22" s="244"/>
      <c r="L22" s="238"/>
      <c r="M22" s="242"/>
      <c r="N22" s="244"/>
      <c r="O22" s="238"/>
      <c r="P22" s="242"/>
      <c r="Q22" s="244"/>
      <c r="R22" s="238"/>
      <c r="S22" s="242"/>
      <c r="T22" s="244"/>
      <c r="U22" s="238"/>
      <c r="X22" s="168"/>
      <c r="Y22" s="168"/>
      <c r="Z22" s="168"/>
      <c r="AA22" s="168"/>
      <c r="AB22" s="168"/>
      <c r="AC22" s="168"/>
      <c r="AD22" s="168"/>
      <c r="AE22" s="168"/>
      <c r="AF22" s="168"/>
      <c r="AG22" s="168"/>
      <c r="AH22" s="168"/>
      <c r="AI22" s="168"/>
      <c r="AJ22" s="168"/>
      <c r="AL22" s="1"/>
      <c r="AM22" s="1"/>
      <c r="AN22" s="1"/>
      <c r="AO22" s="1"/>
      <c r="AP22" s="1"/>
      <c r="AQ22" s="1"/>
      <c r="AR22" s="188"/>
      <c r="AS22" s="188"/>
      <c r="AT22" s="188"/>
      <c r="AX22" s="1"/>
      <c r="AY22" s="1"/>
      <c r="AZ22" s="1"/>
      <c r="BA22" s="172"/>
      <c r="BB22" s="1"/>
      <c r="BC22" s="1"/>
      <c r="BD22" s="1"/>
      <c r="BE22" s="1"/>
      <c r="BI22" s="1"/>
    </row>
    <row r="23" spans="3:120" ht="17" thickBot="1" x14ac:dyDescent="0.25">
      <c r="C23" s="245"/>
      <c r="D23" s="246"/>
      <c r="E23" s="246"/>
      <c r="F23" s="234"/>
      <c r="G23" s="234"/>
      <c r="H23" s="235"/>
      <c r="I23" s="238"/>
      <c r="J23" s="245"/>
      <c r="K23" s="247"/>
      <c r="L23" s="238"/>
      <c r="M23" s="245"/>
      <c r="N23" s="247"/>
      <c r="O23" s="238"/>
      <c r="P23" s="245"/>
      <c r="Q23" s="247"/>
      <c r="R23" s="238"/>
      <c r="S23" s="245"/>
      <c r="T23" s="247"/>
      <c r="U23" s="238"/>
      <c r="X23" s="168"/>
      <c r="Y23" s="168"/>
      <c r="Z23" s="168"/>
      <c r="AA23" s="168"/>
      <c r="AB23" s="168"/>
      <c r="AC23" s="168"/>
      <c r="AD23" s="168"/>
      <c r="AE23" s="168"/>
      <c r="AF23" s="168"/>
      <c r="AG23" s="168"/>
      <c r="AH23" s="168"/>
      <c r="AI23" s="168"/>
      <c r="AJ23" s="168"/>
      <c r="AL23" s="1"/>
      <c r="AM23" s="1"/>
      <c r="AN23" s="1"/>
      <c r="AO23" s="1"/>
      <c r="AP23" s="1"/>
      <c r="AQ23" s="1"/>
      <c r="AR23" s="188"/>
      <c r="AS23" s="188"/>
      <c r="AT23" s="188"/>
      <c r="AX23" s="1"/>
      <c r="AY23" s="1"/>
      <c r="AZ23" s="1"/>
      <c r="BA23" s="172"/>
      <c r="BB23" s="1"/>
      <c r="BC23" s="1"/>
      <c r="BD23" s="1"/>
      <c r="BE23" s="1"/>
      <c r="BI23" s="1"/>
    </row>
    <row r="24" spans="3:120" ht="21" x14ac:dyDescent="0.2">
      <c r="C24" s="225" t="str">
        <f>VLOOKUP(LEFT(C70,LEN(layout)+3),label,RIGHT(C70,1)+6,0)</f>
        <v>X.SWAP</v>
      </c>
      <c r="D24" s="225"/>
      <c r="E24" s="225"/>
      <c r="F24" s="225" t="str">
        <f>VLOOKUP(LEFT(F70,LEN(layout)+3),label,RIGHT(F70,1)+6,0)</f>
        <v>a.PARSE</v>
      </c>
      <c r="G24" s="225"/>
      <c r="H24" s="225"/>
      <c r="I24" s="26" t="str">
        <f>VLOOKUP(LEFT(I71,LEN(layout)+3),label,RIGHT(I71,1)+6,0)</f>
        <v>ENTER</v>
      </c>
      <c r="J24" s="25" t="str">
        <f>VLOOKUP(LEFT(J70,LEN(layout)+3),label,RIGHT(J70,1)+6,0)</f>
        <v>m</v>
      </c>
      <c r="K24" s="25" t="str">
        <f>VLOOKUP(LEFT(K70,LEN(layout)+3),label,RIGHT(K70,1)+6,0)</f>
        <v>&lt;&gt;</v>
      </c>
      <c r="L24" s="26" t="str">
        <f>VLOOKUP(LEFT(L71,LEN(layout)+3),label,RIGHT(L71,1)+6,0)</f>
        <v>Reg M</v>
      </c>
      <c r="M24" s="25" t="str">
        <f>VLOOKUP(LEFT(M70,LEN(layout)+3),label,RIGHT(M70,1)+6,0)</f>
        <v>n</v>
      </c>
      <c r="N24" s="25" t="str">
        <f>VLOOKUP(LEFT(N70,LEN(layout)+3),label,RIGHT(N70,1)+6,0)</f>
        <v>+/-</v>
      </c>
      <c r="O24" s="26" t="str">
        <f>VLOOKUP(LEFT(O71,LEN(layout)+3),label,RIGHT(O71,1)+6,0)</f>
        <v>Reg N</v>
      </c>
      <c r="P24" s="25" t="str">
        <f>VLOOKUP(LEFT(P70,LEN(layout)+3),label,RIGHT(P70,1)+6,0)</f>
        <v>o</v>
      </c>
      <c r="Q24" s="25" t="str">
        <f>VLOOKUP(LEFT(Q70,LEN(layout)+3),label,RIGHT(Q70,1)+6,0)</f>
        <v>&lt;E&gt;</v>
      </c>
      <c r="R24" s="26" t="str">
        <f>VLOOKUP(LEFT(R71,LEN(layout)+3),label,RIGHT(R71,1)+6,0)</f>
        <v>Reg O</v>
      </c>
      <c r="S24" s="25" t="str">
        <f>VLOOKUP(LEFT(S70,LEN(layout)+3),label,RIGHT(S70,1)+6,0)</f>
        <v>CLA</v>
      </c>
      <c r="T24" s="25" t="str">
        <f>VLOOKUP(LEFT(T70,LEN(layout)+3),label,RIGHT(T70,1)+6,0)</f>
        <v>CLA</v>
      </c>
      <c r="U24" s="26" t="str">
        <f>VLOOKUP(LEFT(U71,LEN(layout)+3),label,RIGHT(U71,1)+6,0)</f>
        <v>&lt;=</v>
      </c>
      <c r="X24" s="168"/>
      <c r="Y24" s="168"/>
      <c r="Z24" s="168"/>
      <c r="AA24" s="168"/>
      <c r="AB24" s="168"/>
      <c r="AC24" s="168"/>
      <c r="AD24" s="168"/>
      <c r="AE24" s="168"/>
      <c r="AF24" s="168"/>
      <c r="AG24" s="168"/>
      <c r="AH24" s="168"/>
      <c r="AI24" s="168"/>
      <c r="AJ24" s="168"/>
      <c r="AL24" s="1"/>
      <c r="AM24" s="1"/>
      <c r="AN24" s="1"/>
      <c r="AO24" s="1"/>
      <c r="AP24" s="1"/>
      <c r="AQ24" s="1"/>
      <c r="AR24" s="188"/>
      <c r="AS24" s="188"/>
      <c r="AT24" s="188"/>
      <c r="AX24" s="1"/>
      <c r="AY24" s="1"/>
      <c r="AZ24" s="1"/>
      <c r="BA24" s="172"/>
      <c r="BB24" s="1"/>
      <c r="BC24" s="1"/>
      <c r="BD24" s="1"/>
      <c r="BE24" s="1"/>
      <c r="BI24" s="1"/>
    </row>
    <row r="25" spans="3:120" x14ac:dyDescent="0.2">
      <c r="X25" s="168"/>
      <c r="Y25" s="168"/>
      <c r="Z25" s="168"/>
      <c r="AA25" s="168"/>
      <c r="AB25" s="168"/>
      <c r="AC25" s="168"/>
      <c r="AD25" s="168"/>
      <c r="AE25" s="168"/>
      <c r="AF25" s="168"/>
      <c r="AG25" s="168"/>
      <c r="AH25" s="168"/>
      <c r="AI25" s="168"/>
      <c r="AJ25" s="168"/>
      <c r="AL25" s="1"/>
      <c r="AM25" s="1"/>
      <c r="AN25" s="1"/>
      <c r="AO25" s="1"/>
      <c r="AP25" s="1"/>
      <c r="AQ25" s="1"/>
      <c r="AR25" s="188"/>
      <c r="AS25" s="188"/>
      <c r="AT25" s="188"/>
      <c r="AX25" s="1"/>
      <c r="AY25" s="1"/>
      <c r="AZ25" s="1"/>
      <c r="BA25" s="172"/>
      <c r="BB25" s="1"/>
      <c r="BC25" s="1"/>
      <c r="BD25" s="1"/>
      <c r="BE25" s="1"/>
      <c r="BI25" s="1"/>
    </row>
    <row r="26" spans="3:120" s="6" customFormat="1" ht="22" thickBot="1" x14ac:dyDescent="0.25">
      <c r="C26" s="7" t="str">
        <f>VLOOKUP(LEFT(C76,LEN(layout)+3),label,RIGHT(C76,1)+1,0)</f>
        <v>Scroll Up</v>
      </c>
      <c r="D26" s="7" t="str">
        <f>VLOOKUP(LEFT(D76,LEN(layout)+3),label,RIGHT(D76,1)+1,0)</f>
        <v>REGS</v>
      </c>
      <c r="E26" s="7"/>
      <c r="F26" s="7" t="str">
        <f>VLOOKUP(LEFT(F76,LEN(layout)+3),label,RIGHT(F76,1)+1,0)</f>
        <v>[ EQN ]</v>
      </c>
      <c r="G26" s="7"/>
      <c r="H26" s="7" t="str">
        <f>VLOOKUP(LEFT(H76,LEN(layout)+3),label,RIGHT(H76,1)+1,0)</f>
        <v>[ HOME ]</v>
      </c>
      <c r="I26" s="7"/>
      <c r="J26" s="7" t="str">
        <f>VLOOKUP(LEFT(J76,LEN(layout)+3),label,RIGHT(J76,1)+1,0)</f>
        <v>[ ADV ]</v>
      </c>
      <c r="K26" s="7"/>
      <c r="L26" s="7" t="str">
        <f>VLOOKUP(LEFT(L76,LEN(layout)+3),label,RIGHT(L76,1)+1,0)</f>
        <v>[ FIN ]</v>
      </c>
      <c r="M26" s="7"/>
      <c r="N26" s="7" t="str">
        <f>VLOOKUP(LEFT(N76,LEN(layout)+3),label,RIGHT(N76,1)+1,0)</f>
        <v>[ MATX ]</v>
      </c>
      <c r="O26" s="7"/>
      <c r="P26" s="7" t="str">
        <f>VLOOKUP(LEFT(P76,LEN(layout)+3),label,RIGHT(P76,1)+1,0)</f>
        <v>[ X.FN ]</v>
      </c>
      <c r="Q26" s="7"/>
      <c r="R26" s="7" t="str">
        <f>VLOOKUP(LEFT(R76,LEN(layout)+3),label,RIGHT(R76,1)+1,0)</f>
        <v>[ STAT ]</v>
      </c>
      <c r="S26" s="7"/>
      <c r="T26" s="7" t="str">
        <f>VLOOKUP(LEFT(T76,LEN(layout)+3),label,RIGHT(T76,1)+1,0)</f>
        <v>[ PLOT ]</v>
      </c>
      <c r="X26" s="168"/>
      <c r="Y26" s="168"/>
      <c r="Z26" s="168"/>
      <c r="AA26" s="168"/>
      <c r="AB26" s="168"/>
      <c r="AC26" s="168"/>
      <c r="AD26" s="168"/>
      <c r="AE26" s="168"/>
      <c r="AF26" s="168"/>
      <c r="AG26" s="168"/>
      <c r="AH26" s="168"/>
      <c r="AI26" s="168"/>
      <c r="AJ26" s="168"/>
      <c r="AK26" s="1"/>
      <c r="AL26" s="1"/>
      <c r="AM26" s="1"/>
      <c r="AN26" s="1"/>
      <c r="AO26" s="1"/>
      <c r="AP26" s="1"/>
      <c r="AQ26" s="1"/>
      <c r="AR26" s="188"/>
      <c r="AS26" s="188"/>
      <c r="AT26" s="188"/>
      <c r="AU26" s="1"/>
      <c r="AV26" s="1"/>
      <c r="AW26" s="1"/>
      <c r="AX26" s="1"/>
      <c r="AY26" s="1"/>
      <c r="AZ26" s="1"/>
      <c r="BA26" s="172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</row>
    <row r="27" spans="3:120" x14ac:dyDescent="0.2">
      <c r="C27" s="239" t="str">
        <f>VLOOKUP(LEFT(C77,LEN(layout)+3),label,RIGHT(C77,1)+1,0)</f>
        <v>Up</v>
      </c>
      <c r="D27" s="241"/>
      <c r="E27" s="238" t="str">
        <f>SUBSTITUTE(VLOOKUP(LEFT(E77,LEN(layout)+3),label,RIGHT(E77,1)+2,0),0,"")</f>
        <v>&lt;-HOME</v>
      </c>
      <c r="F27" s="239">
        <f>VLOOKUP(LEFT(F77,LEN(layout)+3),label,RIGHT(F77,1)+1,0)</f>
        <v>7</v>
      </c>
      <c r="G27" s="240"/>
      <c r="H27" s="241"/>
      <c r="I27" s="238" t="str">
        <f>SUBSTITUTE(VLOOKUP(LEFT(I77,LEN(layout)+3),label,RIGHT(I77,1)+2,0),0,"")</f>
        <v>P</v>
      </c>
      <c r="J27" s="239">
        <f>VLOOKUP(LEFT(J77,LEN(layout)+3),label,RIGHT(J77,1)+1,0)</f>
        <v>8</v>
      </c>
      <c r="K27" s="240"/>
      <c r="L27" s="241"/>
      <c r="M27" s="252" t="str">
        <f>SUBSTITUTE(VLOOKUP(LEFT(M77,LEN(layout)+3),label,RIGHT(M77,1)+2,0),0,"")</f>
        <v>Q</v>
      </c>
      <c r="N27" s="239">
        <f>VLOOKUP(LEFT(N77,LEN(layout)+3),label,RIGHT(N77,1)+1,0)</f>
        <v>9</v>
      </c>
      <c r="O27" s="240"/>
      <c r="P27" s="241"/>
      <c r="Q27" s="238" t="str">
        <f>SUBSTITUTE(VLOOKUP(LEFT(Q77,LEN(layout)+3),label,RIGHT(Q77,1)+2,0),0,"")</f>
        <v>R</v>
      </c>
      <c r="R27" s="239" t="str">
        <f>VLOOKUP(LEFT(R77,LEN(layout)+3),label,RIGHT(R77,1)+1,0)</f>
        <v>÷</v>
      </c>
      <c r="S27" s="240"/>
      <c r="T27" s="241"/>
      <c r="U27" s="238" t="str">
        <f>SUBSTITUTE(VLOOKUP(LEFT(U77,LEN(layout)+3),label,RIGHT(U77,1)+2,0),0,"")</f>
        <v>S</v>
      </c>
      <c r="X27" s="168"/>
      <c r="Y27" s="168"/>
      <c r="Z27" s="168"/>
      <c r="AA27" s="168"/>
      <c r="AB27" s="168"/>
      <c r="AC27" s="168"/>
      <c r="AD27" s="168"/>
      <c r="AE27" s="168"/>
      <c r="AF27" s="168"/>
      <c r="AG27" s="168"/>
      <c r="AH27" s="168"/>
      <c r="AI27" s="168"/>
      <c r="AJ27" s="168"/>
      <c r="AL27" s="1"/>
      <c r="AM27" s="1"/>
      <c r="AN27" s="1"/>
      <c r="AO27" s="1"/>
      <c r="AP27" s="1"/>
      <c r="AQ27" s="1"/>
      <c r="AR27" s="188"/>
      <c r="AS27" s="188"/>
      <c r="AT27" s="188"/>
      <c r="AX27" s="1"/>
      <c r="AY27" s="1"/>
      <c r="AZ27" s="1"/>
      <c r="BA27" s="172"/>
      <c r="BB27" s="1"/>
      <c r="BC27" s="1"/>
      <c r="BD27" s="1"/>
      <c r="BE27" s="1"/>
      <c r="BI27" s="1"/>
    </row>
    <row r="28" spans="3:120" x14ac:dyDescent="0.2">
      <c r="C28" s="242"/>
      <c r="D28" s="244"/>
      <c r="E28" s="238"/>
      <c r="F28" s="242"/>
      <c r="G28" s="243"/>
      <c r="H28" s="249"/>
      <c r="I28" s="238"/>
      <c r="J28" s="242"/>
      <c r="K28" s="243"/>
      <c r="L28" s="244"/>
      <c r="M28" s="252"/>
      <c r="N28" s="242"/>
      <c r="O28" s="243"/>
      <c r="P28" s="244"/>
      <c r="Q28" s="238"/>
      <c r="R28" s="242"/>
      <c r="S28" s="243"/>
      <c r="T28" s="244"/>
      <c r="U28" s="238"/>
      <c r="X28" s="168"/>
      <c r="Y28" s="168"/>
      <c r="Z28" s="168"/>
      <c r="AA28" s="168"/>
      <c r="AB28" s="168"/>
      <c r="AC28" s="168"/>
      <c r="AD28" s="168"/>
      <c r="AE28" s="168"/>
      <c r="AF28" s="168"/>
      <c r="AG28" s="168"/>
      <c r="AH28" s="168"/>
      <c r="AI28" s="168"/>
      <c r="AJ28" s="168"/>
      <c r="AL28" s="1"/>
      <c r="AM28" s="1"/>
      <c r="AN28" s="1"/>
      <c r="AO28" s="1"/>
      <c r="AP28" s="1"/>
      <c r="AQ28" s="1"/>
      <c r="AR28" s="188"/>
      <c r="AS28" s="188"/>
      <c r="AT28" s="188"/>
      <c r="AX28" s="1"/>
      <c r="AY28" s="1"/>
      <c r="AZ28" s="1"/>
      <c r="BA28" s="172"/>
      <c r="BB28" s="1"/>
      <c r="BC28" s="1"/>
      <c r="BD28" s="1"/>
      <c r="BE28" s="1"/>
      <c r="BI28" s="1"/>
    </row>
    <row r="29" spans="3:120" ht="17" thickBot="1" x14ac:dyDescent="0.25">
      <c r="C29" s="245"/>
      <c r="D29" s="247"/>
      <c r="E29" s="238"/>
      <c r="F29" s="245"/>
      <c r="G29" s="246"/>
      <c r="H29" s="247"/>
      <c r="I29" s="238"/>
      <c r="J29" s="245"/>
      <c r="K29" s="246"/>
      <c r="L29" s="247"/>
      <c r="M29" s="252"/>
      <c r="N29" s="245"/>
      <c r="O29" s="246"/>
      <c r="P29" s="247"/>
      <c r="Q29" s="238"/>
      <c r="R29" s="245"/>
      <c r="S29" s="246"/>
      <c r="T29" s="247"/>
      <c r="U29" s="238"/>
      <c r="X29" s="168"/>
      <c r="Y29" s="168"/>
      <c r="Z29" s="168"/>
      <c r="AA29" s="168"/>
      <c r="AB29" s="168"/>
      <c r="AC29" s="168"/>
      <c r="AD29" s="168"/>
      <c r="AE29" s="168"/>
      <c r="AF29" s="168"/>
      <c r="AG29" s="168"/>
      <c r="AH29" s="168"/>
      <c r="AI29" s="168"/>
      <c r="AJ29" s="168"/>
      <c r="AL29" s="1"/>
      <c r="AM29" s="1"/>
      <c r="AN29" s="1"/>
      <c r="AO29" s="1"/>
      <c r="AP29" s="1"/>
      <c r="AQ29" s="1"/>
      <c r="AR29" s="188"/>
      <c r="AS29" s="188"/>
      <c r="AT29" s="188"/>
      <c r="AX29" s="1"/>
      <c r="AY29" s="1"/>
      <c r="AZ29" s="1"/>
      <c r="BA29" s="172"/>
      <c r="BB29" s="1"/>
      <c r="BC29" s="1"/>
      <c r="BD29" s="1"/>
      <c r="BE29" s="1"/>
      <c r="BI29" s="1"/>
    </row>
    <row r="30" spans="3:120" ht="21" x14ac:dyDescent="0.2">
      <c r="C30" s="25" t="str">
        <f>VLOOKUP(LEFT(C76,LEN(layout)+3),label,RIGHT(C76,1)+6,0)</f>
        <v>CASE UP</v>
      </c>
      <c r="D30" s="25" t="str">
        <f>VLOOKUP(LEFT(D76,LEN(layout)+3),label,RIGHT(D76,1)+6,0)</f>
        <v>Super</v>
      </c>
      <c r="E30" s="26" t="str">
        <f>VLOOKUP(LEFT(E77,LEN(layout)+3),label,RIGHT(E77,1)+6,0)</f>
        <v>Up</v>
      </c>
      <c r="F30" s="25" t="str">
        <f>VLOOKUP(LEFT(F76,LEN(layout)+3),label,RIGHT(F76,1)+6,0)</f>
        <v>p</v>
      </c>
      <c r="G30" s="25"/>
      <c r="H30" s="25">
        <f>VLOOKUP(LEFT(H76,LEN(layout)+3),label,RIGHT(H76,1)+6,0)</f>
        <v>7</v>
      </c>
      <c r="I30" s="26">
        <f>VLOOKUP(LEFT(I77,LEN(layout)+3),label,RIGHT(I77,1)+6,0)</f>
        <v>7</v>
      </c>
      <c r="J30" s="25" t="str">
        <f>VLOOKUP(LEFT(J76,LEN(layout)+3),label,RIGHT(J76,1)+6,0)</f>
        <v>q</v>
      </c>
      <c r="K30" s="25"/>
      <c r="L30" s="25">
        <f>VLOOKUP(LEFT(L76,LEN(layout)+3),label,RIGHT(L76,1)+6,0)</f>
        <v>8</v>
      </c>
      <c r="M30" s="26">
        <f>VLOOKUP(LEFT(M77,LEN(layout)+3),label,RIGHT(M77,1)+6,0)</f>
        <v>8</v>
      </c>
      <c r="N30" s="25" t="str">
        <f>VLOOKUP(LEFT(N76,LEN(layout)+3),label,RIGHT(N76,1)+6,0)</f>
        <v>r</v>
      </c>
      <c r="O30" s="25"/>
      <c r="P30" s="25">
        <f>VLOOKUP(LEFT(P76,LEN(layout)+3),label,RIGHT(P76,1)+6,0)</f>
        <v>9</v>
      </c>
      <c r="Q30" s="26">
        <f>VLOOKUP(LEFT(Q77,LEN(layout)+3),label,RIGHT(Q77,1)+6,0)</f>
        <v>9</v>
      </c>
      <c r="R30" s="25" t="str">
        <f>VLOOKUP(LEFT(R76,LEN(layout)+3),label,RIGHT(R76,1)+6,0)</f>
        <v>s</v>
      </c>
      <c r="S30" s="25"/>
      <c r="T30" s="25" t="str">
        <f>VLOOKUP(LEFT(T76,LEN(layout)+3),label,RIGHT(T76,1)+6,0)</f>
        <v>÷</v>
      </c>
      <c r="U30" s="26" t="str">
        <f>VLOOKUP(LEFT(U77,LEN(layout)+3),label,RIGHT(U77,1)+6,0)</f>
        <v>÷</v>
      </c>
      <c r="X30" s="168"/>
      <c r="Y30" s="168"/>
      <c r="Z30" s="168"/>
      <c r="AA30" s="168"/>
      <c r="AB30" s="168"/>
      <c r="AC30" s="168"/>
      <c r="AD30" s="168"/>
      <c r="AE30" s="168"/>
      <c r="AF30" s="168"/>
      <c r="AG30" s="168"/>
      <c r="AH30" s="168"/>
      <c r="AI30" s="168"/>
      <c r="AJ30" s="168"/>
      <c r="AL30" s="1"/>
      <c r="AM30" s="1"/>
      <c r="AN30" s="1"/>
      <c r="AO30" s="1"/>
      <c r="AP30" s="1"/>
      <c r="AQ30" s="1"/>
      <c r="AR30" s="188"/>
      <c r="AS30" s="188"/>
      <c r="AT30" s="188"/>
      <c r="AX30" s="1"/>
      <c r="AY30" s="1"/>
      <c r="AZ30" s="1"/>
      <c r="BA30" s="172"/>
      <c r="BB30" s="1"/>
      <c r="BC30" s="1"/>
      <c r="BD30" s="1"/>
      <c r="BE30" s="1"/>
      <c r="BI30" s="1"/>
    </row>
    <row r="31" spans="3:120" x14ac:dyDescent="0.2">
      <c r="X31" s="168"/>
      <c r="Y31" s="168"/>
      <c r="Z31" s="168"/>
      <c r="AA31" s="168"/>
      <c r="AB31" s="168"/>
      <c r="AC31" s="168"/>
      <c r="AD31" s="168"/>
      <c r="AE31" s="168"/>
      <c r="AF31" s="168"/>
      <c r="AG31" s="168"/>
      <c r="AH31" s="168"/>
      <c r="AI31" s="168"/>
      <c r="AJ31" s="168"/>
      <c r="AL31" s="1"/>
      <c r="AM31" s="1"/>
      <c r="AN31" s="1"/>
      <c r="AO31" s="1"/>
      <c r="AP31" s="1"/>
      <c r="AQ31" s="1"/>
      <c r="AR31" s="188"/>
      <c r="AS31" s="188"/>
      <c r="AT31" s="188"/>
      <c r="AX31" s="1"/>
      <c r="AY31" s="1"/>
      <c r="AZ31" s="1"/>
      <c r="BA31" s="172"/>
      <c r="BB31" s="1"/>
      <c r="BC31" s="1"/>
      <c r="BD31" s="1"/>
      <c r="BE31" s="1"/>
      <c r="BI31" s="1"/>
    </row>
    <row r="32" spans="3:120" s="6" customFormat="1" ht="22" thickBot="1" x14ac:dyDescent="0.25">
      <c r="C32" s="7" t="str">
        <f>VLOOKUP(LEFT(C82,LEN(layout)+3),label,RIGHT(C82,1)+1,0)</f>
        <v>Scroll Dn</v>
      </c>
      <c r="D32" s="7" t="str">
        <f>VLOOKUP(LEFT(D82,LEN(layout)+3),label,RIGHT(D82,1)+1,0)</f>
        <v>FLGS</v>
      </c>
      <c r="E32" s="7"/>
      <c r="F32" s="7" t="str">
        <f>VLOOKUP(LEFT(F82,LEN(layout)+3),label,RIGHT(F82,1)+1,0)</f>
        <v>[ BASE ]</v>
      </c>
      <c r="G32" s="7"/>
      <c r="H32" s="7" t="str">
        <f>VLOOKUP(LEFT(H82,LEN(layout)+3),label,RIGHT(H82,1)+1,0)</f>
        <v>[ BITS ]</v>
      </c>
      <c r="I32" s="7"/>
      <c r="J32" s="7" t="str">
        <f>VLOOKUP(LEFT(J82,LEN(layout)+3),label,RIGHT(J82,1)+1,0)</f>
        <v>[ CONV ]</v>
      </c>
      <c r="K32" s="7"/>
      <c r="L32" s="7" t="str">
        <f>VLOOKUP(LEFT(L82,LEN(layout)+3),label,RIGHT(L82,1)+1,0)</f>
        <v>[ CLK ]</v>
      </c>
      <c r="M32" s="7"/>
      <c r="N32" s="7" t="str">
        <f>VLOOKUP(LEFT(N82,LEN(layout)+3),label,RIGHT(N82,1)+1,0)</f>
        <v>[ FLAG ]</v>
      </c>
      <c r="O32" s="7"/>
      <c r="P32" s="7" t="str">
        <f>VLOOKUP(LEFT(P82,LEN(layout)+3),label,RIGHT(P82,1)+1,0)</f>
        <v>[ REAL ]</v>
      </c>
      <c r="Q32" s="7"/>
      <c r="R32" s="7" t="str">
        <f>VLOOKUP(LEFT(R82,LEN(layout)+3),label,RIGHT(R82,1)+1,0)</f>
        <v>[ PROB ]</v>
      </c>
      <c r="S32" s="7"/>
      <c r="T32" s="7" t="str">
        <f>VLOOKUP(LEFT(T82,LEN(layout)+3),label,RIGHT(T82,1)+1,0)</f>
        <v>[ INTS ]</v>
      </c>
      <c r="X32" s="168"/>
      <c r="Y32" s="168"/>
      <c r="Z32" s="168"/>
      <c r="AA32" s="168"/>
      <c r="AB32" s="168"/>
      <c r="AC32" s="168"/>
      <c r="AD32" s="168"/>
      <c r="AE32" s="168"/>
      <c r="AF32" s="168"/>
      <c r="AG32" s="168"/>
      <c r="AH32" s="168"/>
      <c r="AI32" s="168"/>
      <c r="AJ32" s="168"/>
      <c r="AK32" s="1"/>
      <c r="AL32" s="1"/>
      <c r="AM32" s="1"/>
      <c r="AN32" s="1"/>
      <c r="AO32" s="1"/>
      <c r="AP32" s="1"/>
      <c r="AQ32" s="1"/>
      <c r="AR32" s="188"/>
      <c r="AS32" s="188"/>
      <c r="AT32" s="188"/>
      <c r="AU32" s="1"/>
      <c r="AV32" s="1"/>
      <c r="AW32" s="1"/>
      <c r="AX32" s="1"/>
      <c r="AY32" s="1"/>
      <c r="AZ32" s="1"/>
      <c r="BA32" s="172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</row>
    <row r="33" spans="3:120" x14ac:dyDescent="0.2">
      <c r="C33" s="239" t="str">
        <f>VLOOKUP(LEFT(C83,LEN(layout)+3),label,RIGHT(C83,1)+1,0)</f>
        <v>Dn</v>
      </c>
      <c r="D33" s="241"/>
      <c r="E33" s="238" t="str">
        <f>SUBSTITUTE(VLOOKUP(LEFT(E83,LEN(layout)+3),label,RIGHT(E83,1)+2,0),0,"")</f>
        <v>END-&gt;</v>
      </c>
      <c r="F33" s="239">
        <f>VLOOKUP(LEFT(F83,LEN(layout)+3),label,RIGHT(F83,1)+1,0)</f>
        <v>4</v>
      </c>
      <c r="G33" s="240"/>
      <c r="H33" s="251"/>
      <c r="I33" s="238" t="str">
        <f>SUBSTITUTE(VLOOKUP(LEFT(I83,LEN(layout)+3),label,RIGHT(I83,1)+2,0),0,"")</f>
        <v>T</v>
      </c>
      <c r="J33" s="239">
        <f>VLOOKUP(LEFT(J83,LEN(layout)+3),label,RIGHT(J83,1)+1,0)</f>
        <v>5</v>
      </c>
      <c r="K33" s="240"/>
      <c r="L33" s="241"/>
      <c r="M33" s="238" t="str">
        <f>SUBSTITUTE(VLOOKUP(LEFT(M83,LEN(layout)+3),label,RIGHT(M83,1)+2,0),0,"")</f>
        <v>U</v>
      </c>
      <c r="N33" s="239">
        <f>VLOOKUP(LEFT(N83,LEN(layout)+3),label,RIGHT(N83,1)+1,0)</f>
        <v>6</v>
      </c>
      <c r="O33" s="240"/>
      <c r="P33" s="241"/>
      <c r="Q33" s="238" t="str">
        <f>SUBSTITUTE(VLOOKUP(LEFT(Q83,LEN(layout)+3),label,RIGHT(Q83,1)+2,0),0,"")</f>
        <v>V</v>
      </c>
      <c r="R33" s="239" t="str">
        <f>VLOOKUP(LEFT(R83,LEN(layout)+3),label,RIGHT(R83,1)+1,0)</f>
        <v>✕</v>
      </c>
      <c r="S33" s="240"/>
      <c r="T33" s="241"/>
      <c r="U33" s="238" t="str">
        <f>SUBSTITUTE(VLOOKUP(LEFT(U83,LEN(layout)+3),label,RIGHT(U83,1)+2,0),0,"")</f>
        <v>W</v>
      </c>
      <c r="X33" s="168"/>
      <c r="Y33" s="168"/>
      <c r="Z33" s="168"/>
      <c r="AA33" s="168"/>
      <c r="AB33" s="168"/>
      <c r="AC33" s="168"/>
      <c r="AD33" s="168"/>
      <c r="AE33" s="168"/>
      <c r="AF33" s="168"/>
      <c r="AG33" s="168"/>
      <c r="AH33" s="168"/>
      <c r="AI33" s="168"/>
      <c r="AJ33" s="168"/>
      <c r="AL33" s="1"/>
      <c r="AM33" s="1"/>
      <c r="AN33" s="1"/>
      <c r="AO33" s="1"/>
      <c r="AP33" s="1"/>
      <c r="AQ33" s="1"/>
      <c r="AR33" s="188"/>
      <c r="AS33" s="188"/>
      <c r="AT33" s="188"/>
      <c r="AX33" s="1"/>
      <c r="AY33" s="1"/>
      <c r="AZ33" s="1"/>
      <c r="BA33" s="172"/>
      <c r="BB33" s="1"/>
      <c r="BC33" s="1"/>
      <c r="BD33" s="1"/>
      <c r="BE33" s="1"/>
      <c r="BI33" s="1"/>
    </row>
    <row r="34" spans="3:120" x14ac:dyDescent="0.2">
      <c r="C34" s="242"/>
      <c r="D34" s="244"/>
      <c r="E34" s="238"/>
      <c r="F34" s="242"/>
      <c r="G34" s="243"/>
      <c r="H34" s="244"/>
      <c r="I34" s="238"/>
      <c r="J34" s="242"/>
      <c r="K34" s="243"/>
      <c r="L34" s="244"/>
      <c r="M34" s="238"/>
      <c r="N34" s="242"/>
      <c r="O34" s="243"/>
      <c r="P34" s="244"/>
      <c r="Q34" s="238"/>
      <c r="R34" s="242"/>
      <c r="S34" s="243"/>
      <c r="T34" s="244"/>
      <c r="U34" s="238"/>
      <c r="X34" s="168"/>
      <c r="Y34" s="168"/>
      <c r="Z34" s="168"/>
      <c r="AA34" s="168"/>
      <c r="AB34" s="168"/>
      <c r="AC34" s="168"/>
      <c r="AD34" s="168"/>
      <c r="AE34" s="168"/>
      <c r="AF34" s="168"/>
      <c r="AG34" s="168"/>
      <c r="AH34" s="168"/>
      <c r="AI34" s="168"/>
      <c r="AJ34" s="168"/>
      <c r="AL34" s="1"/>
      <c r="AM34" s="1"/>
      <c r="AN34" s="1"/>
      <c r="AO34" s="1"/>
      <c r="AP34" s="1"/>
      <c r="AQ34" s="1"/>
      <c r="AR34" s="188"/>
      <c r="AS34" s="188"/>
      <c r="AT34" s="188"/>
      <c r="AX34" s="1"/>
      <c r="AY34" s="1"/>
      <c r="AZ34" s="1"/>
      <c r="BA34" s="172"/>
      <c r="BB34" s="1"/>
      <c r="BC34" s="1"/>
      <c r="BD34" s="1"/>
      <c r="BE34" s="1"/>
      <c r="BI34" s="1"/>
    </row>
    <row r="35" spans="3:120" ht="17" thickBot="1" x14ac:dyDescent="0.25">
      <c r="C35" s="245"/>
      <c r="D35" s="247"/>
      <c r="E35" s="238"/>
      <c r="F35" s="245"/>
      <c r="G35" s="246"/>
      <c r="H35" s="247"/>
      <c r="I35" s="238"/>
      <c r="J35" s="245"/>
      <c r="K35" s="246"/>
      <c r="L35" s="247"/>
      <c r="M35" s="238"/>
      <c r="N35" s="245"/>
      <c r="O35" s="246"/>
      <c r="P35" s="247"/>
      <c r="Q35" s="238"/>
      <c r="R35" s="245"/>
      <c r="S35" s="246"/>
      <c r="T35" s="247"/>
      <c r="U35" s="238"/>
      <c r="X35" s="168"/>
      <c r="Y35" s="168"/>
      <c r="Z35" s="168"/>
      <c r="AA35" s="168"/>
      <c r="AB35" s="168"/>
      <c r="AC35" s="168"/>
      <c r="AD35" s="168"/>
      <c r="AE35" s="168"/>
      <c r="AF35" s="168"/>
      <c r="AG35" s="168"/>
      <c r="AH35" s="168"/>
      <c r="AI35" s="168"/>
      <c r="AJ35" s="168"/>
      <c r="AL35" s="1"/>
      <c r="AM35" s="1"/>
      <c r="AN35" s="1"/>
      <c r="AO35" s="1"/>
      <c r="AP35" s="1"/>
      <c r="AQ35" s="1"/>
      <c r="AR35" s="188"/>
      <c r="AS35" s="188"/>
      <c r="AT35" s="188"/>
      <c r="AX35" s="1"/>
      <c r="AY35" s="1"/>
      <c r="AZ35" s="1"/>
      <c r="BA35" s="172"/>
      <c r="BB35" s="1"/>
      <c r="BC35" s="1"/>
      <c r="BD35" s="1"/>
      <c r="BE35" s="1"/>
      <c r="BI35" s="1"/>
    </row>
    <row r="36" spans="3:120" ht="21" x14ac:dyDescent="0.2">
      <c r="C36" s="25" t="str">
        <f>VLOOKUP(LEFT(C82,LEN(layout)+3),label,RIGHT(C82,1)+6,0)</f>
        <v>CASE DN</v>
      </c>
      <c r="D36" s="25" t="str">
        <f>VLOOKUP(LEFT(D82,LEN(layout)+3),label,RIGHT(D82,1)+6,0)</f>
        <v>Sub</v>
      </c>
      <c r="E36" s="26" t="str">
        <f>VLOOKUP(LEFT(E83,LEN(layout)+3),label,RIGHT(E83,1)+6,0)</f>
        <v>Dn</v>
      </c>
      <c r="F36" s="25" t="str">
        <f>VLOOKUP(LEFT(F82,LEN(layout)+3),label,RIGHT(F82,1)+6,0)</f>
        <v>t</v>
      </c>
      <c r="G36" s="25"/>
      <c r="H36" s="25">
        <f>VLOOKUP(LEFT(H82,LEN(layout)+3),label,RIGHT(H82,1)+6,0)</f>
        <v>4</v>
      </c>
      <c r="I36" s="26">
        <f>VLOOKUP(LEFT(I83,LEN(layout)+3),label,RIGHT(I83,1)+6,0)</f>
        <v>4</v>
      </c>
      <c r="J36" s="25" t="str">
        <f>VLOOKUP(LEFT(J82,LEN(layout)+3),label,RIGHT(J82,1)+6,0)</f>
        <v>u</v>
      </c>
      <c r="K36" s="25"/>
      <c r="L36" s="25">
        <f>VLOOKUP(LEFT(L82,LEN(layout)+3),label,RIGHT(L82,1)+6,0)</f>
        <v>5</v>
      </c>
      <c r="M36" s="26">
        <f>VLOOKUP(LEFT(M83,LEN(layout)+3),label,RIGHT(M83,1)+6,0)</f>
        <v>5</v>
      </c>
      <c r="N36" s="25" t="str">
        <f>VLOOKUP(LEFT(N82,LEN(layout)+3),label,RIGHT(N82,1)+6,0)</f>
        <v>v</v>
      </c>
      <c r="O36" s="25"/>
      <c r="P36" s="25">
        <f>VLOOKUP(LEFT(P82,LEN(layout)+3),label,RIGHT(P82,1)+6,0)</f>
        <v>6</v>
      </c>
      <c r="Q36" s="26">
        <f>VLOOKUP(LEFT(Q83,LEN(layout)+3),label,RIGHT(Q83,1)+6,0)</f>
        <v>6</v>
      </c>
      <c r="R36" s="25" t="str">
        <f>VLOOKUP(LEFT(R82,LEN(layout)+3),label,RIGHT(R82,1)+6,0)</f>
        <v>w</v>
      </c>
      <c r="S36" s="25"/>
      <c r="T36" s="25" t="str">
        <f>VLOOKUP(LEFT(T82,LEN(layout)+3),label,RIGHT(T82,1)+6,0)</f>
        <v>✕</v>
      </c>
      <c r="U36" s="26" t="str">
        <f>VLOOKUP(LEFT(U83,LEN(layout)+3),label,RIGHT(U83,1)+6,0)</f>
        <v>✕</v>
      </c>
      <c r="X36" s="168"/>
      <c r="Y36" s="168"/>
      <c r="Z36" s="168"/>
      <c r="AA36" s="168"/>
      <c r="AB36" s="168"/>
      <c r="AC36" s="168"/>
      <c r="AD36" s="168"/>
      <c r="AE36" s="168"/>
      <c r="AF36" s="168"/>
      <c r="AG36" s="168"/>
      <c r="AH36" s="168"/>
      <c r="AI36" s="168"/>
      <c r="AJ36" s="168"/>
      <c r="AL36" s="1"/>
      <c r="AM36" s="1"/>
      <c r="AN36" s="1"/>
      <c r="AO36" s="1"/>
      <c r="AP36" s="1"/>
      <c r="AQ36" s="1"/>
      <c r="AR36" s="188"/>
      <c r="AS36" s="188"/>
      <c r="AT36" s="188"/>
      <c r="AX36" s="1"/>
      <c r="AY36" s="1"/>
      <c r="AZ36" s="1"/>
      <c r="BA36" s="172"/>
      <c r="BB36" s="1"/>
      <c r="BC36" s="1"/>
      <c r="BD36" s="1"/>
      <c r="BE36" s="1"/>
      <c r="BI36" s="1"/>
    </row>
    <row r="37" spans="3:120" x14ac:dyDescent="0.2">
      <c r="X37" s="168"/>
      <c r="Y37" s="168"/>
      <c r="Z37" s="168"/>
      <c r="AA37" s="168"/>
      <c r="AB37" s="168"/>
      <c r="AC37" s="168"/>
      <c r="AD37" s="168"/>
      <c r="AE37" s="168"/>
      <c r="AF37" s="168"/>
      <c r="AG37" s="168"/>
      <c r="AH37" s="168"/>
      <c r="AI37" s="168"/>
      <c r="AJ37" s="168"/>
      <c r="AL37" s="1"/>
      <c r="AM37" s="1"/>
      <c r="AN37" s="1"/>
      <c r="AO37" s="1"/>
      <c r="AP37" s="1"/>
      <c r="AQ37" s="1"/>
      <c r="AR37" s="188"/>
      <c r="AS37" s="188"/>
      <c r="AT37" s="188"/>
      <c r="AX37" s="1"/>
      <c r="AY37" s="1"/>
      <c r="AZ37" s="1"/>
      <c r="BA37" s="172"/>
      <c r="BB37" s="1"/>
      <c r="BC37" s="1"/>
      <c r="BD37" s="1"/>
      <c r="BE37" s="1"/>
      <c r="BI37" s="1"/>
    </row>
    <row r="38" spans="3:120" s="6" customFormat="1" ht="22" thickBot="1" x14ac:dyDescent="0.25">
      <c r="C38" s="7" t="str">
        <f>VLOOKUP(LEFT(C88,LEN(layout)+3),label,RIGHT(C88,1)+1,0)</f>
        <v xml:space="preserve"> </v>
      </c>
      <c r="D38" s="7" t="str">
        <f>VLOOKUP(LEFT(D88,LEN(layout)+3),label,RIGHT(D88,1)+1,0)</f>
        <v xml:space="preserve"> </v>
      </c>
      <c r="E38" s="7"/>
      <c r="F38" s="7" t="str">
        <f>VLOOKUP(LEFT(F88,LEN(layout)+3),label,RIGHT(F88,1)+1,0)</f>
        <v>ASN</v>
      </c>
      <c r="G38" s="7"/>
      <c r="H38" s="7" t="str">
        <f>VLOOKUP(LEFT(H88,LEN(layout)+3),label,RIGHT(H88,1)+1,0)</f>
        <v>[ KEYS ]</v>
      </c>
      <c r="I38" s="7"/>
      <c r="J38" s="7" t="str">
        <f>VLOOKUP(LEFT(J88,LEN(layout)+3),label,RIGHT(J88,1)+1,0)</f>
        <v>USER</v>
      </c>
      <c r="K38" s="7"/>
      <c r="L38" s="7" t="str">
        <f>VLOOKUP(LEFT(L88,LEN(layout)+3),label,RIGHT(L88,1)+1,0)</f>
        <v>[ a.FN ]</v>
      </c>
      <c r="M38" s="7"/>
      <c r="N38" s="7" t="str">
        <f>VLOOKUP(LEFT(N88,LEN(layout)+3),label,RIGHT(N88,1)+1,0)</f>
        <v>[ P.FN ]</v>
      </c>
      <c r="O38" s="7"/>
      <c r="P38" s="7" t="str">
        <f>VLOOKUP(LEFT(P88,LEN(layout)+3),label,RIGHT(P88,1)+1,0)</f>
        <v>[ LOOP ]</v>
      </c>
      <c r="Q38" s="7"/>
      <c r="R38" s="7" t="str">
        <f>VLOOKUP(LEFT(R88,LEN(layout)+3),label,RIGHT(R88,1)+1,0)</f>
        <v>[ PRINT ]</v>
      </c>
      <c r="S38" s="7"/>
      <c r="T38" s="7" t="str">
        <f>VLOOKUP(LEFT(T88,LEN(layout)+3),label,RIGHT(T88,1)+1,0)</f>
        <v>[ I/O ]</v>
      </c>
      <c r="X38" s="168"/>
      <c r="Y38" s="168"/>
      <c r="Z38" s="168"/>
      <c r="AA38" s="168"/>
      <c r="AB38" s="168"/>
      <c r="AC38" s="168"/>
      <c r="AD38" s="168"/>
      <c r="AE38" s="168"/>
      <c r="AF38" s="168"/>
      <c r="AG38" s="168"/>
      <c r="AH38" s="168"/>
      <c r="AI38" s="168"/>
      <c r="AJ38" s="168"/>
      <c r="AK38" s="1"/>
      <c r="AL38" s="1"/>
      <c r="AM38" s="1"/>
      <c r="AN38" s="1"/>
      <c r="AO38" s="1"/>
      <c r="AP38" s="1"/>
      <c r="AQ38" s="1"/>
      <c r="AR38" s="188"/>
      <c r="AS38" s="188"/>
      <c r="AT38" s="188"/>
      <c r="AU38" s="1"/>
      <c r="AV38" s="1"/>
      <c r="AW38" s="1"/>
      <c r="AX38" s="1"/>
      <c r="AY38" s="1"/>
      <c r="AZ38" s="1"/>
      <c r="BA38" s="172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</row>
    <row r="39" spans="3:120" x14ac:dyDescent="0.2">
      <c r="C39" s="239" t="str">
        <f>VLOOKUP(LEFT(C89,LEN(layout)+3),label,RIGHT(C89,1)+1,0)</f>
        <v>f/g</v>
      </c>
      <c r="D39" s="241"/>
      <c r="E39" s="238" t="str">
        <f>SUBSTITUTE(VLOOKUP(LEFT(E89,LEN(layout)+3),label,RIGHT(E89,1)+2,0),0,"")</f>
        <v>f/g</v>
      </c>
      <c r="F39" s="239">
        <f>VLOOKUP(LEFT(F89,LEN(layout)+3),label,RIGHT(F89,1)+1,0)</f>
        <v>1</v>
      </c>
      <c r="G39" s="240"/>
      <c r="H39" s="241"/>
      <c r="I39" s="238" t="str">
        <f>SUBSTITUTE(VLOOKUP(LEFT(I89,LEN(layout)+3),label,RIGHT(I89,1)+2,0),0,"")</f>
        <v>X</v>
      </c>
      <c r="J39" s="239">
        <f>VLOOKUP(LEFT(J89,LEN(layout)+3),label,RIGHT(J89,1)+1,0)</f>
        <v>2</v>
      </c>
      <c r="K39" s="240"/>
      <c r="L39" s="241"/>
      <c r="M39" s="238" t="str">
        <f>SUBSTITUTE(VLOOKUP(LEFT(M89,LEN(layout)+3),label,RIGHT(M89,1)+2,0),0,"")</f>
        <v>Y</v>
      </c>
      <c r="N39" s="239">
        <f>VLOOKUP(LEFT(N89,LEN(layout)+3),label,RIGHT(N89,1)+1,0)</f>
        <v>3</v>
      </c>
      <c r="O39" s="240"/>
      <c r="P39" s="241"/>
      <c r="Q39" s="238" t="str">
        <f>SUBSTITUTE(VLOOKUP(LEFT(Q89,LEN(layout)+3),label,RIGHT(Q89,1)+2,0),0,"")</f>
        <v>Z</v>
      </c>
      <c r="R39" s="239" t="str">
        <f>VLOOKUP(LEFT(R89,LEN(layout)+3),label,RIGHT(R89,1)+1,0)</f>
        <v>-</v>
      </c>
      <c r="S39" s="240"/>
      <c r="T39" s="241"/>
      <c r="U39" s="238" t="str">
        <f>SUBSTITUTE(VLOOKUP(LEFT(U89,LEN(layout)+3),label,RIGHT(U89,1)+2,0),0,"")</f>
        <v>_</v>
      </c>
      <c r="X39" s="168"/>
      <c r="Y39" s="168"/>
      <c r="Z39" s="168"/>
      <c r="AA39" s="168"/>
      <c r="AB39" s="168"/>
      <c r="AC39" s="168"/>
      <c r="AD39" s="168"/>
      <c r="AE39" s="168"/>
      <c r="AF39" s="168"/>
      <c r="AG39" s="168"/>
      <c r="AH39" s="168"/>
      <c r="AI39" s="168"/>
      <c r="AJ39" s="168"/>
      <c r="AL39" s="1"/>
      <c r="AM39" s="1"/>
      <c r="AN39" s="1"/>
      <c r="AO39" s="1"/>
      <c r="AP39" s="1"/>
      <c r="AQ39" s="1"/>
      <c r="AR39" s="188"/>
      <c r="AS39" s="188"/>
      <c r="AT39" s="188"/>
      <c r="AX39" s="1"/>
      <c r="AY39" s="1"/>
      <c r="AZ39" s="1"/>
      <c r="BA39" s="172"/>
      <c r="BB39" s="1"/>
      <c r="BC39" s="1"/>
      <c r="BD39" s="1"/>
      <c r="BE39" s="1"/>
      <c r="BI39" s="1"/>
    </row>
    <row r="40" spans="3:120" x14ac:dyDescent="0.2">
      <c r="C40" s="242"/>
      <c r="D40" s="244"/>
      <c r="E40" s="238"/>
      <c r="F40" s="242"/>
      <c r="G40" s="243"/>
      <c r="H40" s="249"/>
      <c r="I40" s="238"/>
      <c r="J40" s="242"/>
      <c r="K40" s="243"/>
      <c r="L40" s="244"/>
      <c r="M40" s="238"/>
      <c r="N40" s="242"/>
      <c r="O40" s="243"/>
      <c r="P40" s="244"/>
      <c r="Q40" s="238"/>
      <c r="R40" s="242"/>
      <c r="S40" s="243"/>
      <c r="T40" s="244"/>
      <c r="U40" s="238"/>
      <c r="X40" s="168"/>
      <c r="Y40" s="168"/>
      <c r="Z40" s="168"/>
      <c r="AA40" s="168"/>
      <c r="AB40" s="168"/>
      <c r="AC40" s="168"/>
      <c r="AD40" s="168"/>
      <c r="AE40" s="168"/>
      <c r="AF40" s="168"/>
      <c r="AG40" s="168"/>
      <c r="AH40" s="168"/>
      <c r="AI40" s="168"/>
      <c r="AJ40" s="168"/>
      <c r="AL40" s="1"/>
      <c r="AM40" s="1"/>
      <c r="AN40" s="1"/>
      <c r="AO40" s="1"/>
      <c r="AP40" s="1"/>
      <c r="AQ40" s="1"/>
      <c r="AR40" s="188"/>
      <c r="AS40" s="188"/>
      <c r="AT40" s="188"/>
      <c r="AX40" s="1"/>
      <c r="AY40" s="1"/>
      <c r="AZ40" s="1"/>
      <c r="BA40" s="172"/>
      <c r="BB40" s="1"/>
      <c r="BC40" s="1"/>
      <c r="BD40" s="1"/>
      <c r="BE40" s="1"/>
      <c r="BI40" s="1"/>
    </row>
    <row r="41" spans="3:120" ht="17" thickBot="1" x14ac:dyDescent="0.25">
      <c r="C41" s="245"/>
      <c r="D41" s="247"/>
      <c r="E41" s="238"/>
      <c r="F41" s="245"/>
      <c r="G41" s="246"/>
      <c r="H41" s="250"/>
      <c r="I41" s="238"/>
      <c r="J41" s="245"/>
      <c r="K41" s="246"/>
      <c r="L41" s="247"/>
      <c r="M41" s="238"/>
      <c r="N41" s="245"/>
      <c r="O41" s="246"/>
      <c r="P41" s="247"/>
      <c r="Q41" s="238"/>
      <c r="R41" s="245"/>
      <c r="S41" s="246"/>
      <c r="T41" s="247"/>
      <c r="U41" s="238"/>
      <c r="X41" s="168"/>
      <c r="Y41" s="168"/>
      <c r="Z41" s="168"/>
      <c r="AA41" s="168"/>
      <c r="AB41" s="168"/>
      <c r="AC41" s="168"/>
      <c r="AD41" s="168"/>
      <c r="AE41" s="168"/>
      <c r="AF41" s="168"/>
      <c r="AG41" s="168"/>
      <c r="AH41" s="168"/>
      <c r="AI41" s="168"/>
      <c r="AJ41" s="168"/>
      <c r="AL41" s="1"/>
      <c r="AM41" s="1"/>
      <c r="AN41" s="1"/>
      <c r="AO41" s="1"/>
      <c r="AP41" s="1"/>
      <c r="AQ41" s="1"/>
      <c r="AR41" s="188"/>
      <c r="AS41" s="188"/>
      <c r="AT41" s="188"/>
      <c r="AX41" s="1"/>
      <c r="AY41" s="1"/>
      <c r="AZ41" s="1"/>
      <c r="BA41" s="172"/>
      <c r="BB41" s="1"/>
      <c r="BC41" s="1"/>
      <c r="BD41" s="1"/>
      <c r="BE41" s="1"/>
      <c r="BI41" s="1"/>
    </row>
    <row r="42" spans="3:120" ht="21" x14ac:dyDescent="0.2">
      <c r="C42" s="25" t="str">
        <f>VLOOKUP(LEFT(C88,LEN(layout)+3),label,RIGHT(C88,1)+6,0)</f>
        <v>(FlipChar)</v>
      </c>
      <c r="D42" s="25" t="str">
        <f>VLOOKUP(LEFT(D88,LEN(layout)+3),label,RIGHT(D88,1)+6,0)</f>
        <v>(Digit)</v>
      </c>
      <c r="E42" s="26" t="str">
        <f>VLOOKUP(LEFT(E89,LEN(layout)+3),label,RIGHT(E89,1)+6,0)</f>
        <v>f/g</v>
      </c>
      <c r="F42" s="25" t="str">
        <f>VLOOKUP(LEFT(F88,LEN(layout)+3),label,RIGHT(F88,1)+6,0)</f>
        <v>x</v>
      </c>
      <c r="G42" s="25"/>
      <c r="H42" s="6">
        <f>VLOOKUP(LEFT(H88,LEN(layout)+3),label,RIGHT(H88,1)+6,0)</f>
        <v>1</v>
      </c>
      <c r="I42" s="26">
        <f>VLOOKUP(LEFT(I89,LEN(layout)+3),label,RIGHT(I89,1)+6,0)</f>
        <v>1</v>
      </c>
      <c r="J42" s="25" t="str">
        <f>VLOOKUP(LEFT(J88,LEN(layout)+3),label,RIGHT(J88,1)+6,0)</f>
        <v>y</v>
      </c>
      <c r="K42" s="25"/>
      <c r="L42" s="25">
        <f>VLOOKUP(LEFT(L88,LEN(layout)+3),label,RIGHT(L88,1)+6,0)</f>
        <v>2</v>
      </c>
      <c r="M42" s="26">
        <f>VLOOKUP(LEFT(M89,LEN(layout)+3),label,RIGHT(M89,1)+6,0)</f>
        <v>2</v>
      </c>
      <c r="N42" s="25" t="str">
        <f>VLOOKUP(LEFT(N88,LEN(layout)+3),label,RIGHT(N88,1)+6,0)</f>
        <v>z</v>
      </c>
      <c r="O42" s="25"/>
      <c r="P42" s="25">
        <f>VLOOKUP(LEFT(P88,LEN(layout)+3),label,RIGHT(P88,1)+6,0)</f>
        <v>3</v>
      </c>
      <c r="Q42" s="26">
        <f>VLOOKUP(LEFT(Q89,LEN(layout)+3),label,RIGHT(Q89,1)+6,0)</f>
        <v>3</v>
      </c>
      <c r="R42" s="25" t="str">
        <f>VLOOKUP(LEFT(R88,LEN(layout)+3),label,RIGHT(R88,1)+6,0)</f>
        <v>&lt;e&gt;</v>
      </c>
      <c r="S42" s="25"/>
      <c r="T42" s="25" t="str">
        <f>VLOOKUP(LEFT(T88,LEN(layout)+3),label,RIGHT(T88,1)+6,0)</f>
        <v>-</v>
      </c>
      <c r="U42" s="26" t="str">
        <f>VLOOKUP(LEFT(U89,LEN(layout)+3),label,RIGHT(U89,1)+6,0)</f>
        <v>-</v>
      </c>
      <c r="X42" s="168"/>
      <c r="Y42" s="168"/>
      <c r="Z42" s="168"/>
      <c r="AA42" s="168"/>
      <c r="AB42" s="168"/>
      <c r="AC42" s="168"/>
      <c r="AD42" s="168"/>
      <c r="AE42" s="168"/>
      <c r="AF42" s="168"/>
      <c r="AG42" s="168"/>
      <c r="AH42" s="168"/>
      <c r="AI42" s="168"/>
      <c r="AJ42" s="168"/>
      <c r="AL42" s="1"/>
      <c r="AM42" s="1"/>
      <c r="AN42" s="1"/>
      <c r="AO42" s="1"/>
      <c r="AP42" s="1"/>
      <c r="AQ42" s="1"/>
      <c r="AR42" s="188"/>
      <c r="AS42" s="188"/>
      <c r="AT42" s="188"/>
      <c r="AX42" s="1"/>
      <c r="AY42" s="1"/>
      <c r="AZ42" s="1"/>
      <c r="BA42" s="172"/>
      <c r="BB42" s="1"/>
      <c r="BC42" s="1"/>
      <c r="BD42" s="1"/>
      <c r="BE42" s="1"/>
      <c r="BI42" s="1"/>
    </row>
    <row r="43" spans="3:120" x14ac:dyDescent="0.2"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L43" s="1"/>
      <c r="AM43" s="1"/>
      <c r="AN43" s="1"/>
      <c r="AO43" s="1"/>
      <c r="AP43" s="1"/>
      <c r="AQ43" s="1"/>
      <c r="AR43" s="188"/>
      <c r="AS43" s="188"/>
      <c r="AT43" s="188"/>
      <c r="AX43" s="1"/>
      <c r="AY43" s="1"/>
      <c r="AZ43" s="1"/>
      <c r="BA43" s="172"/>
      <c r="BB43" s="1"/>
      <c r="BC43" s="1"/>
      <c r="BD43" s="1"/>
      <c r="BE43" s="1"/>
      <c r="BI43" s="1"/>
    </row>
    <row r="44" spans="3:120" s="6" customFormat="1" ht="22" thickBot="1" x14ac:dyDescent="0.25">
      <c r="C44" s="7" t="str">
        <f>VLOOKUP(LEFT(C94,LEN(layout)+3),label,RIGHT(C94,1)+1,0)</f>
        <v>OFF</v>
      </c>
      <c r="D44" s="7" t="str">
        <f>VLOOKUP(LEFT(D94,LEN(layout)+3),label,RIGHT(D94,1)+1,0)</f>
        <v>SNAP</v>
      </c>
      <c r="E44" s="7"/>
      <c r="F44" s="7" t="str">
        <f>VLOOKUP(LEFT(F94,LEN(layout)+3),label,RIGHT(F94,1)+1,0)</f>
        <v>VIEW</v>
      </c>
      <c r="G44" s="7"/>
      <c r="H44" s="7" t="str">
        <f>VLOOKUP(LEFT(H94,LEN(layout)+3),label,RIGHT(H94,1)+1,0)</f>
        <v>STOPW</v>
      </c>
      <c r="I44" s="7"/>
      <c r="J44" s="7" t="str">
        <f>VLOOKUP(LEFT(J94,LEN(layout)+3),label,RIGHT(J94,1)+1,0)</f>
        <v>SHOW</v>
      </c>
      <c r="K44" s="7"/>
      <c r="L44" s="7" t="str">
        <f>VLOOKUP(LEFT(L94,LEN(layout)+3),label,RIGHT(L94,1)+1,0)</f>
        <v>[ INFO ]</v>
      </c>
      <c r="M44" s="7"/>
      <c r="N44" s="7" t="str">
        <f>VLOOKUP(LEFT(N94,LEN(layout)+3),label,RIGHT(N94,1)+1,0)</f>
        <v>PRGM</v>
      </c>
      <c r="O44" s="7"/>
      <c r="P44" s="7" t="str">
        <f>VLOOKUP(LEFT(P94,LEN(layout)+3),label,RIGHT(P94,1)+1,0)</f>
        <v>[ TEST ]</v>
      </c>
      <c r="Q44" s="7"/>
      <c r="R44" s="7" t="str">
        <f>VLOOKUP(LEFT(R94,LEN(layout)+3),label,RIGHT(R94,1)+1,0)</f>
        <v>[ CAT ]</v>
      </c>
      <c r="S44" s="7"/>
      <c r="T44" s="7" t="str">
        <f>VLOOKUP(LEFT(T94,LEN(layout)+3),label,RIGHT(T94,1)+1,0)</f>
        <v>[ CNST ]</v>
      </c>
      <c r="X44" s="168"/>
      <c r="Y44" s="168"/>
      <c r="Z44" s="168"/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1"/>
      <c r="AL44" s="1"/>
      <c r="AM44" s="1"/>
      <c r="AN44" s="1"/>
      <c r="AO44" s="1"/>
      <c r="AP44" s="1"/>
      <c r="AQ44" s="1"/>
      <c r="AR44" s="188"/>
      <c r="AS44" s="188"/>
      <c r="AT44" s="188"/>
      <c r="AU44" s="1"/>
      <c r="AV44" s="1"/>
      <c r="AW44" s="1"/>
      <c r="AX44" s="1"/>
      <c r="AY44" s="1"/>
      <c r="AZ44" s="1"/>
      <c r="BA44" s="172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</row>
    <row r="45" spans="3:120" x14ac:dyDescent="0.2">
      <c r="C45" s="239" t="str">
        <f>VLOOKUP(LEFT(C95,LEN(layout)+3),label,RIGHT(C95,1)+1,0)</f>
        <v>EXIT</v>
      </c>
      <c r="D45" s="241"/>
      <c r="E45" s="238" t="str">
        <f>SUBSTITUTE(VLOOKUP(LEFT(E95,LEN(layout)+3),label,RIGHT(E95,1)+2,0),0,"")</f>
        <v>EXIT</v>
      </c>
      <c r="F45" s="239">
        <f>VLOOKUP(LEFT(F95,LEN(layout)+3),label,RIGHT(F95,1)+1,0)</f>
        <v>0</v>
      </c>
      <c r="G45" s="240"/>
      <c r="H45" s="241"/>
      <c r="I45" s="238" t="str">
        <f>SUBSTITUTE(VLOOKUP(LEFT(I95,LEN(layout)+3),label,RIGHT(I95,1)+2,0),0,"")</f>
        <v>:</v>
      </c>
      <c r="J45" s="239" t="str">
        <f>VLOOKUP(LEFT(J95,LEN(layout)+3),label,RIGHT(J95,1)+1,0)</f>
        <v>•</v>
      </c>
      <c r="K45" s="240"/>
      <c r="L45" s="241"/>
      <c r="M45" s="238" t="str">
        <f>SUBSTITUTE(VLOOKUP(LEFT(M95,LEN(layout)+3),label,RIGHT(M95,1)+2,0),0,"")</f>
        <v>,</v>
      </c>
      <c r="N45" s="239" t="str">
        <f>VLOOKUP(LEFT(N95,LEN(layout)+3),label,RIGHT(N95,1)+1,0)</f>
        <v>R/S</v>
      </c>
      <c r="O45" s="240"/>
      <c r="P45" s="241"/>
      <c r="Q45" s="238" t="str">
        <f>SUBSTITUTE(VLOOKUP(LEFT(Q95,LEN(layout)+3),label,RIGHT(Q95,1)+2,0),0,"")</f>
        <v>？</v>
      </c>
      <c r="R45" s="239" t="str">
        <f>VLOOKUP(LEFT(R95,LEN(layout)+3),label,RIGHT(R95,1)+1,0)</f>
        <v>+</v>
      </c>
      <c r="S45" s="240"/>
      <c r="T45" s="241"/>
      <c r="U45" s="238" t="str">
        <f>SUBSTITUTE(VLOOKUP(LEFT(U95,LEN(layout)+3),label,RIGHT(U95,1)+2,0),0,"")</f>
        <v>spc</v>
      </c>
      <c r="X45" s="168"/>
      <c r="Y45" s="168"/>
      <c r="Z45" s="168"/>
      <c r="AA45" s="168"/>
      <c r="AB45" s="168"/>
      <c r="AC45" s="168"/>
      <c r="AD45" s="168"/>
      <c r="AE45" s="168"/>
      <c r="AF45" s="168"/>
      <c r="AG45" s="168"/>
      <c r="AH45" s="168"/>
      <c r="AI45" s="168"/>
      <c r="AJ45" s="168"/>
      <c r="AL45" s="1"/>
      <c r="AM45" s="1"/>
      <c r="AN45" s="1"/>
      <c r="AO45" s="1"/>
      <c r="AP45" s="1"/>
      <c r="AQ45" s="1"/>
      <c r="AR45" s="188"/>
      <c r="AS45" s="188"/>
      <c r="AT45" s="188"/>
      <c r="AX45" s="1"/>
      <c r="AY45" s="1"/>
      <c r="AZ45" s="1"/>
      <c r="BA45" s="172"/>
      <c r="BB45" s="1"/>
      <c r="BC45" s="1"/>
      <c r="BD45" s="1"/>
      <c r="BE45" s="1"/>
      <c r="BI45" s="1"/>
    </row>
    <row r="46" spans="3:120" x14ac:dyDescent="0.2">
      <c r="C46" s="242"/>
      <c r="D46" s="244"/>
      <c r="E46" s="238"/>
      <c r="F46" s="242"/>
      <c r="G46" s="243"/>
      <c r="H46" s="244"/>
      <c r="I46" s="238"/>
      <c r="J46" s="242"/>
      <c r="K46" s="243"/>
      <c r="L46" s="244"/>
      <c r="M46" s="238"/>
      <c r="N46" s="242"/>
      <c r="O46" s="243"/>
      <c r="P46" s="244"/>
      <c r="Q46" s="238"/>
      <c r="R46" s="242"/>
      <c r="S46" s="243"/>
      <c r="T46" s="244"/>
      <c r="U46" s="238"/>
      <c r="Y46" s="1"/>
      <c r="Z46" s="1"/>
      <c r="AG46" s="1"/>
      <c r="AH46" s="1"/>
      <c r="AI46" s="1"/>
      <c r="AJ46" s="1"/>
      <c r="AL46" s="1"/>
      <c r="AM46" s="1"/>
      <c r="AN46" s="1"/>
      <c r="AO46" s="1"/>
      <c r="AP46" s="1"/>
      <c r="AQ46" s="1"/>
      <c r="AR46" s="188"/>
      <c r="AS46" s="188"/>
      <c r="AT46" s="188"/>
      <c r="AX46" s="1"/>
      <c r="AY46" s="1"/>
      <c r="AZ46" s="1"/>
      <c r="BA46" s="172"/>
      <c r="BB46" s="1"/>
      <c r="BC46" s="1"/>
      <c r="BD46" s="1"/>
      <c r="BE46" s="1"/>
      <c r="BI46" s="1"/>
    </row>
    <row r="47" spans="3:120" ht="17" thickBot="1" x14ac:dyDescent="0.25">
      <c r="C47" s="245"/>
      <c r="D47" s="247"/>
      <c r="E47" s="238"/>
      <c r="F47" s="245"/>
      <c r="G47" s="246"/>
      <c r="H47" s="247"/>
      <c r="I47" s="238"/>
      <c r="J47" s="245"/>
      <c r="K47" s="246"/>
      <c r="L47" s="247"/>
      <c r="M47" s="238"/>
      <c r="N47" s="245"/>
      <c r="O47" s="246"/>
      <c r="P47" s="247"/>
      <c r="Q47" s="238"/>
      <c r="R47" s="245"/>
      <c r="S47" s="246"/>
      <c r="T47" s="247"/>
      <c r="U47" s="238"/>
      <c r="Y47" s="1"/>
      <c r="Z47" s="1"/>
      <c r="BG47" s="75"/>
      <c r="BI47" s="13"/>
    </row>
    <row r="48" spans="3:120" ht="21" x14ac:dyDescent="0.2">
      <c r="C48" s="25" t="str">
        <f>VLOOKUP(LEFT(C94,LEN(layout)+3),label,RIGHT(C94,1)+6,0)</f>
        <v>OFF</v>
      </c>
      <c r="D48" s="25" t="str">
        <f>VLOOKUP(LEFT(D94,LEN(layout)+3),label,RIGHT(D94,1)+6,0)</f>
        <v>SNAP</v>
      </c>
      <c r="E48" s="26" t="str">
        <f>VLOOKUP(LEFT(E95,LEN(layout)+3),label,RIGHT(E95,1)+6,0)</f>
        <v>EXIT</v>
      </c>
      <c r="F48" s="25" t="str">
        <f>VLOOKUP(LEFT(F94,LEN(layout)+3),label,RIGHT(F94,1)+6,0)</f>
        <v>;</v>
      </c>
      <c r="G48" s="25"/>
      <c r="H48" s="25">
        <f>VLOOKUP(LEFT(H94,LEN(layout)+3),label,RIGHT(H94,1)+6,0)</f>
        <v>0</v>
      </c>
      <c r="I48" s="26">
        <f>VLOOKUP(LEFT(I95,LEN(layout)+3),label,RIGHT(I95,1)+6,0)</f>
        <v>0</v>
      </c>
      <c r="J48" s="25" t="str">
        <f>VLOOKUP(LEFT(J94,LEN(layout)+3),label,RIGHT(J94,1)+6,0)</f>
        <v>#</v>
      </c>
      <c r="K48" s="25"/>
      <c r="L48" s="25" t="str">
        <f>VLOOKUP(LEFT(L94,LEN(layout)+3),label,RIGHT(L94,1)+6,0)</f>
        <v>.</v>
      </c>
      <c r="M48" s="26" t="str">
        <f>VLOOKUP(LEFT(M95,LEN(layout)+3),label,RIGHT(M95,1)+6,0)</f>
        <v>.</v>
      </c>
      <c r="N48" s="25" t="str">
        <f>VLOOKUP(LEFT(N94,LEN(layout)+3),label,RIGHT(N94,1)+6,0)</f>
        <v>!</v>
      </c>
      <c r="O48" s="25"/>
      <c r="P48" s="25" t="str">
        <f>VLOOKUP(LEFT(P94,LEN(layout)+3),label,RIGHT(P94,1)+6,0)</f>
        <v>/</v>
      </c>
      <c r="Q48" s="26" t="str">
        <f>VLOOKUP(LEFT(Q95,LEN(layout)+3),label,RIGHT(Q95,1)+6,0)</f>
        <v xml:space="preserve"> </v>
      </c>
      <c r="R48" s="25" t="str">
        <f>VLOOKUP(LEFT(R94,LEN(layout)+3),label,RIGHT(R94,1)+6,0)</f>
        <v>=</v>
      </c>
      <c r="S48" s="25"/>
      <c r="T48" s="25" t="str">
        <f>VLOOKUP(LEFT(T94,LEN(layout)+3),label,RIGHT(T94,1)+6,0)</f>
        <v>+</v>
      </c>
      <c r="U48" s="26" t="str">
        <f>VLOOKUP(LEFT(U95,LEN(layout)+3),label,RIGHT(U95,1)+6,0)</f>
        <v>+</v>
      </c>
      <c r="W48" s="1" t="s">
        <v>29</v>
      </c>
      <c r="X48" s="126" t="s">
        <v>30</v>
      </c>
      <c r="Y48" s="106">
        <v>1</v>
      </c>
      <c r="Z48" s="106">
        <v>1</v>
      </c>
      <c r="AA48" s="107" t="str">
        <f t="shared" ref="AA48:AA67" si="0">X48&amp;"."&amp;Y48&amp;Z48</f>
        <v>C47.11</v>
      </c>
      <c r="AB48" s="108" t="s">
        <v>31</v>
      </c>
      <c r="AC48" s="15"/>
      <c r="AD48" s="15"/>
      <c r="AE48" s="102"/>
      <c r="AF48" s="15"/>
      <c r="AH48" s="90"/>
      <c r="AI48" s="90"/>
      <c r="AJ48" s="90"/>
      <c r="AK48" s="6"/>
      <c r="AL48" s="1"/>
      <c r="BI48" s="12"/>
    </row>
    <row r="49" spans="1:65" ht="21" x14ac:dyDescent="0.2">
      <c r="X49" s="127" t="str">
        <f>X48</f>
        <v>C47</v>
      </c>
      <c r="Y49" s="109">
        <v>1</v>
      </c>
      <c r="Z49" s="109">
        <v>2</v>
      </c>
      <c r="AA49" s="107" t="str">
        <f t="shared" si="0"/>
        <v>C47.12</v>
      </c>
      <c r="AB49" s="108" t="s">
        <v>32</v>
      </c>
      <c r="AC49" s="15"/>
      <c r="AD49" s="15"/>
      <c r="AE49" s="102"/>
      <c r="AF49" s="15"/>
      <c r="AH49" s="90"/>
      <c r="AI49" s="90"/>
      <c r="AJ49" s="90"/>
      <c r="AK49" s="6"/>
      <c r="AL49" s="1"/>
      <c r="BI49" s="12"/>
    </row>
    <row r="50" spans="1:65" ht="21" x14ac:dyDescent="0.2">
      <c r="C50" s="3">
        <f>2/10</f>
        <v>0.2</v>
      </c>
      <c r="D50" s="3">
        <f>3/10</f>
        <v>0.3</v>
      </c>
      <c r="E50" s="3">
        <f>4/10</f>
        <v>0.4</v>
      </c>
      <c r="F50" s="3"/>
      <c r="G50" s="3">
        <f>2/10</f>
        <v>0.2</v>
      </c>
      <c r="H50" s="3">
        <f>3/10</f>
        <v>0.3</v>
      </c>
      <c r="I50" s="3">
        <f>4/10</f>
        <v>0.4</v>
      </c>
      <c r="J50" s="3">
        <f>2/10</f>
        <v>0.2</v>
      </c>
      <c r="K50" s="3">
        <f>3/10</f>
        <v>0.3</v>
      </c>
      <c r="L50" s="3">
        <f>4/10</f>
        <v>0.4</v>
      </c>
      <c r="M50" s="3">
        <f>2/10</f>
        <v>0.2</v>
      </c>
      <c r="N50" s="3">
        <f>3/10</f>
        <v>0.3</v>
      </c>
      <c r="O50" s="3">
        <f>4/10</f>
        <v>0.4</v>
      </c>
      <c r="P50" s="3">
        <f>2/10</f>
        <v>0.2</v>
      </c>
      <c r="Q50" s="3">
        <f>3/10</f>
        <v>0.3</v>
      </c>
      <c r="R50" s="3">
        <f>4/10</f>
        <v>0.4</v>
      </c>
      <c r="S50" s="3">
        <f>2/10</f>
        <v>0.2</v>
      </c>
      <c r="T50" s="3">
        <f>3/10</f>
        <v>0.3</v>
      </c>
      <c r="U50" s="3">
        <f>4/10</f>
        <v>0.4</v>
      </c>
      <c r="X50" s="127" t="str">
        <f t="shared" ref="X50:X90" si="1">X49</f>
        <v>C47</v>
      </c>
      <c r="Y50" s="109">
        <v>1</v>
      </c>
      <c r="Z50" s="109">
        <v>3</v>
      </c>
      <c r="AA50" s="107" t="str">
        <f t="shared" si="0"/>
        <v>C47.13</v>
      </c>
      <c r="AB50" s="108" t="s">
        <v>33</v>
      </c>
      <c r="AC50" s="15"/>
      <c r="AD50" s="15"/>
      <c r="AE50" s="102"/>
      <c r="AF50" s="15"/>
      <c r="AH50" s="90"/>
      <c r="AI50" s="90"/>
      <c r="AJ50" s="90"/>
      <c r="AK50" s="6"/>
      <c r="AL50" s="1"/>
      <c r="AM50" s="72" t="s">
        <v>34</v>
      </c>
      <c r="AX50" s="72" t="s">
        <v>35</v>
      </c>
      <c r="AY50" s="27" t="s">
        <v>36</v>
      </c>
      <c r="BG50" s="75"/>
      <c r="BI50" s="17" t="str">
        <f>"// "&amp;X50&amp;" Layout from Layout_template_automation template: Do not change manually"</f>
        <v>// C47 Layout from Layout_template_automation template: Do not change manually</v>
      </c>
    </row>
    <row r="51" spans="1:65" ht="22" thickBot="1" x14ac:dyDescent="0.25">
      <c r="C51" s="3">
        <v>1</v>
      </c>
      <c r="D51" s="3">
        <v>1</v>
      </c>
      <c r="E51" s="3">
        <v>1</v>
      </c>
      <c r="F51" s="3"/>
      <c r="G51" s="3">
        <v>2</v>
      </c>
      <c r="H51" s="3">
        <v>2</v>
      </c>
      <c r="I51" s="3">
        <v>2</v>
      </c>
      <c r="J51" s="3">
        <v>3</v>
      </c>
      <c r="K51" s="3">
        <v>3</v>
      </c>
      <c r="L51" s="3">
        <v>3</v>
      </c>
      <c r="M51" s="3">
        <v>4</v>
      </c>
      <c r="N51" s="3">
        <v>4</v>
      </c>
      <c r="O51" s="3">
        <v>4</v>
      </c>
      <c r="P51" s="3">
        <v>5</v>
      </c>
      <c r="Q51" s="3">
        <v>5</v>
      </c>
      <c r="R51" s="3">
        <v>5</v>
      </c>
      <c r="S51" s="3">
        <v>6</v>
      </c>
      <c r="T51" s="3">
        <v>6</v>
      </c>
      <c r="U51" s="3">
        <v>6</v>
      </c>
      <c r="X51" s="127" t="str">
        <f t="shared" si="1"/>
        <v>C47</v>
      </c>
      <c r="Y51" s="109">
        <v>1</v>
      </c>
      <c r="Z51" s="109">
        <v>4</v>
      </c>
      <c r="AA51" s="107" t="str">
        <f t="shared" si="0"/>
        <v>C47.14</v>
      </c>
      <c r="AB51" s="108" t="s">
        <v>37</v>
      </c>
      <c r="AC51" s="15"/>
      <c r="AD51" s="15"/>
      <c r="AE51" s="102"/>
      <c r="AF51" s="15"/>
      <c r="AH51" s="90"/>
      <c r="AI51" s="90"/>
      <c r="AJ51" s="90"/>
      <c r="AK51" s="6"/>
      <c r="AL51" s="1"/>
      <c r="BG51" s="75"/>
      <c r="BI51" s="16" t="s">
        <v>38</v>
      </c>
    </row>
    <row r="52" spans="1:65" ht="22" thickBot="1" x14ac:dyDescent="0.25">
      <c r="B52" s="3">
        <v>10</v>
      </c>
      <c r="X52" s="127" t="str">
        <f t="shared" si="1"/>
        <v>C47</v>
      </c>
      <c r="Y52" s="109">
        <v>1</v>
      </c>
      <c r="Z52" s="109">
        <v>5</v>
      </c>
      <c r="AA52" s="107" t="str">
        <f t="shared" si="0"/>
        <v>C47.15</v>
      </c>
      <c r="AB52" s="108" t="s">
        <v>37</v>
      </c>
      <c r="AC52" s="15"/>
      <c r="AD52" s="15"/>
      <c r="AE52" s="102"/>
      <c r="AF52" s="15"/>
      <c r="AH52" s="90"/>
      <c r="AI52" s="90"/>
      <c r="AJ52" s="90"/>
      <c r="AK52" s="6"/>
      <c r="AL52" s="185" t="str">
        <f>X52</f>
        <v>C47</v>
      </c>
      <c r="AM52" s="224" t="s">
        <v>39</v>
      </c>
      <c r="AN52" s="224"/>
      <c r="AO52" s="224"/>
      <c r="AP52" s="71" t="s">
        <v>40</v>
      </c>
      <c r="AQ52" s="31" t="s">
        <v>41</v>
      </c>
      <c r="AR52" s="189" t="s">
        <v>42</v>
      </c>
      <c r="AS52" s="190" t="s">
        <v>42</v>
      </c>
      <c r="AT52" s="191" t="s">
        <v>42</v>
      </c>
      <c r="BG52" s="75"/>
      <c r="BI52" s="22" t="str">
        <f>"TO_QSPI const calcKey_t kbd_std_C47[37] = { //C47 Layout, in the default position without suffix, kbd_std"</f>
        <v>TO_QSPI const calcKey_t kbd_std_C47[37] = { //C47 Layout, in the default position without suffix, kbd_std</v>
      </c>
    </row>
    <row r="53" spans="1:65" ht="22" thickBot="1" x14ac:dyDescent="0.25">
      <c r="A53" s="3">
        <v>0.1</v>
      </c>
      <c r="B53" s="3">
        <v>10</v>
      </c>
      <c r="C53" s="227" t="str">
        <f>layout&amp;"."&amp;$B55+C51+$A53</f>
        <v>C47.11,1</v>
      </c>
      <c r="D53" s="229"/>
      <c r="E53" s="230"/>
      <c r="G53" s="227" t="str">
        <f>layout&amp;"."&amp;$B55+G51+$A53</f>
        <v>C47.12,1</v>
      </c>
      <c r="H53" s="229"/>
      <c r="I53" s="230"/>
      <c r="J53" s="227" t="str">
        <f>layout&amp;"."&amp;$B55+J51+$A53</f>
        <v>C47.13,1</v>
      </c>
      <c r="K53" s="229"/>
      <c r="L53" s="230"/>
      <c r="M53" s="227" t="str">
        <f>layout&amp;"."&amp;$B55+M51+$A53</f>
        <v>C47.14,1</v>
      </c>
      <c r="N53" s="229"/>
      <c r="O53" s="230"/>
      <c r="P53" s="227" t="str">
        <f>layout&amp;"."&amp;$B55+P51+$A53</f>
        <v>C47.15,1</v>
      </c>
      <c r="Q53" s="229"/>
      <c r="R53" s="230"/>
      <c r="S53" s="227" t="str">
        <f>layout&amp;"."&amp;$B55+S51+$A53</f>
        <v>C47.16,1</v>
      </c>
      <c r="T53" s="229"/>
      <c r="U53" s="230"/>
      <c r="X53" s="127" t="str">
        <f t="shared" si="1"/>
        <v>C47</v>
      </c>
      <c r="Y53" s="109">
        <v>1</v>
      </c>
      <c r="Z53" s="109">
        <v>6</v>
      </c>
      <c r="AA53" s="107" t="str">
        <f t="shared" si="0"/>
        <v>C47.16</v>
      </c>
      <c r="AB53" s="110" t="s">
        <v>43</v>
      </c>
      <c r="AC53" s="30"/>
      <c r="AD53" s="30"/>
      <c r="AE53" s="102"/>
      <c r="AF53" s="30"/>
      <c r="AH53" s="91"/>
      <c r="AI53" s="91"/>
      <c r="AJ53" s="91"/>
      <c r="AK53" s="6"/>
      <c r="AL53" s="1"/>
      <c r="BG53" s="75"/>
      <c r="BI53" s="16" t="s">
        <v>44</v>
      </c>
      <c r="BL53" s="45" t="s">
        <v>45</v>
      </c>
      <c r="BM53" s="45" t="s">
        <v>46</v>
      </c>
    </row>
    <row r="54" spans="1:65" ht="31" x14ac:dyDescent="0.2">
      <c r="A54" s="3">
        <v>0.1</v>
      </c>
      <c r="B54" s="3">
        <v>10</v>
      </c>
      <c r="C54" s="230"/>
      <c r="D54" s="232"/>
      <c r="E54" s="230"/>
      <c r="G54" s="230"/>
      <c r="H54" s="232"/>
      <c r="I54" s="230"/>
      <c r="J54" s="230"/>
      <c r="K54" s="232"/>
      <c r="L54" s="230"/>
      <c r="M54" s="230"/>
      <c r="N54" s="232"/>
      <c r="O54" s="230"/>
      <c r="P54" s="230"/>
      <c r="Q54" s="232"/>
      <c r="R54" s="230"/>
      <c r="S54" s="230"/>
      <c r="T54" s="232"/>
      <c r="U54" s="230"/>
      <c r="X54" s="127" t="str">
        <f t="shared" si="1"/>
        <v>C47</v>
      </c>
      <c r="Y54" s="106">
        <v>2</v>
      </c>
      <c r="Z54" s="106">
        <v>1</v>
      </c>
      <c r="AA54" s="112" t="str">
        <f t="shared" si="0"/>
        <v>C47.21</v>
      </c>
      <c r="AB54" s="113" t="s">
        <v>47</v>
      </c>
      <c r="AC54" s="114" t="s">
        <v>48</v>
      </c>
      <c r="AD54" s="115" t="s">
        <v>49</v>
      </c>
      <c r="AE54" s="116"/>
      <c r="AF54" s="48" t="s">
        <v>50</v>
      </c>
      <c r="AG54" s="77" t="b">
        <f>AF54=AH54</f>
        <v>1</v>
      </c>
      <c r="AH54" s="80" t="str">
        <f t="shared" ref="AH54:AH90" si="2">INDEX(labelitem,MATCH(AR54,items,0),1)</f>
        <v>a</v>
      </c>
      <c r="AI54" s="81" t="str">
        <f t="shared" ref="AI54:AI90" si="3">INDEX(labelitem,MATCH(AS54,items,0),1)</f>
        <v>Sigma</v>
      </c>
      <c r="AJ54" s="82" t="str">
        <f t="shared" ref="AJ54:AJ90" si="4">INDEX(labelitem,MATCH(AT54,items,0),1)</f>
        <v>Reg A</v>
      </c>
      <c r="AK54" s="6"/>
      <c r="AL54" s="8" t="str">
        <f t="shared" ref="AL54:AL90" si="5">"{"&amp;Y54*10+Z54</f>
        <v>{21</v>
      </c>
      <c r="AM54" s="27" t="str">
        <f t="shared" ref="AM54:AM90" si="6">VLOOKUP(AB54,labelitem,2,0)</f>
        <v>ITM_SIGMAPLUS</v>
      </c>
      <c r="AN54" s="27" t="str">
        <f t="shared" ref="AN54:AN90" si="7">VLOOKUP(AC54,labelitem,2,0)</f>
        <v>ITM_RI</v>
      </c>
      <c r="AO54" s="27" t="str">
        <f t="shared" ref="AO54:AO90" si="8">VLOOKUP(AD54,labelitem,2,0)</f>
        <v>ITM_TGLFRT</v>
      </c>
      <c r="AP54" s="46" t="str">
        <f>IF(NOT(ISNA(MATCH(AM54,Lookups!E:E,))),VLOOKUP(AM54,Lookups!E:F,2,0),
IF(NOT(ISNA(MATCH(AN54,Lookups!E:E,))),VLOOKUP(AN54,Lookups!E:F,2,0),
IF(NOT(ISNA(MATCH(AO54,Lookups!E:E,))),VLOOKUP(AO54,Lookups!E:F,2,0),"ITM_NULL")))</f>
        <v>ITM_NULL</v>
      </c>
      <c r="AQ54" s="28" t="str">
        <f t="shared" ref="AQ54:AQ71" si="9">VLOOKUP(AF54,labelitem,2,0)</f>
        <v>ITM_A</v>
      </c>
      <c r="AR54" s="192" t="s">
        <v>51</v>
      </c>
      <c r="AS54" s="193" t="s">
        <v>52</v>
      </c>
      <c r="AT54" s="253" t="s">
        <v>53</v>
      </c>
      <c r="AW54" s="14" t="str">
        <f>AL54</f>
        <v>{21</v>
      </c>
      <c r="AX54" s="157" t="str" cm="1">
        <f t="array" ref="AX54">SUBSTITUTE(SUBSTITUTE(_xlfn.SWITCH(AM54, "ITM_T_HOME", "ITM_UP1", "ITM_T_END", "ITM_DOWN1", "DOCU_CHR_sub", "ITM_DOWN_ARROW", "DOCU_CHR_super", "ITM_UP_ARROW", "MNU_TAMALPHA", "ITM_alpha", "DOCU_CHR_caseFLIP", "ITM_NULL", "DOCU_CHR_numSET", "ITM_NULL", "DOCU_ITM_RADIX", "ITM_PERIOD", AM54), ".lo", ),"MNU_", "-MNU_")</f>
        <v>ITM_SIGMAPLUS</v>
      </c>
      <c r="AY54" s="157" t="str" cm="1">
        <f t="array" ref="AY54">SUBSTITUTE(SUBSTITUTE(_xlfn.SWITCH(AN54, "ITM_T_HOME", "ITM_UP1", "ITM_T_END", "ITM_DOWN1", "DOCU_CHR_sub", "ITM_DOWN_ARROW", "DOCU_CHR_super", "ITM_UP_ARROW", "MNU_TAMALPHA", "ITM_alpha", "DOCU_CHR_caseFLIP", "ITM_NULL", "DOCU_CHR_numSET", "ITM_NULL", "DOCU_ITM_RADIX", "ITM_PERIOD", AN54), ".lo", ),"MNU_", "-MNU_")</f>
        <v>ITM_RI</v>
      </c>
      <c r="AZ54" s="157" t="str" cm="1">
        <f t="array" ref="AZ54">SUBSTITUTE(SUBSTITUTE(_xlfn.SWITCH(AO54, "ITM_T_HOME", "ITM_UP1", "ITM_T_END", "ITM_DOWN1", "DOCU_CHR_sub", "ITM_DOWN_ARROW", "DOCU_CHR_super", "ITM_UP_ARROW", "MNU_TAMALPHA", "ITM_alpha", "DOCU_CHR_caseFLIP", "ITM_NULL", "DOCU_CHR_numSET", "ITM_NULL", "DOCU_ITM_RADIX", "ITM_PERIOD", AO54), ".lo", ),"MNU_", "-MNU_")</f>
        <v>ITM_TGLFRT</v>
      </c>
      <c r="BA54" s="173" t="str" cm="1">
        <f t="array" ref="BA54">SUBSTITUTE(SUBSTITUTE(_xlfn.SWITCH(AP54, "ITM_T_HOME", "ITM_UP1", "ITM_T_END", "ITM_DOWN1", "DOCU_CHR_sub", "ITM_DOWN_ARROW", "DOCU_CHR_super", "ITM_UP_ARROW", "MNU_TAMALPHA", "ITM_alpha", "DOCU_CHR_caseFLIP", "ITM_NULL", "DOCU_CHR_numSET", "ITM_NULL", "DOCU_ITM_RADIX", "ITM_PERIOD", AP54), ".lo", ),"MNU_", "-MNU_")</f>
        <v>ITM_NULL</v>
      </c>
      <c r="BB54" s="157" t="str" cm="1">
        <f t="array" ref="BB54">SUBSTITUTE(SUBSTITUTE(_xlfn.SWITCH(AQ54, "ITM_T_HOME", "ITM_UP1", "ITM_T_END", "ITM_DOWN1", "DOCU_CHR_sub", "ITM_DOWN_ARROW", "DOCU_CHR_super", "ITM_UP_ARROW", "MNU_TAMALPHA", "ITM_alpha", "DOCU_CHR_caseFLIP", "ITM_NULL", "DOCU_CHR_numSET", "ITM_NULL", "DOCU_ITM_RADIX", "ITM_PERIOD", AQ54), ".lo", ),"MNU_", "-MNU_")</f>
        <v>ITM_A</v>
      </c>
      <c r="BC54" s="157" t="str" cm="1">
        <f t="array" ref="BC54">SUBSTITUTE(SUBSTITUTE(_xlfn.SWITCH(AR54, "ITM_T_HOME", "ITM_UP1", "ITM_T_END", "ITM_DOWN1", "DOCU_CHR_sub", "ITM_DOWN_ARROW", "DOCU_CHR_super", "ITM_UP_ARROW", "MNU_TAMALPHA", "ITM_alpha", "DOCU_CHR_caseFLIP", "ITM_NULL", "DOCU_CHR_numSET", "ITM_NULL", "DOCU_ITM_RADIX", "ITM_PERIOD", AR54), ".lo", ),"MNU_", "-MNU_")</f>
        <v>ITM_a</v>
      </c>
      <c r="BD54" s="157" t="str" cm="1">
        <f t="array" ref="BD54">SUBSTITUTE(SUBSTITUTE(_xlfn.SWITCH(AS54, "ITM_T_HOME", "ITM_UP1", "ITM_T_END", "ITM_DOWN1", "DOCU_CHR_sub", "ITM_DOWN_ARROW", "DOCU_CHR_super", "ITM_UP_ARROW", "MNU_TAMALPHA", "ITM_alpha", "DOCU_CHR_caseFLIP", "ITM_NULL", "DOCU_CHR_numSET", "ITM_NULL", "DOCU_ITM_RADIX", "ITM_PERIOD", AS54), ".lo", ),"MNU_", "-MNU_")</f>
        <v>ITM_SIGMA</v>
      </c>
      <c r="BE54" s="157" t="str" cm="1">
        <f t="array" ref="BE54">SUBSTITUTE(SUBSTITUTE(_xlfn.SWITCH(AT54, "ITM_T_HOME", "ITM_UP1", "ITM_T_END", "ITM_DOWN1", "DOCU_CHR_sub", "ITM_DOWN_ARROW", "DOCU_CHR_super", "ITM_UP_ARROW", "MNU_TAMALPHA", "ITM_alpha", "DOCU_CHR_caseFLIP", "ITM_NULL", "DOCU_CHR_numSET", "ITM_NULL", "DOCU_ITM_RADIX", "ITM_PERIOD", AT54), ".lo", ),"MNU_", "-MNU_")</f>
        <v>ITM_REG_A</v>
      </c>
      <c r="BG54" s="75"/>
      <c r="BH54" s="170">
        <v>20</v>
      </c>
      <c r="BI54" s="13" t="str">
        <f t="shared" ref="BI54:BI89" si="10">"  "&amp;AW54&amp;", "&amp;REPT(" ",$BH$54-LEN(AW54))&amp;
AX54&amp;", "&amp;REPT(" ",$BH$54-LEN(AX54))&amp;
AY54&amp;", "&amp;REPT(" ",$BH$54-LEN(AY54))&amp;
AZ54&amp;", "&amp;REPT(" ",$BH$54-LEN(AZ54))&amp;
BA54&amp;", "&amp;REPT(" ",$BH$54-LEN(BA54))&amp;
BB54&amp;", "&amp;REPT(" ",$BH$54-LEN(BB54))&amp;
BC54&amp;", "&amp;REPT(" ",$BH$54-LEN(BC54))&amp;
BD54&amp;", "&amp;REPT(" ",$BH$54-LEN(BD54))&amp;
BE54&amp;REPT(" ",$BH$54-LEN(BE54))&amp;
"},"</f>
        <v xml:space="preserve">  {21,                  ITM_SIGMAPLUS,        ITM_RI,               ITM_TGLFRT,           ITM_NULL,             ITM_A,                ITM_a,                ITM_SIGMA,            ITM_REG_A           },</v>
      </c>
      <c r="BL54" s="45" t="str">
        <f t="shared" ref="BL54:BL90" si="11">SUBSTITUTE(AR54,".lo","")</f>
        <v>ITM_a</v>
      </c>
      <c r="BM54" s="45" t="str">
        <f t="shared" ref="BM54:BM90" si="12">SUBSTITUTE(AS54,".lo","")</f>
        <v>ITM_SIGMA</v>
      </c>
    </row>
    <row r="55" spans="1:65" ht="22" thickBot="1" x14ac:dyDescent="0.25">
      <c r="A55" s="3">
        <v>0.1</v>
      </c>
      <c r="B55" s="3">
        <v>10</v>
      </c>
      <c r="C55" s="233"/>
      <c r="D55" s="235"/>
      <c r="E55" s="230"/>
      <c r="G55" s="233"/>
      <c r="H55" s="235"/>
      <c r="I55" s="230"/>
      <c r="J55" s="233"/>
      <c r="K55" s="235"/>
      <c r="L55" s="230"/>
      <c r="M55" s="233"/>
      <c r="N55" s="235"/>
      <c r="O55" s="230"/>
      <c r="P55" s="233"/>
      <c r="Q55" s="235"/>
      <c r="R55" s="230"/>
      <c r="S55" s="233"/>
      <c r="T55" s="235"/>
      <c r="U55" s="230"/>
      <c r="X55" s="127" t="str">
        <f t="shared" si="1"/>
        <v>C47</v>
      </c>
      <c r="Y55" s="109">
        <v>2</v>
      </c>
      <c r="Z55" s="109">
        <v>2</v>
      </c>
      <c r="AA55" s="112" t="str">
        <f t="shared" si="0"/>
        <v>C47.22</v>
      </c>
      <c r="AB55" s="117" t="s">
        <v>54</v>
      </c>
      <c r="AC55" s="118" t="s">
        <v>55</v>
      </c>
      <c r="AD55" s="119" t="s">
        <v>56</v>
      </c>
      <c r="AE55" s="3"/>
      <c r="AF55" s="49" t="s">
        <v>57</v>
      </c>
      <c r="AG55" s="77" t="b">
        <f t="shared" ref="AG55:AG90" si="13">AF55=AH55</f>
        <v>1</v>
      </c>
      <c r="AH55" s="83" t="str">
        <f t="shared" si="2"/>
        <v>b</v>
      </c>
      <c r="AI55" s="84" t="str">
        <f t="shared" si="3"/>
        <v>^</v>
      </c>
      <c r="AJ55" s="85" t="str">
        <f t="shared" si="4"/>
        <v>Reg B</v>
      </c>
      <c r="AK55" s="6"/>
      <c r="AL55" s="8" t="str">
        <f t="shared" si="5"/>
        <v>{22</v>
      </c>
      <c r="AM55" s="27" t="str">
        <f t="shared" si="6"/>
        <v>ITM_1ONX</v>
      </c>
      <c r="AN55" s="27" t="str">
        <f t="shared" si="7"/>
        <v>ITM_YX</v>
      </c>
      <c r="AO55" s="27" t="str">
        <f t="shared" si="8"/>
        <v>ITM_HASH_JM</v>
      </c>
      <c r="AP55" s="46" t="str">
        <f>IF(NOT(ISNA(MATCH(AM55,Lookups!E:E,))),VLOOKUP(AM55,Lookups!E:F,2,0),
IF(NOT(ISNA(MATCH(AN55,Lookups!E:E,))),VLOOKUP(AN55,Lookups!E:F,2,0),
IF(NOT(ISNA(MATCH(AO55,Lookups!E:E,))),VLOOKUP(AO55,Lookups!E:F,2,0),"ITM_NULL")))</f>
        <v>ITM_NUMBER_SIGN</v>
      </c>
      <c r="AQ55" s="28" t="str">
        <f t="shared" si="9"/>
        <v>ITM_B</v>
      </c>
      <c r="AR55" s="195" t="s">
        <v>58</v>
      </c>
      <c r="AS55" s="186" t="s">
        <v>59</v>
      </c>
      <c r="AT55" s="254" t="s">
        <v>60</v>
      </c>
      <c r="AW55" s="14" t="str">
        <f t="shared" ref="AW55:AW90" si="14">AL55</f>
        <v>{22</v>
      </c>
      <c r="AX55" s="157" t="str" cm="1">
        <f t="array" ref="AX55">SUBSTITUTE(SUBSTITUTE(_xlfn.SWITCH(AM55, "ITM_T_HOME", "ITM_UP1", "ITM_T_END", "ITM_DOWN1", "DOCU_CHR_sub", "ITM_DOWN_ARROW", "DOCU_CHR_super", "ITM_UP_ARROW", "MNU_TAMALPHA", "ITM_alpha", "DOCU_CHR_caseFLIP", "ITM_NULL", "DOCU_CHR_numSET", "ITM_NULL", "DOCU_ITM_RADIX", "ITM_PERIOD", AM55), ".lo", ),"MNU_", "-MNU_")</f>
        <v>ITM_1ONX</v>
      </c>
      <c r="AY55" s="157" t="str" cm="1">
        <f t="array" ref="AY55">SUBSTITUTE(SUBSTITUTE(_xlfn.SWITCH(AN55, "ITM_T_HOME", "ITM_UP1", "ITM_T_END", "ITM_DOWN1", "DOCU_CHR_sub", "ITM_DOWN_ARROW", "DOCU_CHR_super", "ITM_UP_ARROW", "MNU_TAMALPHA", "ITM_alpha", "DOCU_CHR_caseFLIP", "ITM_NULL", "DOCU_CHR_numSET", "ITM_NULL", "DOCU_ITM_RADIX", "ITM_PERIOD", AN55), ".lo", ),"MNU_", "-MNU_")</f>
        <v>ITM_YX</v>
      </c>
      <c r="AZ55" s="157" t="str" cm="1">
        <f t="array" ref="AZ55">SUBSTITUTE(SUBSTITUTE(_xlfn.SWITCH(AO55, "ITM_T_HOME", "ITM_UP1", "ITM_T_END", "ITM_DOWN1", "DOCU_CHR_sub", "ITM_DOWN_ARROW", "DOCU_CHR_super", "ITM_UP_ARROW", "MNU_TAMALPHA", "ITM_alpha", "DOCU_CHR_caseFLIP", "ITM_NULL", "DOCU_CHR_numSET", "ITM_NULL", "DOCU_ITM_RADIX", "ITM_PERIOD", AO55), ".lo", ),"MNU_", "-MNU_")</f>
        <v>ITM_HASH_JM</v>
      </c>
      <c r="BA55" s="173" t="str" cm="1">
        <f t="array" ref="BA55">SUBSTITUTE(SUBSTITUTE(_xlfn.SWITCH(AP55, "ITM_T_HOME", "ITM_UP1", "ITM_T_END", "ITM_DOWN1", "DOCU_CHR_sub", "ITM_DOWN_ARROW", "DOCU_CHR_super", "ITM_UP_ARROW", "MNU_TAMALPHA", "ITM_alpha", "DOCU_CHR_caseFLIP", "ITM_NULL", "DOCU_CHR_numSET", "ITM_NULL", "DOCU_ITM_RADIX", "ITM_PERIOD", AP55), ".lo", ),"MNU_", "-MNU_")</f>
        <v>ITM_NUMBER_SIGN</v>
      </c>
      <c r="BB55" s="157" t="str" cm="1">
        <f t="array" ref="BB55">SUBSTITUTE(SUBSTITUTE(_xlfn.SWITCH(AQ55, "ITM_T_HOME", "ITM_UP1", "ITM_T_END", "ITM_DOWN1", "DOCU_CHR_sub", "ITM_DOWN_ARROW", "DOCU_CHR_super", "ITM_UP_ARROW", "MNU_TAMALPHA", "ITM_alpha", "DOCU_CHR_caseFLIP", "ITM_NULL", "DOCU_CHR_numSET", "ITM_NULL", "DOCU_ITM_RADIX", "ITM_PERIOD", AQ55), ".lo", ),"MNU_", "-MNU_")</f>
        <v>ITM_B</v>
      </c>
      <c r="BC55" s="157" t="str" cm="1">
        <f t="array" ref="BC55">SUBSTITUTE(SUBSTITUTE(_xlfn.SWITCH(AR55, "ITM_T_HOME", "ITM_UP1", "ITM_T_END", "ITM_DOWN1", "DOCU_CHR_sub", "ITM_DOWN_ARROW", "DOCU_CHR_super", "ITM_UP_ARROW", "MNU_TAMALPHA", "ITM_alpha", "DOCU_CHR_caseFLIP", "ITM_NULL", "DOCU_CHR_numSET", "ITM_NULL", "DOCU_ITM_RADIX", "ITM_PERIOD", AR55), ".lo", ),"MNU_", "-MNU_")</f>
        <v>ITM_b</v>
      </c>
      <c r="BD55" s="157" t="str" cm="1">
        <f t="array" ref="BD55">SUBSTITUTE(SUBSTITUTE(_xlfn.SWITCH(AS55, "ITM_T_HOME", "ITM_UP1", "ITM_T_END", "ITM_DOWN1", "DOCU_CHR_sub", "ITM_DOWN_ARROW", "DOCU_CHR_super", "ITM_UP_ARROW", "MNU_TAMALPHA", "ITM_alpha", "DOCU_CHR_caseFLIP", "ITM_NULL", "DOCU_CHR_numSET", "ITM_NULL", "DOCU_ITM_RADIX", "ITM_PERIOD", AS55), ".lo", ),"MNU_", "-MNU_")</f>
        <v>ITM_CIRCUMFLEX</v>
      </c>
      <c r="BE55" s="157" t="str" cm="1">
        <f t="array" ref="BE55">SUBSTITUTE(SUBSTITUTE(_xlfn.SWITCH(AT55, "ITM_T_HOME", "ITM_UP1", "ITM_T_END", "ITM_DOWN1", "DOCU_CHR_sub", "ITM_DOWN_ARROW", "DOCU_CHR_super", "ITM_UP_ARROW", "MNU_TAMALPHA", "ITM_alpha", "DOCU_CHR_caseFLIP", "ITM_NULL", "DOCU_CHR_numSET", "ITM_NULL", "DOCU_ITM_RADIX", "ITM_PERIOD", AT55), ".lo", ),"MNU_", "-MNU_")</f>
        <v>ITM_REG_B</v>
      </c>
      <c r="BG55" s="75"/>
      <c r="BI55" s="13" t="str">
        <f t="shared" si="10"/>
        <v xml:space="preserve">  {22,                  ITM_1ONX,             ITM_YX,               ITM_HASH_JM,          ITM_NUMBER_SIGN,      ITM_B,                ITM_b,                ITM_CIRCUMFLEX,       ITM_REG_B           },</v>
      </c>
      <c r="BL55" s="45" t="str">
        <f t="shared" si="11"/>
        <v>ITM_b</v>
      </c>
      <c r="BM55" s="45" t="str">
        <f t="shared" si="12"/>
        <v>ITM_CIRCUMFLEX</v>
      </c>
    </row>
    <row r="56" spans="1:65" ht="21" x14ac:dyDescent="0.2">
      <c r="A56" s="3"/>
      <c r="B56" s="3"/>
      <c r="C56" s="3">
        <f>2/10</f>
        <v>0.2</v>
      </c>
      <c r="D56" s="3">
        <f>3/10</f>
        <v>0.3</v>
      </c>
      <c r="E56" s="3">
        <f>4/10</f>
        <v>0.4</v>
      </c>
      <c r="F56" s="3"/>
      <c r="G56" s="3">
        <f>2/10</f>
        <v>0.2</v>
      </c>
      <c r="H56" s="3">
        <f>3/10</f>
        <v>0.3</v>
      </c>
      <c r="I56" s="3">
        <f>4/10</f>
        <v>0.4</v>
      </c>
      <c r="J56" s="3">
        <f>2/10</f>
        <v>0.2</v>
      </c>
      <c r="K56" s="3">
        <f>3/10</f>
        <v>0.3</v>
      </c>
      <c r="L56" s="3">
        <f>4/10</f>
        <v>0.4</v>
      </c>
      <c r="M56" s="3">
        <f>2/10</f>
        <v>0.2</v>
      </c>
      <c r="N56" s="3">
        <f>3/10</f>
        <v>0.3</v>
      </c>
      <c r="O56" s="3">
        <f>4/10</f>
        <v>0.4</v>
      </c>
      <c r="P56" s="3">
        <f>2/10</f>
        <v>0.2</v>
      </c>
      <c r="Q56" s="3">
        <f>3/10</f>
        <v>0.3</v>
      </c>
      <c r="R56" s="3">
        <f>4/10</f>
        <v>0.4</v>
      </c>
      <c r="S56" s="3">
        <f>2/10</f>
        <v>0.2</v>
      </c>
      <c r="T56" s="3">
        <f>3/10</f>
        <v>0.3</v>
      </c>
      <c r="U56" s="3">
        <f>4/10</f>
        <v>0.4</v>
      </c>
      <c r="X56" s="127" t="str">
        <f t="shared" si="1"/>
        <v>C47</v>
      </c>
      <c r="Y56" s="109">
        <v>2</v>
      </c>
      <c r="Z56" s="109">
        <v>3</v>
      </c>
      <c r="AA56" s="112" t="str">
        <f t="shared" si="0"/>
        <v>C47.23</v>
      </c>
      <c r="AB56" s="117" t="s">
        <v>61</v>
      </c>
      <c r="AC56" s="118" t="s">
        <v>62</v>
      </c>
      <c r="AD56" s="119" t="s">
        <v>63</v>
      </c>
      <c r="AE56" s="3"/>
      <c r="AF56" s="49" t="s">
        <v>64</v>
      </c>
      <c r="AG56" s="77" t="b">
        <f t="shared" si="13"/>
        <v>1</v>
      </c>
      <c r="AH56" s="83" t="str">
        <f t="shared" si="2"/>
        <v>c</v>
      </c>
      <c r="AI56" s="84" t="str">
        <f t="shared" si="3"/>
        <v>√</v>
      </c>
      <c r="AJ56" s="85" t="str">
        <f t="shared" si="4"/>
        <v>Reg C</v>
      </c>
      <c r="AK56" s="6"/>
      <c r="AL56" s="8" t="str">
        <f t="shared" si="5"/>
        <v>{23</v>
      </c>
      <c r="AM56" s="27" t="str">
        <f t="shared" si="6"/>
        <v>ITM_SQUAREROOTX</v>
      </c>
      <c r="AN56" s="27" t="str">
        <f t="shared" si="7"/>
        <v>ITM_SQUARE</v>
      </c>
      <c r="AO56" s="27" t="str">
        <f t="shared" si="8"/>
        <v>ITM_ms</v>
      </c>
      <c r="AP56" s="46" t="str">
        <f>IF(NOT(ISNA(MATCH(AM56,Lookups!E:E,))),VLOOKUP(AM56,Lookups!E:F,2,0),
IF(NOT(ISNA(MATCH(AN56,Lookups!E:E,))),VLOOKUP(AN56,Lookups!E:F,2,0),
IF(NOT(ISNA(MATCH(AO56,Lookups!E:E,))),VLOOKUP(AO56,Lookups!E:F,2,0),"ITM_NULL")))</f>
        <v>ITM_ROOT_SIGN</v>
      </c>
      <c r="AQ56" s="28" t="str">
        <f t="shared" si="9"/>
        <v>ITM_C</v>
      </c>
      <c r="AR56" s="195" t="s">
        <v>65</v>
      </c>
      <c r="AS56" s="186" t="s">
        <v>66</v>
      </c>
      <c r="AT56" s="254" t="s">
        <v>67</v>
      </c>
      <c r="AW56" s="14" t="str">
        <f t="shared" si="14"/>
        <v>{23</v>
      </c>
      <c r="AX56" s="157" t="str" cm="1">
        <f t="array" ref="AX56">SUBSTITUTE(SUBSTITUTE(_xlfn.SWITCH(AM56, "ITM_T_HOME", "ITM_UP1", "ITM_T_END", "ITM_DOWN1", "DOCU_CHR_sub", "ITM_DOWN_ARROW", "DOCU_CHR_super", "ITM_UP_ARROW", "MNU_TAMALPHA", "ITM_alpha", "DOCU_CHR_caseFLIP", "ITM_NULL", "DOCU_CHR_numSET", "ITM_NULL", "DOCU_ITM_RADIX", "ITM_PERIOD", AM56), ".lo", ),"MNU_", "-MNU_")</f>
        <v>ITM_SQUAREROOTX</v>
      </c>
      <c r="AY56" s="157" t="str" cm="1">
        <f t="array" ref="AY56">SUBSTITUTE(SUBSTITUTE(_xlfn.SWITCH(AN56, "ITM_T_HOME", "ITM_UP1", "ITM_T_END", "ITM_DOWN1", "DOCU_CHR_sub", "ITM_DOWN_ARROW", "DOCU_CHR_super", "ITM_UP_ARROW", "MNU_TAMALPHA", "ITM_alpha", "DOCU_CHR_caseFLIP", "ITM_NULL", "DOCU_CHR_numSET", "ITM_NULL", "DOCU_ITM_RADIX", "ITM_PERIOD", AN56), ".lo", ),"MNU_", "-MNU_")</f>
        <v>ITM_SQUARE</v>
      </c>
      <c r="AZ56" s="157" t="str" cm="1">
        <f t="array" ref="AZ56">SUBSTITUTE(SUBSTITUTE(_xlfn.SWITCH(AO56, "ITM_T_HOME", "ITM_UP1", "ITM_T_END", "ITM_DOWN1", "DOCU_CHR_sub", "ITM_DOWN_ARROW", "DOCU_CHR_super", "ITM_UP_ARROW", "MNU_TAMALPHA", "ITM_alpha", "DOCU_CHR_caseFLIP", "ITM_NULL", "DOCU_CHR_numSET", "ITM_NULL", "DOCU_ITM_RADIX", "ITM_PERIOD", AO56), ".lo", ),"MNU_", "-MNU_")</f>
        <v>ITM_ms</v>
      </c>
      <c r="BA56" s="173" t="str" cm="1">
        <f t="array" ref="BA56">SUBSTITUTE(SUBSTITUTE(_xlfn.SWITCH(AP56, "ITM_T_HOME", "ITM_UP1", "ITM_T_END", "ITM_DOWN1", "DOCU_CHR_sub", "ITM_DOWN_ARROW", "DOCU_CHR_super", "ITM_UP_ARROW", "MNU_TAMALPHA", "ITM_alpha", "DOCU_CHR_caseFLIP", "ITM_NULL", "DOCU_CHR_numSET", "ITM_NULL", "DOCU_ITM_RADIX", "ITM_PERIOD", AP56), ".lo", ),"MNU_", "-MNU_")</f>
        <v>ITM_ROOT_SIGN</v>
      </c>
      <c r="BB56" s="157" t="str" cm="1">
        <f t="array" ref="BB56">SUBSTITUTE(SUBSTITUTE(_xlfn.SWITCH(AQ56, "ITM_T_HOME", "ITM_UP1", "ITM_T_END", "ITM_DOWN1", "DOCU_CHR_sub", "ITM_DOWN_ARROW", "DOCU_CHR_super", "ITM_UP_ARROW", "MNU_TAMALPHA", "ITM_alpha", "DOCU_CHR_caseFLIP", "ITM_NULL", "DOCU_CHR_numSET", "ITM_NULL", "DOCU_ITM_RADIX", "ITM_PERIOD", AQ56), ".lo", ),"MNU_", "-MNU_")</f>
        <v>ITM_C</v>
      </c>
      <c r="BC56" s="157" t="str" cm="1">
        <f t="array" ref="BC56">SUBSTITUTE(SUBSTITUTE(_xlfn.SWITCH(AR56, "ITM_T_HOME", "ITM_UP1", "ITM_T_END", "ITM_DOWN1", "DOCU_CHR_sub", "ITM_DOWN_ARROW", "DOCU_CHR_super", "ITM_UP_ARROW", "MNU_TAMALPHA", "ITM_alpha", "DOCU_CHR_caseFLIP", "ITM_NULL", "DOCU_CHR_numSET", "ITM_NULL", "DOCU_ITM_RADIX", "ITM_PERIOD", AR56), ".lo", ),"MNU_", "-MNU_")</f>
        <v>ITM_c</v>
      </c>
      <c r="BD56" s="157" t="str" cm="1">
        <f t="array" ref="BD56">SUBSTITUTE(SUBSTITUTE(_xlfn.SWITCH(AS56, "ITM_T_HOME", "ITM_UP1", "ITM_T_END", "ITM_DOWN1", "DOCU_CHR_sub", "ITM_DOWN_ARROW", "DOCU_CHR_super", "ITM_UP_ARROW", "MNU_TAMALPHA", "ITM_alpha", "DOCU_CHR_caseFLIP", "ITM_NULL", "DOCU_CHR_numSET", "ITM_NULL", "DOCU_ITM_RADIX", "ITM_PERIOD", AS56), ".lo", ),"MNU_", "-MNU_")</f>
        <v>ITM_ROOT_SIGN</v>
      </c>
      <c r="BE56" s="157" t="str" cm="1">
        <f t="array" ref="BE56">SUBSTITUTE(SUBSTITUTE(_xlfn.SWITCH(AT56, "ITM_T_HOME", "ITM_UP1", "ITM_T_END", "ITM_DOWN1", "DOCU_CHR_sub", "ITM_DOWN_ARROW", "DOCU_CHR_super", "ITM_UP_ARROW", "MNU_TAMALPHA", "ITM_alpha", "DOCU_CHR_caseFLIP", "ITM_NULL", "DOCU_CHR_numSET", "ITM_NULL", "DOCU_ITM_RADIX", "ITM_PERIOD", AT56), ".lo", ),"MNU_", "-MNU_")</f>
        <v>ITM_REG_C</v>
      </c>
      <c r="BG56" s="75"/>
      <c r="BI56" s="13" t="str">
        <f t="shared" si="10"/>
        <v xml:space="preserve">  {23,                  ITM_SQUAREROOTX,      ITM_SQUARE,           ITM_ms,               ITM_ROOT_SIGN,        ITM_C,                ITM_c,                ITM_ROOT_SIGN,        ITM_REG_C           },</v>
      </c>
      <c r="BL56" s="45" t="str">
        <f t="shared" si="11"/>
        <v>ITM_c</v>
      </c>
      <c r="BM56" s="45" t="str">
        <f t="shared" si="12"/>
        <v>ITM_ROOT_SIGN</v>
      </c>
    </row>
    <row r="57" spans="1:65" ht="21" x14ac:dyDescent="0.2">
      <c r="A57" s="3"/>
      <c r="B57" s="3"/>
      <c r="C57" s="3">
        <v>1</v>
      </c>
      <c r="D57" s="3">
        <v>1</v>
      </c>
      <c r="E57" s="3">
        <v>1</v>
      </c>
      <c r="F57" s="3"/>
      <c r="G57" s="3">
        <v>2</v>
      </c>
      <c r="H57" s="3">
        <v>2</v>
      </c>
      <c r="I57" s="3">
        <v>2</v>
      </c>
      <c r="J57" s="3">
        <v>3</v>
      </c>
      <c r="K57" s="3">
        <v>3</v>
      </c>
      <c r="L57" s="3">
        <v>3</v>
      </c>
      <c r="M57" s="3">
        <v>4</v>
      </c>
      <c r="N57" s="3">
        <v>4</v>
      </c>
      <c r="O57" s="3">
        <v>4</v>
      </c>
      <c r="P57" s="3">
        <v>5</v>
      </c>
      <c r="Q57" s="3">
        <v>5</v>
      </c>
      <c r="R57" s="3">
        <v>5</v>
      </c>
      <c r="S57" s="3">
        <v>6</v>
      </c>
      <c r="T57" s="3">
        <v>6</v>
      </c>
      <c r="U57" s="3">
        <v>6</v>
      </c>
      <c r="X57" s="127" t="str">
        <f t="shared" si="1"/>
        <v>C47</v>
      </c>
      <c r="Y57" s="109">
        <v>2</v>
      </c>
      <c r="Z57" s="109">
        <v>4</v>
      </c>
      <c r="AA57" s="112" t="str">
        <f t="shared" si="0"/>
        <v>C47.24</v>
      </c>
      <c r="AB57" s="117" t="s">
        <v>68</v>
      </c>
      <c r="AC57" s="118" t="s">
        <v>69</v>
      </c>
      <c r="AD57" s="119" t="s">
        <v>70</v>
      </c>
      <c r="AE57" s="3"/>
      <c r="AF57" s="49" t="s">
        <v>71</v>
      </c>
      <c r="AG57" s="77" t="b">
        <f t="shared" si="13"/>
        <v>1</v>
      </c>
      <c r="AH57" s="83" t="str">
        <f t="shared" si="2"/>
        <v>d</v>
      </c>
      <c r="AI57" s="84" t="str">
        <f t="shared" si="3"/>
        <v>LOG</v>
      </c>
      <c r="AJ57" s="85" t="str">
        <f t="shared" si="4"/>
        <v>Reg D</v>
      </c>
      <c r="AK57" s="6"/>
      <c r="AL57" s="8" t="str">
        <f t="shared" si="5"/>
        <v>{24</v>
      </c>
      <c r="AM57" s="27" t="str">
        <f t="shared" si="6"/>
        <v>ITM_LOG10</v>
      </c>
      <c r="AN57" s="27" t="str">
        <f t="shared" si="7"/>
        <v>ITM_10x</v>
      </c>
      <c r="AO57" s="27" t="str">
        <f t="shared" si="8"/>
        <v>ITM_dotD</v>
      </c>
      <c r="AP57" s="46" t="str">
        <f>IF(NOT(ISNA(MATCH(AM57,Lookups!E:E,))),VLOOKUP(AM57,Lookups!E:F,2,0),
IF(NOT(ISNA(MATCH(AN57,Lookups!E:E,))),VLOOKUP(AN57,Lookups!E:F,2,0),
IF(NOT(ISNA(MATCH(AO57,Lookups!E:E,))),VLOOKUP(AO57,Lookups!E:F,2,0),"ITM_NULL")))</f>
        <v>ITM_NULL</v>
      </c>
      <c r="AQ57" s="28" t="str">
        <f t="shared" si="9"/>
        <v>ITM_D</v>
      </c>
      <c r="AR57" s="195" t="s">
        <v>72</v>
      </c>
      <c r="AS57" s="186" t="s">
        <v>73</v>
      </c>
      <c r="AT57" s="254" t="s">
        <v>74</v>
      </c>
      <c r="AW57" s="14" t="str">
        <f t="shared" si="14"/>
        <v>{24</v>
      </c>
      <c r="AX57" s="157" t="str" cm="1">
        <f t="array" ref="AX57">SUBSTITUTE(SUBSTITUTE(_xlfn.SWITCH(AM57, "ITM_T_HOME", "ITM_UP1", "ITM_T_END", "ITM_DOWN1", "DOCU_CHR_sub", "ITM_DOWN_ARROW", "DOCU_CHR_super", "ITM_UP_ARROW", "MNU_TAMALPHA", "ITM_alpha", "DOCU_CHR_caseFLIP", "ITM_NULL", "DOCU_CHR_numSET", "ITM_NULL", "DOCU_ITM_RADIX", "ITM_PERIOD", AM57), ".lo", ),"MNU_", "-MNU_")</f>
        <v>ITM_LOG10</v>
      </c>
      <c r="AY57" s="157" t="str" cm="1">
        <f t="array" ref="AY57">SUBSTITUTE(SUBSTITUTE(_xlfn.SWITCH(AN57, "ITM_T_HOME", "ITM_UP1", "ITM_T_END", "ITM_DOWN1", "DOCU_CHR_sub", "ITM_DOWN_ARROW", "DOCU_CHR_super", "ITM_UP_ARROW", "MNU_TAMALPHA", "ITM_alpha", "DOCU_CHR_caseFLIP", "ITM_NULL", "DOCU_CHR_numSET", "ITM_NULL", "DOCU_ITM_RADIX", "ITM_PERIOD", AN57), ".lo", ),"MNU_", "-MNU_")</f>
        <v>ITM_10x</v>
      </c>
      <c r="AZ57" s="157" t="str" cm="1">
        <f t="array" ref="AZ57">SUBSTITUTE(SUBSTITUTE(_xlfn.SWITCH(AO57, "ITM_T_HOME", "ITM_UP1", "ITM_T_END", "ITM_DOWN1", "DOCU_CHR_sub", "ITM_DOWN_ARROW", "DOCU_CHR_super", "ITM_UP_ARROW", "MNU_TAMALPHA", "ITM_alpha", "DOCU_CHR_caseFLIP", "ITM_NULL", "DOCU_CHR_numSET", "ITM_NULL", "DOCU_ITM_RADIX", "ITM_PERIOD", AO57), ".lo", ),"MNU_", "-MNU_")</f>
        <v>ITM_dotD</v>
      </c>
      <c r="BA57" s="173" t="str" cm="1">
        <f t="array" ref="BA57">SUBSTITUTE(SUBSTITUTE(_xlfn.SWITCH(AP57, "ITM_T_HOME", "ITM_UP1", "ITM_T_END", "ITM_DOWN1", "DOCU_CHR_sub", "ITM_DOWN_ARROW", "DOCU_CHR_super", "ITM_UP_ARROW", "MNU_TAMALPHA", "ITM_alpha", "DOCU_CHR_caseFLIP", "ITM_NULL", "DOCU_CHR_numSET", "ITM_NULL", "DOCU_ITM_RADIX", "ITM_PERIOD", AP57), ".lo", ),"MNU_", "-MNU_")</f>
        <v>ITM_NULL</v>
      </c>
      <c r="BB57" s="157" t="str" cm="1">
        <f t="array" ref="BB57">SUBSTITUTE(SUBSTITUTE(_xlfn.SWITCH(AQ57, "ITM_T_HOME", "ITM_UP1", "ITM_T_END", "ITM_DOWN1", "DOCU_CHR_sub", "ITM_DOWN_ARROW", "DOCU_CHR_super", "ITM_UP_ARROW", "MNU_TAMALPHA", "ITM_alpha", "DOCU_CHR_caseFLIP", "ITM_NULL", "DOCU_CHR_numSET", "ITM_NULL", "DOCU_ITM_RADIX", "ITM_PERIOD", AQ57), ".lo", ),"MNU_", "-MNU_")</f>
        <v>ITM_D</v>
      </c>
      <c r="BC57" s="157" t="str" cm="1">
        <f t="array" ref="BC57">SUBSTITUTE(SUBSTITUTE(_xlfn.SWITCH(AR57, "ITM_T_HOME", "ITM_UP1", "ITM_T_END", "ITM_DOWN1", "DOCU_CHR_sub", "ITM_DOWN_ARROW", "DOCU_CHR_super", "ITM_UP_ARROW", "MNU_TAMALPHA", "ITM_alpha", "DOCU_CHR_caseFLIP", "ITM_NULL", "DOCU_CHR_numSET", "ITM_NULL", "DOCU_ITM_RADIX", "ITM_PERIOD", AR57), ".lo", ),"MNU_", "-MNU_")</f>
        <v>ITM_d</v>
      </c>
      <c r="BD57" s="157" t="str" cm="1">
        <f t="array" ref="BD57">SUBSTITUTE(SUBSTITUTE(_xlfn.SWITCH(AS57, "ITM_T_HOME", "ITM_UP1", "ITM_T_END", "ITM_DOWN1", "DOCU_CHR_sub", "ITM_DOWN_ARROW", "DOCU_CHR_super", "ITM_UP_ARROW", "MNU_TAMALPHA", "ITM_alpha", "DOCU_CHR_caseFLIP", "ITM_NULL", "DOCU_CHR_numSET", "ITM_NULL", "DOCU_ITM_RADIX", "ITM_PERIOD", AS57), ".lo", ),"MNU_", "-MNU_")</f>
        <v>ITM_LG_SIGN</v>
      </c>
      <c r="BE57" s="157" t="str" cm="1">
        <f t="array" ref="BE57">SUBSTITUTE(SUBSTITUTE(_xlfn.SWITCH(AT57, "ITM_T_HOME", "ITM_UP1", "ITM_T_END", "ITM_DOWN1", "DOCU_CHR_sub", "ITM_DOWN_ARROW", "DOCU_CHR_super", "ITM_UP_ARROW", "MNU_TAMALPHA", "ITM_alpha", "DOCU_CHR_caseFLIP", "ITM_NULL", "DOCU_CHR_numSET", "ITM_NULL", "DOCU_ITM_RADIX", "ITM_PERIOD", AT57), ".lo", ),"MNU_", "-MNU_")</f>
        <v>ITM_REG_D</v>
      </c>
      <c r="BG57" s="75"/>
      <c r="BI57" s="13" t="str">
        <f t="shared" si="10"/>
        <v xml:space="preserve">  {24,                  ITM_LOG10,            ITM_10x,              ITM_dotD,             ITM_NULL,             ITM_D,                ITM_d,                ITM_LG_SIGN,          ITM_REG_D           },</v>
      </c>
      <c r="BL57" s="45" t="str">
        <f t="shared" si="11"/>
        <v>ITM_d</v>
      </c>
      <c r="BM57" s="45" t="str">
        <f t="shared" si="12"/>
        <v>ITM_LG_SIGN</v>
      </c>
    </row>
    <row r="58" spans="1:65" ht="22" thickBot="1" x14ac:dyDescent="0.25">
      <c r="A58" s="3"/>
      <c r="B58" s="3">
        <v>20</v>
      </c>
      <c r="C58" s="4" t="str">
        <f>layout&amp;"."&amp;$B58+C57+C56</f>
        <v>C47.21,2</v>
      </c>
      <c r="D58" s="4" t="str">
        <f>layout&amp;"."&amp;$B58+D57+D56</f>
        <v>C47.21,3</v>
      </c>
      <c r="G58" s="4" t="str">
        <f>layout&amp;"."&amp;$B58+G57+G56</f>
        <v>C47.22,2</v>
      </c>
      <c r="H58" s="4" t="str">
        <f>layout&amp;"."&amp;$B58+H57+H56</f>
        <v>C47.22,3</v>
      </c>
      <c r="J58" s="4" t="str">
        <f>layout&amp;"."&amp;$B58+J57+J56</f>
        <v>C47.23,2</v>
      </c>
      <c r="K58" s="4" t="str">
        <f>layout&amp;"."&amp;$B58+K57+K56</f>
        <v>C47.23,3</v>
      </c>
      <c r="M58" s="4" t="str">
        <f>layout&amp;"."&amp;$B58+M57+M56</f>
        <v>C47.24,2</v>
      </c>
      <c r="N58" s="4" t="str">
        <f>layout&amp;"."&amp;$B58+N57+N56</f>
        <v>C47.24,3</v>
      </c>
      <c r="P58" s="4" t="str">
        <f>layout&amp;"."&amp;$B58+P57+P56</f>
        <v>C47.25,2</v>
      </c>
      <c r="Q58" s="4" t="str">
        <f>layout&amp;"."&amp;$B58+Q57+Q56</f>
        <v>C47.25,3</v>
      </c>
      <c r="S58" s="4" t="str">
        <f>layout&amp;"."&amp;$B58+S57+S56</f>
        <v>C47.26,2</v>
      </c>
      <c r="T58" s="4" t="str">
        <f>layout&amp;"."&amp;$B58+T57+T56</f>
        <v>C47.26,3</v>
      </c>
      <c r="X58" s="127" t="str">
        <f t="shared" si="1"/>
        <v>C47</v>
      </c>
      <c r="Y58" s="109">
        <v>2</v>
      </c>
      <c r="Z58" s="109">
        <v>5</v>
      </c>
      <c r="AA58" s="112" t="str">
        <f t="shared" si="0"/>
        <v>C47.25</v>
      </c>
      <c r="AB58" s="117" t="s">
        <v>75</v>
      </c>
      <c r="AC58" s="118" t="s">
        <v>76</v>
      </c>
      <c r="AD58" s="119" t="s">
        <v>77</v>
      </c>
      <c r="AE58" s="3"/>
      <c r="AF58" s="49" t="s">
        <v>78</v>
      </c>
      <c r="AG58" s="77" t="b">
        <f t="shared" si="13"/>
        <v>1</v>
      </c>
      <c r="AH58" s="83" t="str">
        <f t="shared" si="2"/>
        <v>e</v>
      </c>
      <c r="AI58" s="84" t="str">
        <f t="shared" si="3"/>
        <v>LN</v>
      </c>
      <c r="AJ58" s="85" t="str">
        <f t="shared" si="4"/>
        <v>Reg E</v>
      </c>
      <c r="AK58" s="6"/>
      <c r="AL58" s="8" t="str">
        <f t="shared" si="5"/>
        <v>{25</v>
      </c>
      <c r="AM58" s="27" t="str">
        <f t="shared" si="6"/>
        <v>ITM_LN</v>
      </c>
      <c r="AN58" s="27" t="str">
        <f t="shared" si="7"/>
        <v>ITM_EXP</v>
      </c>
      <c r="AO58" s="27" t="str">
        <f t="shared" si="8"/>
        <v>ITM_LBL</v>
      </c>
      <c r="AP58" s="46" t="str">
        <f>IF(NOT(ISNA(MATCH(AM58,Lookups!E:E,))),VLOOKUP(AM58,Lookups!E:F,2,0),
IF(NOT(ISNA(MATCH(AN58,Lookups!E:E,))),VLOOKUP(AN58,Lookups!E:F,2,0),
IF(NOT(ISNA(MATCH(AO58,Lookups!E:E,))),VLOOKUP(AO58,Lookups!E:F,2,0),"ITM_NULL")))</f>
        <v>ITM_NULL</v>
      </c>
      <c r="AQ58" s="28" t="str">
        <f t="shared" si="9"/>
        <v>ITM_E</v>
      </c>
      <c r="AR58" s="195" t="s">
        <v>79</v>
      </c>
      <c r="AS58" s="186" t="s">
        <v>80</v>
      </c>
      <c r="AT58" s="255" t="s">
        <v>672</v>
      </c>
      <c r="AW58" s="14" t="str">
        <f t="shared" si="14"/>
        <v>{25</v>
      </c>
      <c r="AX58" s="157" t="str" cm="1">
        <f t="array" ref="AX58">SUBSTITUTE(SUBSTITUTE(_xlfn.SWITCH(AM58, "ITM_T_HOME", "ITM_UP1", "ITM_T_END", "ITM_DOWN1", "DOCU_CHR_sub", "ITM_DOWN_ARROW", "DOCU_CHR_super", "ITM_UP_ARROW", "MNU_TAMALPHA", "ITM_alpha", "DOCU_CHR_caseFLIP", "ITM_NULL", "DOCU_CHR_numSET", "ITM_NULL", "DOCU_ITM_RADIX", "ITM_PERIOD", AM58), ".lo", ),"MNU_", "-MNU_")</f>
        <v>ITM_LN</v>
      </c>
      <c r="AY58" s="157" t="str" cm="1">
        <f t="array" ref="AY58">SUBSTITUTE(SUBSTITUTE(_xlfn.SWITCH(AN58, "ITM_T_HOME", "ITM_UP1", "ITM_T_END", "ITM_DOWN1", "DOCU_CHR_sub", "ITM_DOWN_ARROW", "DOCU_CHR_super", "ITM_UP_ARROW", "MNU_TAMALPHA", "ITM_alpha", "DOCU_CHR_caseFLIP", "ITM_NULL", "DOCU_CHR_numSET", "ITM_NULL", "DOCU_ITM_RADIX", "ITM_PERIOD", AN58), ".lo", ),"MNU_", "-MNU_")</f>
        <v>ITM_EXP</v>
      </c>
      <c r="AZ58" s="157" t="str" cm="1">
        <f t="array" ref="AZ58">SUBSTITUTE(SUBSTITUTE(_xlfn.SWITCH(AO58, "ITM_T_HOME", "ITM_UP1", "ITM_T_END", "ITM_DOWN1", "DOCU_CHR_sub", "ITM_DOWN_ARROW", "DOCU_CHR_super", "ITM_UP_ARROW", "MNU_TAMALPHA", "ITM_alpha", "DOCU_CHR_caseFLIP", "ITM_NULL", "DOCU_CHR_numSET", "ITM_NULL", "DOCU_ITM_RADIX", "ITM_PERIOD", AO58), ".lo", ),"MNU_", "-MNU_")</f>
        <v>ITM_LBL</v>
      </c>
      <c r="BA58" s="173" t="str" cm="1">
        <f t="array" ref="BA58">SUBSTITUTE(SUBSTITUTE(_xlfn.SWITCH(AP58, "ITM_T_HOME", "ITM_UP1", "ITM_T_END", "ITM_DOWN1", "DOCU_CHR_sub", "ITM_DOWN_ARROW", "DOCU_CHR_super", "ITM_UP_ARROW", "MNU_TAMALPHA", "ITM_alpha", "DOCU_CHR_caseFLIP", "ITM_NULL", "DOCU_CHR_numSET", "ITM_NULL", "DOCU_ITM_RADIX", "ITM_PERIOD", AP58), ".lo", ),"MNU_", "-MNU_")</f>
        <v>ITM_NULL</v>
      </c>
      <c r="BB58" s="157" t="str" cm="1">
        <f t="array" ref="BB58">SUBSTITUTE(SUBSTITUTE(_xlfn.SWITCH(AQ58, "ITM_T_HOME", "ITM_UP1", "ITM_T_END", "ITM_DOWN1", "DOCU_CHR_sub", "ITM_DOWN_ARROW", "DOCU_CHR_super", "ITM_UP_ARROW", "MNU_TAMALPHA", "ITM_alpha", "DOCU_CHR_caseFLIP", "ITM_NULL", "DOCU_CHR_numSET", "ITM_NULL", "DOCU_ITM_RADIX", "ITM_PERIOD", AQ58), ".lo", ),"MNU_", "-MNU_")</f>
        <v>ITM_E</v>
      </c>
      <c r="BC58" s="157" t="str" cm="1">
        <f t="array" ref="BC58">SUBSTITUTE(SUBSTITUTE(_xlfn.SWITCH(AR58, "ITM_T_HOME", "ITM_UP1", "ITM_T_END", "ITM_DOWN1", "DOCU_CHR_sub", "ITM_DOWN_ARROW", "DOCU_CHR_super", "ITM_UP_ARROW", "MNU_TAMALPHA", "ITM_alpha", "DOCU_CHR_caseFLIP", "ITM_NULL", "DOCU_CHR_numSET", "ITM_NULL", "DOCU_ITM_RADIX", "ITM_PERIOD", AR58), ".lo", ),"MNU_", "-MNU_")</f>
        <v>ITM_e</v>
      </c>
      <c r="BD58" s="157" t="str" cm="1">
        <f t="array" ref="BD58">SUBSTITUTE(SUBSTITUTE(_xlfn.SWITCH(AS58, "ITM_T_HOME", "ITM_UP1", "ITM_T_END", "ITM_DOWN1", "DOCU_CHR_sub", "ITM_DOWN_ARROW", "DOCU_CHR_super", "ITM_UP_ARROW", "MNU_TAMALPHA", "ITM_alpha", "DOCU_CHR_caseFLIP", "ITM_NULL", "DOCU_CHR_numSET", "ITM_NULL", "DOCU_ITM_RADIX", "ITM_PERIOD", AS58), ".lo", ),"MNU_", "-MNU_")</f>
        <v>ITM_LN_SIGN</v>
      </c>
      <c r="BE58" s="157" t="str" cm="1">
        <f t="array" ref="BE58">SUBSTITUTE(SUBSTITUTE(_xlfn.SWITCH(AT58, "ITM_T_HOME", "ITM_UP1", "ITM_T_END", "ITM_DOWN1", "DOCU_CHR_sub", "ITM_DOWN_ARROW", "DOCU_CHR_super", "ITM_UP_ARROW", "MNU_TAMALPHA", "ITM_alpha", "DOCU_CHR_caseFLIP", "ITM_NULL", "DOCU_CHR_numSET", "ITM_NULL", "DOCU_ITM_RADIX", "ITM_PERIOD", AT58), ".lo", ),"MNU_", "-MNU_")</f>
        <v>ITM_REG_E</v>
      </c>
      <c r="BG58" s="75"/>
      <c r="BI58" s="13" t="str">
        <f t="shared" si="10"/>
        <v xml:space="preserve">  {25,                  ITM_LN,               ITM_EXP,              ITM_LBL,              ITM_NULL,             ITM_E,                ITM_e,                ITM_LN_SIGN,          ITM_REG_E           },</v>
      </c>
      <c r="BL58" s="45" t="str">
        <f t="shared" si="11"/>
        <v>ITM_e</v>
      </c>
      <c r="BM58" s="45" t="str">
        <f t="shared" si="12"/>
        <v>ITM_LN_SIGN</v>
      </c>
    </row>
    <row r="59" spans="1:65" ht="21" x14ac:dyDescent="0.2">
      <c r="A59" s="3">
        <v>0.1</v>
      </c>
      <c r="B59" s="3">
        <v>20</v>
      </c>
      <c r="C59" s="227" t="str">
        <f>layout&amp;"."&amp;$B61+C57+$A59</f>
        <v>C47.21,1</v>
      </c>
      <c r="D59" s="229"/>
      <c r="E59" s="236" t="str">
        <f>layout&amp;"."&amp;$B59+E57+E56</f>
        <v>C47.21,4</v>
      </c>
      <c r="G59" s="227" t="str">
        <f>layout&amp;"."&amp;$B61+G57+$A59</f>
        <v>C47.22,1</v>
      </c>
      <c r="H59" s="229"/>
      <c r="I59" s="236" t="str">
        <f>layout&amp;"."&amp;$B59+I57+I56</f>
        <v>C47.22,4</v>
      </c>
      <c r="J59" s="227" t="str">
        <f>layout&amp;"."&amp;$B61+J57+$A59</f>
        <v>C47.23,1</v>
      </c>
      <c r="K59" s="229"/>
      <c r="L59" s="236" t="str">
        <f>layout&amp;"."&amp;$B59+L57+L56</f>
        <v>C47.23,4</v>
      </c>
      <c r="M59" s="227" t="str">
        <f>layout&amp;"."&amp;$B61+M57+$A59</f>
        <v>C47.24,1</v>
      </c>
      <c r="N59" s="229"/>
      <c r="O59" s="236" t="str">
        <f>layout&amp;"."&amp;$B59+O57+O56</f>
        <v>C47.24,4</v>
      </c>
      <c r="P59" s="227" t="str">
        <f>layout&amp;"."&amp;$B61+P57+$A59</f>
        <v>C47.25,1</v>
      </c>
      <c r="Q59" s="229"/>
      <c r="R59" s="236" t="str">
        <f>layout&amp;"."&amp;$B59+R57+R56</f>
        <v>C47.25,4</v>
      </c>
      <c r="S59" s="227" t="str">
        <f>layout&amp;"."&amp;$B61+S57+$A59</f>
        <v>C47.26,1</v>
      </c>
      <c r="T59" s="229"/>
      <c r="U59" s="236" t="str">
        <f>layout&amp;"."&amp;$B59+U57+U56</f>
        <v>C47.26,4</v>
      </c>
      <c r="X59" s="127" t="str">
        <f t="shared" si="1"/>
        <v>C47</v>
      </c>
      <c r="Y59" s="109">
        <v>2</v>
      </c>
      <c r="Z59" s="109">
        <v>6</v>
      </c>
      <c r="AA59" s="112" t="str">
        <f t="shared" si="0"/>
        <v>C47.26</v>
      </c>
      <c r="AB59" s="117" t="s">
        <v>82</v>
      </c>
      <c r="AC59" s="118" t="s">
        <v>83</v>
      </c>
      <c r="AD59" s="119" t="s">
        <v>84</v>
      </c>
      <c r="AE59" s="3"/>
      <c r="AF59" s="49" t="s">
        <v>85</v>
      </c>
      <c r="AG59" s="77" t="b">
        <f t="shared" si="13"/>
        <v>1</v>
      </c>
      <c r="AH59" s="83" t="str">
        <f t="shared" si="2"/>
        <v>f</v>
      </c>
      <c r="AI59" s="84" t="str">
        <f t="shared" si="3"/>
        <v>alpha</v>
      </c>
      <c r="AJ59" s="85" t="str">
        <f t="shared" si="4"/>
        <v>[TAMALPHA]</v>
      </c>
      <c r="AK59" s="6"/>
      <c r="AL59" s="8" t="str">
        <f t="shared" si="5"/>
        <v>{26</v>
      </c>
      <c r="AM59" s="27" t="str">
        <f t="shared" si="6"/>
        <v>ITM_XEQ</v>
      </c>
      <c r="AN59" s="27" t="str">
        <f t="shared" si="7"/>
        <v>ITM_AIM</v>
      </c>
      <c r="AO59" s="27" t="str">
        <f t="shared" si="8"/>
        <v>ITM_GTO</v>
      </c>
      <c r="AP59" s="46" t="str">
        <f>IF(NOT(ISNA(MATCH(AM59,Lookups!E:E,))),VLOOKUP(AM59,Lookups!E:F,2,0),
IF(NOT(ISNA(MATCH(AN59,Lookups!E:E,))),VLOOKUP(AN59,Lookups!E:F,2,0),
IF(NOT(ISNA(MATCH(AO59,Lookups!E:E,))),VLOOKUP(AO59,Lookups!E:F,2,0),"ITM_NULL")))</f>
        <v>ITM_NULL</v>
      </c>
      <c r="AQ59" s="28" t="str">
        <f t="shared" si="9"/>
        <v>ITM_F</v>
      </c>
      <c r="AR59" s="195" t="s">
        <v>86</v>
      </c>
      <c r="AS59" s="186" t="s">
        <v>87</v>
      </c>
      <c r="AT59" s="255" t="s">
        <v>622</v>
      </c>
      <c r="AW59" s="14" t="str">
        <f t="shared" si="14"/>
        <v>{26</v>
      </c>
      <c r="AX59" s="157" t="str" cm="1">
        <f t="array" ref="AX59">SUBSTITUTE(SUBSTITUTE(_xlfn.SWITCH(AM59, "ITM_T_HOME", "ITM_UP1", "ITM_T_END", "ITM_DOWN1", "DOCU_CHR_sub", "ITM_DOWN_ARROW", "DOCU_CHR_super", "ITM_UP_ARROW", "MNU_TAMALPHA", "ITM_alpha", "DOCU_CHR_caseFLIP", "ITM_NULL", "DOCU_CHR_numSET", "ITM_NULL", "DOCU_ITM_RADIX", "ITM_PERIOD", AM59), ".lo", ),"MNU_", "-MNU_")</f>
        <v>ITM_XEQ</v>
      </c>
      <c r="AY59" s="157" t="str" cm="1">
        <f t="array" ref="AY59">SUBSTITUTE(SUBSTITUTE(_xlfn.SWITCH(AN59, "ITM_T_HOME", "ITM_UP1", "ITM_T_END", "ITM_DOWN1", "DOCU_CHR_sub", "ITM_DOWN_ARROW", "DOCU_CHR_super", "ITM_UP_ARROW", "MNU_TAMALPHA", "ITM_alpha", "DOCU_CHR_caseFLIP", "ITM_NULL", "DOCU_CHR_numSET", "ITM_NULL", "DOCU_ITM_RADIX", "ITM_PERIOD", AN59), ".lo", ),"MNU_", "-MNU_")</f>
        <v>ITM_AIM</v>
      </c>
      <c r="AZ59" s="157" t="str" cm="1">
        <f t="array" ref="AZ59">SUBSTITUTE(SUBSTITUTE(_xlfn.SWITCH(AO59, "ITM_T_HOME", "ITM_UP1", "ITM_T_END", "ITM_DOWN1", "DOCU_CHR_sub", "ITM_DOWN_ARROW", "DOCU_CHR_super", "ITM_UP_ARROW", "MNU_TAMALPHA", "ITM_alpha", "DOCU_CHR_caseFLIP", "ITM_NULL", "DOCU_CHR_numSET", "ITM_NULL", "DOCU_ITM_RADIX", "ITM_PERIOD", AO59), ".lo", ),"MNU_", "-MNU_")</f>
        <v>ITM_GTO</v>
      </c>
      <c r="BA59" s="173" t="str" cm="1">
        <f t="array" ref="BA59">SUBSTITUTE(SUBSTITUTE(_xlfn.SWITCH(AP59, "ITM_T_HOME", "ITM_UP1", "ITM_T_END", "ITM_DOWN1", "DOCU_CHR_sub", "ITM_DOWN_ARROW", "DOCU_CHR_super", "ITM_UP_ARROW", "MNU_TAMALPHA", "ITM_alpha", "DOCU_CHR_caseFLIP", "ITM_NULL", "DOCU_CHR_numSET", "ITM_NULL", "DOCU_ITM_RADIX", "ITM_PERIOD", AP59), ".lo", ),"MNU_", "-MNU_")</f>
        <v>ITM_NULL</v>
      </c>
      <c r="BB59" s="157" t="str" cm="1">
        <f t="array" ref="BB59">SUBSTITUTE(SUBSTITUTE(_xlfn.SWITCH(AQ59, "ITM_T_HOME", "ITM_UP1", "ITM_T_END", "ITM_DOWN1", "DOCU_CHR_sub", "ITM_DOWN_ARROW", "DOCU_CHR_super", "ITM_UP_ARROW", "MNU_TAMALPHA", "ITM_alpha", "DOCU_CHR_caseFLIP", "ITM_NULL", "DOCU_CHR_numSET", "ITM_NULL", "DOCU_ITM_RADIX", "ITM_PERIOD", AQ59), ".lo", ),"MNU_", "-MNU_")</f>
        <v>ITM_F</v>
      </c>
      <c r="BC59" s="157" t="str" cm="1">
        <f t="array" ref="BC59">SUBSTITUTE(SUBSTITUTE(_xlfn.SWITCH(AR59, "ITM_T_HOME", "ITM_UP1", "ITM_T_END", "ITM_DOWN1", "DOCU_CHR_sub", "ITM_DOWN_ARROW", "DOCU_CHR_super", "ITM_UP_ARROW", "MNU_TAMALPHA", "ITM_alpha", "DOCU_CHR_caseFLIP", "ITM_NULL", "DOCU_CHR_numSET", "ITM_NULL", "DOCU_ITM_RADIX", "ITM_PERIOD", AR59), ".lo", ),"MNU_", "-MNU_")</f>
        <v>ITM_f</v>
      </c>
      <c r="BD59" s="157" t="str" cm="1">
        <f t="array" ref="BD59">SUBSTITUTE(SUBSTITUTE(_xlfn.SWITCH(AS59, "ITM_T_HOME", "ITM_UP1", "ITM_T_END", "ITM_DOWN1", "DOCU_CHR_sub", "ITM_DOWN_ARROW", "DOCU_CHR_super", "ITM_UP_ARROW", "MNU_TAMALPHA", "ITM_alpha", "DOCU_CHR_caseFLIP", "ITM_NULL", "DOCU_CHR_numSET", "ITM_NULL", "DOCU_ITM_RADIX", "ITM_PERIOD", AS59), ".lo", ),"MNU_", "-MNU_")</f>
        <v>ITM_alpha</v>
      </c>
      <c r="BE59" s="157" t="str" cm="1">
        <f t="array" ref="BE59">SUBSTITUTE(SUBSTITUTE(_xlfn.SWITCH(AT59, "ITM_T_HOME", "ITM_UP1", "ITM_T_END", "ITM_DOWN1", "DOCU_CHR_sub", "ITM_DOWN_ARROW", "DOCU_CHR_super", "ITM_UP_ARROW", "MNU_TAMALPHA", "ITM_alpha", "DOCU_CHR_caseFLIP", "ITM_NULL", "DOCU_CHR_numSET", "ITM_NULL", "DOCU_ITM_RADIX", "ITM_PERIOD", AT59), ".lo", ),"MNU_", "-MNU_")</f>
        <v>ITM_alpha</v>
      </c>
      <c r="BG59" s="75"/>
      <c r="BI59" s="13" t="str">
        <f t="shared" si="10"/>
        <v xml:space="preserve">  {26,                  ITM_XEQ,              ITM_AIM,              ITM_GTO,              ITM_NULL,             ITM_F,                ITM_f,                ITM_alpha,            ITM_alpha           },</v>
      </c>
      <c r="BL59" s="45" t="str">
        <f t="shared" si="11"/>
        <v>ITM_f</v>
      </c>
      <c r="BM59" s="45" t="str">
        <f t="shared" si="12"/>
        <v>ITM_alpha</v>
      </c>
    </row>
    <row r="60" spans="1:65" ht="21" x14ac:dyDescent="0.2">
      <c r="A60" s="3">
        <v>0.1</v>
      </c>
      <c r="B60" s="3">
        <v>20</v>
      </c>
      <c r="C60" s="230"/>
      <c r="D60" s="232"/>
      <c r="E60" s="236" t="e">
        <f>layout&amp;"."&amp;$B60+E59+E58</f>
        <v>#VALUE!</v>
      </c>
      <c r="G60" s="230"/>
      <c r="H60" s="232"/>
      <c r="I60" s="236" t="e">
        <f>layout&amp;"."&amp;$B60+I59+I58</f>
        <v>#VALUE!</v>
      </c>
      <c r="J60" s="230"/>
      <c r="K60" s="232"/>
      <c r="L60" s="236" t="e">
        <f>layout&amp;"."&amp;$B60+L59+L58</f>
        <v>#VALUE!</v>
      </c>
      <c r="M60" s="230"/>
      <c r="N60" s="232"/>
      <c r="O60" s="236" t="e">
        <f>layout&amp;"."&amp;$B60+O59+O58</f>
        <v>#VALUE!</v>
      </c>
      <c r="P60" s="230"/>
      <c r="Q60" s="232"/>
      <c r="R60" s="236" t="e">
        <f>layout&amp;"."&amp;$B60+R59+R58</f>
        <v>#VALUE!</v>
      </c>
      <c r="S60" s="230"/>
      <c r="T60" s="232"/>
      <c r="U60" s="236" t="e">
        <f>layout&amp;"."&amp;$B60+U59+U58</f>
        <v>#VALUE!</v>
      </c>
      <c r="X60" s="127" t="str">
        <f t="shared" si="1"/>
        <v>C47</v>
      </c>
      <c r="Y60" s="106">
        <v>3</v>
      </c>
      <c r="Z60" s="106">
        <v>1</v>
      </c>
      <c r="AA60" s="112" t="str">
        <f t="shared" si="0"/>
        <v>C47.31</v>
      </c>
      <c r="AB60" s="117" t="s">
        <v>88</v>
      </c>
      <c r="AC60" s="118" t="s">
        <v>89</v>
      </c>
      <c r="AD60" s="119" t="s">
        <v>90</v>
      </c>
      <c r="AE60" s="3"/>
      <c r="AF60" s="49" t="s">
        <v>91</v>
      </c>
      <c r="AG60" s="77" t="b">
        <f t="shared" si="13"/>
        <v>1</v>
      </c>
      <c r="AH60" s="83" t="str">
        <f t="shared" si="2"/>
        <v>g</v>
      </c>
      <c r="AI60" s="84" t="str">
        <f t="shared" si="3"/>
        <v>|</v>
      </c>
      <c r="AJ60" s="85" t="str">
        <f t="shared" si="4"/>
        <v>Reg G</v>
      </c>
      <c r="AK60" s="6"/>
      <c r="AL60" s="8" t="str">
        <f t="shared" si="5"/>
        <v>{31</v>
      </c>
      <c r="AM60" s="27" t="str">
        <f t="shared" si="6"/>
        <v>ITM_STO</v>
      </c>
      <c r="AN60" s="27" t="str">
        <f t="shared" si="7"/>
        <v>ITM_MAGNITUDE</v>
      </c>
      <c r="AO60" s="64" t="str">
        <f t="shared" si="8"/>
        <v>ITM_ARG</v>
      </c>
      <c r="AP60" s="46" t="str">
        <f>IF(NOT(ISNA(MATCH(AM60,Lookups!E:E,))),VLOOKUP(AM60,Lookups!E:F,2,0),
IF(NOT(ISNA(MATCH(AN60,Lookups!E:E,))),VLOOKUP(AN60,Lookups!E:F,2,0),
IF(NOT(ISNA(MATCH(AO60,Lookups!E:E,))),VLOOKUP(AO60,Lookups!E:F,2,0),"ITM_NULL")))</f>
        <v>ITM_NULL</v>
      </c>
      <c r="AQ60" s="28" t="str">
        <f t="shared" si="9"/>
        <v>ITM_G</v>
      </c>
      <c r="AR60" s="195" t="s">
        <v>92</v>
      </c>
      <c r="AS60" s="186" t="s">
        <v>93</v>
      </c>
      <c r="AT60" s="255" t="s">
        <v>673</v>
      </c>
      <c r="AW60" s="14" t="str">
        <f t="shared" si="14"/>
        <v>{31</v>
      </c>
      <c r="AX60" s="157" t="str" cm="1">
        <f t="array" ref="AX60">SUBSTITUTE(SUBSTITUTE(_xlfn.SWITCH(AM60, "ITM_T_HOME", "ITM_UP1", "ITM_T_END", "ITM_DOWN1", "DOCU_CHR_sub", "ITM_DOWN_ARROW", "DOCU_CHR_super", "ITM_UP_ARROW", "MNU_TAMALPHA", "ITM_alpha", "DOCU_CHR_caseFLIP", "ITM_NULL", "DOCU_CHR_numSET", "ITM_NULL", "DOCU_ITM_RADIX", "ITM_PERIOD", AM60), ".lo", ),"MNU_", "-MNU_")</f>
        <v>ITM_STO</v>
      </c>
      <c r="AY60" s="157" t="str" cm="1">
        <f t="array" ref="AY60">SUBSTITUTE(SUBSTITUTE(_xlfn.SWITCH(AN60, "ITM_T_HOME", "ITM_UP1", "ITM_T_END", "ITM_DOWN1", "DOCU_CHR_sub", "ITM_DOWN_ARROW", "DOCU_CHR_super", "ITM_UP_ARROW", "MNU_TAMALPHA", "ITM_alpha", "DOCU_CHR_caseFLIP", "ITM_NULL", "DOCU_CHR_numSET", "ITM_NULL", "DOCU_ITM_RADIX", "ITM_PERIOD", AN60), ".lo", ),"MNU_", "-MNU_")</f>
        <v>ITM_MAGNITUDE</v>
      </c>
      <c r="AZ60" s="157" t="str" cm="1">
        <f t="array" ref="AZ60">SUBSTITUTE(SUBSTITUTE(_xlfn.SWITCH(AO60, "ITM_T_HOME", "ITM_UP1", "ITM_T_END", "ITM_DOWN1", "DOCU_CHR_sub", "ITM_DOWN_ARROW", "DOCU_CHR_super", "ITM_UP_ARROW", "MNU_TAMALPHA", "ITM_alpha", "DOCU_CHR_caseFLIP", "ITM_NULL", "DOCU_CHR_numSET", "ITM_NULL", "DOCU_ITM_RADIX", "ITM_PERIOD", AO60), ".lo", ),"MNU_", "-MNU_")</f>
        <v>ITM_ARG</v>
      </c>
      <c r="BA60" s="173" t="str" cm="1">
        <f t="array" ref="BA60">SUBSTITUTE(SUBSTITUTE(_xlfn.SWITCH(AP60, "ITM_T_HOME", "ITM_UP1", "ITM_T_END", "ITM_DOWN1", "DOCU_CHR_sub", "ITM_DOWN_ARROW", "DOCU_CHR_super", "ITM_UP_ARROW", "MNU_TAMALPHA", "ITM_alpha", "DOCU_CHR_caseFLIP", "ITM_NULL", "DOCU_CHR_numSET", "ITM_NULL", "DOCU_ITM_RADIX", "ITM_PERIOD", AP60), ".lo", ),"MNU_", "-MNU_")</f>
        <v>ITM_NULL</v>
      </c>
      <c r="BB60" s="157" t="str" cm="1">
        <f t="array" ref="BB60">SUBSTITUTE(SUBSTITUTE(_xlfn.SWITCH(AQ60, "ITM_T_HOME", "ITM_UP1", "ITM_T_END", "ITM_DOWN1", "DOCU_CHR_sub", "ITM_DOWN_ARROW", "DOCU_CHR_super", "ITM_UP_ARROW", "MNU_TAMALPHA", "ITM_alpha", "DOCU_CHR_caseFLIP", "ITM_NULL", "DOCU_CHR_numSET", "ITM_NULL", "DOCU_ITM_RADIX", "ITM_PERIOD", AQ60), ".lo", ),"MNU_", "-MNU_")</f>
        <v>ITM_G</v>
      </c>
      <c r="BC60" s="157" t="str" cm="1">
        <f t="array" ref="BC60">SUBSTITUTE(SUBSTITUTE(_xlfn.SWITCH(AR60, "ITM_T_HOME", "ITM_UP1", "ITM_T_END", "ITM_DOWN1", "DOCU_CHR_sub", "ITM_DOWN_ARROW", "DOCU_CHR_super", "ITM_UP_ARROW", "MNU_TAMALPHA", "ITM_alpha", "DOCU_CHR_caseFLIP", "ITM_NULL", "DOCU_CHR_numSET", "ITM_NULL", "DOCU_ITM_RADIX", "ITM_PERIOD", AR60), ".lo", ),"MNU_", "-MNU_")</f>
        <v>ITM_g</v>
      </c>
      <c r="BD60" s="157" t="str" cm="1">
        <f t="array" ref="BD60">SUBSTITUTE(SUBSTITUTE(_xlfn.SWITCH(AS60, "ITM_T_HOME", "ITM_UP1", "ITM_T_END", "ITM_DOWN1", "DOCU_CHR_sub", "ITM_DOWN_ARROW", "DOCU_CHR_super", "ITM_UP_ARROW", "MNU_TAMALPHA", "ITM_alpha", "DOCU_CHR_caseFLIP", "ITM_NULL", "DOCU_CHR_numSET", "ITM_NULL", "DOCU_ITM_RADIX", "ITM_PERIOD", AS60), ".lo", ),"MNU_", "-MNU_")</f>
        <v>ITM_VERTICAL_BAR</v>
      </c>
      <c r="BE60" s="157" t="str" cm="1">
        <f t="array" ref="BE60">SUBSTITUTE(SUBSTITUTE(_xlfn.SWITCH(AT60, "ITM_T_HOME", "ITM_UP1", "ITM_T_END", "ITM_DOWN1", "DOCU_CHR_sub", "ITM_DOWN_ARROW", "DOCU_CHR_super", "ITM_UP_ARROW", "MNU_TAMALPHA", "ITM_alpha", "DOCU_CHR_caseFLIP", "ITM_NULL", "DOCU_CHR_numSET", "ITM_NULL", "DOCU_ITM_RADIX", "ITM_PERIOD", AT60), ".lo", ),"MNU_", "-MNU_")</f>
        <v>ITM_REG_G</v>
      </c>
      <c r="BG60" s="75"/>
      <c r="BI60" s="13" t="str">
        <f t="shared" si="10"/>
        <v xml:space="preserve">  {31,                  ITM_STO,              ITM_MAGNITUDE,        ITM_ARG,              ITM_NULL,             ITM_G,                ITM_g,                ITM_VERTICAL_BAR,     ITM_REG_G           },</v>
      </c>
      <c r="BL60" s="45" t="str">
        <f t="shared" si="11"/>
        <v>ITM_g</v>
      </c>
      <c r="BM60" s="45" t="str">
        <f t="shared" si="12"/>
        <v>ITM_VERTICAL_BAR</v>
      </c>
    </row>
    <row r="61" spans="1:65" ht="22" thickBot="1" x14ac:dyDescent="0.25">
      <c r="A61" s="3">
        <v>0.1</v>
      </c>
      <c r="B61" s="3">
        <v>20</v>
      </c>
      <c r="C61" s="233"/>
      <c r="D61" s="235"/>
      <c r="E61" s="236" t="e">
        <f>layout&amp;"."&amp;$B61+E60+E59</f>
        <v>#VALUE!</v>
      </c>
      <c r="G61" s="233"/>
      <c r="H61" s="235"/>
      <c r="I61" s="236" t="e">
        <f>layout&amp;"."&amp;$B61+I60+I59</f>
        <v>#VALUE!</v>
      </c>
      <c r="J61" s="233"/>
      <c r="K61" s="235"/>
      <c r="L61" s="236" t="e">
        <f>layout&amp;"."&amp;$B61+L60+L59</f>
        <v>#VALUE!</v>
      </c>
      <c r="M61" s="233"/>
      <c r="N61" s="235"/>
      <c r="O61" s="236" t="e">
        <f>layout&amp;"."&amp;$B61+O60+O59</f>
        <v>#VALUE!</v>
      </c>
      <c r="P61" s="233"/>
      <c r="Q61" s="235"/>
      <c r="R61" s="236" t="e">
        <f>layout&amp;"."&amp;$B61+R60+R59</f>
        <v>#VALUE!</v>
      </c>
      <c r="S61" s="233"/>
      <c r="T61" s="235"/>
      <c r="U61" s="236" t="e">
        <f>layout&amp;"."&amp;$B61+U60+U59</f>
        <v>#VALUE!</v>
      </c>
      <c r="X61" s="127" t="str">
        <f t="shared" si="1"/>
        <v>C47</v>
      </c>
      <c r="Y61" s="109">
        <v>3</v>
      </c>
      <c r="Z61" s="109">
        <v>2</v>
      </c>
      <c r="AA61" s="112" t="str">
        <f t="shared" si="0"/>
        <v>C47.32</v>
      </c>
      <c r="AB61" s="117" t="s">
        <v>94</v>
      </c>
      <c r="AC61" s="118" t="s">
        <v>95</v>
      </c>
      <c r="AD61" s="119" t="s">
        <v>96</v>
      </c>
      <c r="AE61" s="3"/>
      <c r="AF61" s="49" t="s">
        <v>97</v>
      </c>
      <c r="AG61" s="77" t="b">
        <f t="shared" si="13"/>
        <v>1</v>
      </c>
      <c r="AH61" s="83" t="str">
        <f t="shared" si="2"/>
        <v>h</v>
      </c>
      <c r="AI61" s="84" t="str">
        <f t="shared" si="3"/>
        <v>Delta</v>
      </c>
      <c r="AJ61" s="85" t="str">
        <f t="shared" si="4"/>
        <v>Reg H</v>
      </c>
      <c r="AK61" s="6"/>
      <c r="AL61" s="8" t="str">
        <f t="shared" si="5"/>
        <v>{32</v>
      </c>
      <c r="AM61" s="27" t="str">
        <f t="shared" si="6"/>
        <v>ITM_RCL</v>
      </c>
      <c r="AN61" s="27" t="str">
        <f t="shared" si="7"/>
        <v>ITM_PC</v>
      </c>
      <c r="AO61" s="64" t="str">
        <f t="shared" si="8"/>
        <v>ITM_DELTAPC</v>
      </c>
      <c r="AP61" s="46" t="str">
        <f>IF(NOT(ISNA(MATCH(AM61,Lookups!E:E,))),VLOOKUP(AM61,Lookups!E:F,2,0),
IF(NOT(ISNA(MATCH(AN61,Lookups!E:E,))),VLOOKUP(AN61,Lookups!E:F,2,0),
IF(NOT(ISNA(MATCH(AO61,Lookups!E:E,))),VLOOKUP(AO61,Lookups!E:F,2,0),"ITM_NULL")))</f>
        <v>ITM_NULL</v>
      </c>
      <c r="AQ61" s="222" t="str">
        <f t="shared" si="9"/>
        <v>ITM_H</v>
      </c>
      <c r="AR61" s="195" t="s">
        <v>98</v>
      </c>
      <c r="AS61" s="186" t="s">
        <v>99</v>
      </c>
      <c r="AT61" s="255" t="s">
        <v>674</v>
      </c>
      <c r="AW61" s="14" t="str">
        <f t="shared" si="14"/>
        <v>{32</v>
      </c>
      <c r="AX61" s="157" t="str" cm="1">
        <f t="array" ref="AX61">SUBSTITUTE(SUBSTITUTE(_xlfn.SWITCH(AM61, "ITM_T_HOME", "ITM_UP1", "ITM_T_END", "ITM_DOWN1", "DOCU_CHR_sub", "ITM_DOWN_ARROW", "DOCU_CHR_super", "ITM_UP_ARROW", "MNU_TAMALPHA", "ITM_alpha", "DOCU_CHR_caseFLIP", "ITM_NULL", "DOCU_CHR_numSET", "ITM_NULL", "DOCU_ITM_RADIX", "ITM_PERIOD", AM61), ".lo", ),"MNU_", "-MNU_")</f>
        <v>ITM_RCL</v>
      </c>
      <c r="AY61" s="157" t="str" cm="1">
        <f t="array" ref="AY61">SUBSTITUTE(SUBSTITUTE(_xlfn.SWITCH(AN61, "ITM_T_HOME", "ITM_UP1", "ITM_T_END", "ITM_DOWN1", "DOCU_CHR_sub", "ITM_DOWN_ARROW", "DOCU_CHR_super", "ITM_UP_ARROW", "MNU_TAMALPHA", "ITM_alpha", "DOCU_CHR_caseFLIP", "ITM_NULL", "DOCU_CHR_numSET", "ITM_NULL", "DOCU_ITM_RADIX", "ITM_PERIOD", AN61), ".lo", ),"MNU_", "-MNU_")</f>
        <v>ITM_PC</v>
      </c>
      <c r="AZ61" s="157" t="str" cm="1">
        <f t="array" ref="AZ61">SUBSTITUTE(SUBSTITUTE(_xlfn.SWITCH(AO61, "ITM_T_HOME", "ITM_UP1", "ITM_T_END", "ITM_DOWN1", "DOCU_CHR_sub", "ITM_DOWN_ARROW", "DOCU_CHR_super", "ITM_UP_ARROW", "MNU_TAMALPHA", "ITM_alpha", "DOCU_CHR_caseFLIP", "ITM_NULL", "DOCU_CHR_numSET", "ITM_NULL", "DOCU_ITM_RADIX", "ITM_PERIOD", AO61), ".lo", ),"MNU_", "-MNU_")</f>
        <v>ITM_DELTAPC</v>
      </c>
      <c r="BA61" s="173" t="str" cm="1">
        <f t="array" ref="BA61">SUBSTITUTE(SUBSTITUTE(_xlfn.SWITCH(AP61, "ITM_T_HOME", "ITM_UP1", "ITM_T_END", "ITM_DOWN1", "DOCU_CHR_sub", "ITM_DOWN_ARROW", "DOCU_CHR_super", "ITM_UP_ARROW", "MNU_TAMALPHA", "ITM_alpha", "DOCU_CHR_caseFLIP", "ITM_NULL", "DOCU_CHR_numSET", "ITM_NULL", "DOCU_ITM_RADIX", "ITM_PERIOD", AP61), ".lo", ),"MNU_", "-MNU_")</f>
        <v>ITM_NULL</v>
      </c>
      <c r="BB61" s="157" t="str" cm="1">
        <f t="array" ref="BB61">SUBSTITUTE(SUBSTITUTE(_xlfn.SWITCH(AQ61, "ITM_T_HOME", "ITM_UP1", "ITM_T_END", "ITM_DOWN1", "DOCU_CHR_sub", "ITM_DOWN_ARROW", "DOCU_CHR_super", "ITM_UP_ARROW", "MNU_TAMALPHA", "ITM_alpha", "DOCU_CHR_caseFLIP", "ITM_NULL", "DOCU_CHR_numSET", "ITM_NULL", "DOCU_ITM_RADIX", "ITM_PERIOD", AQ61), ".lo", ),"MNU_", "-MNU_")</f>
        <v>ITM_H</v>
      </c>
      <c r="BC61" s="157" t="str" cm="1">
        <f t="array" ref="BC61">SUBSTITUTE(SUBSTITUTE(_xlfn.SWITCH(AR61, "ITM_T_HOME", "ITM_UP1", "ITM_T_END", "ITM_DOWN1", "DOCU_CHR_sub", "ITM_DOWN_ARROW", "DOCU_CHR_super", "ITM_UP_ARROW", "MNU_TAMALPHA", "ITM_alpha", "DOCU_CHR_caseFLIP", "ITM_NULL", "DOCU_CHR_numSET", "ITM_NULL", "DOCU_ITM_RADIX", "ITM_PERIOD", AR61), ".lo", ),"MNU_", "-MNU_")</f>
        <v>ITM_h</v>
      </c>
      <c r="BD61" s="157" t="str" cm="1">
        <f t="array" ref="BD61">SUBSTITUTE(SUBSTITUTE(_xlfn.SWITCH(AS61, "ITM_T_HOME", "ITM_UP1", "ITM_T_END", "ITM_DOWN1", "DOCU_CHR_sub", "ITM_DOWN_ARROW", "DOCU_CHR_super", "ITM_UP_ARROW", "MNU_TAMALPHA", "ITM_alpha", "DOCU_CHR_caseFLIP", "ITM_NULL", "DOCU_CHR_numSET", "ITM_NULL", "DOCU_ITM_RADIX", "ITM_PERIOD", AS61), ".lo", ),"MNU_", "-MNU_")</f>
        <v>ITM_DELTA</v>
      </c>
      <c r="BE61" s="157" t="str" cm="1">
        <f t="array" ref="BE61">SUBSTITUTE(SUBSTITUTE(_xlfn.SWITCH(AT61, "ITM_T_HOME", "ITM_UP1", "ITM_T_END", "ITM_DOWN1", "DOCU_CHR_sub", "ITM_DOWN_ARROW", "DOCU_CHR_super", "ITM_UP_ARROW", "MNU_TAMALPHA", "ITM_alpha", "DOCU_CHR_caseFLIP", "ITM_NULL", "DOCU_CHR_numSET", "ITM_NULL", "DOCU_ITM_RADIX", "ITM_PERIOD", AT61), ".lo", ),"MNU_", "-MNU_")</f>
        <v>ITM_REG_H</v>
      </c>
      <c r="BG61" s="75"/>
      <c r="BI61" s="13" t="str">
        <f t="shared" si="10"/>
        <v xml:space="preserve">  {32,                  ITM_RCL,              ITM_PC,               ITM_DELTAPC,          ITM_NULL,             ITM_H,                ITM_h,                ITM_DELTA,            ITM_REG_H           },</v>
      </c>
      <c r="BL61" s="45" t="str">
        <f t="shared" si="11"/>
        <v>ITM_h</v>
      </c>
      <c r="BM61" s="45" t="str">
        <f t="shared" si="12"/>
        <v>ITM_DELTA</v>
      </c>
    </row>
    <row r="62" spans="1:65" ht="21" x14ac:dyDescent="0.2">
      <c r="A62" s="3"/>
      <c r="B62" s="3"/>
      <c r="C62" s="3">
        <f>2/10</f>
        <v>0.2</v>
      </c>
      <c r="D62" s="3">
        <f>3/10</f>
        <v>0.3</v>
      </c>
      <c r="E62" s="3">
        <f>4/10</f>
        <v>0.4</v>
      </c>
      <c r="F62" s="3"/>
      <c r="G62" s="3">
        <f>2/10</f>
        <v>0.2</v>
      </c>
      <c r="H62" s="3">
        <f>3/10</f>
        <v>0.3</v>
      </c>
      <c r="I62" s="3">
        <f>4/10</f>
        <v>0.4</v>
      </c>
      <c r="J62" s="3">
        <f>2/10</f>
        <v>0.2</v>
      </c>
      <c r="K62" s="3">
        <f>3/10</f>
        <v>0.3</v>
      </c>
      <c r="L62" s="3">
        <f>4/10</f>
        <v>0.4</v>
      </c>
      <c r="M62" s="3">
        <f>2/10</f>
        <v>0.2</v>
      </c>
      <c r="N62" s="3">
        <f>3/10</f>
        <v>0.3</v>
      </c>
      <c r="O62" s="3">
        <f>4/10</f>
        <v>0.4</v>
      </c>
      <c r="P62" s="3">
        <f>2/10</f>
        <v>0.2</v>
      </c>
      <c r="Q62" s="3">
        <f>3/10</f>
        <v>0.3</v>
      </c>
      <c r="R62" s="3">
        <f>4/10</f>
        <v>0.4</v>
      </c>
      <c r="S62" s="3">
        <f>2/10</f>
        <v>0.2</v>
      </c>
      <c r="T62" s="3">
        <f>3/10</f>
        <v>0.3</v>
      </c>
      <c r="U62" s="3">
        <f>4/10</f>
        <v>0.4</v>
      </c>
      <c r="X62" s="127" t="str">
        <f t="shared" si="1"/>
        <v>C47</v>
      </c>
      <c r="Y62" s="109">
        <v>3</v>
      </c>
      <c r="Z62" s="109">
        <v>3</v>
      </c>
      <c r="AA62" s="112" t="str">
        <f t="shared" si="0"/>
        <v>C47.33</v>
      </c>
      <c r="AB62" s="117" t="s">
        <v>101</v>
      </c>
      <c r="AC62" s="118" t="s">
        <v>102</v>
      </c>
      <c r="AD62" s="119" t="s">
        <v>103</v>
      </c>
      <c r="AE62" s="3"/>
      <c r="AF62" s="49" t="s">
        <v>104</v>
      </c>
      <c r="AG62" s="77" t="b">
        <f t="shared" si="13"/>
        <v>1</v>
      </c>
      <c r="AH62" s="83" t="str">
        <f t="shared" si="2"/>
        <v>i</v>
      </c>
      <c r="AI62" s="84" t="str">
        <f t="shared" si="3"/>
        <v>pi</v>
      </c>
      <c r="AJ62" s="85" t="str">
        <f t="shared" si="4"/>
        <v>Reg I</v>
      </c>
      <c r="AK62" s="6"/>
      <c r="AL62" s="8" t="str">
        <f t="shared" si="5"/>
        <v>{33</v>
      </c>
      <c r="AM62" s="27" t="str">
        <f t="shared" si="6"/>
        <v>ITM_Rdown</v>
      </c>
      <c r="AN62" s="64" t="str">
        <f t="shared" si="7"/>
        <v>ITM_CONSTpi</v>
      </c>
      <c r="AO62" s="27" t="str">
        <f t="shared" si="8"/>
        <v>ITM_XTHROOT</v>
      </c>
      <c r="AP62" s="46" t="str">
        <f>IF(NOT(ISNA(MATCH(AM62,Lookups!E:E,))),VLOOKUP(AM62,Lookups!E:F,2,0),
IF(NOT(ISNA(MATCH(AN62,Lookups!E:E,))),VLOOKUP(AN62,Lookups!E:F,2,0),
IF(NOT(ISNA(MATCH(AO62,Lookups!E:E,))),VLOOKUP(AO62,Lookups!E:F,2,0),"ITM_NULL")))</f>
        <v>ITM_NULL</v>
      </c>
      <c r="AQ62" s="28" t="str">
        <f t="shared" si="9"/>
        <v>ITM_I</v>
      </c>
      <c r="AR62" s="195" t="s">
        <v>105</v>
      </c>
      <c r="AS62" s="186" t="s">
        <v>106</v>
      </c>
      <c r="AT62" s="255" t="s">
        <v>107</v>
      </c>
      <c r="AW62" s="14" t="str">
        <f t="shared" si="14"/>
        <v>{33</v>
      </c>
      <c r="AX62" s="157" t="str" cm="1">
        <f t="array" ref="AX62">SUBSTITUTE(SUBSTITUTE(_xlfn.SWITCH(AM62, "ITM_T_HOME", "ITM_UP1", "ITM_T_END", "ITM_DOWN1", "DOCU_CHR_sub", "ITM_DOWN_ARROW", "DOCU_CHR_super", "ITM_UP_ARROW", "MNU_TAMALPHA", "ITM_alpha", "DOCU_CHR_caseFLIP", "ITM_NULL", "DOCU_CHR_numSET", "ITM_NULL", "DOCU_ITM_RADIX", "ITM_PERIOD", AM62), ".lo", ),"MNU_", "-MNU_")</f>
        <v>ITM_Rdown</v>
      </c>
      <c r="AY62" s="157" t="str" cm="1">
        <f t="array" ref="AY62">SUBSTITUTE(SUBSTITUTE(_xlfn.SWITCH(AN62, "ITM_T_HOME", "ITM_UP1", "ITM_T_END", "ITM_DOWN1", "DOCU_CHR_sub", "ITM_DOWN_ARROW", "DOCU_CHR_super", "ITM_UP_ARROW", "MNU_TAMALPHA", "ITM_alpha", "DOCU_CHR_caseFLIP", "ITM_NULL", "DOCU_CHR_numSET", "ITM_NULL", "DOCU_ITM_RADIX", "ITM_PERIOD", AN62), ".lo", ),"MNU_", "-MNU_")</f>
        <v>ITM_CONSTpi</v>
      </c>
      <c r="AZ62" s="157" t="str" cm="1">
        <f t="array" ref="AZ62">SUBSTITUTE(SUBSTITUTE(_xlfn.SWITCH(AO62, "ITM_T_HOME", "ITM_UP1", "ITM_T_END", "ITM_DOWN1", "DOCU_CHR_sub", "ITM_DOWN_ARROW", "DOCU_CHR_super", "ITM_UP_ARROW", "MNU_TAMALPHA", "ITM_alpha", "DOCU_CHR_caseFLIP", "ITM_NULL", "DOCU_CHR_numSET", "ITM_NULL", "DOCU_ITM_RADIX", "ITM_PERIOD", AO62), ".lo", ),"MNU_", "-MNU_")</f>
        <v>ITM_XTHROOT</v>
      </c>
      <c r="BA62" s="173" t="str" cm="1">
        <f t="array" ref="BA62">SUBSTITUTE(SUBSTITUTE(_xlfn.SWITCH(AP62, "ITM_T_HOME", "ITM_UP1", "ITM_T_END", "ITM_DOWN1", "DOCU_CHR_sub", "ITM_DOWN_ARROW", "DOCU_CHR_super", "ITM_UP_ARROW", "MNU_TAMALPHA", "ITM_alpha", "DOCU_CHR_caseFLIP", "ITM_NULL", "DOCU_CHR_numSET", "ITM_NULL", "DOCU_ITM_RADIX", "ITM_PERIOD", AP62), ".lo", ),"MNU_", "-MNU_")</f>
        <v>ITM_NULL</v>
      </c>
      <c r="BB62" s="157" t="str" cm="1">
        <f t="array" ref="BB62">SUBSTITUTE(SUBSTITUTE(_xlfn.SWITCH(AQ62, "ITM_T_HOME", "ITM_UP1", "ITM_T_END", "ITM_DOWN1", "DOCU_CHR_sub", "ITM_DOWN_ARROW", "DOCU_CHR_super", "ITM_UP_ARROW", "MNU_TAMALPHA", "ITM_alpha", "DOCU_CHR_caseFLIP", "ITM_NULL", "DOCU_CHR_numSET", "ITM_NULL", "DOCU_ITM_RADIX", "ITM_PERIOD", AQ62), ".lo", ),"MNU_", "-MNU_")</f>
        <v>ITM_I</v>
      </c>
      <c r="BC62" s="157" t="str" cm="1">
        <f t="array" ref="BC62">SUBSTITUTE(SUBSTITUTE(_xlfn.SWITCH(AR62, "ITM_T_HOME", "ITM_UP1", "ITM_T_END", "ITM_DOWN1", "DOCU_CHR_sub", "ITM_DOWN_ARROW", "DOCU_CHR_super", "ITM_UP_ARROW", "MNU_TAMALPHA", "ITM_alpha", "DOCU_CHR_caseFLIP", "ITM_NULL", "DOCU_CHR_numSET", "ITM_NULL", "DOCU_ITM_RADIX", "ITM_PERIOD", AR62), ".lo", ),"MNU_", "-MNU_")</f>
        <v>ITM_i</v>
      </c>
      <c r="BD62" s="157" t="str" cm="1">
        <f t="array" ref="BD62">SUBSTITUTE(SUBSTITUTE(_xlfn.SWITCH(AS62, "ITM_T_HOME", "ITM_UP1", "ITM_T_END", "ITM_DOWN1", "DOCU_CHR_sub", "ITM_DOWN_ARROW", "DOCU_CHR_super", "ITM_UP_ARROW", "MNU_TAMALPHA", "ITM_alpha", "DOCU_CHR_caseFLIP", "ITM_NULL", "DOCU_CHR_numSET", "ITM_NULL", "DOCU_ITM_RADIX", "ITM_PERIOD", AS62), ".lo", ),"MNU_", "-MNU_")</f>
        <v>ITM_pi</v>
      </c>
      <c r="BE62" s="157" t="str" cm="1">
        <f t="array" ref="BE62">SUBSTITUTE(SUBSTITUTE(_xlfn.SWITCH(AT62, "ITM_T_HOME", "ITM_UP1", "ITM_T_END", "ITM_DOWN1", "DOCU_CHR_sub", "ITM_DOWN_ARROW", "DOCU_CHR_super", "ITM_UP_ARROW", "MNU_TAMALPHA", "ITM_alpha", "DOCU_CHR_caseFLIP", "ITM_NULL", "DOCU_CHR_numSET", "ITM_NULL", "DOCU_ITM_RADIX", "ITM_PERIOD", AT62), ".lo", ),"MNU_", "-MNU_")</f>
        <v>ITM_REG_I</v>
      </c>
      <c r="BG62" s="75"/>
      <c r="BI62" s="13" t="str">
        <f t="shared" si="10"/>
        <v xml:space="preserve">  {33,                  ITM_Rdown,            ITM_CONSTpi,          ITM_XTHROOT,          ITM_NULL,             ITM_I,                ITM_i,                ITM_pi,               ITM_REG_I           },</v>
      </c>
      <c r="BL62" s="45" t="str">
        <f t="shared" si="11"/>
        <v>ITM_i</v>
      </c>
      <c r="BM62" s="45" t="str">
        <f t="shared" si="12"/>
        <v>ITM_pi</v>
      </c>
    </row>
    <row r="63" spans="1:65" ht="21" x14ac:dyDescent="0.2">
      <c r="A63" s="3"/>
      <c r="B63" s="3"/>
      <c r="C63" s="3">
        <v>1</v>
      </c>
      <c r="D63" s="3">
        <v>1</v>
      </c>
      <c r="E63" s="3">
        <v>1</v>
      </c>
      <c r="F63" s="3"/>
      <c r="G63" s="3">
        <v>2</v>
      </c>
      <c r="H63" s="3">
        <v>2</v>
      </c>
      <c r="I63" s="3">
        <v>2</v>
      </c>
      <c r="J63" s="3">
        <v>3</v>
      </c>
      <c r="K63" s="3">
        <v>3</v>
      </c>
      <c r="L63" s="3">
        <v>3</v>
      </c>
      <c r="M63" s="3">
        <v>4</v>
      </c>
      <c r="N63" s="3">
        <v>4</v>
      </c>
      <c r="O63" s="3">
        <v>4</v>
      </c>
      <c r="P63" s="3">
        <v>5</v>
      </c>
      <c r="Q63" s="3">
        <v>5</v>
      </c>
      <c r="R63" s="3">
        <v>5</v>
      </c>
      <c r="S63" s="3">
        <v>6</v>
      </c>
      <c r="T63" s="3">
        <v>6</v>
      </c>
      <c r="U63" s="3">
        <v>6</v>
      </c>
      <c r="X63" s="127" t="str">
        <f t="shared" si="1"/>
        <v>C47</v>
      </c>
      <c r="Y63" s="109">
        <v>3</v>
      </c>
      <c r="Z63" s="109">
        <v>4</v>
      </c>
      <c r="AA63" s="112" t="str">
        <f t="shared" si="0"/>
        <v>C47.34</v>
      </c>
      <c r="AB63" s="117" t="s">
        <v>108</v>
      </c>
      <c r="AC63" s="118" t="s">
        <v>109</v>
      </c>
      <c r="AD63" s="119" t="s">
        <v>110</v>
      </c>
      <c r="AE63" s="3"/>
      <c r="AF63" s="49" t="s">
        <v>111</v>
      </c>
      <c r="AG63" s="77" t="b">
        <f t="shared" si="13"/>
        <v>1</v>
      </c>
      <c r="AH63" s="83" t="str">
        <f t="shared" si="2"/>
        <v>j</v>
      </c>
      <c r="AI63" s="84" t="str">
        <f t="shared" si="3"/>
        <v>SIN</v>
      </c>
      <c r="AJ63" s="85" t="str">
        <f t="shared" si="4"/>
        <v>Reg J</v>
      </c>
      <c r="AK63" s="6"/>
      <c r="AL63" s="8" t="str">
        <f t="shared" si="5"/>
        <v>{34</v>
      </c>
      <c r="AM63" s="27" t="str">
        <f t="shared" si="6"/>
        <v>ITM_sin</v>
      </c>
      <c r="AN63" s="27" t="str">
        <f t="shared" si="7"/>
        <v>ITM_arcsin</v>
      </c>
      <c r="AO63" s="27" t="str">
        <f t="shared" si="8"/>
        <v>ITM_op_j</v>
      </c>
      <c r="AP63" s="46" t="str">
        <f>IF(NOT(ISNA(MATCH(AM63,Lookups!E:E,))),VLOOKUP(AM63,Lookups!E:F,2,0),
IF(NOT(ISNA(MATCH(AN63,Lookups!E:E,))),VLOOKUP(AN63,Lookups!E:F,2,0),
IF(NOT(ISNA(MATCH(AO63,Lookups!E:E,))),VLOOKUP(AO63,Lookups!E:F,2,0),"ITM_NULL")))</f>
        <v>ITM_NULL</v>
      </c>
      <c r="AQ63" s="28" t="str">
        <f t="shared" si="9"/>
        <v>ITM_J</v>
      </c>
      <c r="AR63" s="195" t="s">
        <v>112</v>
      </c>
      <c r="AS63" s="186" t="s">
        <v>113</v>
      </c>
      <c r="AT63" s="255" t="s">
        <v>114</v>
      </c>
      <c r="AW63" s="14" t="str">
        <f t="shared" si="14"/>
        <v>{34</v>
      </c>
      <c r="AX63" s="157" t="str" cm="1">
        <f t="array" ref="AX63">SUBSTITUTE(SUBSTITUTE(_xlfn.SWITCH(AM63, "ITM_T_HOME", "ITM_UP1", "ITM_T_END", "ITM_DOWN1", "DOCU_CHR_sub", "ITM_DOWN_ARROW", "DOCU_CHR_super", "ITM_UP_ARROW", "MNU_TAMALPHA", "ITM_alpha", "DOCU_CHR_caseFLIP", "ITM_NULL", "DOCU_CHR_numSET", "ITM_NULL", "DOCU_ITM_RADIX", "ITM_PERIOD", AM63), ".lo", ),"MNU_", "-MNU_")</f>
        <v>ITM_sin</v>
      </c>
      <c r="AY63" s="157" t="str" cm="1">
        <f t="array" ref="AY63">SUBSTITUTE(SUBSTITUTE(_xlfn.SWITCH(AN63, "ITM_T_HOME", "ITM_UP1", "ITM_T_END", "ITM_DOWN1", "DOCU_CHR_sub", "ITM_DOWN_ARROW", "DOCU_CHR_super", "ITM_UP_ARROW", "MNU_TAMALPHA", "ITM_alpha", "DOCU_CHR_caseFLIP", "ITM_NULL", "DOCU_CHR_numSET", "ITM_NULL", "DOCU_ITM_RADIX", "ITM_PERIOD", AN63), ".lo", ),"MNU_", "-MNU_")</f>
        <v>ITM_arcsin</v>
      </c>
      <c r="AZ63" s="157" t="str" cm="1">
        <f t="array" ref="AZ63">SUBSTITUTE(SUBSTITUTE(_xlfn.SWITCH(AO63, "ITM_T_HOME", "ITM_UP1", "ITM_T_END", "ITM_DOWN1", "DOCU_CHR_sub", "ITM_DOWN_ARROW", "DOCU_CHR_super", "ITM_UP_ARROW", "MNU_TAMALPHA", "ITM_alpha", "DOCU_CHR_caseFLIP", "ITM_NULL", "DOCU_CHR_numSET", "ITM_NULL", "DOCU_ITM_RADIX", "ITM_PERIOD", AO63), ".lo", ),"MNU_", "-MNU_")</f>
        <v>ITM_op_j</v>
      </c>
      <c r="BA63" s="173" t="str" cm="1">
        <f t="array" ref="BA63">SUBSTITUTE(SUBSTITUTE(_xlfn.SWITCH(AP63, "ITM_T_HOME", "ITM_UP1", "ITM_T_END", "ITM_DOWN1", "DOCU_CHR_sub", "ITM_DOWN_ARROW", "DOCU_CHR_super", "ITM_UP_ARROW", "MNU_TAMALPHA", "ITM_alpha", "DOCU_CHR_caseFLIP", "ITM_NULL", "DOCU_CHR_numSET", "ITM_NULL", "DOCU_ITM_RADIX", "ITM_PERIOD", AP63), ".lo", ),"MNU_", "-MNU_")</f>
        <v>ITM_NULL</v>
      </c>
      <c r="BB63" s="157" t="str" cm="1">
        <f t="array" ref="BB63">SUBSTITUTE(SUBSTITUTE(_xlfn.SWITCH(AQ63, "ITM_T_HOME", "ITM_UP1", "ITM_T_END", "ITM_DOWN1", "DOCU_CHR_sub", "ITM_DOWN_ARROW", "DOCU_CHR_super", "ITM_UP_ARROW", "MNU_TAMALPHA", "ITM_alpha", "DOCU_CHR_caseFLIP", "ITM_NULL", "DOCU_CHR_numSET", "ITM_NULL", "DOCU_ITM_RADIX", "ITM_PERIOD", AQ63), ".lo", ),"MNU_", "-MNU_")</f>
        <v>ITM_J</v>
      </c>
      <c r="BC63" s="157" t="str" cm="1">
        <f t="array" ref="BC63">SUBSTITUTE(SUBSTITUTE(_xlfn.SWITCH(AR63, "ITM_T_HOME", "ITM_UP1", "ITM_T_END", "ITM_DOWN1", "DOCU_CHR_sub", "ITM_DOWN_ARROW", "DOCU_CHR_super", "ITM_UP_ARROW", "MNU_TAMALPHA", "ITM_alpha", "DOCU_CHR_caseFLIP", "ITM_NULL", "DOCU_CHR_numSET", "ITM_NULL", "DOCU_ITM_RADIX", "ITM_PERIOD", AR63), ".lo", ),"MNU_", "-MNU_")</f>
        <v>ITM_j</v>
      </c>
      <c r="BD63" s="157" t="str" cm="1">
        <f t="array" ref="BD63">SUBSTITUTE(SUBSTITUTE(_xlfn.SWITCH(AS63, "ITM_T_HOME", "ITM_UP1", "ITM_T_END", "ITM_DOWN1", "DOCU_CHR_sub", "ITM_DOWN_ARROW", "DOCU_CHR_super", "ITM_UP_ARROW", "MNU_TAMALPHA", "ITM_alpha", "DOCU_CHR_caseFLIP", "ITM_NULL", "DOCU_CHR_numSET", "ITM_NULL", "DOCU_ITM_RADIX", "ITM_PERIOD", AS63), ".lo", ),"MNU_", "-MNU_")</f>
        <v>ITM_SIN_SIGN</v>
      </c>
      <c r="BE63" s="157" t="str" cm="1">
        <f t="array" ref="BE63">SUBSTITUTE(SUBSTITUTE(_xlfn.SWITCH(AT63, "ITM_T_HOME", "ITM_UP1", "ITM_T_END", "ITM_DOWN1", "DOCU_CHR_sub", "ITM_DOWN_ARROW", "DOCU_CHR_super", "ITM_UP_ARROW", "MNU_TAMALPHA", "ITM_alpha", "DOCU_CHR_caseFLIP", "ITM_NULL", "DOCU_CHR_numSET", "ITM_NULL", "DOCU_ITM_RADIX", "ITM_PERIOD", AT63), ".lo", ),"MNU_", "-MNU_")</f>
        <v>ITM_REG_J</v>
      </c>
      <c r="BG63" s="75"/>
      <c r="BI63" s="13" t="str">
        <f t="shared" si="10"/>
        <v xml:space="preserve">  {34,                  ITM_sin,              ITM_arcsin,           ITM_op_j,             ITM_NULL,             ITM_J,                ITM_j,                ITM_SIN_SIGN,         ITM_REG_J           },</v>
      </c>
      <c r="BL63" s="45" t="str">
        <f t="shared" si="11"/>
        <v>ITM_j</v>
      </c>
      <c r="BM63" s="45" t="str">
        <f t="shared" si="12"/>
        <v>ITM_SIN_SIGN</v>
      </c>
    </row>
    <row r="64" spans="1:65" ht="22" thickBot="1" x14ac:dyDescent="0.25">
      <c r="A64" s="3"/>
      <c r="B64" s="3">
        <v>30</v>
      </c>
      <c r="C64" s="4" t="str">
        <f>layout&amp;"."&amp;$B64+C63+C62</f>
        <v>C47.31,2</v>
      </c>
      <c r="D64" s="4" t="str">
        <f>layout&amp;"."&amp;$B64+D63+D62</f>
        <v>C47.31,3</v>
      </c>
      <c r="G64" s="4" t="str">
        <f>layout&amp;"."&amp;$B64+G63+G62</f>
        <v>C47.32,2</v>
      </c>
      <c r="H64" s="4" t="str">
        <f>layout&amp;"."&amp;$B64+H63+H62</f>
        <v>C47.32,3</v>
      </c>
      <c r="J64" s="4" t="str">
        <f>layout&amp;"."&amp;$B64+J63+J62</f>
        <v>C47.33,2</v>
      </c>
      <c r="K64" s="4" t="str">
        <f>layout&amp;"."&amp;$B64+K63+K62</f>
        <v>C47.33,3</v>
      </c>
      <c r="M64" s="4" t="str">
        <f>layout&amp;"."&amp;$B64+M63+M62</f>
        <v>C47.34,2</v>
      </c>
      <c r="N64" s="4" t="str">
        <f>layout&amp;"."&amp;$B64+N63+N62</f>
        <v>C47.34,3</v>
      </c>
      <c r="P64" s="4" t="str">
        <f>layout&amp;"."&amp;$B64+P63+P62</f>
        <v>C47.35,2</v>
      </c>
      <c r="Q64" s="4" t="str">
        <f>layout&amp;"."&amp;$B64+Q63+Q62</f>
        <v>C47.35,3</v>
      </c>
      <c r="S64" s="4" t="str">
        <f>layout&amp;"."&amp;$B64+S63+S62</f>
        <v>C47.36,2</v>
      </c>
      <c r="T64" s="4" t="str">
        <f>layout&amp;"."&amp;$B64+T63+T62</f>
        <v>C47.36,3</v>
      </c>
      <c r="X64" s="127" t="str">
        <f t="shared" si="1"/>
        <v>C47</v>
      </c>
      <c r="Y64" s="109">
        <v>3</v>
      </c>
      <c r="Z64" s="109">
        <v>5</v>
      </c>
      <c r="AA64" s="112" t="str">
        <f t="shared" si="0"/>
        <v>C47.35</v>
      </c>
      <c r="AB64" s="117" t="s">
        <v>115</v>
      </c>
      <c r="AC64" s="118" t="s">
        <v>116</v>
      </c>
      <c r="AD64" s="119" t="s">
        <v>117</v>
      </c>
      <c r="AE64" s="3"/>
      <c r="AF64" s="49" t="s">
        <v>118</v>
      </c>
      <c r="AG64" s="77" t="b">
        <f t="shared" si="13"/>
        <v>1</v>
      </c>
      <c r="AH64" s="83" t="str">
        <f t="shared" si="2"/>
        <v>k</v>
      </c>
      <c r="AI64" s="84" t="str">
        <f t="shared" si="3"/>
        <v>COS</v>
      </c>
      <c r="AJ64" s="85" t="str">
        <f t="shared" si="4"/>
        <v>Reg K</v>
      </c>
      <c r="AK64" s="6"/>
      <c r="AL64" s="8" t="str">
        <f t="shared" si="5"/>
        <v>{35</v>
      </c>
      <c r="AM64" s="27" t="str">
        <f t="shared" si="6"/>
        <v>ITM_cos</v>
      </c>
      <c r="AN64" s="27" t="str">
        <f t="shared" si="7"/>
        <v>ITM_arccos</v>
      </c>
      <c r="AO64" s="27" t="str">
        <f t="shared" si="8"/>
        <v>ITM_toREC2</v>
      </c>
      <c r="AP64" s="46" t="str">
        <f>IF(NOT(ISNA(MATCH(AM64,Lookups!E:E,))),VLOOKUP(AM64,Lookups!E:F,2,0),
IF(NOT(ISNA(MATCH(AN64,Lookups!E:E,))),VLOOKUP(AN64,Lookups!E:F,2,0),
IF(NOT(ISNA(MATCH(AO64,Lookups!E:E,))),VLOOKUP(AO64,Lookups!E:F,2,0),"ITM_NULL")))</f>
        <v>ITM_NULL</v>
      </c>
      <c r="AQ64" s="28" t="str">
        <f t="shared" si="9"/>
        <v>ITM_K</v>
      </c>
      <c r="AR64" s="195" t="s">
        <v>119</v>
      </c>
      <c r="AS64" s="186" t="s">
        <v>120</v>
      </c>
      <c r="AT64" s="255" t="s">
        <v>121</v>
      </c>
      <c r="AW64" s="14" t="str">
        <f t="shared" si="14"/>
        <v>{35</v>
      </c>
      <c r="AX64" s="157" t="str" cm="1">
        <f t="array" ref="AX64">SUBSTITUTE(SUBSTITUTE(_xlfn.SWITCH(AM64, "ITM_T_HOME", "ITM_UP1", "ITM_T_END", "ITM_DOWN1", "DOCU_CHR_sub", "ITM_DOWN_ARROW", "DOCU_CHR_super", "ITM_UP_ARROW", "MNU_TAMALPHA", "ITM_alpha", "DOCU_CHR_caseFLIP", "ITM_NULL", "DOCU_CHR_numSET", "ITM_NULL", "DOCU_ITM_RADIX", "ITM_PERIOD", AM64), ".lo", ),"MNU_", "-MNU_")</f>
        <v>ITM_cos</v>
      </c>
      <c r="AY64" s="157" t="str" cm="1">
        <f t="array" ref="AY64">SUBSTITUTE(SUBSTITUTE(_xlfn.SWITCH(AN64, "ITM_T_HOME", "ITM_UP1", "ITM_T_END", "ITM_DOWN1", "DOCU_CHR_sub", "ITM_DOWN_ARROW", "DOCU_CHR_super", "ITM_UP_ARROW", "MNU_TAMALPHA", "ITM_alpha", "DOCU_CHR_caseFLIP", "ITM_NULL", "DOCU_CHR_numSET", "ITM_NULL", "DOCU_ITM_RADIX", "ITM_PERIOD", AN64), ".lo", ),"MNU_", "-MNU_")</f>
        <v>ITM_arccos</v>
      </c>
      <c r="AZ64" s="157" t="str" cm="1">
        <f t="array" ref="AZ64">SUBSTITUTE(SUBSTITUTE(_xlfn.SWITCH(AO64, "ITM_T_HOME", "ITM_UP1", "ITM_T_END", "ITM_DOWN1", "DOCU_CHR_sub", "ITM_DOWN_ARROW", "DOCU_CHR_super", "ITM_UP_ARROW", "MNU_TAMALPHA", "ITM_alpha", "DOCU_CHR_caseFLIP", "ITM_NULL", "DOCU_CHR_numSET", "ITM_NULL", "DOCU_ITM_RADIX", "ITM_PERIOD", AO64), ".lo", ),"MNU_", "-MNU_")</f>
        <v>ITM_toREC2</v>
      </c>
      <c r="BA64" s="173" t="str" cm="1">
        <f t="array" ref="BA64">SUBSTITUTE(SUBSTITUTE(_xlfn.SWITCH(AP64, "ITM_T_HOME", "ITM_UP1", "ITM_T_END", "ITM_DOWN1", "DOCU_CHR_sub", "ITM_DOWN_ARROW", "DOCU_CHR_super", "ITM_UP_ARROW", "MNU_TAMALPHA", "ITM_alpha", "DOCU_CHR_caseFLIP", "ITM_NULL", "DOCU_CHR_numSET", "ITM_NULL", "DOCU_ITM_RADIX", "ITM_PERIOD", AP64), ".lo", ),"MNU_", "-MNU_")</f>
        <v>ITM_NULL</v>
      </c>
      <c r="BB64" s="157" t="str" cm="1">
        <f t="array" ref="BB64">SUBSTITUTE(SUBSTITUTE(_xlfn.SWITCH(AQ64, "ITM_T_HOME", "ITM_UP1", "ITM_T_END", "ITM_DOWN1", "DOCU_CHR_sub", "ITM_DOWN_ARROW", "DOCU_CHR_super", "ITM_UP_ARROW", "MNU_TAMALPHA", "ITM_alpha", "DOCU_CHR_caseFLIP", "ITM_NULL", "DOCU_CHR_numSET", "ITM_NULL", "DOCU_ITM_RADIX", "ITM_PERIOD", AQ64), ".lo", ),"MNU_", "-MNU_")</f>
        <v>ITM_K</v>
      </c>
      <c r="BC64" s="157" t="str" cm="1">
        <f t="array" ref="BC64">SUBSTITUTE(SUBSTITUTE(_xlfn.SWITCH(AR64, "ITM_T_HOME", "ITM_UP1", "ITM_T_END", "ITM_DOWN1", "DOCU_CHR_sub", "ITM_DOWN_ARROW", "DOCU_CHR_super", "ITM_UP_ARROW", "MNU_TAMALPHA", "ITM_alpha", "DOCU_CHR_caseFLIP", "ITM_NULL", "DOCU_CHR_numSET", "ITM_NULL", "DOCU_ITM_RADIX", "ITM_PERIOD", AR64), ".lo", ),"MNU_", "-MNU_")</f>
        <v>ITM_k</v>
      </c>
      <c r="BD64" s="157" t="str" cm="1">
        <f t="array" ref="BD64">SUBSTITUTE(SUBSTITUTE(_xlfn.SWITCH(AS64, "ITM_T_HOME", "ITM_UP1", "ITM_T_END", "ITM_DOWN1", "DOCU_CHR_sub", "ITM_DOWN_ARROW", "DOCU_CHR_super", "ITM_UP_ARROW", "MNU_TAMALPHA", "ITM_alpha", "DOCU_CHR_caseFLIP", "ITM_NULL", "DOCU_CHR_numSET", "ITM_NULL", "DOCU_ITM_RADIX", "ITM_PERIOD", AS64), ".lo", ),"MNU_", "-MNU_")</f>
        <v>ITM_COS_SIGN</v>
      </c>
      <c r="BE64" s="157" t="str" cm="1">
        <f t="array" ref="BE64">SUBSTITUTE(SUBSTITUTE(_xlfn.SWITCH(AT64, "ITM_T_HOME", "ITM_UP1", "ITM_T_END", "ITM_DOWN1", "DOCU_CHR_sub", "ITM_DOWN_ARROW", "DOCU_CHR_super", "ITM_UP_ARROW", "MNU_TAMALPHA", "ITM_alpha", "DOCU_CHR_caseFLIP", "ITM_NULL", "DOCU_CHR_numSET", "ITM_NULL", "DOCU_ITM_RADIX", "ITM_PERIOD", AT64), ".lo", ),"MNU_", "-MNU_")</f>
        <v>ITM_REG_K</v>
      </c>
      <c r="BG64" s="75"/>
      <c r="BI64" s="13" t="str">
        <f t="shared" si="10"/>
        <v xml:space="preserve">  {35,                  ITM_cos,              ITM_arccos,           ITM_toREC2,           ITM_NULL,             ITM_K,                ITM_k,                ITM_COS_SIGN,         ITM_REG_K           },</v>
      </c>
      <c r="BL64" s="45" t="str">
        <f t="shared" si="11"/>
        <v>ITM_k</v>
      </c>
      <c r="BM64" s="45" t="str">
        <f t="shared" si="12"/>
        <v>ITM_COS_SIGN</v>
      </c>
    </row>
    <row r="65" spans="1:65" ht="21" x14ac:dyDescent="0.2">
      <c r="A65" s="3">
        <v>0.1</v>
      </c>
      <c r="B65" s="3">
        <v>30</v>
      </c>
      <c r="C65" s="227" t="str">
        <f>layout&amp;"."&amp;$B67+C63+$A65</f>
        <v>C47.31,1</v>
      </c>
      <c r="D65" s="229"/>
      <c r="E65" s="236" t="str">
        <f>layout&amp;"."&amp;$B65+E63+E62</f>
        <v>C47.31,4</v>
      </c>
      <c r="G65" s="227" t="str">
        <f>layout&amp;"."&amp;$B67+G63+$A65</f>
        <v>C47.32,1</v>
      </c>
      <c r="H65" s="229"/>
      <c r="I65" s="236" t="str">
        <f>layout&amp;"."&amp;$B65+I63+I62</f>
        <v>C47.32,4</v>
      </c>
      <c r="J65" s="227" t="str">
        <f>layout&amp;"."&amp;$B67+J63+$A65</f>
        <v>C47.33,1</v>
      </c>
      <c r="K65" s="229"/>
      <c r="L65" s="236" t="str">
        <f>layout&amp;"."&amp;$B65+L63+L62</f>
        <v>C47.33,4</v>
      </c>
      <c r="M65" s="227" t="str">
        <f>layout&amp;"."&amp;$B67+M63+$A65</f>
        <v>C47.34,1</v>
      </c>
      <c r="N65" s="229"/>
      <c r="O65" s="236" t="str">
        <f>layout&amp;"."&amp;$B65+O63+O62</f>
        <v>C47.34,4</v>
      </c>
      <c r="P65" s="227" t="str">
        <f>layout&amp;"."&amp;$B67+P63+$A65</f>
        <v>C47.35,1</v>
      </c>
      <c r="Q65" s="229"/>
      <c r="R65" s="236" t="str">
        <f>layout&amp;"."&amp;$B65+R63+R62</f>
        <v>C47.35,4</v>
      </c>
      <c r="S65" s="227" t="str">
        <f>layout&amp;"."&amp;$B67+S63+$A65</f>
        <v>C47.36,1</v>
      </c>
      <c r="T65" s="229"/>
      <c r="U65" s="236" t="str">
        <f>layout&amp;"."&amp;$B65+U63+U62</f>
        <v>C47.36,4</v>
      </c>
      <c r="X65" s="127" t="str">
        <f t="shared" si="1"/>
        <v>C47</v>
      </c>
      <c r="Y65" s="109">
        <v>3</v>
      </c>
      <c r="Z65" s="109">
        <v>6</v>
      </c>
      <c r="AA65" s="112" t="str">
        <f t="shared" si="0"/>
        <v>C47.36</v>
      </c>
      <c r="AB65" s="117" t="s">
        <v>122</v>
      </c>
      <c r="AC65" s="118" t="s">
        <v>123</v>
      </c>
      <c r="AD65" s="119" t="s">
        <v>124</v>
      </c>
      <c r="AE65" s="3"/>
      <c r="AF65" s="49" t="s">
        <v>125</v>
      </c>
      <c r="AG65" s="77" t="b">
        <f t="shared" si="13"/>
        <v>1</v>
      </c>
      <c r="AH65" s="83" t="str">
        <f t="shared" si="2"/>
        <v>l</v>
      </c>
      <c r="AI65" s="84" t="str">
        <f t="shared" si="3"/>
        <v>TAN</v>
      </c>
      <c r="AJ65" s="85" t="str">
        <f t="shared" si="4"/>
        <v>Reg L</v>
      </c>
      <c r="AK65" s="6"/>
      <c r="AL65" s="8" t="str">
        <f t="shared" si="5"/>
        <v>{36</v>
      </c>
      <c r="AM65" s="27" t="str">
        <f t="shared" si="6"/>
        <v>ITM_tan</v>
      </c>
      <c r="AN65" s="27" t="str">
        <f t="shared" si="7"/>
        <v>ITM_arctan</v>
      </c>
      <c r="AO65" s="27" t="str">
        <f t="shared" si="8"/>
        <v>ITM_toPOL2</v>
      </c>
      <c r="AP65" s="46" t="str">
        <f>IF(NOT(ISNA(MATCH(AM65,Lookups!E:E,))),VLOOKUP(AM65,Lookups!E:F,2,0),
IF(NOT(ISNA(MATCH(AN65,Lookups!E:E,))),VLOOKUP(AN65,Lookups!E:F,2,0),
IF(NOT(ISNA(MATCH(AO65,Lookups!E:E,))),VLOOKUP(AO65,Lookups!E:F,2,0),"ITM_NULL")))</f>
        <v>ITM_NULL</v>
      </c>
      <c r="AQ65" s="28" t="str">
        <f t="shared" si="9"/>
        <v>ITM_L</v>
      </c>
      <c r="AR65" s="195" t="s">
        <v>126</v>
      </c>
      <c r="AS65" s="186" t="s">
        <v>127</v>
      </c>
      <c r="AT65" s="255" t="s">
        <v>128</v>
      </c>
      <c r="AW65" s="14" t="str">
        <f t="shared" si="14"/>
        <v>{36</v>
      </c>
      <c r="AX65" s="157" t="str" cm="1">
        <f t="array" ref="AX65">SUBSTITUTE(SUBSTITUTE(_xlfn.SWITCH(AM65, "ITM_T_HOME", "ITM_UP1", "ITM_T_END", "ITM_DOWN1", "DOCU_CHR_sub", "ITM_DOWN_ARROW", "DOCU_CHR_super", "ITM_UP_ARROW", "MNU_TAMALPHA", "ITM_alpha", "DOCU_CHR_caseFLIP", "ITM_NULL", "DOCU_CHR_numSET", "ITM_NULL", "DOCU_ITM_RADIX", "ITM_PERIOD", AM65), ".lo", ),"MNU_", "-MNU_")</f>
        <v>ITM_tan</v>
      </c>
      <c r="AY65" s="157" t="str" cm="1">
        <f t="array" ref="AY65">SUBSTITUTE(SUBSTITUTE(_xlfn.SWITCH(AN65, "ITM_T_HOME", "ITM_UP1", "ITM_T_END", "ITM_DOWN1", "DOCU_CHR_sub", "ITM_DOWN_ARROW", "DOCU_CHR_super", "ITM_UP_ARROW", "MNU_TAMALPHA", "ITM_alpha", "DOCU_CHR_caseFLIP", "ITM_NULL", "DOCU_CHR_numSET", "ITM_NULL", "DOCU_ITM_RADIX", "ITM_PERIOD", AN65), ".lo", ),"MNU_", "-MNU_")</f>
        <v>ITM_arctan</v>
      </c>
      <c r="AZ65" s="157" t="str" cm="1">
        <f t="array" ref="AZ65">SUBSTITUTE(SUBSTITUTE(_xlfn.SWITCH(AO65, "ITM_T_HOME", "ITM_UP1", "ITM_T_END", "ITM_DOWN1", "DOCU_CHR_sub", "ITM_DOWN_ARROW", "DOCU_CHR_super", "ITM_UP_ARROW", "MNU_TAMALPHA", "ITM_alpha", "DOCU_CHR_caseFLIP", "ITM_NULL", "DOCU_CHR_numSET", "ITM_NULL", "DOCU_ITM_RADIX", "ITM_PERIOD", AO65), ".lo", ),"MNU_", "-MNU_")</f>
        <v>ITM_toPOL2</v>
      </c>
      <c r="BA65" s="173" t="str" cm="1">
        <f t="array" ref="BA65">SUBSTITUTE(SUBSTITUTE(_xlfn.SWITCH(AP65, "ITM_T_HOME", "ITM_UP1", "ITM_T_END", "ITM_DOWN1", "DOCU_CHR_sub", "ITM_DOWN_ARROW", "DOCU_CHR_super", "ITM_UP_ARROW", "MNU_TAMALPHA", "ITM_alpha", "DOCU_CHR_caseFLIP", "ITM_NULL", "DOCU_CHR_numSET", "ITM_NULL", "DOCU_ITM_RADIX", "ITM_PERIOD", AP65), ".lo", ),"MNU_", "-MNU_")</f>
        <v>ITM_NULL</v>
      </c>
      <c r="BB65" s="157" t="str" cm="1">
        <f t="array" ref="BB65">SUBSTITUTE(SUBSTITUTE(_xlfn.SWITCH(AQ65, "ITM_T_HOME", "ITM_UP1", "ITM_T_END", "ITM_DOWN1", "DOCU_CHR_sub", "ITM_DOWN_ARROW", "DOCU_CHR_super", "ITM_UP_ARROW", "MNU_TAMALPHA", "ITM_alpha", "DOCU_CHR_caseFLIP", "ITM_NULL", "DOCU_CHR_numSET", "ITM_NULL", "DOCU_ITM_RADIX", "ITM_PERIOD", AQ65), ".lo", ),"MNU_", "-MNU_")</f>
        <v>ITM_L</v>
      </c>
      <c r="BC65" s="157" t="str" cm="1">
        <f t="array" ref="BC65">SUBSTITUTE(SUBSTITUTE(_xlfn.SWITCH(AR65, "ITM_T_HOME", "ITM_UP1", "ITM_T_END", "ITM_DOWN1", "DOCU_CHR_sub", "ITM_DOWN_ARROW", "DOCU_CHR_super", "ITM_UP_ARROW", "MNU_TAMALPHA", "ITM_alpha", "DOCU_CHR_caseFLIP", "ITM_NULL", "DOCU_CHR_numSET", "ITM_NULL", "DOCU_ITM_RADIX", "ITM_PERIOD", AR65), ".lo", ),"MNU_", "-MNU_")</f>
        <v>ITM_l</v>
      </c>
      <c r="BD65" s="157" t="str" cm="1">
        <f t="array" ref="BD65">SUBSTITUTE(SUBSTITUTE(_xlfn.SWITCH(AS65, "ITM_T_HOME", "ITM_UP1", "ITM_T_END", "ITM_DOWN1", "DOCU_CHR_sub", "ITM_DOWN_ARROW", "DOCU_CHR_super", "ITM_UP_ARROW", "MNU_TAMALPHA", "ITM_alpha", "DOCU_CHR_caseFLIP", "ITM_NULL", "DOCU_CHR_numSET", "ITM_NULL", "DOCU_ITM_RADIX", "ITM_PERIOD", AS65), ".lo", ),"MNU_", "-MNU_")</f>
        <v>ITM_TAN_SIGN</v>
      </c>
      <c r="BE65" s="157" t="str" cm="1">
        <f t="array" ref="BE65">SUBSTITUTE(SUBSTITUTE(_xlfn.SWITCH(AT65, "ITM_T_HOME", "ITM_UP1", "ITM_T_END", "ITM_DOWN1", "DOCU_CHR_sub", "ITM_DOWN_ARROW", "DOCU_CHR_super", "ITM_UP_ARROW", "MNU_TAMALPHA", "ITM_alpha", "DOCU_CHR_caseFLIP", "ITM_NULL", "DOCU_CHR_numSET", "ITM_NULL", "DOCU_ITM_RADIX", "ITM_PERIOD", AT65), ".lo", ),"MNU_", "-MNU_")</f>
        <v>ITM_REG_L</v>
      </c>
      <c r="BG65" s="75"/>
      <c r="BI65" s="13" t="str">
        <f t="shared" si="10"/>
        <v xml:space="preserve">  {36,                  ITM_tan,              ITM_arctan,           ITM_toPOL2,           ITM_NULL,             ITM_L,                ITM_l,                ITM_TAN_SIGN,         ITM_REG_L           },</v>
      </c>
      <c r="BL65" s="45" t="str">
        <f t="shared" si="11"/>
        <v>ITM_l</v>
      </c>
      <c r="BM65" s="45" t="str">
        <f t="shared" si="12"/>
        <v>ITM_TAN_SIGN</v>
      </c>
    </row>
    <row r="66" spans="1:65" ht="21" x14ac:dyDescent="0.2">
      <c r="A66" s="3">
        <v>0.1</v>
      </c>
      <c r="B66" s="3">
        <v>30</v>
      </c>
      <c r="C66" s="230"/>
      <c r="D66" s="232"/>
      <c r="E66" s="236" t="e">
        <f>layout&amp;"."&amp;$B66+E65+E64</f>
        <v>#VALUE!</v>
      </c>
      <c r="G66" s="230"/>
      <c r="H66" s="232"/>
      <c r="I66" s="236" t="e">
        <f>layout&amp;"."&amp;$B66+I65+I64</f>
        <v>#VALUE!</v>
      </c>
      <c r="J66" s="230"/>
      <c r="K66" s="232"/>
      <c r="L66" s="236" t="e">
        <f>layout&amp;"."&amp;$B66+L65+L64</f>
        <v>#VALUE!</v>
      </c>
      <c r="M66" s="230"/>
      <c r="N66" s="232"/>
      <c r="O66" s="236" t="e">
        <f>layout&amp;"."&amp;$B66+O65+O64</f>
        <v>#VALUE!</v>
      </c>
      <c r="P66" s="230"/>
      <c r="Q66" s="232"/>
      <c r="R66" s="236" t="e">
        <f>layout&amp;"."&amp;$B66+R65+R64</f>
        <v>#VALUE!</v>
      </c>
      <c r="S66" s="230"/>
      <c r="T66" s="232"/>
      <c r="U66" s="236" t="e">
        <f>layout&amp;"."&amp;$B66+U65+U64</f>
        <v>#VALUE!</v>
      </c>
      <c r="X66" s="127" t="str">
        <f t="shared" si="1"/>
        <v>C47</v>
      </c>
      <c r="Y66" s="106">
        <v>4</v>
      </c>
      <c r="Z66" s="106">
        <v>1</v>
      </c>
      <c r="AA66" s="112" t="str">
        <f t="shared" si="0"/>
        <v>C47.41</v>
      </c>
      <c r="AB66" s="117" t="s">
        <v>129</v>
      </c>
      <c r="AC66" s="118" t="s">
        <v>130</v>
      </c>
      <c r="AD66" s="119" t="s">
        <v>131</v>
      </c>
      <c r="AE66" s="3"/>
      <c r="AF66" s="49" t="s">
        <v>129</v>
      </c>
      <c r="AG66" s="77" t="b">
        <f t="shared" si="13"/>
        <v>0</v>
      </c>
      <c r="AH66" s="83" t="str">
        <f t="shared" si="2"/>
        <v>X.SWAP</v>
      </c>
      <c r="AI66" s="84" t="str">
        <f t="shared" si="3"/>
        <v>a.PARSE</v>
      </c>
      <c r="AJ66" s="85" t="str">
        <f t="shared" si="4"/>
        <v>ENTER</v>
      </c>
      <c r="AK66" s="6"/>
      <c r="AL66" s="8" t="str">
        <f t="shared" si="5"/>
        <v>{41</v>
      </c>
      <c r="AM66" s="27" t="str">
        <f t="shared" si="6"/>
        <v>ITM_ENTER</v>
      </c>
      <c r="AN66" s="27" t="str">
        <f t="shared" si="7"/>
        <v>KEY_COMPLEX</v>
      </c>
      <c r="AO66" s="27" t="str">
        <f t="shared" si="8"/>
        <v>MNU_CPX</v>
      </c>
      <c r="AP66" s="46" t="str">
        <f>IF(NOT(ISNA(MATCH(AM66,Lookups!E:E,))),VLOOKUP(AM66,Lookups!E:F,2,0),
IF(NOT(ISNA(MATCH(AN66,Lookups!E:E,))),VLOOKUP(AN66,Lookups!E:F,2,0),
IF(NOT(ISNA(MATCH(AO66,Lookups!E:E,))),VLOOKUP(AO66,Lookups!E:F,2,0),"ITM_NULL")))</f>
        <v>ITM_ENTER</v>
      </c>
      <c r="AQ66" s="28" t="str">
        <f t="shared" si="9"/>
        <v>ITM_ENTER</v>
      </c>
      <c r="AR66" s="198" t="s">
        <v>132</v>
      </c>
      <c r="AS66" s="186" t="s">
        <v>133</v>
      </c>
      <c r="AT66" s="197" t="s">
        <v>134</v>
      </c>
      <c r="AW66" s="14" t="str">
        <f t="shared" si="14"/>
        <v>{41</v>
      </c>
      <c r="AX66" s="157" t="str" cm="1">
        <f t="array" ref="AX66">SUBSTITUTE(SUBSTITUTE(_xlfn.SWITCH(AM66, "ITM_T_HOME", "ITM_UP1", "ITM_T_END", "ITM_DOWN1", "DOCU_CHR_sub", "ITM_DOWN_ARROW", "DOCU_CHR_super", "ITM_UP_ARROW", "MNU_TAMALPHA", "ITM_alpha", "DOCU_CHR_caseFLIP", "ITM_NULL", "DOCU_CHR_numSET", "ITM_NULL", "DOCU_ITM_RADIX", "ITM_PERIOD", AM66), ".lo", ),"MNU_", "-MNU_")</f>
        <v>ITM_ENTER</v>
      </c>
      <c r="AY66" s="157" t="str" cm="1">
        <f t="array" ref="AY66">SUBSTITUTE(SUBSTITUTE(_xlfn.SWITCH(AN66, "ITM_T_HOME", "ITM_UP1", "ITM_T_END", "ITM_DOWN1", "DOCU_CHR_sub", "ITM_DOWN_ARROW", "DOCU_CHR_super", "ITM_UP_ARROW", "MNU_TAMALPHA", "ITM_alpha", "DOCU_CHR_caseFLIP", "ITM_NULL", "DOCU_CHR_numSET", "ITM_NULL", "DOCU_ITM_RADIX", "ITM_PERIOD", AN66), ".lo", ),"MNU_", "-MNU_")</f>
        <v>KEY_COMPLEX</v>
      </c>
      <c r="AZ66" s="157" t="str" cm="1">
        <f t="array" ref="AZ66">SUBSTITUTE(SUBSTITUTE(_xlfn.SWITCH(AO66, "ITM_T_HOME", "ITM_UP1", "ITM_T_END", "ITM_DOWN1", "DOCU_CHR_sub", "ITM_DOWN_ARROW", "DOCU_CHR_super", "ITM_UP_ARROW", "MNU_TAMALPHA", "ITM_alpha", "DOCU_CHR_caseFLIP", "ITM_NULL", "DOCU_CHR_numSET", "ITM_NULL", "DOCU_ITM_RADIX", "ITM_PERIOD", AO66), ".lo", ),"MNU_", "-MNU_")</f>
        <v>-MNU_CPX</v>
      </c>
      <c r="BA66" s="173" t="str" cm="1">
        <f t="array" ref="BA66">SUBSTITUTE(SUBSTITUTE(_xlfn.SWITCH(AP66, "ITM_T_HOME", "ITM_UP1", "ITM_T_END", "ITM_DOWN1", "DOCU_CHR_sub", "ITM_DOWN_ARROW", "DOCU_CHR_super", "ITM_UP_ARROW", "MNU_TAMALPHA", "ITM_alpha", "DOCU_CHR_caseFLIP", "ITM_NULL", "DOCU_CHR_numSET", "ITM_NULL", "DOCU_ITM_RADIX", "ITM_PERIOD", AP66), ".lo", ),"MNU_", "-MNU_")</f>
        <v>ITM_ENTER</v>
      </c>
      <c r="BB66" s="157" t="str" cm="1">
        <f t="array" ref="BB66">SUBSTITUTE(SUBSTITUTE(_xlfn.SWITCH(AQ66, "ITM_T_HOME", "ITM_UP1", "ITM_T_END", "ITM_DOWN1", "DOCU_CHR_sub", "ITM_DOWN_ARROW", "DOCU_CHR_super", "ITM_UP_ARROW", "MNU_TAMALPHA", "ITM_alpha", "DOCU_CHR_caseFLIP", "ITM_NULL", "DOCU_CHR_numSET", "ITM_NULL", "DOCU_ITM_RADIX", "ITM_PERIOD", AQ66), ".lo", ),"MNU_", "-MNU_")</f>
        <v>ITM_ENTER</v>
      </c>
      <c r="BC66" s="157" t="str" cm="1">
        <f t="array" ref="BC66">SUBSTITUTE(SUBSTITUTE(_xlfn.SWITCH(AR66, "ITM_T_HOME", "ITM_UP1", "ITM_T_END", "ITM_DOWN1", "DOCU_CHR_sub", "ITM_DOWN_ARROW", "DOCU_CHR_super", "ITM_UP_ARROW", "MNU_TAMALPHA", "ITM_alpha", "DOCU_CHR_caseFLIP", "ITM_NULL", "DOCU_CHR_numSET", "ITM_NULL", "DOCU_ITM_RADIX", "ITM_PERIOD", AR66), ".lo", ),"MNU_", "-MNU_")</f>
        <v>ITM_XSWAP</v>
      </c>
      <c r="BD66" s="157" t="str" cm="1">
        <f t="array" ref="BD66">SUBSTITUTE(SUBSTITUTE(_xlfn.SWITCH(AS66, "ITM_T_HOME", "ITM_UP1", "ITM_T_END", "ITM_DOWN1", "DOCU_CHR_sub", "ITM_DOWN_ARROW", "DOCU_CHR_super", "ITM_UP_ARROW", "MNU_TAMALPHA", "ITM_alpha", "DOCU_CHR_caseFLIP", "ITM_NULL", "DOCU_CHR_numSET", "ITM_NULL", "DOCU_ITM_RADIX", "ITM_PERIOD", AS66), ".lo", ),"MNU_", "-MNU_")</f>
        <v>ITM_XPARSE</v>
      </c>
      <c r="BE66" s="157" t="str" cm="1">
        <f t="array" ref="BE66">SUBSTITUTE(SUBSTITUTE(_xlfn.SWITCH(AT66, "ITM_T_HOME", "ITM_UP1", "ITM_T_END", "ITM_DOWN1", "DOCU_CHR_sub", "ITM_DOWN_ARROW", "DOCU_CHR_super", "ITM_UP_ARROW", "MNU_TAMALPHA", "ITM_alpha", "DOCU_CHR_caseFLIP", "ITM_NULL", "DOCU_CHR_numSET", "ITM_NULL", "DOCU_ITM_RADIX", "ITM_PERIOD", AT66), ".lo", ),"MNU_", "-MNU_")</f>
        <v>ITM_ENTER</v>
      </c>
      <c r="BG66" s="75"/>
      <c r="BI66" s="13" t="str">
        <f t="shared" si="10"/>
        <v xml:space="preserve">  {41,                  ITM_ENTER,            KEY_COMPLEX,          -MNU_CPX,             ITM_ENTER,            ITM_ENTER,            ITM_XSWAP,            ITM_XPARSE,           ITM_ENTER           },</v>
      </c>
      <c r="BL66" s="45" t="str">
        <f t="shared" si="11"/>
        <v>ITM_XSWAP</v>
      </c>
      <c r="BM66" s="45" t="str">
        <f t="shared" si="12"/>
        <v>ITM_XPARSE</v>
      </c>
    </row>
    <row r="67" spans="1:65" ht="22" thickBot="1" x14ac:dyDescent="0.25">
      <c r="A67" s="3">
        <v>0.1</v>
      </c>
      <c r="B67" s="3">
        <v>30</v>
      </c>
      <c r="C67" s="233"/>
      <c r="D67" s="235"/>
      <c r="E67" s="236" t="e">
        <f>layout&amp;"."&amp;$B67+E66+E65</f>
        <v>#VALUE!</v>
      </c>
      <c r="G67" s="233"/>
      <c r="H67" s="235"/>
      <c r="I67" s="236" t="e">
        <f>layout&amp;"."&amp;$B67+I66+I65</f>
        <v>#VALUE!</v>
      </c>
      <c r="J67" s="233"/>
      <c r="K67" s="235"/>
      <c r="L67" s="236" t="e">
        <f>layout&amp;"."&amp;$B67+L66+L65</f>
        <v>#VALUE!</v>
      </c>
      <c r="M67" s="233"/>
      <c r="N67" s="235"/>
      <c r="O67" s="236" t="e">
        <f>layout&amp;"."&amp;$B67+O66+O65</f>
        <v>#VALUE!</v>
      </c>
      <c r="P67" s="233"/>
      <c r="Q67" s="235"/>
      <c r="R67" s="236" t="e">
        <f>layout&amp;"."&amp;$B67+R66+R65</f>
        <v>#VALUE!</v>
      </c>
      <c r="S67" s="233"/>
      <c r="T67" s="235"/>
      <c r="U67" s="236" t="e">
        <f>layout&amp;"."&amp;$B67+U66+U65</f>
        <v>#VALUE!</v>
      </c>
      <c r="X67" s="127" t="str">
        <f t="shared" si="1"/>
        <v>C47</v>
      </c>
      <c r="Y67" s="109">
        <v>4</v>
      </c>
      <c r="Z67" s="109">
        <v>2</v>
      </c>
      <c r="AA67" s="112" t="str">
        <f t="shared" si="0"/>
        <v>C47.42</v>
      </c>
      <c r="AB67" s="117" t="s">
        <v>135</v>
      </c>
      <c r="AC67" s="118" t="s">
        <v>136</v>
      </c>
      <c r="AD67" s="119" t="s">
        <v>137</v>
      </c>
      <c r="AE67" s="3"/>
      <c r="AF67" s="49" t="s">
        <v>138</v>
      </c>
      <c r="AG67" s="77" t="b">
        <f t="shared" si="13"/>
        <v>1</v>
      </c>
      <c r="AH67" s="83" t="str">
        <f t="shared" si="2"/>
        <v>m</v>
      </c>
      <c r="AI67" s="84" t="str">
        <f t="shared" si="3"/>
        <v>&lt;&gt;</v>
      </c>
      <c r="AJ67" s="85" t="str">
        <f t="shared" si="4"/>
        <v>Reg M</v>
      </c>
      <c r="AK67" s="6"/>
      <c r="AL67" s="8" t="str">
        <f t="shared" si="5"/>
        <v>{42</v>
      </c>
      <c r="AM67" s="27" t="str">
        <f t="shared" si="6"/>
        <v>ITM_XexY</v>
      </c>
      <c r="AN67" s="27" t="str">
        <f t="shared" si="7"/>
        <v>ITM_LASTX</v>
      </c>
      <c r="AO67" s="27" t="str">
        <f t="shared" si="8"/>
        <v>MNU_STK</v>
      </c>
      <c r="AP67" s="46" t="str">
        <f>IF(NOT(ISNA(MATCH(AM67,Lookups!E:E,))),VLOOKUP(AM67,Lookups!E:F,2,0),
IF(NOT(ISNA(MATCH(AN67,Lookups!E:E,))),VLOOKUP(AN67,Lookups!E:F,2,0),
IF(NOT(ISNA(MATCH(AO67,Lookups!E:E,))),VLOOKUP(AO67,Lookups!E:F,2,0),"ITM_NULL")))</f>
        <v>ITM_ex</v>
      </c>
      <c r="AQ67" s="28" t="str">
        <f t="shared" si="9"/>
        <v>ITM_M</v>
      </c>
      <c r="AR67" s="195" t="s">
        <v>139</v>
      </c>
      <c r="AS67" s="186" t="s">
        <v>140</v>
      </c>
      <c r="AT67" s="197" t="s">
        <v>654</v>
      </c>
      <c r="AW67" s="14" t="str">
        <f t="shared" si="14"/>
        <v>{42</v>
      </c>
      <c r="AX67" s="157" t="str" cm="1">
        <f t="array" ref="AX67">SUBSTITUTE(SUBSTITUTE(_xlfn.SWITCH(AM67, "ITM_T_HOME", "ITM_UP1", "ITM_T_END", "ITM_DOWN1", "DOCU_CHR_sub", "ITM_DOWN_ARROW", "DOCU_CHR_super", "ITM_UP_ARROW", "MNU_TAMALPHA", "ITM_alpha", "DOCU_CHR_caseFLIP", "ITM_NULL", "DOCU_CHR_numSET", "ITM_NULL", "DOCU_ITM_RADIX", "ITM_PERIOD", AM67), ".lo", ),"MNU_", "-MNU_")</f>
        <v>ITM_XexY</v>
      </c>
      <c r="AY67" s="157" t="str" cm="1">
        <f t="array" ref="AY67">SUBSTITUTE(SUBSTITUTE(_xlfn.SWITCH(AN67, "ITM_T_HOME", "ITM_UP1", "ITM_T_END", "ITM_DOWN1", "DOCU_CHR_sub", "ITM_DOWN_ARROW", "DOCU_CHR_super", "ITM_UP_ARROW", "MNU_TAMALPHA", "ITM_alpha", "DOCU_CHR_caseFLIP", "ITM_NULL", "DOCU_CHR_numSET", "ITM_NULL", "DOCU_ITM_RADIX", "ITM_PERIOD", AN67), ".lo", ),"MNU_", "-MNU_")</f>
        <v>ITM_LASTX</v>
      </c>
      <c r="AZ67" s="157" t="str" cm="1">
        <f t="array" ref="AZ67">SUBSTITUTE(SUBSTITUTE(_xlfn.SWITCH(AO67, "ITM_T_HOME", "ITM_UP1", "ITM_T_END", "ITM_DOWN1", "DOCU_CHR_sub", "ITM_DOWN_ARROW", "DOCU_CHR_super", "ITM_UP_ARROW", "MNU_TAMALPHA", "ITM_alpha", "DOCU_CHR_caseFLIP", "ITM_NULL", "DOCU_CHR_numSET", "ITM_NULL", "DOCU_ITM_RADIX", "ITM_PERIOD", AO67), ".lo", ),"MNU_", "-MNU_")</f>
        <v>-MNU_STK</v>
      </c>
      <c r="BA67" s="173" t="str" cm="1">
        <f t="array" ref="BA67">SUBSTITUTE(SUBSTITUTE(_xlfn.SWITCH(AP67, "ITM_T_HOME", "ITM_UP1", "ITM_T_END", "ITM_DOWN1", "DOCU_CHR_sub", "ITM_DOWN_ARROW", "DOCU_CHR_super", "ITM_UP_ARROW", "MNU_TAMALPHA", "ITM_alpha", "DOCU_CHR_caseFLIP", "ITM_NULL", "DOCU_CHR_numSET", "ITM_NULL", "DOCU_ITM_RADIX", "ITM_PERIOD", AP67), ".lo", ),"MNU_", "-MNU_")</f>
        <v>ITM_ex</v>
      </c>
      <c r="BB67" s="157" t="str" cm="1">
        <f t="array" ref="BB67">SUBSTITUTE(SUBSTITUTE(_xlfn.SWITCH(AQ67, "ITM_T_HOME", "ITM_UP1", "ITM_T_END", "ITM_DOWN1", "DOCU_CHR_sub", "ITM_DOWN_ARROW", "DOCU_CHR_super", "ITM_UP_ARROW", "MNU_TAMALPHA", "ITM_alpha", "DOCU_CHR_caseFLIP", "ITM_NULL", "DOCU_CHR_numSET", "ITM_NULL", "DOCU_ITM_RADIX", "ITM_PERIOD", AQ67), ".lo", ),"MNU_", "-MNU_")</f>
        <v>ITM_M</v>
      </c>
      <c r="BC67" s="157" t="str" cm="1">
        <f t="array" ref="BC67">SUBSTITUTE(SUBSTITUTE(_xlfn.SWITCH(AR67, "ITM_T_HOME", "ITM_UP1", "ITM_T_END", "ITM_DOWN1", "DOCU_CHR_sub", "ITM_DOWN_ARROW", "DOCU_CHR_super", "ITM_UP_ARROW", "MNU_TAMALPHA", "ITM_alpha", "DOCU_CHR_caseFLIP", "ITM_NULL", "DOCU_CHR_numSET", "ITM_NULL", "DOCU_ITM_RADIX", "ITM_PERIOD", AR67), ".lo", ),"MNU_", "-MNU_")</f>
        <v>ITM_m</v>
      </c>
      <c r="BD67" s="157" t="str" cm="1">
        <f t="array" ref="BD67">SUBSTITUTE(SUBSTITUTE(_xlfn.SWITCH(AS67, "ITM_T_HOME", "ITM_UP1", "ITM_T_END", "ITM_DOWN1", "DOCU_CHR_sub", "ITM_DOWN_ARROW", "DOCU_CHR_super", "ITM_UP_ARROW", "MNU_TAMALPHA", "ITM_alpha", "DOCU_CHR_caseFLIP", "ITM_NULL", "DOCU_CHR_numSET", "ITM_NULL", "DOCU_ITM_RADIX", "ITM_PERIOD", AS67), ".lo", ),"MNU_", "-MNU_")</f>
        <v>ITM_ex</v>
      </c>
      <c r="BE67" s="157" t="str" cm="1">
        <f t="array" ref="BE67">SUBSTITUTE(SUBSTITUTE(_xlfn.SWITCH(AT67, "ITM_T_HOME", "ITM_UP1", "ITM_T_END", "ITM_DOWN1", "DOCU_CHR_sub", "ITM_DOWN_ARROW", "DOCU_CHR_super", "ITM_UP_ARROW", "MNU_TAMALPHA", "ITM_alpha", "DOCU_CHR_caseFLIP", "ITM_NULL", "DOCU_CHR_numSET", "ITM_NULL", "DOCU_ITM_RADIX", "ITM_PERIOD", AT67), ".lo", ),"MNU_", "-MNU_")</f>
        <v>ITM_REG_M</v>
      </c>
      <c r="BG67" s="75"/>
      <c r="BI67" s="13" t="str">
        <f t="shared" si="10"/>
        <v xml:space="preserve">  {42,                  ITM_XexY,             ITM_LASTX,            -MNU_STK,             ITM_ex,               ITM_M,                ITM_m,                ITM_ex,               ITM_REG_M           },</v>
      </c>
      <c r="BL67" s="45" t="str">
        <f t="shared" si="11"/>
        <v>ITM_m</v>
      </c>
      <c r="BM67" s="45" t="str">
        <f t="shared" si="12"/>
        <v>ITM_ex</v>
      </c>
    </row>
    <row r="68" spans="1:65" ht="21" x14ac:dyDescent="0.2">
      <c r="A68" s="3"/>
      <c r="B68" s="3"/>
      <c r="C68" s="3">
        <f>2/10</f>
        <v>0.2</v>
      </c>
      <c r="D68" s="3">
        <f>2/10</f>
        <v>0.2</v>
      </c>
      <c r="E68" s="3">
        <f>2/10</f>
        <v>0.2</v>
      </c>
      <c r="F68" s="3">
        <f>3/10</f>
        <v>0.3</v>
      </c>
      <c r="G68" s="3">
        <f>3/10</f>
        <v>0.3</v>
      </c>
      <c r="H68" s="3">
        <f>3/10</f>
        <v>0.3</v>
      </c>
      <c r="I68" s="3">
        <f>4/10</f>
        <v>0.4</v>
      </c>
      <c r="J68" s="3">
        <f>2/10</f>
        <v>0.2</v>
      </c>
      <c r="K68" s="3">
        <f>3/10</f>
        <v>0.3</v>
      </c>
      <c r="L68" s="3">
        <f>4/10</f>
        <v>0.4</v>
      </c>
      <c r="M68" s="3">
        <f>2/10</f>
        <v>0.2</v>
      </c>
      <c r="N68" s="3">
        <f>3/10</f>
        <v>0.3</v>
      </c>
      <c r="O68" s="3">
        <f>4/10</f>
        <v>0.4</v>
      </c>
      <c r="P68" s="3">
        <f>2/10</f>
        <v>0.2</v>
      </c>
      <c r="Q68" s="3">
        <f>3/10</f>
        <v>0.3</v>
      </c>
      <c r="R68" s="3">
        <f>4/10</f>
        <v>0.4</v>
      </c>
      <c r="S68" s="3">
        <f>2/10</f>
        <v>0.2</v>
      </c>
      <c r="T68" s="3">
        <f>3/10</f>
        <v>0.3</v>
      </c>
      <c r="U68" s="3">
        <f>4/10</f>
        <v>0.4</v>
      </c>
      <c r="X68" s="127" t="str">
        <f t="shared" si="1"/>
        <v>C47</v>
      </c>
      <c r="Y68" s="109">
        <v>4</v>
      </c>
      <c r="Z68" s="109">
        <v>3</v>
      </c>
      <c r="AA68" s="112" t="str">
        <f t="shared" ref="AA68:AA131" si="15">X68&amp;"."&amp;Y68&amp;Z68</f>
        <v>C47.43</v>
      </c>
      <c r="AB68" s="117" t="s">
        <v>141</v>
      </c>
      <c r="AC68" s="118" t="s">
        <v>142</v>
      </c>
      <c r="AD68" s="119" t="s">
        <v>143</v>
      </c>
      <c r="AE68" s="3"/>
      <c r="AF68" s="49" t="s">
        <v>144</v>
      </c>
      <c r="AG68" s="77" t="b">
        <f t="shared" si="13"/>
        <v>1</v>
      </c>
      <c r="AH68" s="83" t="str">
        <f t="shared" si="2"/>
        <v>n</v>
      </c>
      <c r="AI68" s="84" t="str">
        <f t="shared" si="3"/>
        <v>+/-</v>
      </c>
      <c r="AJ68" s="85" t="str">
        <f t="shared" si="4"/>
        <v>Reg N</v>
      </c>
      <c r="AK68" s="6"/>
      <c r="AL68" s="8" t="str">
        <f t="shared" si="5"/>
        <v>{43</v>
      </c>
      <c r="AM68" s="27" t="str">
        <f t="shared" si="6"/>
        <v>ITM_CHS</v>
      </c>
      <c r="AN68" s="27" t="str">
        <f t="shared" si="7"/>
        <v>MNU_MODE</v>
      </c>
      <c r="AO68" s="27" t="str">
        <f t="shared" si="8"/>
        <v>MNU_TRG_C47</v>
      </c>
      <c r="AP68" s="46" t="str">
        <f>IF(NOT(ISNA(MATCH(AM68,Lookups!E:E,))),VLOOKUP(AM68,Lookups!E:F,2,0),
IF(NOT(ISNA(MATCH(AN68,Lookups!E:E,))),VLOOKUP(AN68,Lookups!E:F,2,0),
IF(NOT(ISNA(MATCH(AO68,Lookups!E:E,))),VLOOKUP(AO68,Lookups!E:F,2,0),"ITM_NULL")))</f>
        <v>ITM_PLUS_MINUS</v>
      </c>
      <c r="AQ68" s="28" t="str">
        <f t="shared" si="9"/>
        <v>ITM_N</v>
      </c>
      <c r="AR68" s="195" t="s">
        <v>145</v>
      </c>
      <c r="AS68" s="186" t="s">
        <v>146</v>
      </c>
      <c r="AT68" s="197" t="s">
        <v>655</v>
      </c>
      <c r="AW68" s="14" t="str">
        <f t="shared" si="14"/>
        <v>{43</v>
      </c>
      <c r="AX68" s="157" t="str" cm="1">
        <f t="array" ref="AX68">SUBSTITUTE(SUBSTITUTE(_xlfn.SWITCH(AM68, "ITM_T_HOME", "ITM_UP1", "ITM_T_END", "ITM_DOWN1", "DOCU_CHR_sub", "ITM_DOWN_ARROW", "DOCU_CHR_super", "ITM_UP_ARROW", "MNU_TAMALPHA", "ITM_alpha", "DOCU_CHR_caseFLIP", "ITM_NULL", "DOCU_CHR_numSET", "ITM_NULL", "DOCU_ITM_RADIX", "ITM_PERIOD", AM68), ".lo", ),"MNU_", "-MNU_")</f>
        <v>ITM_CHS</v>
      </c>
      <c r="AY68" s="157" t="str" cm="1">
        <f t="array" ref="AY68">SUBSTITUTE(SUBSTITUTE(_xlfn.SWITCH(AN68, "ITM_T_HOME", "ITM_UP1", "ITM_T_END", "ITM_DOWN1", "DOCU_CHR_sub", "ITM_DOWN_ARROW", "DOCU_CHR_super", "ITM_UP_ARROW", "MNU_TAMALPHA", "ITM_alpha", "DOCU_CHR_caseFLIP", "ITM_NULL", "DOCU_CHR_numSET", "ITM_NULL", "DOCU_ITM_RADIX", "ITM_PERIOD", AN68), ".lo", ),"MNU_", "-MNU_")</f>
        <v>-MNU_MODE</v>
      </c>
      <c r="AZ68" s="157" t="str" cm="1">
        <f t="array" ref="AZ68">SUBSTITUTE(SUBSTITUTE(_xlfn.SWITCH(AO68, "ITM_T_HOME", "ITM_UP1", "ITM_T_END", "ITM_DOWN1", "DOCU_CHR_sub", "ITM_DOWN_ARROW", "DOCU_CHR_super", "ITM_UP_ARROW", "MNU_TAMALPHA", "ITM_alpha", "DOCU_CHR_caseFLIP", "ITM_NULL", "DOCU_CHR_numSET", "ITM_NULL", "DOCU_ITM_RADIX", "ITM_PERIOD", AO68), ".lo", ),"MNU_", "-MNU_")</f>
        <v>-MNU_TRG_C47</v>
      </c>
      <c r="BA68" s="173" t="str" cm="1">
        <f t="array" ref="BA68">SUBSTITUTE(SUBSTITUTE(_xlfn.SWITCH(AP68, "ITM_T_HOME", "ITM_UP1", "ITM_T_END", "ITM_DOWN1", "DOCU_CHR_sub", "ITM_DOWN_ARROW", "DOCU_CHR_super", "ITM_UP_ARROW", "MNU_TAMALPHA", "ITM_alpha", "DOCU_CHR_caseFLIP", "ITM_NULL", "DOCU_CHR_numSET", "ITM_NULL", "DOCU_ITM_RADIX", "ITM_PERIOD", AP68), ".lo", ),"MNU_", "-MNU_")</f>
        <v>ITM_PLUS_MINUS</v>
      </c>
      <c r="BB68" s="157" t="str" cm="1">
        <f t="array" ref="BB68">SUBSTITUTE(SUBSTITUTE(_xlfn.SWITCH(AQ68, "ITM_T_HOME", "ITM_UP1", "ITM_T_END", "ITM_DOWN1", "DOCU_CHR_sub", "ITM_DOWN_ARROW", "DOCU_CHR_super", "ITM_UP_ARROW", "MNU_TAMALPHA", "ITM_alpha", "DOCU_CHR_caseFLIP", "ITM_NULL", "DOCU_CHR_numSET", "ITM_NULL", "DOCU_ITM_RADIX", "ITM_PERIOD", AQ68), ".lo", ),"MNU_", "-MNU_")</f>
        <v>ITM_N</v>
      </c>
      <c r="BC68" s="157" t="str" cm="1">
        <f t="array" ref="BC68">SUBSTITUTE(SUBSTITUTE(_xlfn.SWITCH(AR68, "ITM_T_HOME", "ITM_UP1", "ITM_T_END", "ITM_DOWN1", "DOCU_CHR_sub", "ITM_DOWN_ARROW", "DOCU_CHR_super", "ITM_UP_ARROW", "MNU_TAMALPHA", "ITM_alpha", "DOCU_CHR_caseFLIP", "ITM_NULL", "DOCU_CHR_numSET", "ITM_NULL", "DOCU_ITM_RADIX", "ITM_PERIOD", AR68), ".lo", ),"MNU_", "-MNU_")</f>
        <v>ITM_n</v>
      </c>
      <c r="BD68" s="157" t="str" cm="1">
        <f t="array" ref="BD68">SUBSTITUTE(SUBSTITUTE(_xlfn.SWITCH(AS68, "ITM_T_HOME", "ITM_UP1", "ITM_T_END", "ITM_DOWN1", "DOCU_CHR_sub", "ITM_DOWN_ARROW", "DOCU_CHR_super", "ITM_UP_ARROW", "MNU_TAMALPHA", "ITM_alpha", "DOCU_CHR_caseFLIP", "ITM_NULL", "DOCU_CHR_numSET", "ITM_NULL", "DOCU_ITM_RADIX", "ITM_PERIOD", AS68), ".lo", ),"MNU_", "-MNU_")</f>
        <v>ITM_PLUS_MINUS</v>
      </c>
      <c r="BE68" s="157" t="str" cm="1">
        <f t="array" ref="BE68">SUBSTITUTE(SUBSTITUTE(_xlfn.SWITCH(AT68, "ITM_T_HOME", "ITM_UP1", "ITM_T_END", "ITM_DOWN1", "DOCU_CHR_sub", "ITM_DOWN_ARROW", "DOCU_CHR_super", "ITM_UP_ARROW", "MNU_TAMALPHA", "ITM_alpha", "DOCU_CHR_caseFLIP", "ITM_NULL", "DOCU_CHR_numSET", "ITM_NULL", "DOCU_ITM_RADIX", "ITM_PERIOD", AT68), ".lo", ),"MNU_", "-MNU_")</f>
        <v>ITM_REG_N</v>
      </c>
      <c r="BG68" s="75"/>
      <c r="BI68" s="13" t="str">
        <f t="shared" si="10"/>
        <v xml:space="preserve">  {43,                  ITM_CHS,              -MNU_MODE,            -MNU_TRG_C47,         ITM_PLUS_MINUS,       ITM_N,                ITM_n,                ITM_PLUS_MINUS,       ITM_REG_N           },</v>
      </c>
      <c r="BL68" s="45" t="str">
        <f t="shared" si="11"/>
        <v>ITM_n</v>
      </c>
      <c r="BM68" s="45" t="str">
        <f t="shared" si="12"/>
        <v>ITM_PLUS_MINUS</v>
      </c>
    </row>
    <row r="69" spans="1:65" ht="21" x14ac:dyDescent="0.2">
      <c r="A69" s="3"/>
      <c r="B69" s="3"/>
      <c r="C69" s="3">
        <v>1</v>
      </c>
      <c r="D69" s="3">
        <v>1</v>
      </c>
      <c r="E69" s="3">
        <v>1</v>
      </c>
      <c r="F69" s="3">
        <v>1</v>
      </c>
      <c r="G69" s="3">
        <v>1</v>
      </c>
      <c r="H69" s="3">
        <v>1</v>
      </c>
      <c r="I69" s="3">
        <v>1</v>
      </c>
      <c r="J69" s="3">
        <v>2</v>
      </c>
      <c r="K69" s="3">
        <v>2</v>
      </c>
      <c r="L69" s="3">
        <v>2</v>
      </c>
      <c r="M69" s="3">
        <v>3</v>
      </c>
      <c r="N69" s="3">
        <v>3</v>
      </c>
      <c r="O69" s="3">
        <v>3</v>
      </c>
      <c r="P69" s="3">
        <v>4</v>
      </c>
      <c r="Q69" s="3">
        <v>4</v>
      </c>
      <c r="R69" s="3">
        <v>4</v>
      </c>
      <c r="S69" s="3">
        <v>5</v>
      </c>
      <c r="T69" s="3">
        <v>5</v>
      </c>
      <c r="U69" s="3">
        <v>5</v>
      </c>
      <c r="X69" s="127" t="str">
        <f t="shared" si="1"/>
        <v>C47</v>
      </c>
      <c r="Y69" s="109">
        <v>4</v>
      </c>
      <c r="Z69" s="109">
        <v>4</v>
      </c>
      <c r="AA69" s="112" t="str">
        <f t="shared" si="15"/>
        <v>C47.44</v>
      </c>
      <c r="AB69" s="117" t="s">
        <v>147</v>
      </c>
      <c r="AC69" s="118" t="s">
        <v>148</v>
      </c>
      <c r="AD69" s="119" t="s">
        <v>149</v>
      </c>
      <c r="AE69" s="3"/>
      <c r="AF69" s="49" t="s">
        <v>150</v>
      </c>
      <c r="AG69" s="77" t="b">
        <f t="shared" si="13"/>
        <v>1</v>
      </c>
      <c r="AH69" s="83" t="str">
        <f t="shared" si="2"/>
        <v>o</v>
      </c>
      <c r="AI69" s="84" t="str">
        <f t="shared" si="3"/>
        <v>&lt;E&gt;</v>
      </c>
      <c r="AJ69" s="85" t="str">
        <f t="shared" si="4"/>
        <v>Reg O</v>
      </c>
      <c r="AK69" s="6"/>
      <c r="AL69" s="8" t="str">
        <f t="shared" si="5"/>
        <v>{44</v>
      </c>
      <c r="AM69" s="27" t="str">
        <f t="shared" si="6"/>
        <v>ITM_EXPONENT</v>
      </c>
      <c r="AN69" s="27" t="str">
        <f t="shared" si="7"/>
        <v>MNU_DISP</v>
      </c>
      <c r="AO69" s="27" t="str">
        <f t="shared" si="8"/>
        <v>MNU_EXP</v>
      </c>
      <c r="AP69" s="46" t="str">
        <f>IF(NOT(ISNA(MATCH(AM69,Lookups!E:E,))),VLOOKUP(AM69,Lookups!E:F,2,0),
IF(NOT(ISNA(MATCH(AN69,Lookups!E:E,))),VLOOKUP(AN69,Lookups!E:F,2,0),
IF(NOT(ISNA(MATCH(AO69,Lookups!E:E,))),VLOOKUP(AO69,Lookups!E:F,2,0),"ITM_NULL")))</f>
        <v>ITM_NULL</v>
      </c>
      <c r="AQ69" s="222" t="str">
        <f t="shared" si="9"/>
        <v>ITM_O</v>
      </c>
      <c r="AR69" s="195" t="s">
        <v>151</v>
      </c>
      <c r="AS69" s="186" t="s">
        <v>152</v>
      </c>
      <c r="AT69" s="197" t="s">
        <v>675</v>
      </c>
      <c r="AW69" s="14" t="str">
        <f t="shared" si="14"/>
        <v>{44</v>
      </c>
      <c r="AX69" s="157" t="str" cm="1">
        <f t="array" ref="AX69">SUBSTITUTE(SUBSTITUTE(_xlfn.SWITCH(AM69, "ITM_T_HOME", "ITM_UP1", "ITM_T_END", "ITM_DOWN1", "DOCU_CHR_sub", "ITM_DOWN_ARROW", "DOCU_CHR_super", "ITM_UP_ARROW", "MNU_TAMALPHA", "ITM_alpha", "DOCU_CHR_caseFLIP", "ITM_NULL", "DOCU_CHR_numSET", "ITM_NULL", "DOCU_ITM_RADIX", "ITM_PERIOD", AM69), ".lo", ),"MNU_", "-MNU_")</f>
        <v>ITM_EXPONENT</v>
      </c>
      <c r="AY69" s="157" t="str" cm="1">
        <f t="array" ref="AY69">SUBSTITUTE(SUBSTITUTE(_xlfn.SWITCH(AN69, "ITM_T_HOME", "ITM_UP1", "ITM_T_END", "ITM_DOWN1", "DOCU_CHR_sub", "ITM_DOWN_ARROW", "DOCU_CHR_super", "ITM_UP_ARROW", "MNU_TAMALPHA", "ITM_alpha", "DOCU_CHR_caseFLIP", "ITM_NULL", "DOCU_CHR_numSET", "ITM_NULL", "DOCU_ITM_RADIX", "ITM_PERIOD", AN69), ".lo", ),"MNU_", "-MNU_")</f>
        <v>-MNU_DISP</v>
      </c>
      <c r="AZ69" s="157" t="str" cm="1">
        <f t="array" ref="AZ69">SUBSTITUTE(SUBSTITUTE(_xlfn.SWITCH(AO69, "ITM_T_HOME", "ITM_UP1", "ITM_T_END", "ITM_DOWN1", "DOCU_CHR_sub", "ITM_DOWN_ARROW", "DOCU_CHR_super", "ITM_UP_ARROW", "MNU_TAMALPHA", "ITM_alpha", "DOCU_CHR_caseFLIP", "ITM_NULL", "DOCU_CHR_numSET", "ITM_NULL", "DOCU_ITM_RADIX", "ITM_PERIOD", AO69), ".lo", ),"MNU_", "-MNU_")</f>
        <v>-MNU_EXP</v>
      </c>
      <c r="BA69" s="173" t="str" cm="1">
        <f t="array" ref="BA69">SUBSTITUTE(SUBSTITUTE(_xlfn.SWITCH(AP69, "ITM_T_HOME", "ITM_UP1", "ITM_T_END", "ITM_DOWN1", "DOCU_CHR_sub", "ITM_DOWN_ARROW", "DOCU_CHR_super", "ITM_UP_ARROW", "MNU_TAMALPHA", "ITM_alpha", "DOCU_CHR_caseFLIP", "ITM_NULL", "DOCU_CHR_numSET", "ITM_NULL", "DOCU_ITM_RADIX", "ITM_PERIOD", AP69), ".lo", ),"MNU_", "-MNU_")</f>
        <v>ITM_NULL</v>
      </c>
      <c r="BB69" s="157" t="str" cm="1">
        <f t="array" ref="BB69">SUBSTITUTE(SUBSTITUTE(_xlfn.SWITCH(AQ69, "ITM_T_HOME", "ITM_UP1", "ITM_T_END", "ITM_DOWN1", "DOCU_CHR_sub", "ITM_DOWN_ARROW", "DOCU_CHR_super", "ITM_UP_ARROW", "MNU_TAMALPHA", "ITM_alpha", "DOCU_CHR_caseFLIP", "ITM_NULL", "DOCU_CHR_numSET", "ITM_NULL", "DOCU_ITM_RADIX", "ITM_PERIOD", AQ69), ".lo", ),"MNU_", "-MNU_")</f>
        <v>ITM_O</v>
      </c>
      <c r="BC69" s="157" t="str" cm="1">
        <f t="array" ref="BC69">SUBSTITUTE(SUBSTITUTE(_xlfn.SWITCH(AR69, "ITM_T_HOME", "ITM_UP1", "ITM_T_END", "ITM_DOWN1", "DOCU_CHR_sub", "ITM_DOWN_ARROW", "DOCU_CHR_super", "ITM_UP_ARROW", "MNU_TAMALPHA", "ITM_alpha", "DOCU_CHR_caseFLIP", "ITM_NULL", "DOCU_CHR_numSET", "ITM_NULL", "DOCU_ITM_RADIX", "ITM_PERIOD", AR69), ".lo", ),"MNU_", "-MNU_")</f>
        <v>ITM_o</v>
      </c>
      <c r="BD69" s="157" t="str" cm="1">
        <f t="array" ref="BD69">SUBSTITUTE(SUBSTITUTE(_xlfn.SWITCH(AS69, "ITM_T_HOME", "ITM_UP1", "ITM_T_END", "ITM_DOWN1", "DOCU_CHR_sub", "ITM_DOWN_ARROW", "DOCU_CHR_super", "ITM_UP_ARROW", "MNU_TAMALPHA", "ITM_alpha", "DOCU_CHR_caseFLIP", "ITM_NULL", "DOCU_CHR_numSET", "ITM_NULL", "DOCU_ITM_RADIX", "ITM_PERIOD", AS69), ".lo", ),"MNU_", "-MNU_")</f>
        <v>ITM_EEXCHR</v>
      </c>
      <c r="BE69" s="157" t="str" cm="1">
        <f t="array" ref="BE69">SUBSTITUTE(SUBSTITUTE(_xlfn.SWITCH(AT69, "ITM_T_HOME", "ITM_UP1", "ITM_T_END", "ITM_DOWN1", "DOCU_CHR_sub", "ITM_DOWN_ARROW", "DOCU_CHR_super", "ITM_UP_ARROW", "MNU_TAMALPHA", "ITM_alpha", "DOCU_CHR_caseFLIP", "ITM_NULL", "DOCU_CHR_numSET", "ITM_NULL", "DOCU_ITM_RADIX", "ITM_PERIOD", AT69), ".lo", ),"MNU_", "-MNU_")</f>
        <v>ITM_REG_O</v>
      </c>
      <c r="BG69" s="75"/>
      <c r="BI69" s="13" t="str">
        <f t="shared" si="10"/>
        <v xml:space="preserve">  {44,                  ITM_EXPONENT,         -MNU_DISP,            -MNU_EXP,             ITM_NULL,             ITM_O,                ITM_o,                ITM_EEXCHR,           ITM_REG_O           },</v>
      </c>
      <c r="BL69" s="45" t="str">
        <f t="shared" si="11"/>
        <v>ITM_o</v>
      </c>
      <c r="BM69" s="45" t="str">
        <f t="shared" si="12"/>
        <v>ITM_EEXCHR</v>
      </c>
    </row>
    <row r="70" spans="1:65" ht="22" thickBot="1" x14ac:dyDescent="0.25">
      <c r="A70" s="3"/>
      <c r="B70" s="3">
        <v>40</v>
      </c>
      <c r="C70" s="237" t="str">
        <f>layout&amp;"."&amp;$B70+C69+C68</f>
        <v>C47.41,2</v>
      </c>
      <c r="D70" s="237">
        <f t="shared" ref="D70:E70" si="16">$B70+D69+D68</f>
        <v>41.2</v>
      </c>
      <c r="E70" s="237">
        <f t="shared" si="16"/>
        <v>41.2</v>
      </c>
      <c r="F70" s="237" t="str">
        <f>layout&amp;"."&amp;$B70+F69+F68</f>
        <v>C47.41,3</v>
      </c>
      <c r="G70" s="237">
        <f t="shared" ref="G70" si="17">$B70+G69+G68</f>
        <v>41.3</v>
      </c>
      <c r="H70" s="237">
        <f t="shared" ref="H70" si="18">$B70+H69+H68</f>
        <v>41.3</v>
      </c>
      <c r="J70" s="4" t="str">
        <f>layout&amp;"."&amp;$B70+J69+J68</f>
        <v>C47.42,2</v>
      </c>
      <c r="K70" s="4" t="str">
        <f>layout&amp;"."&amp;$B70+K69+K68</f>
        <v>C47.42,3</v>
      </c>
      <c r="M70" s="4" t="str">
        <f>layout&amp;"."&amp;$B70+M69+M68</f>
        <v>C47.43,2</v>
      </c>
      <c r="N70" s="4" t="str">
        <f>layout&amp;"."&amp;$B70+N69+N68</f>
        <v>C47.43,3</v>
      </c>
      <c r="P70" s="4" t="str">
        <f>layout&amp;"."&amp;$B70+P69+P68</f>
        <v>C47.44,2</v>
      </c>
      <c r="Q70" s="4" t="str">
        <f>layout&amp;"."&amp;$B70+Q69+Q68</f>
        <v>C47.44,3</v>
      </c>
      <c r="S70" s="4" t="str">
        <f>layout&amp;"."&amp;$B70+S69+S68</f>
        <v>C47.45,2</v>
      </c>
      <c r="T70" s="4" t="str">
        <f>layout&amp;"."&amp;$B70+T69+T68</f>
        <v>C47.45,3</v>
      </c>
      <c r="X70" s="127" t="str">
        <f t="shared" si="1"/>
        <v>C47</v>
      </c>
      <c r="Y70" s="109">
        <v>4</v>
      </c>
      <c r="Z70" s="109">
        <v>5</v>
      </c>
      <c r="AA70" s="112" t="str">
        <f t="shared" si="15"/>
        <v>C47.45</v>
      </c>
      <c r="AB70" s="117" t="s">
        <v>154</v>
      </c>
      <c r="AC70" s="118" t="s">
        <v>155</v>
      </c>
      <c r="AD70" s="119" t="s">
        <v>156</v>
      </c>
      <c r="AE70" s="3"/>
      <c r="AF70" s="49" t="s">
        <v>154</v>
      </c>
      <c r="AG70" s="77" t="b">
        <f t="shared" si="13"/>
        <v>0</v>
      </c>
      <c r="AH70" s="83" t="str">
        <f t="shared" si="2"/>
        <v>CLA</v>
      </c>
      <c r="AI70" s="84" t="str">
        <f t="shared" si="3"/>
        <v>CLA</v>
      </c>
      <c r="AJ70" s="85" t="str">
        <f t="shared" si="4"/>
        <v>&lt;=</v>
      </c>
      <c r="AK70" s="6"/>
      <c r="AL70" s="8" t="str">
        <f t="shared" si="5"/>
        <v>{45</v>
      </c>
      <c r="AM70" s="27" t="str">
        <f t="shared" si="6"/>
        <v>ITM_BACKSPACE</v>
      </c>
      <c r="AN70" s="27" t="str">
        <f t="shared" si="7"/>
        <v>ITM_UNDO</v>
      </c>
      <c r="AO70" s="27" t="str">
        <f t="shared" si="8"/>
        <v>MNU_CLR</v>
      </c>
      <c r="AP70" s="46" t="str">
        <f>IF(NOT(ISNA(MATCH(AM70,Lookups!E:E,))),VLOOKUP(AM70,Lookups!E:F,2,0),
IF(NOT(ISNA(MATCH(AN70,Lookups!E:E,))),VLOOKUP(AN70,Lookups!E:F,2,0),
IF(NOT(ISNA(MATCH(AO70,Lookups!E:E,))),VLOOKUP(AO70,Lookups!E:F,2,0),"ITM_NULL")))</f>
        <v>ITM_BACKSPACE</v>
      </c>
      <c r="AQ70" s="28" t="str">
        <f t="shared" si="9"/>
        <v>ITM_BACKSPACE</v>
      </c>
      <c r="AR70" s="198" t="s">
        <v>157</v>
      </c>
      <c r="AS70" s="186" t="s">
        <v>157</v>
      </c>
      <c r="AT70" s="197" t="s">
        <v>158</v>
      </c>
      <c r="AW70" s="14" t="str">
        <f t="shared" si="14"/>
        <v>{45</v>
      </c>
      <c r="AX70" s="157" t="str" cm="1">
        <f t="array" ref="AX70">SUBSTITUTE(SUBSTITUTE(_xlfn.SWITCH(AM70, "ITM_T_HOME", "ITM_UP1", "ITM_T_END", "ITM_DOWN1", "DOCU_CHR_sub", "ITM_DOWN_ARROW", "DOCU_CHR_super", "ITM_UP_ARROW", "MNU_TAMALPHA", "ITM_alpha", "DOCU_CHR_caseFLIP", "ITM_NULL", "DOCU_CHR_numSET", "ITM_NULL", "DOCU_ITM_RADIX", "ITM_PERIOD", AM70), ".lo", ),"MNU_", "-MNU_")</f>
        <v>ITM_BACKSPACE</v>
      </c>
      <c r="AY70" s="157" t="str" cm="1">
        <f t="array" ref="AY70">SUBSTITUTE(SUBSTITUTE(_xlfn.SWITCH(AN70, "ITM_T_HOME", "ITM_UP1", "ITM_T_END", "ITM_DOWN1", "DOCU_CHR_sub", "ITM_DOWN_ARROW", "DOCU_CHR_super", "ITM_UP_ARROW", "MNU_TAMALPHA", "ITM_alpha", "DOCU_CHR_caseFLIP", "ITM_NULL", "DOCU_CHR_numSET", "ITM_NULL", "DOCU_ITM_RADIX", "ITM_PERIOD", AN70), ".lo", ),"MNU_", "-MNU_")</f>
        <v>ITM_UNDO</v>
      </c>
      <c r="AZ70" s="157" t="str" cm="1">
        <f t="array" ref="AZ70">SUBSTITUTE(SUBSTITUTE(_xlfn.SWITCH(AO70, "ITM_T_HOME", "ITM_UP1", "ITM_T_END", "ITM_DOWN1", "DOCU_CHR_sub", "ITM_DOWN_ARROW", "DOCU_CHR_super", "ITM_UP_ARROW", "MNU_TAMALPHA", "ITM_alpha", "DOCU_CHR_caseFLIP", "ITM_NULL", "DOCU_CHR_numSET", "ITM_NULL", "DOCU_ITM_RADIX", "ITM_PERIOD", AO70), ".lo", ),"MNU_", "-MNU_")</f>
        <v>-MNU_CLR</v>
      </c>
      <c r="BA70" s="173" t="str" cm="1">
        <f t="array" ref="BA70">SUBSTITUTE(SUBSTITUTE(_xlfn.SWITCH(AP70, "ITM_T_HOME", "ITM_UP1", "ITM_T_END", "ITM_DOWN1", "DOCU_CHR_sub", "ITM_DOWN_ARROW", "DOCU_CHR_super", "ITM_UP_ARROW", "MNU_TAMALPHA", "ITM_alpha", "DOCU_CHR_caseFLIP", "ITM_NULL", "DOCU_CHR_numSET", "ITM_NULL", "DOCU_ITM_RADIX", "ITM_PERIOD", AP70), ".lo", ),"MNU_", "-MNU_")</f>
        <v>ITM_BACKSPACE</v>
      </c>
      <c r="BB70" s="157" t="str" cm="1">
        <f t="array" ref="BB70">SUBSTITUTE(SUBSTITUTE(_xlfn.SWITCH(AQ70, "ITM_T_HOME", "ITM_UP1", "ITM_T_END", "ITM_DOWN1", "DOCU_CHR_sub", "ITM_DOWN_ARROW", "DOCU_CHR_super", "ITM_UP_ARROW", "MNU_TAMALPHA", "ITM_alpha", "DOCU_CHR_caseFLIP", "ITM_NULL", "DOCU_CHR_numSET", "ITM_NULL", "DOCU_ITM_RADIX", "ITM_PERIOD", AQ70), ".lo", ),"MNU_", "-MNU_")</f>
        <v>ITM_BACKSPACE</v>
      </c>
      <c r="BC70" s="157" t="str" cm="1">
        <f t="array" ref="BC70">SUBSTITUTE(SUBSTITUTE(_xlfn.SWITCH(AR70, "ITM_T_HOME", "ITM_UP1", "ITM_T_END", "ITM_DOWN1", "DOCU_CHR_sub", "ITM_DOWN_ARROW", "DOCU_CHR_super", "ITM_UP_ARROW", "MNU_TAMALPHA", "ITM_alpha", "DOCU_CHR_caseFLIP", "ITM_NULL", "DOCU_CHR_numSET", "ITM_NULL", "DOCU_ITM_RADIX", "ITM_PERIOD", AR70), ".lo", ),"MNU_", "-MNU_")</f>
        <v>ITM_CLA</v>
      </c>
      <c r="BD70" s="157" t="str" cm="1">
        <f t="array" ref="BD70">SUBSTITUTE(SUBSTITUTE(_xlfn.SWITCH(AS70, "ITM_T_HOME", "ITM_UP1", "ITM_T_END", "ITM_DOWN1", "DOCU_CHR_sub", "ITM_DOWN_ARROW", "DOCU_CHR_super", "ITM_UP_ARROW", "MNU_TAMALPHA", "ITM_alpha", "DOCU_CHR_caseFLIP", "ITM_NULL", "DOCU_CHR_numSET", "ITM_NULL", "DOCU_ITM_RADIX", "ITM_PERIOD", AS70), ".lo", ),"MNU_", "-MNU_")</f>
        <v>ITM_CLA</v>
      </c>
      <c r="BE70" s="157" t="str" cm="1">
        <f t="array" ref="BE70">SUBSTITUTE(SUBSTITUTE(_xlfn.SWITCH(AT70, "ITM_T_HOME", "ITM_UP1", "ITM_T_END", "ITM_DOWN1", "DOCU_CHR_sub", "ITM_DOWN_ARROW", "DOCU_CHR_super", "ITM_UP_ARROW", "MNU_TAMALPHA", "ITM_alpha", "DOCU_CHR_caseFLIP", "ITM_NULL", "DOCU_CHR_numSET", "ITM_NULL", "DOCU_ITM_RADIX", "ITM_PERIOD", AT70), ".lo", ),"MNU_", "-MNU_")</f>
        <v>ITM_BACKSPACE</v>
      </c>
      <c r="BG70" s="75"/>
      <c r="BI70" s="13" t="str">
        <f t="shared" si="10"/>
        <v xml:space="preserve">  {45,                  ITM_BACKSPACE,        ITM_UNDO,             -MNU_CLR,             ITM_BACKSPACE,        ITM_BACKSPACE,        ITM_CLA,              ITM_CLA,              ITM_BACKSPACE       },</v>
      </c>
      <c r="BL70" s="45" t="str">
        <f t="shared" si="11"/>
        <v>ITM_CLA</v>
      </c>
      <c r="BM70" s="45" t="str">
        <f t="shared" si="12"/>
        <v>ITM_CLA</v>
      </c>
    </row>
    <row r="71" spans="1:65" ht="21" x14ac:dyDescent="0.2">
      <c r="A71" s="3">
        <v>0.1</v>
      </c>
      <c r="B71" s="3">
        <v>40</v>
      </c>
      <c r="C71" s="227" t="str">
        <f>layout&amp;"."&amp;$B73+C69+$A71</f>
        <v>C47.41,1</v>
      </c>
      <c r="D71" s="228"/>
      <c r="E71" s="228">
        <f t="shared" ref="E71" si="19">$B73+E69+$A71</f>
        <v>41.1</v>
      </c>
      <c r="F71" s="228"/>
      <c r="G71" s="228">
        <f t="shared" ref="G71" si="20">$B73+G69+$A71</f>
        <v>41.1</v>
      </c>
      <c r="H71" s="229"/>
      <c r="I71" s="226" t="str">
        <f>layout&amp;"."&amp;$B71+I69+I68</f>
        <v>C47.41,4</v>
      </c>
      <c r="J71" s="227" t="str">
        <f>layout&amp;"."&amp;$B73+J69+$A71</f>
        <v>C47.42,1</v>
      </c>
      <c r="K71" s="229"/>
      <c r="L71" s="226" t="str">
        <f>layout&amp;"."&amp;$B71+L69+L68</f>
        <v>C47.42,4</v>
      </c>
      <c r="M71" s="227" t="str">
        <f>layout&amp;"."&amp;$B73+M69+$A71</f>
        <v>C47.43,1</v>
      </c>
      <c r="N71" s="229"/>
      <c r="O71" s="226" t="str">
        <f>layout&amp;"."&amp;$B71+O69+O68</f>
        <v>C47.43,4</v>
      </c>
      <c r="P71" s="227" t="str">
        <f>layout&amp;"."&amp;$B73+P69+$A71</f>
        <v>C47.44,1</v>
      </c>
      <c r="Q71" s="229"/>
      <c r="R71" s="226" t="str">
        <f>layout&amp;"."&amp;$B71+R69+R68</f>
        <v>C47.44,4</v>
      </c>
      <c r="S71" s="227" t="str">
        <f>layout&amp;"."&amp;$B73+S69+$A71</f>
        <v>C47.45,1</v>
      </c>
      <c r="T71" s="229"/>
      <c r="U71" s="236" t="str">
        <f>layout&amp;"."&amp;$B71+U69+U68</f>
        <v>C47.45,4</v>
      </c>
      <c r="X71" s="127" t="str">
        <f t="shared" si="1"/>
        <v>C47</v>
      </c>
      <c r="Y71" s="106">
        <v>5</v>
      </c>
      <c r="Z71" s="106">
        <v>1</v>
      </c>
      <c r="AA71" s="112" t="str">
        <f t="shared" si="15"/>
        <v>C47.51</v>
      </c>
      <c r="AB71" s="117" t="s">
        <v>159</v>
      </c>
      <c r="AC71" s="118" t="s">
        <v>160</v>
      </c>
      <c r="AD71" s="119" t="s">
        <v>161</v>
      </c>
      <c r="AE71" s="3"/>
      <c r="AF71" s="49" t="s">
        <v>162</v>
      </c>
      <c r="AG71" s="77" t="b">
        <f t="shared" si="13"/>
        <v>0</v>
      </c>
      <c r="AH71" s="83" t="str">
        <f t="shared" si="2"/>
        <v>CASE UP</v>
      </c>
      <c r="AI71" s="84" t="str">
        <f t="shared" si="3"/>
        <v>Super</v>
      </c>
      <c r="AJ71" s="85" t="str">
        <f t="shared" si="4"/>
        <v>Up</v>
      </c>
      <c r="AK71" s="6"/>
      <c r="AL71" s="8" t="str">
        <f t="shared" si="5"/>
        <v>{51</v>
      </c>
      <c r="AM71" s="27" t="str">
        <f t="shared" si="6"/>
        <v>ITM_UP1</v>
      </c>
      <c r="AN71" s="27" t="str">
        <f t="shared" si="7"/>
        <v>ITM_BST</v>
      </c>
      <c r="AO71" s="27" t="str">
        <f t="shared" si="8"/>
        <v>ITM_RBR</v>
      </c>
      <c r="AP71" s="46" t="str">
        <f>IF(NOT(ISNA(MATCH(AM71,Lookups!E:E,))),VLOOKUP(AM71,Lookups!E:F,2,0),
IF(NOT(ISNA(MATCH(AN71,Lookups!E:E,))),VLOOKUP(AN71,Lookups!E:F,2,0),
IF(NOT(ISNA(MATCH(AO71,Lookups!E:E,))),VLOOKUP(AO71,Lookups!E:F,2,0),"ITM_NULL")))</f>
        <v>ITM_UP1</v>
      </c>
      <c r="AQ71" s="28" t="str">
        <f t="shared" si="9"/>
        <v>ITM_T_HOME</v>
      </c>
      <c r="AR71" s="198" t="s">
        <v>163</v>
      </c>
      <c r="AS71" s="186" t="s">
        <v>164</v>
      </c>
      <c r="AT71" s="197" t="s">
        <v>165</v>
      </c>
      <c r="AW71" s="14" t="str">
        <f t="shared" si="14"/>
        <v>{51</v>
      </c>
      <c r="AX71" s="157" t="str" cm="1">
        <f t="array" ref="AX71">SUBSTITUTE(SUBSTITUTE(_xlfn.SWITCH(AM71, "ITM_T_HOME", "ITM_UP1", "ITM_T_END", "ITM_DOWN1", "DOCU_CHR_sub", "ITM_DOWN_ARROW", "DOCU_CHR_super", "ITM_UP_ARROW", "MNU_TAMALPHA", "ITM_alpha", "DOCU_CHR_caseFLIP", "ITM_NULL", "DOCU_CHR_numSET", "ITM_NULL", "DOCU_ITM_RADIX", "ITM_PERIOD", AM71), ".lo", ),"MNU_", "-MNU_")</f>
        <v>ITM_UP1</v>
      </c>
      <c r="AY71" s="157" t="str" cm="1">
        <f t="array" ref="AY71">SUBSTITUTE(SUBSTITUTE(_xlfn.SWITCH(AN71, "ITM_T_HOME", "ITM_UP1", "ITM_T_END", "ITM_DOWN1", "DOCU_CHR_sub", "ITM_DOWN_ARROW", "DOCU_CHR_super", "ITM_UP_ARROW", "MNU_TAMALPHA", "ITM_alpha", "DOCU_CHR_caseFLIP", "ITM_NULL", "DOCU_CHR_numSET", "ITM_NULL", "DOCU_ITM_RADIX", "ITM_PERIOD", AN71), ".lo", ),"MNU_", "-MNU_")</f>
        <v>ITM_BST</v>
      </c>
      <c r="AZ71" s="157" t="str" cm="1">
        <f t="array" ref="AZ71">SUBSTITUTE(SUBSTITUTE(_xlfn.SWITCH(AO71, "ITM_T_HOME", "ITM_UP1", "ITM_T_END", "ITM_DOWN1", "DOCU_CHR_sub", "ITM_DOWN_ARROW", "DOCU_CHR_super", "ITM_UP_ARROW", "MNU_TAMALPHA", "ITM_alpha", "DOCU_CHR_caseFLIP", "ITM_NULL", "DOCU_CHR_numSET", "ITM_NULL", "DOCU_ITM_RADIX", "ITM_PERIOD", AO71), ".lo", ),"MNU_", "-MNU_")</f>
        <v>ITM_RBR</v>
      </c>
      <c r="BA71" s="173" t="str" cm="1">
        <f t="array" ref="BA71">SUBSTITUTE(SUBSTITUTE(_xlfn.SWITCH(AP71, "ITM_T_HOME", "ITM_UP1", "ITM_T_END", "ITM_DOWN1", "DOCU_CHR_sub", "ITM_DOWN_ARROW", "DOCU_CHR_super", "ITM_UP_ARROW", "MNU_TAMALPHA", "ITM_alpha", "DOCU_CHR_caseFLIP", "ITM_NULL", "DOCU_CHR_numSET", "ITM_NULL", "DOCU_ITM_RADIX", "ITM_PERIOD", AP71), ".lo", ),"MNU_", "-MNU_")</f>
        <v>ITM_UP1</v>
      </c>
      <c r="BB71" s="157" t="str" cm="1">
        <f t="array" ref="BB71">SUBSTITUTE(SUBSTITUTE(_xlfn.SWITCH(AQ71, "ITM_T_HOME", "ITM_UP1", "ITM_T_END", "ITM_DOWN1", "DOCU_CHR_sub", "ITM_DOWN_ARROW", "DOCU_CHR_super", "ITM_UP_ARROW", "MNU_TAMALPHA", "ITM_alpha", "DOCU_CHR_caseFLIP", "ITM_NULL", "DOCU_CHR_numSET", "ITM_NULL", "DOCU_ITM_RADIX", "ITM_PERIOD", AQ71), ".lo", ),"MNU_", "-MNU_")</f>
        <v>ITM_UP1</v>
      </c>
      <c r="BC71" s="157" t="str" cm="1">
        <f t="array" ref="BC71">SUBSTITUTE(SUBSTITUTE(_xlfn.SWITCH(AR71, "ITM_T_HOME", "ITM_UP1", "ITM_T_END", "ITM_DOWN1", "DOCU_CHR_sub", "ITM_DOWN_ARROW", "DOCU_CHR_super", "ITM_UP_ARROW", "MNU_TAMALPHA", "ITM_alpha", "DOCU_CHR_caseFLIP", "ITM_NULL", "DOCU_CHR_numSET", "ITM_NULL", "DOCU_ITM_RADIX", "ITM_PERIOD", AR71), ".lo", ),"MNU_", "-MNU_")</f>
        <v>CHR_caseUP</v>
      </c>
      <c r="BD71" s="157" t="str" cm="1">
        <f t="array" ref="BD71">SUBSTITUTE(SUBSTITUTE(_xlfn.SWITCH(AS71, "ITM_T_HOME", "ITM_UP1", "ITM_T_END", "ITM_DOWN1", "DOCU_CHR_sub", "ITM_DOWN_ARROW", "DOCU_CHR_super", "ITM_UP_ARROW", "MNU_TAMALPHA", "ITM_alpha", "DOCU_CHR_caseFLIP", "ITM_NULL", "DOCU_CHR_numSET", "ITM_NULL", "DOCU_ITM_RADIX", "ITM_PERIOD", AS71), ".lo", ),"MNU_", "-MNU_")</f>
        <v>ITM_UP_ARROW</v>
      </c>
      <c r="BE71" s="157" t="str" cm="1">
        <f t="array" ref="BE71">SUBSTITUTE(SUBSTITUTE(_xlfn.SWITCH(AT71, "ITM_T_HOME", "ITM_UP1", "ITM_T_END", "ITM_DOWN1", "DOCU_CHR_sub", "ITM_DOWN_ARROW", "DOCU_CHR_super", "ITM_UP_ARROW", "MNU_TAMALPHA", "ITM_alpha", "DOCU_CHR_caseFLIP", "ITM_NULL", "DOCU_CHR_numSET", "ITM_NULL", "DOCU_ITM_RADIX", "ITM_PERIOD", AT71), ".lo", ),"MNU_", "-MNU_")</f>
        <v>ITM_UP1</v>
      </c>
      <c r="BG71" s="75"/>
      <c r="BI71" s="13" t="str">
        <f t="shared" si="10"/>
        <v xml:space="preserve">  {51,                  ITM_UP1,              ITM_BST,              ITM_RBR,              ITM_UP1,              ITM_UP1,              CHR_caseUP,           ITM_UP_ARROW,         ITM_UP1             },</v>
      </c>
      <c r="BL71" s="45" t="str">
        <f t="shared" si="11"/>
        <v>CHR_caseUP</v>
      </c>
      <c r="BM71" s="45" t="str">
        <f t="shared" si="12"/>
        <v>DOCU_CHR_super</v>
      </c>
    </row>
    <row r="72" spans="1:65" ht="21" x14ac:dyDescent="0.2">
      <c r="A72" s="3">
        <v>0.1</v>
      </c>
      <c r="B72" s="3">
        <v>40</v>
      </c>
      <c r="C72" s="230"/>
      <c r="D72" s="231"/>
      <c r="E72" s="231"/>
      <c r="F72" s="231"/>
      <c r="G72" s="231"/>
      <c r="H72" s="232"/>
      <c r="I72" s="226" t="e">
        <f>layout&amp;"."&amp;$B72+I71+I70</f>
        <v>#VALUE!</v>
      </c>
      <c r="J72" s="230"/>
      <c r="K72" s="232"/>
      <c r="L72" s="226" t="e">
        <f>layout&amp;"."&amp;$B72+L71+L70</f>
        <v>#VALUE!</v>
      </c>
      <c r="M72" s="230"/>
      <c r="N72" s="232"/>
      <c r="O72" s="226" t="e">
        <f>layout&amp;"."&amp;$B72+O71+O70</f>
        <v>#VALUE!</v>
      </c>
      <c r="P72" s="230"/>
      <c r="Q72" s="232"/>
      <c r="R72" s="226" t="e">
        <f>layout&amp;"."&amp;$B72+R71+R70</f>
        <v>#VALUE!</v>
      </c>
      <c r="S72" s="230"/>
      <c r="T72" s="232"/>
      <c r="U72" s="236" t="e">
        <f>layout&amp;"."&amp;$B72+U71+U70</f>
        <v>#VALUE!</v>
      </c>
      <c r="X72" s="127" t="str">
        <f t="shared" si="1"/>
        <v>C47</v>
      </c>
      <c r="Y72" s="109">
        <v>5</v>
      </c>
      <c r="Z72" s="109">
        <v>2</v>
      </c>
      <c r="AA72" s="112" t="str">
        <f t="shared" si="15"/>
        <v>C47.52</v>
      </c>
      <c r="AB72" s="117">
        <v>7</v>
      </c>
      <c r="AC72" s="118" t="s">
        <v>166</v>
      </c>
      <c r="AD72" s="119" t="s">
        <v>167</v>
      </c>
      <c r="AE72" s="3"/>
      <c r="AF72" s="49" t="s">
        <v>168</v>
      </c>
      <c r="AG72" s="77" t="b">
        <f t="shared" si="13"/>
        <v>1</v>
      </c>
      <c r="AH72" s="83" t="str">
        <f t="shared" si="2"/>
        <v>p</v>
      </c>
      <c r="AI72" s="84">
        <f t="shared" si="3"/>
        <v>7</v>
      </c>
      <c r="AJ72" s="85">
        <f t="shared" si="4"/>
        <v>7</v>
      </c>
      <c r="AK72" s="6"/>
      <c r="AL72" s="8" t="str">
        <f t="shared" si="5"/>
        <v>{52</v>
      </c>
      <c r="AM72" s="27" t="str">
        <f t="shared" si="6"/>
        <v>ITM_7</v>
      </c>
      <c r="AN72" s="27" t="str">
        <f t="shared" si="7"/>
        <v>MNU_EQN</v>
      </c>
      <c r="AO72" s="27" t="str">
        <f t="shared" si="8"/>
        <v>MNU_HOME</v>
      </c>
      <c r="AP72" s="46" t="str">
        <f>IF(NOT(ISNA(MATCH(AM72,Lookups!E:E,))),VLOOKUP(AM72,Lookups!E:F,2,0),
IF(NOT(ISNA(MATCH(AN72,Lookups!E:E,))),VLOOKUP(AN72,Lookups!E:F,2,0),
IF(NOT(ISNA(MATCH(AO72,Lookups!E:E,))),VLOOKUP(AO72,Lookups!E:F,2,0),"ITM_NULL")))</f>
        <v>ITM_7</v>
      </c>
      <c r="AQ72" s="28" t="str">
        <f t="shared" ref="AQ72:AQ81" si="21">VLOOKUP(AF72,labelitem,2,0)</f>
        <v>ITM_P</v>
      </c>
      <c r="AR72" s="195" t="s">
        <v>169</v>
      </c>
      <c r="AS72" s="186" t="s">
        <v>170</v>
      </c>
      <c r="AT72" s="197" t="s">
        <v>170</v>
      </c>
      <c r="AW72" s="14" t="str">
        <f t="shared" si="14"/>
        <v>{52</v>
      </c>
      <c r="AX72" s="157" t="str" cm="1">
        <f t="array" ref="AX72">SUBSTITUTE(SUBSTITUTE(_xlfn.SWITCH(AM72, "ITM_T_HOME", "ITM_UP1", "ITM_T_END", "ITM_DOWN1", "DOCU_CHR_sub", "ITM_DOWN_ARROW", "DOCU_CHR_super", "ITM_UP_ARROW", "MNU_TAMALPHA", "ITM_alpha", "DOCU_CHR_caseFLIP", "ITM_NULL", "DOCU_CHR_numSET", "ITM_NULL", "DOCU_ITM_RADIX", "ITM_PERIOD", AM72), ".lo", ),"MNU_", "-MNU_")</f>
        <v>ITM_7</v>
      </c>
      <c r="AY72" s="157" t="str" cm="1">
        <f t="array" ref="AY72">SUBSTITUTE(SUBSTITUTE(_xlfn.SWITCH(AN72, "ITM_T_HOME", "ITM_UP1", "ITM_T_END", "ITM_DOWN1", "DOCU_CHR_sub", "ITM_DOWN_ARROW", "DOCU_CHR_super", "ITM_UP_ARROW", "MNU_TAMALPHA", "ITM_alpha", "DOCU_CHR_caseFLIP", "ITM_NULL", "DOCU_CHR_numSET", "ITM_NULL", "DOCU_ITM_RADIX", "ITM_PERIOD", AN72), ".lo", ),"MNU_", "-MNU_")</f>
        <v>-MNU_EQN</v>
      </c>
      <c r="AZ72" s="157" t="str" cm="1">
        <f t="array" ref="AZ72">SUBSTITUTE(SUBSTITUTE(_xlfn.SWITCH(AO72, "ITM_T_HOME", "ITM_UP1", "ITM_T_END", "ITM_DOWN1", "DOCU_CHR_sub", "ITM_DOWN_ARROW", "DOCU_CHR_super", "ITM_UP_ARROW", "MNU_TAMALPHA", "ITM_alpha", "DOCU_CHR_caseFLIP", "ITM_NULL", "DOCU_CHR_numSET", "ITM_NULL", "DOCU_ITM_RADIX", "ITM_PERIOD", AO72), ".lo", ),"MNU_", "-MNU_")</f>
        <v>-MNU_HOME</v>
      </c>
      <c r="BA72" s="173" t="str" cm="1">
        <f t="array" ref="BA72">SUBSTITUTE(SUBSTITUTE(_xlfn.SWITCH(AP72, "ITM_T_HOME", "ITM_UP1", "ITM_T_END", "ITM_DOWN1", "DOCU_CHR_sub", "ITM_DOWN_ARROW", "DOCU_CHR_super", "ITM_UP_ARROW", "MNU_TAMALPHA", "ITM_alpha", "DOCU_CHR_caseFLIP", "ITM_NULL", "DOCU_CHR_numSET", "ITM_NULL", "DOCU_ITM_RADIX", "ITM_PERIOD", AP72), ".lo", ),"MNU_", "-MNU_")</f>
        <v>ITM_7</v>
      </c>
      <c r="BB72" s="157" t="str" cm="1">
        <f t="array" ref="BB72">SUBSTITUTE(SUBSTITUTE(_xlfn.SWITCH(AQ72, "ITM_T_HOME", "ITM_UP1", "ITM_T_END", "ITM_DOWN1", "DOCU_CHR_sub", "ITM_DOWN_ARROW", "DOCU_CHR_super", "ITM_UP_ARROW", "MNU_TAMALPHA", "ITM_alpha", "DOCU_CHR_caseFLIP", "ITM_NULL", "DOCU_CHR_numSET", "ITM_NULL", "DOCU_ITM_RADIX", "ITM_PERIOD", AQ72), ".lo", ),"MNU_", "-MNU_")</f>
        <v>ITM_P</v>
      </c>
      <c r="BC72" s="157" t="str" cm="1">
        <f t="array" ref="BC72">SUBSTITUTE(SUBSTITUTE(_xlfn.SWITCH(AR72, "ITM_T_HOME", "ITM_UP1", "ITM_T_END", "ITM_DOWN1", "DOCU_CHR_sub", "ITM_DOWN_ARROW", "DOCU_CHR_super", "ITM_UP_ARROW", "MNU_TAMALPHA", "ITM_alpha", "DOCU_CHR_caseFLIP", "ITM_NULL", "DOCU_CHR_numSET", "ITM_NULL", "DOCU_ITM_RADIX", "ITM_PERIOD", AR72), ".lo", ),"MNU_", "-MNU_")</f>
        <v>ITM_p</v>
      </c>
      <c r="BD72" s="157" t="str" cm="1">
        <f t="array" ref="BD72">SUBSTITUTE(SUBSTITUTE(_xlfn.SWITCH(AS72, "ITM_T_HOME", "ITM_UP1", "ITM_T_END", "ITM_DOWN1", "DOCU_CHR_sub", "ITM_DOWN_ARROW", "DOCU_CHR_super", "ITM_UP_ARROW", "MNU_TAMALPHA", "ITM_alpha", "DOCU_CHR_caseFLIP", "ITM_NULL", "DOCU_CHR_numSET", "ITM_NULL", "DOCU_ITM_RADIX", "ITM_PERIOD", AS72), ".lo", ),"MNU_", "-MNU_")</f>
        <v>ITM_7</v>
      </c>
      <c r="BE72" s="157" t="str" cm="1">
        <f t="array" ref="BE72">SUBSTITUTE(SUBSTITUTE(_xlfn.SWITCH(AT72, "ITM_T_HOME", "ITM_UP1", "ITM_T_END", "ITM_DOWN1", "DOCU_CHR_sub", "ITM_DOWN_ARROW", "DOCU_CHR_super", "ITM_UP_ARROW", "MNU_TAMALPHA", "ITM_alpha", "DOCU_CHR_caseFLIP", "ITM_NULL", "DOCU_CHR_numSET", "ITM_NULL", "DOCU_ITM_RADIX", "ITM_PERIOD", AT72), ".lo", ),"MNU_", "-MNU_")</f>
        <v>ITM_7</v>
      </c>
      <c r="BG72" s="75"/>
      <c r="BI72" s="13" t="str">
        <f t="shared" si="10"/>
        <v xml:space="preserve">  {52,                  ITM_7,                -MNU_EQN,             -MNU_HOME,            ITM_7,                ITM_P,                ITM_p,                ITM_7,                ITM_7               },</v>
      </c>
      <c r="BL72" s="45" t="str">
        <f t="shared" si="11"/>
        <v>ITM_p</v>
      </c>
      <c r="BM72" s="45" t="str">
        <f t="shared" si="12"/>
        <v>ITM_7</v>
      </c>
    </row>
    <row r="73" spans="1:65" ht="22" thickBot="1" x14ac:dyDescent="0.25">
      <c r="A73" s="3">
        <v>0.1</v>
      </c>
      <c r="B73" s="3">
        <v>40</v>
      </c>
      <c r="C73" s="233"/>
      <c r="D73" s="234"/>
      <c r="E73" s="234"/>
      <c r="F73" s="234"/>
      <c r="G73" s="234"/>
      <c r="H73" s="235"/>
      <c r="I73" s="226" t="e">
        <f>layout&amp;"."&amp;$B73+I72+I71</f>
        <v>#VALUE!</v>
      </c>
      <c r="J73" s="233"/>
      <c r="K73" s="235"/>
      <c r="L73" s="226" t="e">
        <f>layout&amp;"."&amp;$B73+L72+L71</f>
        <v>#VALUE!</v>
      </c>
      <c r="M73" s="233"/>
      <c r="N73" s="235"/>
      <c r="O73" s="226" t="e">
        <f>layout&amp;"."&amp;$B73+O72+O71</f>
        <v>#VALUE!</v>
      </c>
      <c r="P73" s="233"/>
      <c r="Q73" s="235"/>
      <c r="R73" s="226" t="e">
        <f>layout&amp;"."&amp;$B73+R72+R71</f>
        <v>#VALUE!</v>
      </c>
      <c r="S73" s="233"/>
      <c r="T73" s="235"/>
      <c r="U73" s="236" t="e">
        <f>layout&amp;"."&amp;$B73+U72+U71</f>
        <v>#VALUE!</v>
      </c>
      <c r="X73" s="127" t="str">
        <f t="shared" si="1"/>
        <v>C47</v>
      </c>
      <c r="Y73" s="109">
        <v>5</v>
      </c>
      <c r="Z73" s="109">
        <v>3</v>
      </c>
      <c r="AA73" s="112" t="str">
        <f t="shared" si="15"/>
        <v>C47.53</v>
      </c>
      <c r="AB73" s="117">
        <v>8</v>
      </c>
      <c r="AC73" s="118" t="s">
        <v>171</v>
      </c>
      <c r="AD73" s="119" t="s">
        <v>172</v>
      </c>
      <c r="AE73" s="3"/>
      <c r="AF73" s="49" t="s">
        <v>173</v>
      </c>
      <c r="AG73" s="77" t="b">
        <f t="shared" si="13"/>
        <v>1</v>
      </c>
      <c r="AH73" s="83" t="str">
        <f t="shared" si="2"/>
        <v>q</v>
      </c>
      <c r="AI73" s="84">
        <f t="shared" si="3"/>
        <v>8</v>
      </c>
      <c r="AJ73" s="85">
        <f t="shared" si="4"/>
        <v>8</v>
      </c>
      <c r="AK73" s="6"/>
      <c r="AL73" s="8" t="str">
        <f t="shared" si="5"/>
        <v>{53</v>
      </c>
      <c r="AM73" s="27" t="str">
        <f t="shared" si="6"/>
        <v>ITM_8</v>
      </c>
      <c r="AN73" s="27" t="str">
        <f t="shared" si="7"/>
        <v>MNU_ADV</v>
      </c>
      <c r="AO73" s="27" t="str">
        <f t="shared" si="8"/>
        <v>MNU_FIN</v>
      </c>
      <c r="AP73" s="46" t="str">
        <f>IF(NOT(ISNA(MATCH(AM73,Lookups!E:E,))),VLOOKUP(AM73,Lookups!E:F,2,0),
IF(NOT(ISNA(MATCH(AN73,Lookups!E:E,))),VLOOKUP(AN73,Lookups!E:F,2,0),
IF(NOT(ISNA(MATCH(AO73,Lookups!E:E,))),VLOOKUP(AO73,Lookups!E:F,2,0),"ITM_NULL")))</f>
        <v>ITM_8</v>
      </c>
      <c r="AQ73" s="28" t="str">
        <f t="shared" si="21"/>
        <v>ITM_Q</v>
      </c>
      <c r="AR73" s="195" t="s">
        <v>174</v>
      </c>
      <c r="AS73" s="186" t="s">
        <v>175</v>
      </c>
      <c r="AT73" s="197" t="s">
        <v>175</v>
      </c>
      <c r="AW73" s="14" t="str">
        <f t="shared" si="14"/>
        <v>{53</v>
      </c>
      <c r="AX73" s="157" t="str" cm="1">
        <f t="array" ref="AX73">SUBSTITUTE(SUBSTITUTE(_xlfn.SWITCH(AM73, "ITM_T_HOME", "ITM_UP1", "ITM_T_END", "ITM_DOWN1", "DOCU_CHR_sub", "ITM_DOWN_ARROW", "DOCU_CHR_super", "ITM_UP_ARROW", "MNU_TAMALPHA", "ITM_alpha", "DOCU_CHR_caseFLIP", "ITM_NULL", "DOCU_CHR_numSET", "ITM_NULL", "DOCU_ITM_RADIX", "ITM_PERIOD", AM73), ".lo", ),"MNU_", "-MNU_")</f>
        <v>ITM_8</v>
      </c>
      <c r="AY73" s="157" t="str" cm="1">
        <f t="array" ref="AY73">SUBSTITUTE(SUBSTITUTE(_xlfn.SWITCH(AN73, "ITM_T_HOME", "ITM_UP1", "ITM_T_END", "ITM_DOWN1", "DOCU_CHR_sub", "ITM_DOWN_ARROW", "DOCU_CHR_super", "ITM_UP_ARROW", "MNU_TAMALPHA", "ITM_alpha", "DOCU_CHR_caseFLIP", "ITM_NULL", "DOCU_CHR_numSET", "ITM_NULL", "DOCU_ITM_RADIX", "ITM_PERIOD", AN73), ".lo", ),"MNU_", "-MNU_")</f>
        <v>-MNU_ADV</v>
      </c>
      <c r="AZ73" s="157" t="str" cm="1">
        <f t="array" ref="AZ73">SUBSTITUTE(SUBSTITUTE(_xlfn.SWITCH(AO73, "ITM_T_HOME", "ITM_UP1", "ITM_T_END", "ITM_DOWN1", "DOCU_CHR_sub", "ITM_DOWN_ARROW", "DOCU_CHR_super", "ITM_UP_ARROW", "MNU_TAMALPHA", "ITM_alpha", "DOCU_CHR_caseFLIP", "ITM_NULL", "DOCU_CHR_numSET", "ITM_NULL", "DOCU_ITM_RADIX", "ITM_PERIOD", AO73), ".lo", ),"MNU_", "-MNU_")</f>
        <v>-MNU_FIN</v>
      </c>
      <c r="BA73" s="173" t="str" cm="1">
        <f t="array" ref="BA73">SUBSTITUTE(SUBSTITUTE(_xlfn.SWITCH(AP73, "ITM_T_HOME", "ITM_UP1", "ITM_T_END", "ITM_DOWN1", "DOCU_CHR_sub", "ITM_DOWN_ARROW", "DOCU_CHR_super", "ITM_UP_ARROW", "MNU_TAMALPHA", "ITM_alpha", "DOCU_CHR_caseFLIP", "ITM_NULL", "DOCU_CHR_numSET", "ITM_NULL", "DOCU_ITM_RADIX", "ITM_PERIOD", AP73), ".lo", ),"MNU_", "-MNU_")</f>
        <v>ITM_8</v>
      </c>
      <c r="BB73" s="157" t="str" cm="1">
        <f t="array" ref="BB73">SUBSTITUTE(SUBSTITUTE(_xlfn.SWITCH(AQ73, "ITM_T_HOME", "ITM_UP1", "ITM_T_END", "ITM_DOWN1", "DOCU_CHR_sub", "ITM_DOWN_ARROW", "DOCU_CHR_super", "ITM_UP_ARROW", "MNU_TAMALPHA", "ITM_alpha", "DOCU_CHR_caseFLIP", "ITM_NULL", "DOCU_CHR_numSET", "ITM_NULL", "DOCU_ITM_RADIX", "ITM_PERIOD", AQ73), ".lo", ),"MNU_", "-MNU_")</f>
        <v>ITM_Q</v>
      </c>
      <c r="BC73" s="157" t="str" cm="1">
        <f t="array" ref="BC73">SUBSTITUTE(SUBSTITUTE(_xlfn.SWITCH(AR73, "ITM_T_HOME", "ITM_UP1", "ITM_T_END", "ITM_DOWN1", "DOCU_CHR_sub", "ITM_DOWN_ARROW", "DOCU_CHR_super", "ITM_UP_ARROW", "MNU_TAMALPHA", "ITM_alpha", "DOCU_CHR_caseFLIP", "ITM_NULL", "DOCU_CHR_numSET", "ITM_NULL", "DOCU_ITM_RADIX", "ITM_PERIOD", AR73), ".lo", ),"MNU_", "-MNU_")</f>
        <v>ITM_q</v>
      </c>
      <c r="BD73" s="157" t="str" cm="1">
        <f t="array" ref="BD73">SUBSTITUTE(SUBSTITUTE(_xlfn.SWITCH(AS73, "ITM_T_HOME", "ITM_UP1", "ITM_T_END", "ITM_DOWN1", "DOCU_CHR_sub", "ITM_DOWN_ARROW", "DOCU_CHR_super", "ITM_UP_ARROW", "MNU_TAMALPHA", "ITM_alpha", "DOCU_CHR_caseFLIP", "ITM_NULL", "DOCU_CHR_numSET", "ITM_NULL", "DOCU_ITM_RADIX", "ITM_PERIOD", AS73), ".lo", ),"MNU_", "-MNU_")</f>
        <v>ITM_8</v>
      </c>
      <c r="BE73" s="157" t="str" cm="1">
        <f t="array" ref="BE73">SUBSTITUTE(SUBSTITUTE(_xlfn.SWITCH(AT73, "ITM_T_HOME", "ITM_UP1", "ITM_T_END", "ITM_DOWN1", "DOCU_CHR_sub", "ITM_DOWN_ARROW", "DOCU_CHR_super", "ITM_UP_ARROW", "MNU_TAMALPHA", "ITM_alpha", "DOCU_CHR_caseFLIP", "ITM_NULL", "DOCU_CHR_numSET", "ITM_NULL", "DOCU_ITM_RADIX", "ITM_PERIOD", AT73), ".lo", ),"MNU_", "-MNU_")</f>
        <v>ITM_8</v>
      </c>
      <c r="BG73" s="75"/>
      <c r="BI73" s="13" t="str">
        <f t="shared" si="10"/>
        <v xml:space="preserve">  {53,                  ITM_8,                -MNU_ADV,             -MNU_FIN,             ITM_8,                ITM_Q,                ITM_q,                ITM_8,                ITM_8               },</v>
      </c>
      <c r="BL73" s="45" t="str">
        <f t="shared" si="11"/>
        <v>ITM_q</v>
      </c>
      <c r="BM73" s="45" t="str">
        <f t="shared" si="12"/>
        <v>ITM_8</v>
      </c>
    </row>
    <row r="74" spans="1:65" ht="21" x14ac:dyDescent="0.2">
      <c r="A74" s="3"/>
      <c r="B74" s="3"/>
      <c r="C74" s="3">
        <f>2/10</f>
        <v>0.2</v>
      </c>
      <c r="D74" s="3">
        <f>3/10</f>
        <v>0.3</v>
      </c>
      <c r="E74" s="3">
        <f>4/10</f>
        <v>0.4</v>
      </c>
      <c r="F74" s="3">
        <f>2/10</f>
        <v>0.2</v>
      </c>
      <c r="G74" s="3"/>
      <c r="H74" s="3">
        <f>3/10</f>
        <v>0.3</v>
      </c>
      <c r="I74" s="3">
        <f>4/10</f>
        <v>0.4</v>
      </c>
      <c r="J74" s="3">
        <f>2/10</f>
        <v>0.2</v>
      </c>
      <c r="K74" s="3"/>
      <c r="L74" s="3">
        <f>3/10</f>
        <v>0.3</v>
      </c>
      <c r="M74" s="3">
        <f>4/10</f>
        <v>0.4</v>
      </c>
      <c r="N74" s="3">
        <f>2/10</f>
        <v>0.2</v>
      </c>
      <c r="O74" s="3"/>
      <c r="P74" s="3">
        <f>3/10</f>
        <v>0.3</v>
      </c>
      <c r="Q74" s="3">
        <f>4/10</f>
        <v>0.4</v>
      </c>
      <c r="R74" s="3">
        <f>2/10</f>
        <v>0.2</v>
      </c>
      <c r="S74" s="3"/>
      <c r="T74" s="3">
        <f>3/10</f>
        <v>0.3</v>
      </c>
      <c r="U74" s="3">
        <f>4/10</f>
        <v>0.4</v>
      </c>
      <c r="X74" s="127" t="str">
        <f t="shared" si="1"/>
        <v>C47</v>
      </c>
      <c r="Y74" s="109">
        <v>5</v>
      </c>
      <c r="Z74" s="109">
        <v>4</v>
      </c>
      <c r="AA74" s="112" t="str">
        <f t="shared" si="15"/>
        <v>C47.54</v>
      </c>
      <c r="AB74" s="117">
        <v>9</v>
      </c>
      <c r="AC74" s="118" t="s">
        <v>176</v>
      </c>
      <c r="AD74" s="119" t="s">
        <v>177</v>
      </c>
      <c r="AE74" s="3"/>
      <c r="AF74" s="49" t="s">
        <v>178</v>
      </c>
      <c r="AG74" s="77" t="b">
        <f t="shared" si="13"/>
        <v>1</v>
      </c>
      <c r="AH74" s="83" t="str">
        <f t="shared" si="2"/>
        <v>r</v>
      </c>
      <c r="AI74" s="84">
        <f t="shared" si="3"/>
        <v>9</v>
      </c>
      <c r="AJ74" s="85">
        <f t="shared" si="4"/>
        <v>9</v>
      </c>
      <c r="AK74" s="6"/>
      <c r="AL74" s="8" t="str">
        <f t="shared" si="5"/>
        <v>{54</v>
      </c>
      <c r="AM74" s="27" t="str">
        <f t="shared" si="6"/>
        <v>ITM_9</v>
      </c>
      <c r="AN74" s="27" t="str">
        <f t="shared" si="7"/>
        <v>MNU_MATX</v>
      </c>
      <c r="AO74" s="27" t="str">
        <f t="shared" si="8"/>
        <v>MNU_XFN</v>
      </c>
      <c r="AP74" s="46" t="str">
        <f>IF(NOT(ISNA(MATCH(AM74,Lookups!E:E,))),VLOOKUP(AM74,Lookups!E:F,2,0),
IF(NOT(ISNA(MATCH(AN74,Lookups!E:E,))),VLOOKUP(AN74,Lookups!E:F,2,0),
IF(NOT(ISNA(MATCH(AO74,Lookups!E:E,))),VLOOKUP(AO74,Lookups!E:F,2,0),"ITM_NULL")))</f>
        <v>ITM_9</v>
      </c>
      <c r="AQ74" s="28" t="str">
        <f t="shared" si="21"/>
        <v>ITM_R</v>
      </c>
      <c r="AR74" s="195" t="s">
        <v>179</v>
      </c>
      <c r="AS74" s="186" t="s">
        <v>180</v>
      </c>
      <c r="AT74" s="197" t="s">
        <v>180</v>
      </c>
      <c r="AW74" s="14" t="str">
        <f t="shared" si="14"/>
        <v>{54</v>
      </c>
      <c r="AX74" s="157" t="str" cm="1">
        <f t="array" ref="AX74">SUBSTITUTE(SUBSTITUTE(_xlfn.SWITCH(AM74, "ITM_T_HOME", "ITM_UP1", "ITM_T_END", "ITM_DOWN1", "DOCU_CHR_sub", "ITM_DOWN_ARROW", "DOCU_CHR_super", "ITM_UP_ARROW", "MNU_TAMALPHA", "ITM_alpha", "DOCU_CHR_caseFLIP", "ITM_NULL", "DOCU_CHR_numSET", "ITM_NULL", "DOCU_ITM_RADIX", "ITM_PERIOD", AM74), ".lo", ),"MNU_", "-MNU_")</f>
        <v>ITM_9</v>
      </c>
      <c r="AY74" s="157" t="str" cm="1">
        <f t="array" ref="AY74">SUBSTITUTE(SUBSTITUTE(_xlfn.SWITCH(AN74, "ITM_T_HOME", "ITM_UP1", "ITM_T_END", "ITM_DOWN1", "DOCU_CHR_sub", "ITM_DOWN_ARROW", "DOCU_CHR_super", "ITM_UP_ARROW", "MNU_TAMALPHA", "ITM_alpha", "DOCU_CHR_caseFLIP", "ITM_NULL", "DOCU_CHR_numSET", "ITM_NULL", "DOCU_ITM_RADIX", "ITM_PERIOD", AN74), ".lo", ),"MNU_", "-MNU_")</f>
        <v>-MNU_MATX</v>
      </c>
      <c r="AZ74" s="157" t="str" cm="1">
        <f t="array" ref="AZ74">SUBSTITUTE(SUBSTITUTE(_xlfn.SWITCH(AO74, "ITM_T_HOME", "ITM_UP1", "ITM_T_END", "ITM_DOWN1", "DOCU_CHR_sub", "ITM_DOWN_ARROW", "DOCU_CHR_super", "ITM_UP_ARROW", "MNU_TAMALPHA", "ITM_alpha", "DOCU_CHR_caseFLIP", "ITM_NULL", "DOCU_CHR_numSET", "ITM_NULL", "DOCU_ITM_RADIX", "ITM_PERIOD", AO74), ".lo", ),"MNU_", "-MNU_")</f>
        <v>-MNU_XFN</v>
      </c>
      <c r="BA74" s="173" t="str" cm="1">
        <f t="array" ref="BA74">SUBSTITUTE(SUBSTITUTE(_xlfn.SWITCH(AP74, "ITM_T_HOME", "ITM_UP1", "ITM_T_END", "ITM_DOWN1", "DOCU_CHR_sub", "ITM_DOWN_ARROW", "DOCU_CHR_super", "ITM_UP_ARROW", "MNU_TAMALPHA", "ITM_alpha", "DOCU_CHR_caseFLIP", "ITM_NULL", "DOCU_CHR_numSET", "ITM_NULL", "DOCU_ITM_RADIX", "ITM_PERIOD", AP74), ".lo", ),"MNU_", "-MNU_")</f>
        <v>ITM_9</v>
      </c>
      <c r="BB74" s="157" t="str" cm="1">
        <f t="array" ref="BB74">SUBSTITUTE(SUBSTITUTE(_xlfn.SWITCH(AQ74, "ITM_T_HOME", "ITM_UP1", "ITM_T_END", "ITM_DOWN1", "DOCU_CHR_sub", "ITM_DOWN_ARROW", "DOCU_CHR_super", "ITM_UP_ARROW", "MNU_TAMALPHA", "ITM_alpha", "DOCU_CHR_caseFLIP", "ITM_NULL", "DOCU_CHR_numSET", "ITM_NULL", "DOCU_ITM_RADIX", "ITM_PERIOD", AQ74), ".lo", ),"MNU_", "-MNU_")</f>
        <v>ITM_R</v>
      </c>
      <c r="BC74" s="157" t="str" cm="1">
        <f t="array" ref="BC74">SUBSTITUTE(SUBSTITUTE(_xlfn.SWITCH(AR74, "ITM_T_HOME", "ITM_UP1", "ITM_T_END", "ITM_DOWN1", "DOCU_CHR_sub", "ITM_DOWN_ARROW", "DOCU_CHR_super", "ITM_UP_ARROW", "MNU_TAMALPHA", "ITM_alpha", "DOCU_CHR_caseFLIP", "ITM_NULL", "DOCU_CHR_numSET", "ITM_NULL", "DOCU_ITM_RADIX", "ITM_PERIOD", AR74), ".lo", ),"MNU_", "-MNU_")</f>
        <v>ITM_r</v>
      </c>
      <c r="BD74" s="157" t="str" cm="1">
        <f t="array" ref="BD74">SUBSTITUTE(SUBSTITUTE(_xlfn.SWITCH(AS74, "ITM_T_HOME", "ITM_UP1", "ITM_T_END", "ITM_DOWN1", "DOCU_CHR_sub", "ITM_DOWN_ARROW", "DOCU_CHR_super", "ITM_UP_ARROW", "MNU_TAMALPHA", "ITM_alpha", "DOCU_CHR_caseFLIP", "ITM_NULL", "DOCU_CHR_numSET", "ITM_NULL", "DOCU_ITM_RADIX", "ITM_PERIOD", AS74), ".lo", ),"MNU_", "-MNU_")</f>
        <v>ITM_9</v>
      </c>
      <c r="BE74" s="157" t="str" cm="1">
        <f t="array" ref="BE74">SUBSTITUTE(SUBSTITUTE(_xlfn.SWITCH(AT74, "ITM_T_HOME", "ITM_UP1", "ITM_T_END", "ITM_DOWN1", "DOCU_CHR_sub", "ITM_DOWN_ARROW", "DOCU_CHR_super", "ITM_UP_ARROW", "MNU_TAMALPHA", "ITM_alpha", "DOCU_CHR_caseFLIP", "ITM_NULL", "DOCU_CHR_numSET", "ITM_NULL", "DOCU_ITM_RADIX", "ITM_PERIOD", AT74), ".lo", ),"MNU_", "-MNU_")</f>
        <v>ITM_9</v>
      </c>
      <c r="BG74" s="75"/>
      <c r="BI74" s="13" t="str">
        <f t="shared" si="10"/>
        <v xml:space="preserve">  {54,                  ITM_9,                -MNU_MATX,            -MNU_XFN,             ITM_9,                ITM_R,                ITM_r,                ITM_9,                ITM_9               },</v>
      </c>
      <c r="BL74" s="45" t="str">
        <f t="shared" si="11"/>
        <v>ITM_r</v>
      </c>
      <c r="BM74" s="45" t="str">
        <f t="shared" si="12"/>
        <v>ITM_9</v>
      </c>
    </row>
    <row r="75" spans="1:65" ht="21" x14ac:dyDescent="0.2">
      <c r="A75" s="3"/>
      <c r="B75" s="3"/>
      <c r="C75" s="3">
        <v>1</v>
      </c>
      <c r="D75" s="3">
        <v>1</v>
      </c>
      <c r="E75" s="3">
        <v>1</v>
      </c>
      <c r="F75" s="3">
        <v>2</v>
      </c>
      <c r="G75" s="3">
        <v>2</v>
      </c>
      <c r="H75" s="3">
        <v>2</v>
      </c>
      <c r="I75" s="3">
        <v>2</v>
      </c>
      <c r="J75" s="3">
        <v>3</v>
      </c>
      <c r="K75" s="3">
        <v>3</v>
      </c>
      <c r="L75" s="3">
        <v>3</v>
      </c>
      <c r="M75" s="3">
        <v>3</v>
      </c>
      <c r="N75" s="3">
        <v>4</v>
      </c>
      <c r="O75" s="3">
        <v>4</v>
      </c>
      <c r="P75" s="3">
        <v>4</v>
      </c>
      <c r="Q75" s="3">
        <v>4</v>
      </c>
      <c r="R75" s="3">
        <v>5</v>
      </c>
      <c r="S75" s="3">
        <v>5</v>
      </c>
      <c r="T75" s="3">
        <v>5</v>
      </c>
      <c r="U75" s="3">
        <v>5</v>
      </c>
      <c r="X75" s="127" t="str">
        <f t="shared" si="1"/>
        <v>C47</v>
      </c>
      <c r="Y75" s="109">
        <v>5</v>
      </c>
      <c r="Z75" s="109">
        <v>5</v>
      </c>
      <c r="AA75" s="112" t="str">
        <f t="shared" si="15"/>
        <v>C47.55</v>
      </c>
      <c r="AB75" s="121" t="s">
        <v>181</v>
      </c>
      <c r="AC75" s="118" t="s">
        <v>182</v>
      </c>
      <c r="AD75" s="119" t="s">
        <v>183</v>
      </c>
      <c r="AE75" s="3"/>
      <c r="AF75" s="49" t="s">
        <v>184</v>
      </c>
      <c r="AG75" s="77" t="b">
        <f t="shared" si="13"/>
        <v>1</v>
      </c>
      <c r="AH75" s="83" t="str">
        <f t="shared" si="2"/>
        <v>s</v>
      </c>
      <c r="AI75" s="84" t="str">
        <f t="shared" si="3"/>
        <v>÷</v>
      </c>
      <c r="AJ75" s="85" t="str">
        <f t="shared" si="4"/>
        <v>÷</v>
      </c>
      <c r="AK75" s="6"/>
      <c r="AL75" s="8" t="str">
        <f t="shared" si="5"/>
        <v>{55</v>
      </c>
      <c r="AM75" s="27" t="str">
        <f t="shared" si="6"/>
        <v>ITM_DIV</v>
      </c>
      <c r="AN75" s="27" t="str">
        <f t="shared" si="7"/>
        <v>MNU_STAT</v>
      </c>
      <c r="AO75" s="27" t="str">
        <f t="shared" si="8"/>
        <v>MNU_PLOTTING</v>
      </c>
      <c r="AP75" s="46" t="str">
        <f>IF(NOT(ISNA(MATCH(AM75,Lookups!E:E,))),VLOOKUP(AM75,Lookups!E:F,2,0),
IF(NOT(ISNA(MATCH(AN75,Lookups!E:E,))),VLOOKUP(AN75,Lookups!E:F,2,0),
IF(NOT(ISNA(MATCH(AO75,Lookups!E:E,))),VLOOKUP(AO75,Lookups!E:F,2,0),"ITM_NULL")))</f>
        <v>ITM_OBELUS</v>
      </c>
      <c r="AQ75" s="28" t="str">
        <f t="shared" si="21"/>
        <v>ITM_S</v>
      </c>
      <c r="AR75" s="195" t="s">
        <v>185</v>
      </c>
      <c r="AS75" s="186" t="s">
        <v>186</v>
      </c>
      <c r="AT75" s="197" t="s">
        <v>187</v>
      </c>
      <c r="AW75" s="14" t="str">
        <f t="shared" si="14"/>
        <v>{55</v>
      </c>
      <c r="AX75" s="157" t="str" cm="1">
        <f t="array" ref="AX75">SUBSTITUTE(SUBSTITUTE(_xlfn.SWITCH(AM75, "ITM_T_HOME", "ITM_UP1", "ITM_T_END", "ITM_DOWN1", "DOCU_CHR_sub", "ITM_DOWN_ARROW", "DOCU_CHR_super", "ITM_UP_ARROW", "MNU_TAMALPHA", "ITM_alpha", "DOCU_CHR_caseFLIP", "ITM_NULL", "DOCU_CHR_numSET", "ITM_NULL", "DOCU_ITM_RADIX", "ITM_PERIOD", AM75), ".lo", ),"MNU_", "-MNU_")</f>
        <v>ITM_DIV</v>
      </c>
      <c r="AY75" s="157" t="str" cm="1">
        <f t="array" ref="AY75">SUBSTITUTE(SUBSTITUTE(_xlfn.SWITCH(AN75, "ITM_T_HOME", "ITM_UP1", "ITM_T_END", "ITM_DOWN1", "DOCU_CHR_sub", "ITM_DOWN_ARROW", "DOCU_CHR_super", "ITM_UP_ARROW", "MNU_TAMALPHA", "ITM_alpha", "DOCU_CHR_caseFLIP", "ITM_NULL", "DOCU_CHR_numSET", "ITM_NULL", "DOCU_ITM_RADIX", "ITM_PERIOD", AN75), ".lo", ),"MNU_", "-MNU_")</f>
        <v>-MNU_STAT</v>
      </c>
      <c r="AZ75" s="157" t="str" cm="1">
        <f t="array" ref="AZ75">SUBSTITUTE(SUBSTITUTE(_xlfn.SWITCH(AO75, "ITM_T_HOME", "ITM_UP1", "ITM_T_END", "ITM_DOWN1", "DOCU_CHR_sub", "ITM_DOWN_ARROW", "DOCU_CHR_super", "ITM_UP_ARROW", "MNU_TAMALPHA", "ITM_alpha", "DOCU_CHR_caseFLIP", "ITM_NULL", "DOCU_CHR_numSET", "ITM_NULL", "DOCU_ITM_RADIX", "ITM_PERIOD", AO75), ".lo", ),"MNU_", "-MNU_")</f>
        <v>-MNU_PLOTTING</v>
      </c>
      <c r="BA75" s="173" t="str" cm="1">
        <f t="array" ref="BA75">SUBSTITUTE(SUBSTITUTE(_xlfn.SWITCH(AP75, "ITM_T_HOME", "ITM_UP1", "ITM_T_END", "ITM_DOWN1", "DOCU_CHR_sub", "ITM_DOWN_ARROW", "DOCU_CHR_super", "ITM_UP_ARROW", "MNU_TAMALPHA", "ITM_alpha", "DOCU_CHR_caseFLIP", "ITM_NULL", "DOCU_CHR_numSET", "ITM_NULL", "DOCU_ITM_RADIX", "ITM_PERIOD", AP75), ".lo", ),"MNU_", "-MNU_")</f>
        <v>ITM_OBELUS</v>
      </c>
      <c r="BB75" s="157" t="str" cm="1">
        <f t="array" ref="BB75">SUBSTITUTE(SUBSTITUTE(_xlfn.SWITCH(AQ75, "ITM_T_HOME", "ITM_UP1", "ITM_T_END", "ITM_DOWN1", "DOCU_CHR_sub", "ITM_DOWN_ARROW", "DOCU_CHR_super", "ITM_UP_ARROW", "MNU_TAMALPHA", "ITM_alpha", "DOCU_CHR_caseFLIP", "ITM_NULL", "DOCU_CHR_numSET", "ITM_NULL", "DOCU_ITM_RADIX", "ITM_PERIOD", AQ75), ".lo", ),"MNU_", "-MNU_")</f>
        <v>ITM_S</v>
      </c>
      <c r="BC75" s="157" t="str" cm="1">
        <f t="array" ref="BC75">SUBSTITUTE(SUBSTITUTE(_xlfn.SWITCH(AR75, "ITM_T_HOME", "ITM_UP1", "ITM_T_END", "ITM_DOWN1", "DOCU_CHR_sub", "ITM_DOWN_ARROW", "DOCU_CHR_super", "ITM_UP_ARROW", "MNU_TAMALPHA", "ITM_alpha", "DOCU_CHR_caseFLIP", "ITM_NULL", "DOCU_CHR_numSET", "ITM_NULL", "DOCU_ITM_RADIX", "ITM_PERIOD", AR75), ".lo", ),"MNU_", "-MNU_")</f>
        <v>ITM_s</v>
      </c>
      <c r="BD75" s="157" t="str" cm="1">
        <f t="array" ref="BD75">SUBSTITUTE(SUBSTITUTE(_xlfn.SWITCH(AS75, "ITM_T_HOME", "ITM_UP1", "ITM_T_END", "ITM_DOWN1", "DOCU_CHR_sub", "ITM_DOWN_ARROW", "DOCU_CHR_super", "ITM_UP_ARROW", "MNU_TAMALPHA", "ITM_alpha", "DOCU_CHR_caseFLIP", "ITM_NULL", "DOCU_CHR_numSET", "ITM_NULL", "DOCU_ITM_RADIX", "ITM_PERIOD", AS75), ".lo", ),"MNU_", "-MNU_")</f>
        <v>ITM_OBELUS</v>
      </c>
      <c r="BE75" s="157" t="str" cm="1">
        <f t="array" ref="BE75">SUBSTITUTE(SUBSTITUTE(_xlfn.SWITCH(AT75, "ITM_T_HOME", "ITM_UP1", "ITM_T_END", "ITM_DOWN1", "DOCU_CHR_sub", "ITM_DOWN_ARROW", "DOCU_CHR_super", "ITM_UP_ARROW", "MNU_TAMALPHA", "ITM_alpha", "DOCU_CHR_caseFLIP", "ITM_NULL", "DOCU_CHR_numSET", "ITM_NULL", "DOCU_ITM_RADIX", "ITM_PERIOD", AT75), ".lo", ),"MNU_", "-MNU_")</f>
        <v>ITM_DIV</v>
      </c>
      <c r="BG75" s="75"/>
      <c r="BI75" s="13" t="str">
        <f t="shared" si="10"/>
        <v xml:space="preserve">  {55,                  ITM_DIV,              -MNU_STAT,            -MNU_PLOTTING,        ITM_OBELUS,           ITM_S,                ITM_s,                ITM_OBELUS,           ITM_DIV             },</v>
      </c>
      <c r="BL75" s="45" t="str">
        <f t="shared" si="11"/>
        <v>ITM_s</v>
      </c>
      <c r="BM75" s="45" t="str">
        <f t="shared" si="12"/>
        <v>ITM_OBELUS</v>
      </c>
    </row>
    <row r="76" spans="1:65" ht="22" thickBot="1" x14ac:dyDescent="0.25">
      <c r="A76" s="3"/>
      <c r="B76" s="3">
        <v>50</v>
      </c>
      <c r="C76" s="4" t="str">
        <f>layout&amp;"."&amp;$B76+C75+C74</f>
        <v>C47.51,2</v>
      </c>
      <c r="D76" s="4" t="str">
        <f>layout&amp;"."&amp;$B76+D75+D74</f>
        <v>C47.51,3</v>
      </c>
      <c r="F76" s="4" t="str">
        <f>layout&amp;"."&amp;$B76+F75+F74</f>
        <v>C47.52,2</v>
      </c>
      <c r="H76" s="4" t="str">
        <f>layout&amp;"."&amp;$B76+H75+H74</f>
        <v>C47.52,3</v>
      </c>
      <c r="J76" s="4" t="str">
        <f>layout&amp;"."&amp;$B76+J75+J74</f>
        <v>C47.53,2</v>
      </c>
      <c r="L76" s="4" t="str">
        <f>layout&amp;"."&amp;$B76+L75+L74</f>
        <v>C47.53,3</v>
      </c>
      <c r="N76" s="4" t="str">
        <f>layout&amp;"."&amp;$B76+N75+N74</f>
        <v>C47.54,2</v>
      </c>
      <c r="P76" s="4" t="str">
        <f>layout&amp;"."&amp;$B76+P75+P74</f>
        <v>C47.54,3</v>
      </c>
      <c r="R76" s="4" t="str">
        <f>layout&amp;"."&amp;$B76+R75+R74</f>
        <v>C47.55,2</v>
      </c>
      <c r="T76" s="4" t="str">
        <f>layout&amp;"."&amp;$B76+T75+T74</f>
        <v>C47.55,3</v>
      </c>
      <c r="X76" s="127" t="str">
        <f t="shared" si="1"/>
        <v>C47</v>
      </c>
      <c r="Y76" s="106">
        <v>6</v>
      </c>
      <c r="Z76" s="106">
        <v>1</v>
      </c>
      <c r="AA76" s="112" t="str">
        <f t="shared" si="15"/>
        <v>C47.61</v>
      </c>
      <c r="AB76" s="117" t="s">
        <v>188</v>
      </c>
      <c r="AC76" s="118" t="s">
        <v>189</v>
      </c>
      <c r="AD76" s="119" t="s">
        <v>190</v>
      </c>
      <c r="AE76" s="3"/>
      <c r="AF76" s="49" t="s">
        <v>191</v>
      </c>
      <c r="AG76" s="77" t="b">
        <f t="shared" si="13"/>
        <v>0</v>
      </c>
      <c r="AH76" s="83" t="str">
        <f t="shared" si="2"/>
        <v>CASE DN</v>
      </c>
      <c r="AI76" s="84" t="str">
        <f t="shared" si="3"/>
        <v>Sub</v>
      </c>
      <c r="AJ76" s="85" t="str">
        <f t="shared" si="4"/>
        <v>Dn</v>
      </c>
      <c r="AK76" s="6"/>
      <c r="AL76" s="8" t="str">
        <f t="shared" si="5"/>
        <v>{61</v>
      </c>
      <c r="AM76" s="27" t="str">
        <f t="shared" si="6"/>
        <v>ITM_DOWN1</v>
      </c>
      <c r="AN76" s="27" t="str">
        <f t="shared" si="7"/>
        <v>ITM_SST</v>
      </c>
      <c r="AO76" s="27" t="str">
        <f t="shared" si="8"/>
        <v>ITM_FLGSV</v>
      </c>
      <c r="AP76" s="46" t="str">
        <f>IF(NOT(ISNA(MATCH(AM76,Lookups!E:E,))),VLOOKUP(AM76,Lookups!E:F,2,0),
IF(NOT(ISNA(MATCH(AN76,Lookups!E:E,))),VLOOKUP(AN76,Lookups!E:F,2,0),
IF(NOT(ISNA(MATCH(AO76,Lookups!E:E,))),VLOOKUP(AO76,Lookups!E:F,2,0),"ITM_NULL")))</f>
        <v>ITM_DOWN1</v>
      </c>
      <c r="AQ76" s="28" t="str">
        <f t="shared" si="21"/>
        <v>ITM_T_END</v>
      </c>
      <c r="AR76" s="198" t="s">
        <v>192</v>
      </c>
      <c r="AS76" s="186" t="s">
        <v>193</v>
      </c>
      <c r="AT76" s="197" t="s">
        <v>194</v>
      </c>
      <c r="AW76" s="14" t="str">
        <f t="shared" si="14"/>
        <v>{61</v>
      </c>
      <c r="AX76" s="157" t="str" cm="1">
        <f t="array" ref="AX76">SUBSTITUTE(SUBSTITUTE(_xlfn.SWITCH(AM76, "ITM_T_HOME", "ITM_UP1", "ITM_T_END", "ITM_DOWN1", "DOCU_CHR_sub", "ITM_DOWN_ARROW", "DOCU_CHR_super", "ITM_UP_ARROW", "MNU_TAMALPHA", "ITM_alpha", "DOCU_CHR_caseFLIP", "ITM_NULL", "DOCU_CHR_numSET", "ITM_NULL", "DOCU_ITM_RADIX", "ITM_PERIOD", AM76), ".lo", ),"MNU_", "-MNU_")</f>
        <v>ITM_DOWN1</v>
      </c>
      <c r="AY76" s="157" t="str" cm="1">
        <f t="array" ref="AY76">SUBSTITUTE(SUBSTITUTE(_xlfn.SWITCH(AN76, "ITM_T_HOME", "ITM_UP1", "ITM_T_END", "ITM_DOWN1", "DOCU_CHR_sub", "ITM_DOWN_ARROW", "DOCU_CHR_super", "ITM_UP_ARROW", "MNU_TAMALPHA", "ITM_alpha", "DOCU_CHR_caseFLIP", "ITM_NULL", "DOCU_CHR_numSET", "ITM_NULL", "DOCU_ITM_RADIX", "ITM_PERIOD", AN76), ".lo", ),"MNU_", "-MNU_")</f>
        <v>ITM_SST</v>
      </c>
      <c r="AZ76" s="157" t="str" cm="1">
        <f t="array" ref="AZ76">SUBSTITUTE(SUBSTITUTE(_xlfn.SWITCH(AO76, "ITM_T_HOME", "ITM_UP1", "ITM_T_END", "ITM_DOWN1", "DOCU_CHR_sub", "ITM_DOWN_ARROW", "DOCU_CHR_super", "ITM_UP_ARROW", "MNU_TAMALPHA", "ITM_alpha", "DOCU_CHR_caseFLIP", "ITM_NULL", "DOCU_CHR_numSET", "ITM_NULL", "DOCU_ITM_RADIX", "ITM_PERIOD", AO76), ".lo", ),"MNU_", "-MNU_")</f>
        <v>ITM_FLGSV</v>
      </c>
      <c r="BA76" s="173" t="str" cm="1">
        <f t="array" ref="BA76">SUBSTITUTE(SUBSTITUTE(_xlfn.SWITCH(AP76, "ITM_T_HOME", "ITM_UP1", "ITM_T_END", "ITM_DOWN1", "DOCU_CHR_sub", "ITM_DOWN_ARROW", "DOCU_CHR_super", "ITM_UP_ARROW", "MNU_TAMALPHA", "ITM_alpha", "DOCU_CHR_caseFLIP", "ITM_NULL", "DOCU_CHR_numSET", "ITM_NULL", "DOCU_ITM_RADIX", "ITM_PERIOD", AP76), ".lo", ),"MNU_", "-MNU_")</f>
        <v>ITM_DOWN1</v>
      </c>
      <c r="BB76" s="157" t="str" cm="1">
        <f t="array" ref="BB76">SUBSTITUTE(SUBSTITUTE(_xlfn.SWITCH(AQ76, "ITM_T_HOME", "ITM_UP1", "ITM_T_END", "ITM_DOWN1", "DOCU_CHR_sub", "ITM_DOWN_ARROW", "DOCU_CHR_super", "ITM_UP_ARROW", "MNU_TAMALPHA", "ITM_alpha", "DOCU_CHR_caseFLIP", "ITM_NULL", "DOCU_CHR_numSET", "ITM_NULL", "DOCU_ITM_RADIX", "ITM_PERIOD", AQ76), ".lo", ),"MNU_", "-MNU_")</f>
        <v>ITM_DOWN1</v>
      </c>
      <c r="BC76" s="157" t="str" cm="1">
        <f t="array" ref="BC76">SUBSTITUTE(SUBSTITUTE(_xlfn.SWITCH(AR76, "ITM_T_HOME", "ITM_UP1", "ITM_T_END", "ITM_DOWN1", "DOCU_CHR_sub", "ITM_DOWN_ARROW", "DOCU_CHR_super", "ITM_UP_ARROW", "MNU_TAMALPHA", "ITM_alpha", "DOCU_CHR_caseFLIP", "ITM_NULL", "DOCU_CHR_numSET", "ITM_NULL", "DOCU_ITM_RADIX", "ITM_PERIOD", AR76), ".lo", ),"MNU_", "-MNU_")</f>
        <v>CHR_caseDN</v>
      </c>
      <c r="BD76" s="157" t="str" cm="1">
        <f t="array" ref="BD76">SUBSTITUTE(SUBSTITUTE(_xlfn.SWITCH(AS76, "ITM_T_HOME", "ITM_UP1", "ITM_T_END", "ITM_DOWN1", "DOCU_CHR_sub", "ITM_DOWN_ARROW", "DOCU_CHR_super", "ITM_UP_ARROW", "MNU_TAMALPHA", "ITM_alpha", "DOCU_CHR_caseFLIP", "ITM_NULL", "DOCU_CHR_numSET", "ITM_NULL", "DOCU_ITM_RADIX", "ITM_PERIOD", AS76), ".lo", ),"MNU_", "-MNU_")</f>
        <v>ITM_DOWN_ARROW</v>
      </c>
      <c r="BE76" s="157" t="str" cm="1">
        <f t="array" ref="BE76">SUBSTITUTE(SUBSTITUTE(_xlfn.SWITCH(AT76, "ITM_T_HOME", "ITM_UP1", "ITM_T_END", "ITM_DOWN1", "DOCU_CHR_sub", "ITM_DOWN_ARROW", "DOCU_CHR_super", "ITM_UP_ARROW", "MNU_TAMALPHA", "ITM_alpha", "DOCU_CHR_caseFLIP", "ITM_NULL", "DOCU_CHR_numSET", "ITM_NULL", "DOCU_ITM_RADIX", "ITM_PERIOD", AT76), ".lo", ),"MNU_", "-MNU_")</f>
        <v>ITM_DOWN1</v>
      </c>
      <c r="BG76" s="75"/>
      <c r="BI76" s="13" t="str">
        <f t="shared" si="10"/>
        <v xml:space="preserve">  {61,                  ITM_DOWN1,            ITM_SST,              ITM_FLGSV,            ITM_DOWN1,            ITM_DOWN1,            CHR_caseDN,           ITM_DOWN_ARROW,       ITM_DOWN1           },</v>
      </c>
      <c r="BL76" s="45" t="str">
        <f t="shared" si="11"/>
        <v>CHR_caseDN</v>
      </c>
      <c r="BM76" s="45" t="str">
        <f t="shared" si="12"/>
        <v>DOCU_CHR_sub</v>
      </c>
    </row>
    <row r="77" spans="1:65" ht="21" x14ac:dyDescent="0.2">
      <c r="A77" s="3">
        <v>0.1</v>
      </c>
      <c r="B77" s="3">
        <v>50</v>
      </c>
      <c r="C77" s="227" t="str">
        <f>layout&amp;"."&amp;$B79+C75+$A77</f>
        <v>C47.51,1</v>
      </c>
      <c r="D77" s="229"/>
      <c r="E77" s="226" t="str">
        <f>layout&amp;"."&amp;$B77+E75+E74</f>
        <v>C47.51,4</v>
      </c>
      <c r="F77" s="227" t="str">
        <f>layout&amp;"."&amp;$B77+F75+$A77</f>
        <v>C47.52,1</v>
      </c>
      <c r="G77" s="228">
        <f t="shared" ref="G77" si="22">$B79+G75+$A77</f>
        <v>52.1</v>
      </c>
      <c r="H77" s="229"/>
      <c r="I77" s="226" t="str">
        <f>layout&amp;"."&amp;$B77+I75+I74</f>
        <v>C47.52,4</v>
      </c>
      <c r="J77" s="227" t="str">
        <f>layout&amp;"."&amp;$B77+J75+$A77</f>
        <v>C47.53,1</v>
      </c>
      <c r="K77" s="228">
        <f t="shared" ref="K77" si="23">$B79+K75+$A77</f>
        <v>53.1</v>
      </c>
      <c r="L77" s="229"/>
      <c r="M77" s="226" t="str">
        <f>layout&amp;"."&amp;$B77+M75+M74</f>
        <v>C47.53,4</v>
      </c>
      <c r="N77" s="227" t="str">
        <f>layout&amp;"."&amp;$B77+N75+$A77</f>
        <v>C47.54,1</v>
      </c>
      <c r="O77" s="228">
        <f t="shared" ref="O77" si="24">$B79+O75+$A77</f>
        <v>54.1</v>
      </c>
      <c r="P77" s="229"/>
      <c r="Q77" s="226" t="str">
        <f>layout&amp;"."&amp;$B77+Q75+Q74</f>
        <v>C47.54,4</v>
      </c>
      <c r="R77" s="227" t="str">
        <f>layout&amp;"."&amp;$B77+R75+$A77</f>
        <v>C47.55,1</v>
      </c>
      <c r="S77" s="228">
        <f t="shared" ref="S77" si="25">$B79+S75+$A77</f>
        <v>55.1</v>
      </c>
      <c r="T77" s="229"/>
      <c r="U77" s="236" t="str">
        <f>layout&amp;"."&amp;$B77+U75+U74</f>
        <v>C47.55,4</v>
      </c>
      <c r="X77" s="127" t="str">
        <f t="shared" si="1"/>
        <v>C47</v>
      </c>
      <c r="Y77" s="109">
        <v>6</v>
      </c>
      <c r="Z77" s="109">
        <v>2</v>
      </c>
      <c r="AA77" s="112" t="str">
        <f t="shared" si="15"/>
        <v>C47.62</v>
      </c>
      <c r="AB77" s="117">
        <v>4</v>
      </c>
      <c r="AC77" s="118" t="s">
        <v>195</v>
      </c>
      <c r="AD77" s="119" t="s">
        <v>196</v>
      </c>
      <c r="AE77" s="3"/>
      <c r="AF77" s="49" t="s">
        <v>197</v>
      </c>
      <c r="AG77" s="77" t="b">
        <f t="shared" si="13"/>
        <v>1</v>
      </c>
      <c r="AH77" s="83" t="str">
        <f t="shared" si="2"/>
        <v>t</v>
      </c>
      <c r="AI77" s="84">
        <f t="shared" si="3"/>
        <v>4</v>
      </c>
      <c r="AJ77" s="85">
        <f t="shared" si="4"/>
        <v>4</v>
      </c>
      <c r="AK77" s="6"/>
      <c r="AL77" s="8" t="str">
        <f t="shared" si="5"/>
        <v>{62</v>
      </c>
      <c r="AM77" s="27" t="str">
        <f t="shared" si="6"/>
        <v>ITM_4</v>
      </c>
      <c r="AN77" s="27" t="str">
        <f t="shared" si="7"/>
        <v>MNU_BASE</v>
      </c>
      <c r="AO77" s="27" t="str">
        <f t="shared" si="8"/>
        <v>MNU_BITS</v>
      </c>
      <c r="AP77" s="46" t="str">
        <f>IF(NOT(ISNA(MATCH(AM77,Lookups!E:E,))),VLOOKUP(AM77,Lookups!E:F,2,0),
IF(NOT(ISNA(MATCH(AN77,Lookups!E:E,))),VLOOKUP(AN77,Lookups!E:F,2,0),
IF(NOT(ISNA(MATCH(AO77,Lookups!E:E,))),VLOOKUP(AO77,Lookups!E:F,2,0),"ITM_NULL")))</f>
        <v>ITM_4</v>
      </c>
      <c r="AQ77" s="28" t="str">
        <f t="shared" si="21"/>
        <v>ITM_T</v>
      </c>
      <c r="AR77" s="195" t="s">
        <v>198</v>
      </c>
      <c r="AS77" s="186" t="s">
        <v>199</v>
      </c>
      <c r="AT77" s="197" t="s">
        <v>199</v>
      </c>
      <c r="AW77" s="14" t="str">
        <f t="shared" si="14"/>
        <v>{62</v>
      </c>
      <c r="AX77" s="157" t="str" cm="1">
        <f t="array" ref="AX77">SUBSTITUTE(SUBSTITUTE(_xlfn.SWITCH(AM77, "ITM_T_HOME", "ITM_UP1", "ITM_T_END", "ITM_DOWN1", "DOCU_CHR_sub", "ITM_DOWN_ARROW", "DOCU_CHR_super", "ITM_UP_ARROW", "MNU_TAMALPHA", "ITM_alpha", "DOCU_CHR_caseFLIP", "ITM_NULL", "DOCU_CHR_numSET", "ITM_NULL", "DOCU_ITM_RADIX", "ITM_PERIOD", AM77), ".lo", ),"MNU_", "-MNU_")</f>
        <v>ITM_4</v>
      </c>
      <c r="AY77" s="157" t="str" cm="1">
        <f t="array" ref="AY77">SUBSTITUTE(SUBSTITUTE(_xlfn.SWITCH(AN77, "ITM_T_HOME", "ITM_UP1", "ITM_T_END", "ITM_DOWN1", "DOCU_CHR_sub", "ITM_DOWN_ARROW", "DOCU_CHR_super", "ITM_UP_ARROW", "MNU_TAMALPHA", "ITM_alpha", "DOCU_CHR_caseFLIP", "ITM_NULL", "DOCU_CHR_numSET", "ITM_NULL", "DOCU_ITM_RADIX", "ITM_PERIOD", AN77), ".lo", ),"MNU_", "-MNU_")</f>
        <v>-MNU_BASE</v>
      </c>
      <c r="AZ77" s="157" t="str" cm="1">
        <f t="array" ref="AZ77">SUBSTITUTE(SUBSTITUTE(_xlfn.SWITCH(AO77, "ITM_T_HOME", "ITM_UP1", "ITM_T_END", "ITM_DOWN1", "DOCU_CHR_sub", "ITM_DOWN_ARROW", "DOCU_CHR_super", "ITM_UP_ARROW", "MNU_TAMALPHA", "ITM_alpha", "DOCU_CHR_caseFLIP", "ITM_NULL", "DOCU_CHR_numSET", "ITM_NULL", "DOCU_ITM_RADIX", "ITM_PERIOD", AO77), ".lo", ),"MNU_", "-MNU_")</f>
        <v>-MNU_BITS</v>
      </c>
      <c r="BA77" s="173" t="str" cm="1">
        <f t="array" ref="BA77">SUBSTITUTE(SUBSTITUTE(_xlfn.SWITCH(AP77, "ITM_T_HOME", "ITM_UP1", "ITM_T_END", "ITM_DOWN1", "DOCU_CHR_sub", "ITM_DOWN_ARROW", "DOCU_CHR_super", "ITM_UP_ARROW", "MNU_TAMALPHA", "ITM_alpha", "DOCU_CHR_caseFLIP", "ITM_NULL", "DOCU_CHR_numSET", "ITM_NULL", "DOCU_ITM_RADIX", "ITM_PERIOD", AP77), ".lo", ),"MNU_", "-MNU_")</f>
        <v>ITM_4</v>
      </c>
      <c r="BB77" s="157" t="str" cm="1">
        <f t="array" ref="BB77">SUBSTITUTE(SUBSTITUTE(_xlfn.SWITCH(AQ77, "ITM_T_HOME", "ITM_UP1", "ITM_T_END", "ITM_DOWN1", "DOCU_CHR_sub", "ITM_DOWN_ARROW", "DOCU_CHR_super", "ITM_UP_ARROW", "MNU_TAMALPHA", "ITM_alpha", "DOCU_CHR_caseFLIP", "ITM_NULL", "DOCU_CHR_numSET", "ITM_NULL", "DOCU_ITM_RADIX", "ITM_PERIOD", AQ77), ".lo", ),"MNU_", "-MNU_")</f>
        <v>ITM_T</v>
      </c>
      <c r="BC77" s="157" t="str" cm="1">
        <f t="array" ref="BC77">SUBSTITUTE(SUBSTITUTE(_xlfn.SWITCH(AR77, "ITM_T_HOME", "ITM_UP1", "ITM_T_END", "ITM_DOWN1", "DOCU_CHR_sub", "ITM_DOWN_ARROW", "DOCU_CHR_super", "ITM_UP_ARROW", "MNU_TAMALPHA", "ITM_alpha", "DOCU_CHR_caseFLIP", "ITM_NULL", "DOCU_CHR_numSET", "ITM_NULL", "DOCU_ITM_RADIX", "ITM_PERIOD", AR77), ".lo", ),"MNU_", "-MNU_")</f>
        <v>ITM_t</v>
      </c>
      <c r="BD77" s="157" t="str" cm="1">
        <f t="array" ref="BD77">SUBSTITUTE(SUBSTITUTE(_xlfn.SWITCH(AS77, "ITM_T_HOME", "ITM_UP1", "ITM_T_END", "ITM_DOWN1", "DOCU_CHR_sub", "ITM_DOWN_ARROW", "DOCU_CHR_super", "ITM_UP_ARROW", "MNU_TAMALPHA", "ITM_alpha", "DOCU_CHR_caseFLIP", "ITM_NULL", "DOCU_CHR_numSET", "ITM_NULL", "DOCU_ITM_RADIX", "ITM_PERIOD", AS77), ".lo", ),"MNU_", "-MNU_")</f>
        <v>ITM_4</v>
      </c>
      <c r="BE77" s="157" t="str" cm="1">
        <f t="array" ref="BE77">SUBSTITUTE(SUBSTITUTE(_xlfn.SWITCH(AT77, "ITM_T_HOME", "ITM_UP1", "ITM_T_END", "ITM_DOWN1", "DOCU_CHR_sub", "ITM_DOWN_ARROW", "DOCU_CHR_super", "ITM_UP_ARROW", "MNU_TAMALPHA", "ITM_alpha", "DOCU_CHR_caseFLIP", "ITM_NULL", "DOCU_CHR_numSET", "ITM_NULL", "DOCU_ITM_RADIX", "ITM_PERIOD", AT77), ".lo", ),"MNU_", "-MNU_")</f>
        <v>ITM_4</v>
      </c>
      <c r="BG77" s="75"/>
      <c r="BI77" s="13" t="str">
        <f t="shared" si="10"/>
        <v xml:space="preserve">  {62,                  ITM_4,                -MNU_BASE,            -MNU_BITS,            ITM_4,                ITM_T,                ITM_t,                ITM_4,                ITM_4               },</v>
      </c>
      <c r="BL77" s="45" t="str">
        <f t="shared" si="11"/>
        <v>ITM_t</v>
      </c>
      <c r="BM77" s="45" t="str">
        <f t="shared" si="12"/>
        <v>ITM_4</v>
      </c>
    </row>
    <row r="78" spans="1:65" ht="21" x14ac:dyDescent="0.2">
      <c r="A78" s="3">
        <v>0.1</v>
      </c>
      <c r="B78" s="3">
        <v>50</v>
      </c>
      <c r="C78" s="230"/>
      <c r="D78" s="232"/>
      <c r="E78" s="226" t="e">
        <f>layout&amp;"."&amp;$B78+E77+E76</f>
        <v>#VALUE!</v>
      </c>
      <c r="F78" s="230"/>
      <c r="G78" s="231"/>
      <c r="H78" s="232"/>
      <c r="I78" s="226" t="e">
        <f>layout&amp;"."&amp;$B78+I77+I76</f>
        <v>#VALUE!</v>
      </c>
      <c r="J78" s="230"/>
      <c r="K78" s="231"/>
      <c r="L78" s="232"/>
      <c r="M78" s="226" t="e">
        <f>layout&amp;"."&amp;$B78+M77+M76</f>
        <v>#VALUE!</v>
      </c>
      <c r="N78" s="230"/>
      <c r="O78" s="231"/>
      <c r="P78" s="232"/>
      <c r="Q78" s="226" t="e">
        <f>layout&amp;"."&amp;$B78+Q77+Q76</f>
        <v>#VALUE!</v>
      </c>
      <c r="R78" s="230"/>
      <c r="S78" s="231"/>
      <c r="T78" s="232"/>
      <c r="U78" s="236" t="e">
        <f>layout&amp;"."&amp;$B78+U77+U76</f>
        <v>#VALUE!</v>
      </c>
      <c r="X78" s="127" t="str">
        <f t="shared" si="1"/>
        <v>C47</v>
      </c>
      <c r="Y78" s="109">
        <v>6</v>
      </c>
      <c r="Z78" s="109">
        <v>3</v>
      </c>
      <c r="AA78" s="112" t="str">
        <f t="shared" si="15"/>
        <v>C47.63</v>
      </c>
      <c r="AB78" s="117">
        <v>5</v>
      </c>
      <c r="AC78" s="118" t="s">
        <v>200</v>
      </c>
      <c r="AD78" s="119" t="s">
        <v>201</v>
      </c>
      <c r="AE78" s="3"/>
      <c r="AF78" s="49" t="s">
        <v>202</v>
      </c>
      <c r="AG78" s="77" t="b">
        <f t="shared" si="13"/>
        <v>1</v>
      </c>
      <c r="AH78" s="83" t="str">
        <f t="shared" si="2"/>
        <v>u</v>
      </c>
      <c r="AI78" s="84">
        <f t="shared" si="3"/>
        <v>5</v>
      </c>
      <c r="AJ78" s="85">
        <f t="shared" si="4"/>
        <v>5</v>
      </c>
      <c r="AK78" s="6"/>
      <c r="AL78" s="8" t="str">
        <f t="shared" si="5"/>
        <v>{63</v>
      </c>
      <c r="AM78" s="27" t="str">
        <f t="shared" si="6"/>
        <v>ITM_5</v>
      </c>
      <c r="AN78" s="27" t="str">
        <f t="shared" si="7"/>
        <v>MNU_UNITCONV</v>
      </c>
      <c r="AO78" s="27" t="str">
        <f t="shared" si="8"/>
        <v>MNU_CLK</v>
      </c>
      <c r="AP78" s="46" t="str">
        <f>IF(NOT(ISNA(MATCH(AM78,Lookups!E:E,))),VLOOKUP(AM78,Lookups!E:F,2,0),
IF(NOT(ISNA(MATCH(AN78,Lookups!E:E,))),VLOOKUP(AN78,Lookups!E:F,2,0),
IF(NOT(ISNA(MATCH(AO78,Lookups!E:E,))),VLOOKUP(AO78,Lookups!E:F,2,0),"ITM_NULL")))</f>
        <v>ITM_5</v>
      </c>
      <c r="AQ78" s="28" t="str">
        <f t="shared" si="21"/>
        <v>ITM_U</v>
      </c>
      <c r="AR78" s="195" t="s">
        <v>203</v>
      </c>
      <c r="AS78" s="186" t="s">
        <v>204</v>
      </c>
      <c r="AT78" s="197" t="s">
        <v>204</v>
      </c>
      <c r="AW78" s="14" t="str">
        <f t="shared" si="14"/>
        <v>{63</v>
      </c>
      <c r="AX78" s="157" t="str" cm="1">
        <f t="array" ref="AX78">SUBSTITUTE(SUBSTITUTE(_xlfn.SWITCH(AM78, "ITM_T_HOME", "ITM_UP1", "ITM_T_END", "ITM_DOWN1", "DOCU_CHR_sub", "ITM_DOWN_ARROW", "DOCU_CHR_super", "ITM_UP_ARROW", "MNU_TAMALPHA", "ITM_alpha", "DOCU_CHR_caseFLIP", "ITM_NULL", "DOCU_CHR_numSET", "ITM_NULL", "DOCU_ITM_RADIX", "ITM_PERIOD", AM78), ".lo", ),"MNU_", "-MNU_")</f>
        <v>ITM_5</v>
      </c>
      <c r="AY78" s="157" t="str" cm="1">
        <f t="array" ref="AY78">SUBSTITUTE(SUBSTITUTE(_xlfn.SWITCH(AN78, "ITM_T_HOME", "ITM_UP1", "ITM_T_END", "ITM_DOWN1", "DOCU_CHR_sub", "ITM_DOWN_ARROW", "DOCU_CHR_super", "ITM_UP_ARROW", "MNU_TAMALPHA", "ITM_alpha", "DOCU_CHR_caseFLIP", "ITM_NULL", "DOCU_CHR_numSET", "ITM_NULL", "DOCU_ITM_RADIX", "ITM_PERIOD", AN78), ".lo", ),"MNU_", "-MNU_")</f>
        <v>-MNU_UNITCONV</v>
      </c>
      <c r="AZ78" s="157" t="str" cm="1">
        <f t="array" ref="AZ78">SUBSTITUTE(SUBSTITUTE(_xlfn.SWITCH(AO78, "ITM_T_HOME", "ITM_UP1", "ITM_T_END", "ITM_DOWN1", "DOCU_CHR_sub", "ITM_DOWN_ARROW", "DOCU_CHR_super", "ITM_UP_ARROW", "MNU_TAMALPHA", "ITM_alpha", "DOCU_CHR_caseFLIP", "ITM_NULL", "DOCU_CHR_numSET", "ITM_NULL", "DOCU_ITM_RADIX", "ITM_PERIOD", AO78), ".lo", ),"MNU_", "-MNU_")</f>
        <v>-MNU_CLK</v>
      </c>
      <c r="BA78" s="173" t="str" cm="1">
        <f t="array" ref="BA78">SUBSTITUTE(SUBSTITUTE(_xlfn.SWITCH(AP78, "ITM_T_HOME", "ITM_UP1", "ITM_T_END", "ITM_DOWN1", "DOCU_CHR_sub", "ITM_DOWN_ARROW", "DOCU_CHR_super", "ITM_UP_ARROW", "MNU_TAMALPHA", "ITM_alpha", "DOCU_CHR_caseFLIP", "ITM_NULL", "DOCU_CHR_numSET", "ITM_NULL", "DOCU_ITM_RADIX", "ITM_PERIOD", AP78), ".lo", ),"MNU_", "-MNU_")</f>
        <v>ITM_5</v>
      </c>
      <c r="BB78" s="157" t="str" cm="1">
        <f t="array" ref="BB78">SUBSTITUTE(SUBSTITUTE(_xlfn.SWITCH(AQ78, "ITM_T_HOME", "ITM_UP1", "ITM_T_END", "ITM_DOWN1", "DOCU_CHR_sub", "ITM_DOWN_ARROW", "DOCU_CHR_super", "ITM_UP_ARROW", "MNU_TAMALPHA", "ITM_alpha", "DOCU_CHR_caseFLIP", "ITM_NULL", "DOCU_CHR_numSET", "ITM_NULL", "DOCU_ITM_RADIX", "ITM_PERIOD", AQ78), ".lo", ),"MNU_", "-MNU_")</f>
        <v>ITM_U</v>
      </c>
      <c r="BC78" s="157" t="str" cm="1">
        <f t="array" ref="BC78">SUBSTITUTE(SUBSTITUTE(_xlfn.SWITCH(AR78, "ITM_T_HOME", "ITM_UP1", "ITM_T_END", "ITM_DOWN1", "DOCU_CHR_sub", "ITM_DOWN_ARROW", "DOCU_CHR_super", "ITM_UP_ARROW", "MNU_TAMALPHA", "ITM_alpha", "DOCU_CHR_caseFLIP", "ITM_NULL", "DOCU_CHR_numSET", "ITM_NULL", "DOCU_ITM_RADIX", "ITM_PERIOD", AR78), ".lo", ),"MNU_", "-MNU_")</f>
        <v>ITM_u</v>
      </c>
      <c r="BD78" s="157" t="str" cm="1">
        <f t="array" ref="BD78">SUBSTITUTE(SUBSTITUTE(_xlfn.SWITCH(AS78, "ITM_T_HOME", "ITM_UP1", "ITM_T_END", "ITM_DOWN1", "DOCU_CHR_sub", "ITM_DOWN_ARROW", "DOCU_CHR_super", "ITM_UP_ARROW", "MNU_TAMALPHA", "ITM_alpha", "DOCU_CHR_caseFLIP", "ITM_NULL", "DOCU_CHR_numSET", "ITM_NULL", "DOCU_ITM_RADIX", "ITM_PERIOD", AS78), ".lo", ),"MNU_", "-MNU_")</f>
        <v>ITM_5</v>
      </c>
      <c r="BE78" s="157" t="str" cm="1">
        <f t="array" ref="BE78">SUBSTITUTE(SUBSTITUTE(_xlfn.SWITCH(AT78, "ITM_T_HOME", "ITM_UP1", "ITM_T_END", "ITM_DOWN1", "DOCU_CHR_sub", "ITM_DOWN_ARROW", "DOCU_CHR_super", "ITM_UP_ARROW", "MNU_TAMALPHA", "ITM_alpha", "DOCU_CHR_caseFLIP", "ITM_NULL", "DOCU_CHR_numSET", "ITM_NULL", "DOCU_ITM_RADIX", "ITM_PERIOD", AT78), ".lo", ),"MNU_", "-MNU_")</f>
        <v>ITM_5</v>
      </c>
      <c r="BG78" s="75"/>
      <c r="BI78" s="13" t="str">
        <f t="shared" si="10"/>
        <v xml:space="preserve">  {63,                  ITM_5,                -MNU_UNITCONV,        -MNU_CLK,             ITM_5,                ITM_U,                ITM_u,                ITM_5,                ITM_5               },</v>
      </c>
      <c r="BL78" s="45" t="str">
        <f t="shared" si="11"/>
        <v>ITM_u</v>
      </c>
      <c r="BM78" s="45" t="str">
        <f t="shared" si="12"/>
        <v>ITM_5</v>
      </c>
    </row>
    <row r="79" spans="1:65" ht="22" thickBot="1" x14ac:dyDescent="0.25">
      <c r="A79" s="3">
        <v>0.1</v>
      </c>
      <c r="B79" s="3">
        <v>50</v>
      </c>
      <c r="C79" s="233"/>
      <c r="D79" s="235"/>
      <c r="E79" s="226" t="e">
        <f>layout&amp;"."&amp;$B79+E78+E77</f>
        <v>#VALUE!</v>
      </c>
      <c r="F79" s="233"/>
      <c r="G79" s="234"/>
      <c r="H79" s="235"/>
      <c r="I79" s="226" t="e">
        <f>layout&amp;"."&amp;$B79+I78+I77</f>
        <v>#VALUE!</v>
      </c>
      <c r="J79" s="233"/>
      <c r="K79" s="234"/>
      <c r="L79" s="235"/>
      <c r="M79" s="226" t="e">
        <f>layout&amp;"."&amp;$B79+M78+M77</f>
        <v>#VALUE!</v>
      </c>
      <c r="N79" s="233"/>
      <c r="O79" s="234"/>
      <c r="P79" s="235"/>
      <c r="Q79" s="226" t="e">
        <f>layout&amp;"."&amp;$B79+Q78+Q77</f>
        <v>#VALUE!</v>
      </c>
      <c r="R79" s="233"/>
      <c r="S79" s="234"/>
      <c r="T79" s="235"/>
      <c r="U79" s="236" t="e">
        <f>layout&amp;"."&amp;$B79+U78+U77</f>
        <v>#VALUE!</v>
      </c>
      <c r="X79" s="127" t="str">
        <f t="shared" si="1"/>
        <v>C47</v>
      </c>
      <c r="Y79" s="109">
        <v>6</v>
      </c>
      <c r="Z79" s="109">
        <v>4</v>
      </c>
      <c r="AA79" s="112" t="str">
        <f t="shared" si="15"/>
        <v>C47.64</v>
      </c>
      <c r="AB79" s="117">
        <v>6</v>
      </c>
      <c r="AC79" s="118" t="s">
        <v>205</v>
      </c>
      <c r="AD79" s="119" t="s">
        <v>206</v>
      </c>
      <c r="AE79" s="3"/>
      <c r="AF79" s="49" t="s">
        <v>207</v>
      </c>
      <c r="AG79" s="77" t="b">
        <f t="shared" si="13"/>
        <v>1</v>
      </c>
      <c r="AH79" s="83" t="str">
        <f t="shared" si="2"/>
        <v>v</v>
      </c>
      <c r="AI79" s="84">
        <f t="shared" si="3"/>
        <v>6</v>
      </c>
      <c r="AJ79" s="85">
        <f t="shared" si="4"/>
        <v>6</v>
      </c>
      <c r="AK79" s="6"/>
      <c r="AL79" s="8" t="str">
        <f t="shared" si="5"/>
        <v>{64</v>
      </c>
      <c r="AM79" s="27" t="str">
        <f t="shared" si="6"/>
        <v>ITM_6</v>
      </c>
      <c r="AN79" s="27" t="str">
        <f t="shared" si="7"/>
        <v>MNU_FLAGS</v>
      </c>
      <c r="AO79" s="27" t="str">
        <f t="shared" si="8"/>
        <v>MNU_PARTS</v>
      </c>
      <c r="AP79" s="46" t="str">
        <f>IF(NOT(ISNA(MATCH(AM79,Lookups!E:E,))),VLOOKUP(AM79,Lookups!E:F,2,0),
IF(NOT(ISNA(MATCH(AN79,Lookups!E:E,))),VLOOKUP(AN79,Lookups!E:F,2,0),
IF(NOT(ISNA(MATCH(AO79,Lookups!E:E,))),VLOOKUP(AO79,Lookups!E:F,2,0),"ITM_NULL")))</f>
        <v>ITM_6</v>
      </c>
      <c r="AQ79" s="28" t="str">
        <f t="shared" si="21"/>
        <v>ITM_V</v>
      </c>
      <c r="AR79" s="195" t="s">
        <v>208</v>
      </c>
      <c r="AS79" s="186" t="s">
        <v>209</v>
      </c>
      <c r="AT79" s="197" t="s">
        <v>209</v>
      </c>
      <c r="AW79" s="14" t="str">
        <f t="shared" si="14"/>
        <v>{64</v>
      </c>
      <c r="AX79" s="157" t="str" cm="1">
        <f t="array" ref="AX79">SUBSTITUTE(SUBSTITUTE(_xlfn.SWITCH(AM79, "ITM_T_HOME", "ITM_UP1", "ITM_T_END", "ITM_DOWN1", "DOCU_CHR_sub", "ITM_DOWN_ARROW", "DOCU_CHR_super", "ITM_UP_ARROW", "MNU_TAMALPHA", "ITM_alpha", "DOCU_CHR_caseFLIP", "ITM_NULL", "DOCU_CHR_numSET", "ITM_NULL", "DOCU_ITM_RADIX", "ITM_PERIOD", AM79), ".lo", ),"MNU_", "-MNU_")</f>
        <v>ITM_6</v>
      </c>
      <c r="AY79" s="157" t="str" cm="1">
        <f t="array" ref="AY79">SUBSTITUTE(SUBSTITUTE(_xlfn.SWITCH(AN79, "ITM_T_HOME", "ITM_UP1", "ITM_T_END", "ITM_DOWN1", "DOCU_CHR_sub", "ITM_DOWN_ARROW", "DOCU_CHR_super", "ITM_UP_ARROW", "MNU_TAMALPHA", "ITM_alpha", "DOCU_CHR_caseFLIP", "ITM_NULL", "DOCU_CHR_numSET", "ITM_NULL", "DOCU_ITM_RADIX", "ITM_PERIOD", AN79), ".lo", ),"MNU_", "-MNU_")</f>
        <v>-MNU_FLAGS</v>
      </c>
      <c r="AZ79" s="157" t="str" cm="1">
        <f t="array" ref="AZ79">SUBSTITUTE(SUBSTITUTE(_xlfn.SWITCH(AO79, "ITM_T_HOME", "ITM_UP1", "ITM_T_END", "ITM_DOWN1", "DOCU_CHR_sub", "ITM_DOWN_ARROW", "DOCU_CHR_super", "ITM_UP_ARROW", "MNU_TAMALPHA", "ITM_alpha", "DOCU_CHR_caseFLIP", "ITM_NULL", "DOCU_CHR_numSET", "ITM_NULL", "DOCU_ITM_RADIX", "ITM_PERIOD", AO79), ".lo", ),"MNU_", "-MNU_")</f>
        <v>-MNU_PARTS</v>
      </c>
      <c r="BA79" s="173" t="str" cm="1">
        <f t="array" ref="BA79">SUBSTITUTE(SUBSTITUTE(_xlfn.SWITCH(AP79, "ITM_T_HOME", "ITM_UP1", "ITM_T_END", "ITM_DOWN1", "DOCU_CHR_sub", "ITM_DOWN_ARROW", "DOCU_CHR_super", "ITM_UP_ARROW", "MNU_TAMALPHA", "ITM_alpha", "DOCU_CHR_caseFLIP", "ITM_NULL", "DOCU_CHR_numSET", "ITM_NULL", "DOCU_ITM_RADIX", "ITM_PERIOD", AP79), ".lo", ),"MNU_", "-MNU_")</f>
        <v>ITM_6</v>
      </c>
      <c r="BB79" s="157" t="str" cm="1">
        <f t="array" ref="BB79">SUBSTITUTE(SUBSTITUTE(_xlfn.SWITCH(AQ79, "ITM_T_HOME", "ITM_UP1", "ITM_T_END", "ITM_DOWN1", "DOCU_CHR_sub", "ITM_DOWN_ARROW", "DOCU_CHR_super", "ITM_UP_ARROW", "MNU_TAMALPHA", "ITM_alpha", "DOCU_CHR_caseFLIP", "ITM_NULL", "DOCU_CHR_numSET", "ITM_NULL", "DOCU_ITM_RADIX", "ITM_PERIOD", AQ79), ".lo", ),"MNU_", "-MNU_")</f>
        <v>ITM_V</v>
      </c>
      <c r="BC79" s="157" t="str" cm="1">
        <f t="array" ref="BC79">SUBSTITUTE(SUBSTITUTE(_xlfn.SWITCH(AR79, "ITM_T_HOME", "ITM_UP1", "ITM_T_END", "ITM_DOWN1", "DOCU_CHR_sub", "ITM_DOWN_ARROW", "DOCU_CHR_super", "ITM_UP_ARROW", "MNU_TAMALPHA", "ITM_alpha", "DOCU_CHR_caseFLIP", "ITM_NULL", "DOCU_CHR_numSET", "ITM_NULL", "DOCU_ITM_RADIX", "ITM_PERIOD", AR79), ".lo", ),"MNU_", "-MNU_")</f>
        <v>ITM_v</v>
      </c>
      <c r="BD79" s="157" t="str" cm="1">
        <f t="array" ref="BD79">SUBSTITUTE(SUBSTITUTE(_xlfn.SWITCH(AS79, "ITM_T_HOME", "ITM_UP1", "ITM_T_END", "ITM_DOWN1", "DOCU_CHR_sub", "ITM_DOWN_ARROW", "DOCU_CHR_super", "ITM_UP_ARROW", "MNU_TAMALPHA", "ITM_alpha", "DOCU_CHR_caseFLIP", "ITM_NULL", "DOCU_CHR_numSET", "ITM_NULL", "DOCU_ITM_RADIX", "ITM_PERIOD", AS79), ".lo", ),"MNU_", "-MNU_")</f>
        <v>ITM_6</v>
      </c>
      <c r="BE79" s="157" t="str" cm="1">
        <f t="array" ref="BE79">SUBSTITUTE(SUBSTITUTE(_xlfn.SWITCH(AT79, "ITM_T_HOME", "ITM_UP1", "ITM_T_END", "ITM_DOWN1", "DOCU_CHR_sub", "ITM_DOWN_ARROW", "DOCU_CHR_super", "ITM_UP_ARROW", "MNU_TAMALPHA", "ITM_alpha", "DOCU_CHR_caseFLIP", "ITM_NULL", "DOCU_CHR_numSET", "ITM_NULL", "DOCU_ITM_RADIX", "ITM_PERIOD", AT79), ".lo", ),"MNU_", "-MNU_")</f>
        <v>ITM_6</v>
      </c>
      <c r="BG79" s="75"/>
      <c r="BI79" s="13" t="str">
        <f t="shared" si="10"/>
        <v xml:space="preserve">  {64,                  ITM_6,                -MNU_FLAGS,           -MNU_PARTS,           ITM_6,                ITM_V,                ITM_v,                ITM_6,                ITM_6               },</v>
      </c>
      <c r="BL79" s="45" t="str">
        <f t="shared" si="11"/>
        <v>ITM_v</v>
      </c>
      <c r="BM79" s="45" t="str">
        <f t="shared" si="12"/>
        <v>ITM_6</v>
      </c>
    </row>
    <row r="80" spans="1:65" ht="21" x14ac:dyDescent="0.2">
      <c r="A80" s="3"/>
      <c r="B80" s="3"/>
      <c r="C80" s="3">
        <f>2/10</f>
        <v>0.2</v>
      </c>
      <c r="D80" s="3">
        <f>3/10</f>
        <v>0.3</v>
      </c>
      <c r="E80" s="3">
        <f>4/10</f>
        <v>0.4</v>
      </c>
      <c r="F80" s="3">
        <f>2/10</f>
        <v>0.2</v>
      </c>
      <c r="G80" s="3"/>
      <c r="H80" s="3">
        <f>3/10</f>
        <v>0.3</v>
      </c>
      <c r="I80" s="3">
        <f>4/10</f>
        <v>0.4</v>
      </c>
      <c r="J80" s="3">
        <f>2/10</f>
        <v>0.2</v>
      </c>
      <c r="K80" s="3"/>
      <c r="L80" s="3">
        <f>3/10</f>
        <v>0.3</v>
      </c>
      <c r="M80" s="3">
        <f>4/10</f>
        <v>0.4</v>
      </c>
      <c r="N80" s="3">
        <f>2/10</f>
        <v>0.2</v>
      </c>
      <c r="O80" s="3"/>
      <c r="P80" s="3">
        <f>3/10</f>
        <v>0.3</v>
      </c>
      <c r="Q80" s="3">
        <f>4/10</f>
        <v>0.4</v>
      </c>
      <c r="R80" s="3">
        <f>2/10</f>
        <v>0.2</v>
      </c>
      <c r="S80" s="3"/>
      <c r="T80" s="3">
        <f>3/10</f>
        <v>0.3</v>
      </c>
      <c r="U80" s="3">
        <f>4/10</f>
        <v>0.4</v>
      </c>
      <c r="X80" s="127" t="str">
        <f t="shared" si="1"/>
        <v>C47</v>
      </c>
      <c r="Y80" s="109">
        <v>6</v>
      </c>
      <c r="Z80" s="109">
        <v>5</v>
      </c>
      <c r="AA80" s="112" t="str">
        <f t="shared" si="15"/>
        <v>C47.65</v>
      </c>
      <c r="AB80" s="121" t="s">
        <v>210</v>
      </c>
      <c r="AC80" s="118" t="s">
        <v>211</v>
      </c>
      <c r="AD80" s="119" t="s">
        <v>212</v>
      </c>
      <c r="AE80" s="3"/>
      <c r="AF80" s="49" t="s">
        <v>213</v>
      </c>
      <c r="AG80" s="77" t="b">
        <f t="shared" si="13"/>
        <v>1</v>
      </c>
      <c r="AH80" s="83" t="str">
        <f t="shared" si="2"/>
        <v>w</v>
      </c>
      <c r="AI80" s="84" t="str">
        <f t="shared" si="3"/>
        <v>✕</v>
      </c>
      <c r="AJ80" s="85" t="str">
        <f t="shared" si="4"/>
        <v>✕</v>
      </c>
      <c r="AK80" s="6"/>
      <c r="AL80" s="8" t="str">
        <f t="shared" si="5"/>
        <v>{65</v>
      </c>
      <c r="AM80" s="27" t="str">
        <f t="shared" si="6"/>
        <v>ITM_MULT</v>
      </c>
      <c r="AN80" s="27" t="str">
        <f t="shared" si="7"/>
        <v>MNU_PROB</v>
      </c>
      <c r="AO80" s="27" t="str">
        <f t="shared" si="8"/>
        <v>MNU_INTS</v>
      </c>
      <c r="AP80" s="46" t="str">
        <f>IF(NOT(ISNA(MATCH(AM80,Lookups!E:E,))),VLOOKUP(AM80,Lookups!E:F,2,0),
IF(NOT(ISNA(MATCH(AN80,Lookups!E:E,))),VLOOKUP(AN80,Lookups!E:F,2,0),
IF(NOT(ISNA(MATCH(AO80,Lookups!E:E,))),VLOOKUP(AO80,Lookups!E:F,2,0),"ITM_NULL")))</f>
        <v>ITM_CROSS</v>
      </c>
      <c r="AQ80" s="28" t="str">
        <f t="shared" si="21"/>
        <v>ITM_W</v>
      </c>
      <c r="AR80" s="195" t="s">
        <v>214</v>
      </c>
      <c r="AS80" s="186" t="s">
        <v>215</v>
      </c>
      <c r="AT80" s="197" t="s">
        <v>216</v>
      </c>
      <c r="AW80" s="14" t="str">
        <f t="shared" si="14"/>
        <v>{65</v>
      </c>
      <c r="AX80" s="157" t="str" cm="1">
        <f t="array" ref="AX80">SUBSTITUTE(SUBSTITUTE(_xlfn.SWITCH(AM80, "ITM_T_HOME", "ITM_UP1", "ITM_T_END", "ITM_DOWN1", "DOCU_CHR_sub", "ITM_DOWN_ARROW", "DOCU_CHR_super", "ITM_UP_ARROW", "MNU_TAMALPHA", "ITM_alpha", "DOCU_CHR_caseFLIP", "ITM_NULL", "DOCU_CHR_numSET", "ITM_NULL", "DOCU_ITM_RADIX", "ITM_PERIOD", AM80), ".lo", ),"MNU_", "-MNU_")</f>
        <v>ITM_MULT</v>
      </c>
      <c r="AY80" s="157" t="str" cm="1">
        <f t="array" ref="AY80">SUBSTITUTE(SUBSTITUTE(_xlfn.SWITCH(AN80, "ITM_T_HOME", "ITM_UP1", "ITM_T_END", "ITM_DOWN1", "DOCU_CHR_sub", "ITM_DOWN_ARROW", "DOCU_CHR_super", "ITM_UP_ARROW", "MNU_TAMALPHA", "ITM_alpha", "DOCU_CHR_caseFLIP", "ITM_NULL", "DOCU_CHR_numSET", "ITM_NULL", "DOCU_ITM_RADIX", "ITM_PERIOD", AN80), ".lo", ),"MNU_", "-MNU_")</f>
        <v>-MNU_PROB</v>
      </c>
      <c r="AZ80" s="157" t="str" cm="1">
        <f t="array" ref="AZ80">SUBSTITUTE(SUBSTITUTE(_xlfn.SWITCH(AO80, "ITM_T_HOME", "ITM_UP1", "ITM_T_END", "ITM_DOWN1", "DOCU_CHR_sub", "ITM_DOWN_ARROW", "DOCU_CHR_super", "ITM_UP_ARROW", "MNU_TAMALPHA", "ITM_alpha", "DOCU_CHR_caseFLIP", "ITM_NULL", "DOCU_CHR_numSET", "ITM_NULL", "DOCU_ITM_RADIX", "ITM_PERIOD", AO80), ".lo", ),"MNU_", "-MNU_")</f>
        <v>-MNU_INTS</v>
      </c>
      <c r="BA80" s="173" t="str" cm="1">
        <f t="array" ref="BA80">SUBSTITUTE(SUBSTITUTE(_xlfn.SWITCH(AP80, "ITM_T_HOME", "ITM_UP1", "ITM_T_END", "ITM_DOWN1", "DOCU_CHR_sub", "ITM_DOWN_ARROW", "DOCU_CHR_super", "ITM_UP_ARROW", "MNU_TAMALPHA", "ITM_alpha", "DOCU_CHR_caseFLIP", "ITM_NULL", "DOCU_CHR_numSET", "ITM_NULL", "DOCU_ITM_RADIX", "ITM_PERIOD", AP80), ".lo", ),"MNU_", "-MNU_")</f>
        <v>ITM_CROSS</v>
      </c>
      <c r="BB80" s="157" t="str" cm="1">
        <f t="array" ref="BB80">SUBSTITUTE(SUBSTITUTE(_xlfn.SWITCH(AQ80, "ITM_T_HOME", "ITM_UP1", "ITM_T_END", "ITM_DOWN1", "DOCU_CHR_sub", "ITM_DOWN_ARROW", "DOCU_CHR_super", "ITM_UP_ARROW", "MNU_TAMALPHA", "ITM_alpha", "DOCU_CHR_caseFLIP", "ITM_NULL", "DOCU_CHR_numSET", "ITM_NULL", "DOCU_ITM_RADIX", "ITM_PERIOD", AQ80), ".lo", ),"MNU_", "-MNU_")</f>
        <v>ITM_W</v>
      </c>
      <c r="BC80" s="157" t="str" cm="1">
        <f t="array" ref="BC80">SUBSTITUTE(SUBSTITUTE(_xlfn.SWITCH(AR80, "ITM_T_HOME", "ITM_UP1", "ITM_T_END", "ITM_DOWN1", "DOCU_CHR_sub", "ITM_DOWN_ARROW", "DOCU_CHR_super", "ITM_UP_ARROW", "MNU_TAMALPHA", "ITM_alpha", "DOCU_CHR_caseFLIP", "ITM_NULL", "DOCU_CHR_numSET", "ITM_NULL", "DOCU_ITM_RADIX", "ITM_PERIOD", AR80), ".lo", ),"MNU_", "-MNU_")</f>
        <v>ITM_w</v>
      </c>
      <c r="BD80" s="157" t="str" cm="1">
        <f t="array" ref="BD80">SUBSTITUTE(SUBSTITUTE(_xlfn.SWITCH(AS80, "ITM_T_HOME", "ITM_UP1", "ITM_T_END", "ITM_DOWN1", "DOCU_CHR_sub", "ITM_DOWN_ARROW", "DOCU_CHR_super", "ITM_UP_ARROW", "MNU_TAMALPHA", "ITM_alpha", "DOCU_CHR_caseFLIP", "ITM_NULL", "DOCU_CHR_numSET", "ITM_NULL", "DOCU_ITM_RADIX", "ITM_PERIOD", AS80), ".lo", ),"MNU_", "-MNU_")</f>
        <v>ITM_CROSS</v>
      </c>
      <c r="BE80" s="157" t="str" cm="1">
        <f t="array" ref="BE80">SUBSTITUTE(SUBSTITUTE(_xlfn.SWITCH(AT80, "ITM_T_HOME", "ITM_UP1", "ITM_T_END", "ITM_DOWN1", "DOCU_CHR_sub", "ITM_DOWN_ARROW", "DOCU_CHR_super", "ITM_UP_ARROW", "MNU_TAMALPHA", "ITM_alpha", "DOCU_CHR_caseFLIP", "ITM_NULL", "DOCU_CHR_numSET", "ITM_NULL", "DOCU_ITM_RADIX", "ITM_PERIOD", AT80), ".lo", ),"MNU_", "-MNU_")</f>
        <v>ITM_MULT</v>
      </c>
      <c r="BG80" s="75"/>
      <c r="BI80" s="13" t="str">
        <f t="shared" si="10"/>
        <v xml:space="preserve">  {65,                  ITM_MULT,             -MNU_PROB,            -MNU_INTS,            ITM_CROSS,            ITM_W,                ITM_w,                ITM_CROSS,            ITM_MULT            },</v>
      </c>
      <c r="BL80" s="45" t="str">
        <f t="shared" si="11"/>
        <v>ITM_w</v>
      </c>
      <c r="BM80" s="45" t="str">
        <f t="shared" si="12"/>
        <v>ITM_CROSS</v>
      </c>
    </row>
    <row r="81" spans="1:65" ht="21" x14ac:dyDescent="0.2">
      <c r="A81" s="3"/>
      <c r="B81" s="3"/>
      <c r="C81" s="3">
        <v>1</v>
      </c>
      <c r="D81" s="3">
        <v>1</v>
      </c>
      <c r="E81" s="3">
        <v>1</v>
      </c>
      <c r="F81" s="3">
        <v>2</v>
      </c>
      <c r="G81" s="3">
        <v>2</v>
      </c>
      <c r="H81" s="3">
        <v>2</v>
      </c>
      <c r="I81" s="3">
        <v>2</v>
      </c>
      <c r="J81" s="3">
        <v>3</v>
      </c>
      <c r="K81" s="3">
        <v>3</v>
      </c>
      <c r="L81" s="3">
        <v>3</v>
      </c>
      <c r="M81" s="3">
        <v>3</v>
      </c>
      <c r="N81" s="3">
        <v>4</v>
      </c>
      <c r="O81" s="3">
        <v>4</v>
      </c>
      <c r="P81" s="3">
        <v>4</v>
      </c>
      <c r="Q81" s="3">
        <v>4</v>
      </c>
      <c r="R81" s="3">
        <v>5</v>
      </c>
      <c r="S81" s="3">
        <v>5</v>
      </c>
      <c r="T81" s="3">
        <v>5</v>
      </c>
      <c r="U81" s="3">
        <v>5</v>
      </c>
      <c r="X81" s="127" t="str">
        <f t="shared" si="1"/>
        <v>C47</v>
      </c>
      <c r="Y81" s="106">
        <v>7</v>
      </c>
      <c r="Z81" s="106">
        <v>1</v>
      </c>
      <c r="AA81" s="112" t="str">
        <f t="shared" si="15"/>
        <v>C47.71</v>
      </c>
      <c r="AB81" s="117" t="s">
        <v>217</v>
      </c>
      <c r="AC81" s="118" t="s">
        <v>218</v>
      </c>
      <c r="AD81" s="119" t="s">
        <v>218</v>
      </c>
      <c r="AE81" s="3"/>
      <c r="AF81" s="49" t="s">
        <v>217</v>
      </c>
      <c r="AG81" s="77" t="b">
        <f t="shared" si="13"/>
        <v>0</v>
      </c>
      <c r="AH81" s="83" t="str">
        <f t="shared" si="2"/>
        <v>(FlipChar)</v>
      </c>
      <c r="AI81" s="84" t="str">
        <f t="shared" si="3"/>
        <v>(Digit)</v>
      </c>
      <c r="AJ81" s="85" t="str">
        <f t="shared" si="4"/>
        <v>f/g</v>
      </c>
      <c r="AK81" s="6"/>
      <c r="AL81" s="8" t="str">
        <f t="shared" si="5"/>
        <v>{71</v>
      </c>
      <c r="AM81" s="27" t="str">
        <f t="shared" si="6"/>
        <v>KEY_fg</v>
      </c>
      <c r="AN81" s="27" t="str">
        <f t="shared" si="7"/>
        <v>ITM_NULL</v>
      </c>
      <c r="AO81" s="27" t="str">
        <f t="shared" si="8"/>
        <v>ITM_NULL</v>
      </c>
      <c r="AP81" s="46" t="str">
        <f>IF(NOT(ISNA(MATCH(AM81,Lookups!E:E,))),VLOOKUP(AM81,Lookups!E:F,2,0),
IF(NOT(ISNA(MATCH(AN81,Lookups!E:E,))),VLOOKUP(AN81,Lookups!E:F,2,0),
IF(NOT(ISNA(MATCH(AO81,Lookups!E:E,))),VLOOKUP(AO81,Lookups!E:F,2,0),"ITM_NULL")))</f>
        <v>KEY_fg</v>
      </c>
      <c r="AQ81" s="28" t="str">
        <f t="shared" si="21"/>
        <v>KEY_fg</v>
      </c>
      <c r="AR81" s="198" t="s">
        <v>219</v>
      </c>
      <c r="AS81" s="186" t="s">
        <v>220</v>
      </c>
      <c r="AT81" s="197" t="s">
        <v>221</v>
      </c>
      <c r="AW81" s="14" t="str">
        <f t="shared" si="14"/>
        <v>{71</v>
      </c>
      <c r="AX81" s="157" t="str" cm="1">
        <f t="array" ref="AX81">SUBSTITUTE(SUBSTITUTE(_xlfn.SWITCH(AM81, "ITM_T_HOME", "ITM_UP1", "ITM_T_END", "ITM_DOWN1", "DOCU_CHR_sub", "ITM_DOWN_ARROW", "DOCU_CHR_super", "ITM_UP_ARROW", "MNU_TAMALPHA", "ITM_alpha", "DOCU_CHR_caseFLIP", "ITM_NULL", "DOCU_CHR_numSET", "ITM_NULL", "DOCU_ITM_RADIX", "ITM_PERIOD", AM81), ".lo", ),"MNU_", "-MNU_")</f>
        <v>KEY_fg</v>
      </c>
      <c r="AY81" s="157" t="str" cm="1">
        <f t="array" ref="AY81">SUBSTITUTE(SUBSTITUTE(_xlfn.SWITCH(AN81, "ITM_T_HOME", "ITM_UP1", "ITM_T_END", "ITM_DOWN1", "DOCU_CHR_sub", "ITM_DOWN_ARROW", "DOCU_CHR_super", "ITM_UP_ARROW", "MNU_TAMALPHA", "ITM_alpha", "DOCU_CHR_caseFLIP", "ITM_NULL", "DOCU_CHR_numSET", "ITM_NULL", "DOCU_ITM_RADIX", "ITM_PERIOD", AN81), ".lo", ),"MNU_", "-MNU_")</f>
        <v>ITM_NULL</v>
      </c>
      <c r="AZ81" s="157" t="str" cm="1">
        <f t="array" ref="AZ81">SUBSTITUTE(SUBSTITUTE(_xlfn.SWITCH(AO81, "ITM_T_HOME", "ITM_UP1", "ITM_T_END", "ITM_DOWN1", "DOCU_CHR_sub", "ITM_DOWN_ARROW", "DOCU_CHR_super", "ITM_UP_ARROW", "MNU_TAMALPHA", "ITM_alpha", "DOCU_CHR_caseFLIP", "ITM_NULL", "DOCU_CHR_numSET", "ITM_NULL", "DOCU_ITM_RADIX", "ITM_PERIOD", AO81), ".lo", ),"MNU_", "-MNU_")</f>
        <v>ITM_NULL</v>
      </c>
      <c r="BA81" s="173" t="str" cm="1">
        <f t="array" ref="BA81">SUBSTITUTE(SUBSTITUTE(_xlfn.SWITCH(AP81, "ITM_T_HOME", "ITM_UP1", "ITM_T_END", "ITM_DOWN1", "DOCU_CHR_sub", "ITM_DOWN_ARROW", "DOCU_CHR_super", "ITM_UP_ARROW", "MNU_TAMALPHA", "ITM_alpha", "DOCU_CHR_caseFLIP", "ITM_NULL", "DOCU_CHR_numSET", "ITM_NULL", "DOCU_ITM_RADIX", "ITM_PERIOD", AP81), ".lo", ),"MNU_", "-MNU_")</f>
        <v>KEY_fg</v>
      </c>
      <c r="BB81" s="157" t="str" cm="1">
        <f t="array" ref="BB81">SUBSTITUTE(SUBSTITUTE(_xlfn.SWITCH(AQ81, "ITM_T_HOME", "ITM_UP1", "ITM_T_END", "ITM_DOWN1", "DOCU_CHR_sub", "ITM_DOWN_ARROW", "DOCU_CHR_super", "ITM_UP_ARROW", "MNU_TAMALPHA", "ITM_alpha", "DOCU_CHR_caseFLIP", "ITM_NULL", "DOCU_CHR_numSET", "ITM_NULL", "DOCU_ITM_RADIX", "ITM_PERIOD", AQ81), ".lo", ),"MNU_", "-MNU_")</f>
        <v>KEY_fg</v>
      </c>
      <c r="BC81" s="157" t="str" cm="1">
        <f t="array" ref="BC81">SUBSTITUTE(SUBSTITUTE(_xlfn.SWITCH(AR81, "ITM_T_HOME", "ITM_UP1", "ITM_T_END", "ITM_DOWN1", "DOCU_CHR_sub", "ITM_DOWN_ARROW", "DOCU_CHR_super", "ITM_UP_ARROW", "MNU_TAMALPHA", "ITM_alpha", "DOCU_CHR_caseFLIP", "ITM_NULL", "DOCU_CHR_numSET", "ITM_NULL", "DOCU_ITM_RADIX", "ITM_PERIOD", AR81), ".lo", ),"MNU_", "-MNU_")</f>
        <v>ITM_NULL</v>
      </c>
      <c r="BD81" s="157" t="str" cm="1">
        <f t="array" ref="BD81">SUBSTITUTE(SUBSTITUTE(_xlfn.SWITCH(AS81, "ITM_T_HOME", "ITM_UP1", "ITM_T_END", "ITM_DOWN1", "DOCU_CHR_sub", "ITM_DOWN_ARROW", "DOCU_CHR_super", "ITM_UP_ARROW", "MNU_TAMALPHA", "ITM_alpha", "DOCU_CHR_caseFLIP", "ITM_NULL", "DOCU_CHR_numSET", "ITM_NULL", "DOCU_ITM_RADIX", "ITM_PERIOD", AS81), ".lo", ),"MNU_", "-MNU_")</f>
        <v>ITM_NULL</v>
      </c>
      <c r="BE81" s="157" t="str" cm="1">
        <f t="array" ref="BE81">SUBSTITUTE(SUBSTITUTE(_xlfn.SWITCH(AT81, "ITM_T_HOME", "ITM_UP1", "ITM_T_END", "ITM_DOWN1", "DOCU_CHR_sub", "ITM_DOWN_ARROW", "DOCU_CHR_super", "ITM_UP_ARROW", "MNU_TAMALPHA", "ITM_alpha", "DOCU_CHR_caseFLIP", "ITM_NULL", "DOCU_CHR_numSET", "ITM_NULL", "DOCU_ITM_RADIX", "ITM_PERIOD", AT81), ".lo", ),"MNU_", "-MNU_")</f>
        <v>KEY_fg</v>
      </c>
      <c r="BG81" s="75"/>
      <c r="BI81" s="13" t="str">
        <f t="shared" si="10"/>
        <v xml:space="preserve">  {71,                  KEY_fg,               ITM_NULL,             ITM_NULL,             KEY_fg,               KEY_fg,               ITM_NULL,             ITM_NULL,             KEY_fg              },</v>
      </c>
      <c r="BL81" s="45" t="str">
        <f t="shared" si="11"/>
        <v>DOCU_CHR_caseFLIP</v>
      </c>
      <c r="BM81" s="45" t="str">
        <f t="shared" si="12"/>
        <v>DOCU_CHR_numSET</v>
      </c>
    </row>
    <row r="82" spans="1:65" ht="22" thickBot="1" x14ac:dyDescent="0.25">
      <c r="A82" s="3"/>
      <c r="B82" s="3">
        <v>60</v>
      </c>
      <c r="C82" s="4" t="str">
        <f>layout&amp;"."&amp;$B82+C81+C80</f>
        <v>C47.61,2</v>
      </c>
      <c r="D82" s="4" t="str">
        <f>layout&amp;"."&amp;$B82+D81+D80</f>
        <v>C47.61,3</v>
      </c>
      <c r="F82" s="4" t="str">
        <f>layout&amp;"."&amp;$B82+F81+F80</f>
        <v>C47.62,2</v>
      </c>
      <c r="H82" s="4" t="str">
        <f>layout&amp;"."&amp;$B82+H81+H80</f>
        <v>C47.62,3</v>
      </c>
      <c r="J82" s="4" t="str">
        <f>layout&amp;"."&amp;$B82+J81+J80</f>
        <v>C47.63,2</v>
      </c>
      <c r="L82" s="4" t="str">
        <f>layout&amp;"."&amp;$B82+L81+L80</f>
        <v>C47.63,3</v>
      </c>
      <c r="N82" s="4" t="str">
        <f>layout&amp;"."&amp;$B82+N81+N80</f>
        <v>C47.64,2</v>
      </c>
      <c r="P82" s="4" t="str">
        <f>layout&amp;"."&amp;$B82+P81+P80</f>
        <v>C47.64,3</v>
      </c>
      <c r="R82" s="4" t="str">
        <f>layout&amp;"."&amp;$B82+R81+R80</f>
        <v>C47.65,2</v>
      </c>
      <c r="T82" s="4" t="str">
        <f>layout&amp;"."&amp;$B82+T81+T80</f>
        <v>C47.65,3</v>
      </c>
      <c r="X82" s="127" t="str">
        <f t="shared" si="1"/>
        <v>C47</v>
      </c>
      <c r="Y82" s="109">
        <v>7</v>
      </c>
      <c r="Z82" s="109">
        <v>2</v>
      </c>
      <c r="AA82" s="112" t="str">
        <f t="shared" si="15"/>
        <v>C47.72</v>
      </c>
      <c r="AB82" s="117">
        <v>1</v>
      </c>
      <c r="AC82" s="118" t="s">
        <v>222</v>
      </c>
      <c r="AD82" s="119" t="s">
        <v>223</v>
      </c>
      <c r="AE82" s="3"/>
      <c r="AF82" s="49" t="s">
        <v>224</v>
      </c>
      <c r="AG82" s="77" t="b">
        <f t="shared" si="13"/>
        <v>1</v>
      </c>
      <c r="AH82" s="83" t="str">
        <f t="shared" si="2"/>
        <v>x</v>
      </c>
      <c r="AI82" s="84">
        <f t="shared" si="3"/>
        <v>1</v>
      </c>
      <c r="AJ82" s="85">
        <f t="shared" si="4"/>
        <v>1</v>
      </c>
      <c r="AK82" s="6"/>
      <c r="AL82" s="8" t="str">
        <f t="shared" si="5"/>
        <v>{72</v>
      </c>
      <c r="AM82" s="27" t="str">
        <f t="shared" si="6"/>
        <v>ITM_1</v>
      </c>
      <c r="AN82" s="27" t="str">
        <f t="shared" si="7"/>
        <v>ITM_ASSIGN</v>
      </c>
      <c r="AO82" s="27" t="str">
        <f t="shared" si="8"/>
        <v>MNU_KEYS</v>
      </c>
      <c r="AP82" s="46" t="str">
        <f>IF(NOT(ISNA(MATCH(AM82,Lookups!E:E,))),VLOOKUP(AM82,Lookups!E:F,2,0),
IF(NOT(ISNA(MATCH(AN82,Lookups!E:E,))),VLOOKUP(AN82,Lookups!E:F,2,0),
IF(NOT(ISNA(MATCH(AO82,Lookups!E:E,))),VLOOKUP(AO82,Lookups!E:F,2,0),"ITM_NULL")))</f>
        <v>ITM_1</v>
      </c>
      <c r="AQ82" s="28" t="str">
        <f t="shared" ref="AQ82:AQ90" si="26">VLOOKUP(AF82,labelitem,2,0)</f>
        <v>ITM_X</v>
      </c>
      <c r="AR82" s="195" t="s">
        <v>225</v>
      </c>
      <c r="AS82" s="186" t="s">
        <v>226</v>
      </c>
      <c r="AT82" s="197" t="s">
        <v>226</v>
      </c>
      <c r="AW82" s="14" t="str">
        <f t="shared" si="14"/>
        <v>{72</v>
      </c>
      <c r="AX82" s="157" t="str" cm="1">
        <f t="array" ref="AX82">SUBSTITUTE(SUBSTITUTE(_xlfn.SWITCH(AM82, "ITM_T_HOME", "ITM_UP1", "ITM_T_END", "ITM_DOWN1", "DOCU_CHR_sub", "ITM_DOWN_ARROW", "DOCU_CHR_super", "ITM_UP_ARROW", "MNU_TAMALPHA", "ITM_alpha", "DOCU_CHR_caseFLIP", "ITM_NULL", "DOCU_CHR_numSET", "ITM_NULL", "DOCU_ITM_RADIX", "ITM_PERIOD", AM82), ".lo", ),"MNU_", "-MNU_")</f>
        <v>ITM_1</v>
      </c>
      <c r="AY82" s="157" t="str" cm="1">
        <f t="array" ref="AY82">SUBSTITUTE(SUBSTITUTE(_xlfn.SWITCH(AN82, "ITM_T_HOME", "ITM_UP1", "ITM_T_END", "ITM_DOWN1", "DOCU_CHR_sub", "ITM_DOWN_ARROW", "DOCU_CHR_super", "ITM_UP_ARROW", "MNU_TAMALPHA", "ITM_alpha", "DOCU_CHR_caseFLIP", "ITM_NULL", "DOCU_CHR_numSET", "ITM_NULL", "DOCU_ITM_RADIX", "ITM_PERIOD", AN82), ".lo", ),"MNU_", "-MNU_")</f>
        <v>ITM_ASSIGN</v>
      </c>
      <c r="AZ82" s="157" t="str" cm="1">
        <f t="array" ref="AZ82">SUBSTITUTE(SUBSTITUTE(_xlfn.SWITCH(AO82, "ITM_T_HOME", "ITM_UP1", "ITM_T_END", "ITM_DOWN1", "DOCU_CHR_sub", "ITM_DOWN_ARROW", "DOCU_CHR_super", "ITM_UP_ARROW", "MNU_TAMALPHA", "ITM_alpha", "DOCU_CHR_caseFLIP", "ITM_NULL", "DOCU_CHR_numSET", "ITM_NULL", "DOCU_ITM_RADIX", "ITM_PERIOD", AO82), ".lo", ),"MNU_", "-MNU_")</f>
        <v>-MNU_KEYS</v>
      </c>
      <c r="BA82" s="173" t="str" cm="1">
        <f t="array" ref="BA82">SUBSTITUTE(SUBSTITUTE(_xlfn.SWITCH(AP82, "ITM_T_HOME", "ITM_UP1", "ITM_T_END", "ITM_DOWN1", "DOCU_CHR_sub", "ITM_DOWN_ARROW", "DOCU_CHR_super", "ITM_UP_ARROW", "MNU_TAMALPHA", "ITM_alpha", "DOCU_CHR_caseFLIP", "ITM_NULL", "DOCU_CHR_numSET", "ITM_NULL", "DOCU_ITM_RADIX", "ITM_PERIOD", AP82), ".lo", ),"MNU_", "-MNU_")</f>
        <v>ITM_1</v>
      </c>
      <c r="BB82" s="157" t="str" cm="1">
        <f t="array" ref="BB82">SUBSTITUTE(SUBSTITUTE(_xlfn.SWITCH(AQ82, "ITM_T_HOME", "ITM_UP1", "ITM_T_END", "ITM_DOWN1", "DOCU_CHR_sub", "ITM_DOWN_ARROW", "DOCU_CHR_super", "ITM_UP_ARROW", "MNU_TAMALPHA", "ITM_alpha", "DOCU_CHR_caseFLIP", "ITM_NULL", "DOCU_CHR_numSET", "ITM_NULL", "DOCU_ITM_RADIX", "ITM_PERIOD", AQ82), ".lo", ),"MNU_", "-MNU_")</f>
        <v>ITM_X</v>
      </c>
      <c r="BC82" s="157" t="str" cm="1">
        <f t="array" ref="BC82">SUBSTITUTE(SUBSTITUTE(_xlfn.SWITCH(AR82, "ITM_T_HOME", "ITM_UP1", "ITM_T_END", "ITM_DOWN1", "DOCU_CHR_sub", "ITM_DOWN_ARROW", "DOCU_CHR_super", "ITM_UP_ARROW", "MNU_TAMALPHA", "ITM_alpha", "DOCU_CHR_caseFLIP", "ITM_NULL", "DOCU_CHR_numSET", "ITM_NULL", "DOCU_ITM_RADIX", "ITM_PERIOD", AR82), ".lo", ),"MNU_", "-MNU_")</f>
        <v>ITM_x</v>
      </c>
      <c r="BD82" s="157" t="str" cm="1">
        <f t="array" ref="BD82">SUBSTITUTE(SUBSTITUTE(_xlfn.SWITCH(AS82, "ITM_T_HOME", "ITM_UP1", "ITM_T_END", "ITM_DOWN1", "DOCU_CHR_sub", "ITM_DOWN_ARROW", "DOCU_CHR_super", "ITM_UP_ARROW", "MNU_TAMALPHA", "ITM_alpha", "DOCU_CHR_caseFLIP", "ITM_NULL", "DOCU_CHR_numSET", "ITM_NULL", "DOCU_ITM_RADIX", "ITM_PERIOD", AS82), ".lo", ),"MNU_", "-MNU_")</f>
        <v>ITM_1</v>
      </c>
      <c r="BE82" s="157" t="str" cm="1">
        <f t="array" ref="BE82">SUBSTITUTE(SUBSTITUTE(_xlfn.SWITCH(AT82, "ITM_T_HOME", "ITM_UP1", "ITM_T_END", "ITM_DOWN1", "DOCU_CHR_sub", "ITM_DOWN_ARROW", "DOCU_CHR_super", "ITM_UP_ARROW", "MNU_TAMALPHA", "ITM_alpha", "DOCU_CHR_caseFLIP", "ITM_NULL", "DOCU_CHR_numSET", "ITM_NULL", "DOCU_ITM_RADIX", "ITM_PERIOD", AT82), ".lo", ),"MNU_", "-MNU_")</f>
        <v>ITM_1</v>
      </c>
      <c r="BG82" s="75"/>
      <c r="BI82" s="13" t="str">
        <f t="shared" si="10"/>
        <v xml:space="preserve">  {72,                  ITM_1,                ITM_ASSIGN,           -MNU_KEYS,            ITM_1,                ITM_X,                ITM_x,                ITM_1,                ITM_1               },</v>
      </c>
      <c r="BL82" s="45" t="str">
        <f t="shared" si="11"/>
        <v>ITM_x</v>
      </c>
      <c r="BM82" s="45" t="str">
        <f t="shared" si="12"/>
        <v>ITM_1</v>
      </c>
    </row>
    <row r="83" spans="1:65" ht="21" x14ac:dyDescent="0.2">
      <c r="A83" s="3">
        <v>0.1</v>
      </c>
      <c r="B83" s="3">
        <v>60</v>
      </c>
      <c r="C83" s="227" t="str">
        <f>layout&amp;"."&amp;$B85+C81+$A83</f>
        <v>C47.61,1</v>
      </c>
      <c r="D83" s="229"/>
      <c r="E83" s="226" t="str">
        <f>layout&amp;"."&amp;$B83+E81+E80</f>
        <v>C47.61,4</v>
      </c>
      <c r="F83" s="227" t="str">
        <f>layout&amp;"."&amp;$B83+F81+$A83</f>
        <v>C47.62,1</v>
      </c>
      <c r="G83" s="228">
        <f t="shared" ref="G83" si="27">$B85+G81+$A83</f>
        <v>62.1</v>
      </c>
      <c r="H83" s="229"/>
      <c r="I83" s="226" t="str">
        <f>layout&amp;"."&amp;$B83+I81+I80</f>
        <v>C47.62,4</v>
      </c>
      <c r="J83" s="227" t="str">
        <f>layout&amp;"."&amp;$B83+J81+$A83</f>
        <v>C47.63,1</v>
      </c>
      <c r="K83" s="228">
        <f t="shared" ref="K83" si="28">$B85+K81+$A83</f>
        <v>63.1</v>
      </c>
      <c r="L83" s="229"/>
      <c r="M83" s="226" t="str">
        <f>layout&amp;"."&amp;$B83+M81+M80</f>
        <v>C47.63,4</v>
      </c>
      <c r="N83" s="227" t="str">
        <f>layout&amp;"."&amp;$B83+N81+$A83</f>
        <v>C47.64,1</v>
      </c>
      <c r="O83" s="228">
        <f t="shared" ref="O83" si="29">$B85+O81+$A83</f>
        <v>64.099999999999994</v>
      </c>
      <c r="P83" s="229"/>
      <c r="Q83" s="226" t="str">
        <f>layout&amp;"."&amp;$B83+Q81+Q80</f>
        <v>C47.64,4</v>
      </c>
      <c r="R83" s="227" t="str">
        <f>layout&amp;"."&amp;$B83+R81+$A83</f>
        <v>C47.65,1</v>
      </c>
      <c r="S83" s="228">
        <f t="shared" ref="S83" si="30">$B85+S81+$A83</f>
        <v>65.099999999999994</v>
      </c>
      <c r="T83" s="229"/>
      <c r="U83" s="236" t="str">
        <f>layout&amp;"."&amp;$B83+U81+U80</f>
        <v>C47.65,4</v>
      </c>
      <c r="X83" s="127" t="str">
        <f t="shared" si="1"/>
        <v>C47</v>
      </c>
      <c r="Y83" s="109">
        <v>7</v>
      </c>
      <c r="Z83" s="109">
        <v>3</v>
      </c>
      <c r="AA83" s="112" t="str">
        <f t="shared" si="15"/>
        <v>C47.73</v>
      </c>
      <c r="AB83" s="117">
        <v>2</v>
      </c>
      <c r="AC83" s="118" t="s">
        <v>227</v>
      </c>
      <c r="AD83" s="119" t="s">
        <v>645</v>
      </c>
      <c r="AE83" s="3"/>
      <c r="AF83" s="49" t="s">
        <v>228</v>
      </c>
      <c r="AG83" s="77" t="b">
        <f t="shared" si="13"/>
        <v>1</v>
      </c>
      <c r="AH83" s="83" t="str">
        <f t="shared" si="2"/>
        <v>y</v>
      </c>
      <c r="AI83" s="84">
        <f t="shared" si="3"/>
        <v>2</v>
      </c>
      <c r="AJ83" s="85">
        <f t="shared" si="4"/>
        <v>2</v>
      </c>
      <c r="AK83" s="6"/>
      <c r="AL83" s="8" t="str">
        <f t="shared" si="5"/>
        <v>{73</v>
      </c>
      <c r="AM83" s="27" t="str">
        <f t="shared" si="6"/>
        <v>ITM_2</v>
      </c>
      <c r="AN83" s="27" t="str">
        <f t="shared" si="7"/>
        <v>ITM_USERMODE</v>
      </c>
      <c r="AO83" s="27" t="str">
        <f t="shared" si="8"/>
        <v>MNU_ALPHAFN</v>
      </c>
      <c r="AP83" s="46" t="str">
        <f>IF(NOT(ISNA(MATCH(AM83,Lookups!E:E,))),VLOOKUP(AM83,Lookups!E:F,2,0),
IF(NOT(ISNA(MATCH(AN83,Lookups!E:E,))),VLOOKUP(AN83,Lookups!E:F,2,0),
IF(NOT(ISNA(MATCH(AO83,Lookups!E:E,))),VLOOKUP(AO83,Lookups!E:F,2,0),"ITM_NULL")))</f>
        <v>ITM_2</v>
      </c>
      <c r="AQ83" s="28" t="str">
        <f t="shared" si="26"/>
        <v>ITM_Y</v>
      </c>
      <c r="AR83" s="195" t="s">
        <v>229</v>
      </c>
      <c r="AS83" s="186" t="s">
        <v>230</v>
      </c>
      <c r="AT83" s="197" t="s">
        <v>230</v>
      </c>
      <c r="AW83" s="14" t="str">
        <f t="shared" si="14"/>
        <v>{73</v>
      </c>
      <c r="AX83" s="157" t="str" cm="1">
        <f t="array" ref="AX83">SUBSTITUTE(SUBSTITUTE(_xlfn.SWITCH(AM83, "ITM_T_HOME", "ITM_UP1", "ITM_T_END", "ITM_DOWN1", "DOCU_CHR_sub", "ITM_DOWN_ARROW", "DOCU_CHR_super", "ITM_UP_ARROW", "MNU_TAMALPHA", "ITM_alpha", "DOCU_CHR_caseFLIP", "ITM_NULL", "DOCU_CHR_numSET", "ITM_NULL", "DOCU_ITM_RADIX", "ITM_PERIOD", AM83), ".lo", ),"MNU_", "-MNU_")</f>
        <v>ITM_2</v>
      </c>
      <c r="AY83" s="157" t="str" cm="1">
        <f t="array" ref="AY83">SUBSTITUTE(SUBSTITUTE(_xlfn.SWITCH(AN83, "ITM_T_HOME", "ITM_UP1", "ITM_T_END", "ITM_DOWN1", "DOCU_CHR_sub", "ITM_DOWN_ARROW", "DOCU_CHR_super", "ITM_UP_ARROW", "MNU_TAMALPHA", "ITM_alpha", "DOCU_CHR_caseFLIP", "ITM_NULL", "DOCU_CHR_numSET", "ITM_NULL", "DOCU_ITM_RADIX", "ITM_PERIOD", AN83), ".lo", ),"MNU_", "-MNU_")</f>
        <v>ITM_USERMODE</v>
      </c>
      <c r="AZ83" s="157" t="str" cm="1">
        <f t="array" ref="AZ83">SUBSTITUTE(SUBSTITUTE(_xlfn.SWITCH(AO83, "ITM_T_HOME", "ITM_UP1", "ITM_T_END", "ITM_DOWN1", "DOCU_CHR_sub", "ITM_DOWN_ARROW", "DOCU_CHR_super", "ITM_UP_ARROW", "MNU_TAMALPHA", "ITM_alpha", "DOCU_CHR_caseFLIP", "ITM_NULL", "DOCU_CHR_numSET", "ITM_NULL", "DOCU_ITM_RADIX", "ITM_PERIOD", AO83), ".lo", ),"MNU_", "-MNU_")</f>
        <v>-MNU_ALPHAFN</v>
      </c>
      <c r="BA83" s="173" t="str" cm="1">
        <f t="array" ref="BA83">SUBSTITUTE(SUBSTITUTE(_xlfn.SWITCH(AP83, "ITM_T_HOME", "ITM_UP1", "ITM_T_END", "ITM_DOWN1", "DOCU_CHR_sub", "ITM_DOWN_ARROW", "DOCU_CHR_super", "ITM_UP_ARROW", "MNU_TAMALPHA", "ITM_alpha", "DOCU_CHR_caseFLIP", "ITM_NULL", "DOCU_CHR_numSET", "ITM_NULL", "DOCU_ITM_RADIX", "ITM_PERIOD", AP83), ".lo", ),"MNU_", "-MNU_")</f>
        <v>ITM_2</v>
      </c>
      <c r="BB83" s="157" t="str" cm="1">
        <f t="array" ref="BB83">SUBSTITUTE(SUBSTITUTE(_xlfn.SWITCH(AQ83, "ITM_T_HOME", "ITM_UP1", "ITM_T_END", "ITM_DOWN1", "DOCU_CHR_sub", "ITM_DOWN_ARROW", "DOCU_CHR_super", "ITM_UP_ARROW", "MNU_TAMALPHA", "ITM_alpha", "DOCU_CHR_caseFLIP", "ITM_NULL", "DOCU_CHR_numSET", "ITM_NULL", "DOCU_ITM_RADIX", "ITM_PERIOD", AQ83), ".lo", ),"MNU_", "-MNU_")</f>
        <v>ITM_Y</v>
      </c>
      <c r="BC83" s="157" t="str" cm="1">
        <f t="array" ref="BC83">SUBSTITUTE(SUBSTITUTE(_xlfn.SWITCH(AR83, "ITM_T_HOME", "ITM_UP1", "ITM_T_END", "ITM_DOWN1", "DOCU_CHR_sub", "ITM_DOWN_ARROW", "DOCU_CHR_super", "ITM_UP_ARROW", "MNU_TAMALPHA", "ITM_alpha", "DOCU_CHR_caseFLIP", "ITM_NULL", "DOCU_CHR_numSET", "ITM_NULL", "DOCU_ITM_RADIX", "ITM_PERIOD", AR83), ".lo", ),"MNU_", "-MNU_")</f>
        <v>ITM_y</v>
      </c>
      <c r="BD83" s="157" t="str" cm="1">
        <f t="array" ref="BD83">SUBSTITUTE(SUBSTITUTE(_xlfn.SWITCH(AS83, "ITM_T_HOME", "ITM_UP1", "ITM_T_END", "ITM_DOWN1", "DOCU_CHR_sub", "ITM_DOWN_ARROW", "DOCU_CHR_super", "ITM_UP_ARROW", "MNU_TAMALPHA", "ITM_alpha", "DOCU_CHR_caseFLIP", "ITM_NULL", "DOCU_CHR_numSET", "ITM_NULL", "DOCU_ITM_RADIX", "ITM_PERIOD", AS83), ".lo", ),"MNU_", "-MNU_")</f>
        <v>ITM_2</v>
      </c>
      <c r="BE83" s="157" t="str" cm="1">
        <f t="array" ref="BE83">SUBSTITUTE(SUBSTITUTE(_xlfn.SWITCH(AT83, "ITM_T_HOME", "ITM_UP1", "ITM_T_END", "ITM_DOWN1", "DOCU_CHR_sub", "ITM_DOWN_ARROW", "DOCU_CHR_super", "ITM_UP_ARROW", "MNU_TAMALPHA", "ITM_alpha", "DOCU_CHR_caseFLIP", "ITM_NULL", "DOCU_CHR_numSET", "ITM_NULL", "DOCU_ITM_RADIX", "ITM_PERIOD", AT83), ".lo", ),"MNU_", "-MNU_")</f>
        <v>ITM_2</v>
      </c>
      <c r="BG83" s="75"/>
      <c r="BI83" s="13" t="str">
        <f t="shared" si="10"/>
        <v xml:space="preserve">  {73,                  ITM_2,                ITM_USERMODE,         -MNU_ALPHAFN,         ITM_2,                ITM_Y,                ITM_y,                ITM_2,                ITM_2               },</v>
      </c>
      <c r="BL83" s="45" t="str">
        <f t="shared" si="11"/>
        <v>ITM_y</v>
      </c>
      <c r="BM83" s="45" t="str">
        <f t="shared" si="12"/>
        <v>ITM_2</v>
      </c>
    </row>
    <row r="84" spans="1:65" ht="21" x14ac:dyDescent="0.2">
      <c r="A84" s="3">
        <v>0.1</v>
      </c>
      <c r="B84" s="3">
        <v>60</v>
      </c>
      <c r="C84" s="230"/>
      <c r="D84" s="232"/>
      <c r="E84" s="226" t="e">
        <f>layout&amp;"."&amp;$B84+E83+E82</f>
        <v>#VALUE!</v>
      </c>
      <c r="F84" s="230"/>
      <c r="G84" s="231"/>
      <c r="H84" s="232"/>
      <c r="I84" s="226" t="e">
        <f>layout&amp;"."&amp;$B84+I83+I82</f>
        <v>#VALUE!</v>
      </c>
      <c r="J84" s="230"/>
      <c r="K84" s="231"/>
      <c r="L84" s="232"/>
      <c r="M84" s="226" t="e">
        <f>layout&amp;"."&amp;$B84+M83+M82</f>
        <v>#VALUE!</v>
      </c>
      <c r="N84" s="230"/>
      <c r="O84" s="231"/>
      <c r="P84" s="232"/>
      <c r="Q84" s="226" t="e">
        <f>layout&amp;"."&amp;$B84+Q83+Q82</f>
        <v>#VALUE!</v>
      </c>
      <c r="R84" s="230"/>
      <c r="S84" s="231"/>
      <c r="T84" s="232"/>
      <c r="U84" s="236" t="e">
        <f>layout&amp;"."&amp;$B84+U83+U82</f>
        <v>#VALUE!</v>
      </c>
      <c r="X84" s="127" t="str">
        <f t="shared" si="1"/>
        <v>C47</v>
      </c>
      <c r="Y84" s="109">
        <v>7</v>
      </c>
      <c r="Z84" s="109">
        <v>4</v>
      </c>
      <c r="AA84" s="112" t="str">
        <f t="shared" si="15"/>
        <v>C47.74</v>
      </c>
      <c r="AB84" s="117">
        <v>3</v>
      </c>
      <c r="AC84" s="118" t="s">
        <v>231</v>
      </c>
      <c r="AD84" s="119" t="s">
        <v>232</v>
      </c>
      <c r="AE84" s="3"/>
      <c r="AF84" s="49" t="s">
        <v>233</v>
      </c>
      <c r="AG84" s="77" t="b">
        <f t="shared" si="13"/>
        <v>1</v>
      </c>
      <c r="AH84" s="83" t="str">
        <f t="shared" si="2"/>
        <v>z</v>
      </c>
      <c r="AI84" s="84">
        <f t="shared" si="3"/>
        <v>3</v>
      </c>
      <c r="AJ84" s="85">
        <f t="shared" si="4"/>
        <v>3</v>
      </c>
      <c r="AK84" s="6"/>
      <c r="AL84" s="8" t="str">
        <f t="shared" si="5"/>
        <v>{74</v>
      </c>
      <c r="AM84" s="27" t="str">
        <f t="shared" si="6"/>
        <v>ITM_3</v>
      </c>
      <c r="AN84" s="27" t="str">
        <f t="shared" si="7"/>
        <v>MNU_PFN</v>
      </c>
      <c r="AO84" s="27" t="str">
        <f t="shared" si="8"/>
        <v>MNU_LOOP</v>
      </c>
      <c r="AP84" s="46" t="str">
        <f>IF(NOT(ISNA(MATCH(AM84,Lookups!E:E,))),VLOOKUP(AM84,Lookups!E:F,2,0),
IF(NOT(ISNA(MATCH(AN84,Lookups!E:E,))),VLOOKUP(AN84,Lookups!E:F,2,0),
IF(NOT(ISNA(MATCH(AO84,Lookups!E:E,))),VLOOKUP(AO84,Lookups!E:F,2,0),"ITM_NULL")))</f>
        <v>ITM_3</v>
      </c>
      <c r="AQ84" s="28" t="str">
        <f t="shared" si="26"/>
        <v>ITM_Z</v>
      </c>
      <c r="AR84" s="195" t="s">
        <v>234</v>
      </c>
      <c r="AS84" s="186" t="s">
        <v>235</v>
      </c>
      <c r="AT84" s="197" t="s">
        <v>235</v>
      </c>
      <c r="AW84" s="14" t="str">
        <f t="shared" si="14"/>
        <v>{74</v>
      </c>
      <c r="AX84" s="157" t="str" cm="1">
        <f t="array" ref="AX84">SUBSTITUTE(SUBSTITUTE(_xlfn.SWITCH(AM84, "ITM_T_HOME", "ITM_UP1", "ITM_T_END", "ITM_DOWN1", "DOCU_CHR_sub", "ITM_DOWN_ARROW", "DOCU_CHR_super", "ITM_UP_ARROW", "MNU_TAMALPHA", "ITM_alpha", "DOCU_CHR_caseFLIP", "ITM_NULL", "DOCU_CHR_numSET", "ITM_NULL", "DOCU_ITM_RADIX", "ITM_PERIOD", AM84), ".lo", ),"MNU_", "-MNU_")</f>
        <v>ITM_3</v>
      </c>
      <c r="AY84" s="157" t="str" cm="1">
        <f t="array" ref="AY84">SUBSTITUTE(SUBSTITUTE(_xlfn.SWITCH(AN84, "ITM_T_HOME", "ITM_UP1", "ITM_T_END", "ITM_DOWN1", "DOCU_CHR_sub", "ITM_DOWN_ARROW", "DOCU_CHR_super", "ITM_UP_ARROW", "MNU_TAMALPHA", "ITM_alpha", "DOCU_CHR_caseFLIP", "ITM_NULL", "DOCU_CHR_numSET", "ITM_NULL", "DOCU_ITM_RADIX", "ITM_PERIOD", AN84), ".lo", ),"MNU_", "-MNU_")</f>
        <v>-MNU_PFN</v>
      </c>
      <c r="AZ84" s="157" t="str" cm="1">
        <f t="array" ref="AZ84">SUBSTITUTE(SUBSTITUTE(_xlfn.SWITCH(AO84, "ITM_T_HOME", "ITM_UP1", "ITM_T_END", "ITM_DOWN1", "DOCU_CHR_sub", "ITM_DOWN_ARROW", "DOCU_CHR_super", "ITM_UP_ARROW", "MNU_TAMALPHA", "ITM_alpha", "DOCU_CHR_caseFLIP", "ITM_NULL", "DOCU_CHR_numSET", "ITM_NULL", "DOCU_ITM_RADIX", "ITM_PERIOD", AO84), ".lo", ),"MNU_", "-MNU_")</f>
        <v>-MNU_LOOP</v>
      </c>
      <c r="BA84" s="173" t="str" cm="1">
        <f t="array" ref="BA84">SUBSTITUTE(SUBSTITUTE(_xlfn.SWITCH(AP84, "ITM_T_HOME", "ITM_UP1", "ITM_T_END", "ITM_DOWN1", "DOCU_CHR_sub", "ITM_DOWN_ARROW", "DOCU_CHR_super", "ITM_UP_ARROW", "MNU_TAMALPHA", "ITM_alpha", "DOCU_CHR_caseFLIP", "ITM_NULL", "DOCU_CHR_numSET", "ITM_NULL", "DOCU_ITM_RADIX", "ITM_PERIOD", AP84), ".lo", ),"MNU_", "-MNU_")</f>
        <v>ITM_3</v>
      </c>
      <c r="BB84" s="157" t="str" cm="1">
        <f t="array" ref="BB84">SUBSTITUTE(SUBSTITUTE(_xlfn.SWITCH(AQ84, "ITM_T_HOME", "ITM_UP1", "ITM_T_END", "ITM_DOWN1", "DOCU_CHR_sub", "ITM_DOWN_ARROW", "DOCU_CHR_super", "ITM_UP_ARROW", "MNU_TAMALPHA", "ITM_alpha", "DOCU_CHR_caseFLIP", "ITM_NULL", "DOCU_CHR_numSET", "ITM_NULL", "DOCU_ITM_RADIX", "ITM_PERIOD", AQ84), ".lo", ),"MNU_", "-MNU_")</f>
        <v>ITM_Z</v>
      </c>
      <c r="BC84" s="157" t="str" cm="1">
        <f t="array" ref="BC84">SUBSTITUTE(SUBSTITUTE(_xlfn.SWITCH(AR84, "ITM_T_HOME", "ITM_UP1", "ITM_T_END", "ITM_DOWN1", "DOCU_CHR_sub", "ITM_DOWN_ARROW", "DOCU_CHR_super", "ITM_UP_ARROW", "MNU_TAMALPHA", "ITM_alpha", "DOCU_CHR_caseFLIP", "ITM_NULL", "DOCU_CHR_numSET", "ITM_NULL", "DOCU_ITM_RADIX", "ITM_PERIOD", AR84), ".lo", ),"MNU_", "-MNU_")</f>
        <v>ITM_z</v>
      </c>
      <c r="BD84" s="157" t="str" cm="1">
        <f t="array" ref="BD84">SUBSTITUTE(SUBSTITUTE(_xlfn.SWITCH(AS84, "ITM_T_HOME", "ITM_UP1", "ITM_T_END", "ITM_DOWN1", "DOCU_CHR_sub", "ITM_DOWN_ARROW", "DOCU_CHR_super", "ITM_UP_ARROW", "MNU_TAMALPHA", "ITM_alpha", "DOCU_CHR_caseFLIP", "ITM_NULL", "DOCU_CHR_numSET", "ITM_NULL", "DOCU_ITM_RADIX", "ITM_PERIOD", AS84), ".lo", ),"MNU_", "-MNU_")</f>
        <v>ITM_3</v>
      </c>
      <c r="BE84" s="157" t="str" cm="1">
        <f t="array" ref="BE84">SUBSTITUTE(SUBSTITUTE(_xlfn.SWITCH(AT84, "ITM_T_HOME", "ITM_UP1", "ITM_T_END", "ITM_DOWN1", "DOCU_CHR_sub", "ITM_DOWN_ARROW", "DOCU_CHR_super", "ITM_UP_ARROW", "MNU_TAMALPHA", "ITM_alpha", "DOCU_CHR_caseFLIP", "ITM_NULL", "DOCU_CHR_numSET", "ITM_NULL", "DOCU_ITM_RADIX", "ITM_PERIOD", AT84), ".lo", ),"MNU_", "-MNU_")</f>
        <v>ITM_3</v>
      </c>
      <c r="BG84" s="75"/>
      <c r="BI84" s="13" t="str">
        <f t="shared" si="10"/>
        <v xml:space="preserve">  {74,                  ITM_3,                -MNU_PFN,             -MNU_LOOP,            ITM_3,                ITM_Z,                ITM_z,                ITM_3,                ITM_3               },</v>
      </c>
      <c r="BL84" s="45" t="str">
        <f t="shared" si="11"/>
        <v>ITM_z</v>
      </c>
      <c r="BM84" s="45" t="str">
        <f t="shared" si="12"/>
        <v>ITM_3</v>
      </c>
    </row>
    <row r="85" spans="1:65" ht="22" thickBot="1" x14ac:dyDescent="0.25">
      <c r="A85" s="3">
        <v>0.1</v>
      </c>
      <c r="B85" s="3">
        <v>60</v>
      </c>
      <c r="C85" s="233"/>
      <c r="D85" s="235"/>
      <c r="E85" s="226" t="e">
        <f>layout&amp;"."&amp;$B85+E84+E83</f>
        <v>#VALUE!</v>
      </c>
      <c r="F85" s="233"/>
      <c r="G85" s="234"/>
      <c r="H85" s="235"/>
      <c r="I85" s="226" t="e">
        <f>layout&amp;"."&amp;$B85+I84+I83</f>
        <v>#VALUE!</v>
      </c>
      <c r="J85" s="233"/>
      <c r="K85" s="234"/>
      <c r="L85" s="235"/>
      <c r="M85" s="226" t="e">
        <f>layout&amp;"."&amp;$B85+M84+M83</f>
        <v>#VALUE!</v>
      </c>
      <c r="N85" s="233"/>
      <c r="O85" s="234"/>
      <c r="P85" s="235"/>
      <c r="Q85" s="226" t="e">
        <f>layout&amp;"."&amp;$B85+Q84+Q83</f>
        <v>#VALUE!</v>
      </c>
      <c r="R85" s="233"/>
      <c r="S85" s="234"/>
      <c r="T85" s="235"/>
      <c r="U85" s="236" t="e">
        <f>layout&amp;"."&amp;$B85+U84+U83</f>
        <v>#VALUE!</v>
      </c>
      <c r="X85" s="127" t="str">
        <f t="shared" si="1"/>
        <v>C47</v>
      </c>
      <c r="Y85" s="109">
        <v>7</v>
      </c>
      <c r="Z85" s="109">
        <v>5</v>
      </c>
      <c r="AA85" s="112" t="str">
        <f t="shared" si="15"/>
        <v>C47.75</v>
      </c>
      <c r="AB85" s="117" t="s">
        <v>236</v>
      </c>
      <c r="AC85" s="118" t="s">
        <v>237</v>
      </c>
      <c r="AD85" s="119" t="s">
        <v>238</v>
      </c>
      <c r="AE85" s="3"/>
      <c r="AF85" s="49" t="s">
        <v>239</v>
      </c>
      <c r="AG85" s="77" t="b">
        <f t="shared" si="13"/>
        <v>0</v>
      </c>
      <c r="AH85" s="83" t="str">
        <f t="shared" si="2"/>
        <v>&lt;e&gt;</v>
      </c>
      <c r="AI85" s="84" t="str">
        <f t="shared" si="3"/>
        <v>-</v>
      </c>
      <c r="AJ85" s="85" t="str">
        <f t="shared" si="4"/>
        <v>-</v>
      </c>
      <c r="AK85" s="6"/>
      <c r="AL85" s="8" t="str">
        <f t="shared" si="5"/>
        <v>{75</v>
      </c>
      <c r="AM85" s="27" t="str">
        <f t="shared" si="6"/>
        <v>ITM_SUB</v>
      </c>
      <c r="AN85" s="27" t="str">
        <f t="shared" si="7"/>
        <v>MNU_PRINT</v>
      </c>
      <c r="AO85" s="27" t="str">
        <f t="shared" si="8"/>
        <v>MNU_IO</v>
      </c>
      <c r="AP85" s="46" t="str">
        <f>IF(NOT(ISNA(MATCH(AM85,Lookups!E:E,))),VLOOKUP(AM85,Lookups!E:F,2,0),
IF(NOT(ISNA(MATCH(AN85,Lookups!E:E,))),VLOOKUP(AN85,Lookups!E:F,2,0),
IF(NOT(ISNA(MATCH(AO85,Lookups!E:E,))),VLOOKUP(AO85,Lookups!E:F,2,0),"ITM_NULL")))</f>
        <v>ITM_MINUS</v>
      </c>
      <c r="AQ85" s="28" t="str">
        <f t="shared" si="26"/>
        <v>ITM_UNDERSCORE</v>
      </c>
      <c r="AR85" s="209" t="s">
        <v>637</v>
      </c>
      <c r="AS85" s="186" t="s">
        <v>240</v>
      </c>
      <c r="AT85" s="197" t="s">
        <v>241</v>
      </c>
      <c r="AW85" s="14" t="str">
        <f t="shared" si="14"/>
        <v>{75</v>
      </c>
      <c r="AX85" s="157" t="str" cm="1">
        <f t="array" ref="AX85">SUBSTITUTE(SUBSTITUTE(_xlfn.SWITCH(AM85, "ITM_T_HOME", "ITM_UP1", "ITM_T_END", "ITM_DOWN1", "DOCU_CHR_sub", "ITM_DOWN_ARROW", "DOCU_CHR_super", "ITM_UP_ARROW", "MNU_TAMALPHA", "ITM_alpha", "DOCU_CHR_caseFLIP", "ITM_NULL", "DOCU_CHR_numSET", "ITM_NULL", "DOCU_ITM_RADIX", "ITM_PERIOD", AM85), ".lo", ),"MNU_", "-MNU_")</f>
        <v>ITM_SUB</v>
      </c>
      <c r="AY85" s="157" t="str" cm="1">
        <f t="array" ref="AY85">SUBSTITUTE(SUBSTITUTE(_xlfn.SWITCH(AN85, "ITM_T_HOME", "ITM_UP1", "ITM_T_END", "ITM_DOWN1", "DOCU_CHR_sub", "ITM_DOWN_ARROW", "DOCU_CHR_super", "ITM_UP_ARROW", "MNU_TAMALPHA", "ITM_alpha", "DOCU_CHR_caseFLIP", "ITM_NULL", "DOCU_CHR_numSET", "ITM_NULL", "DOCU_ITM_RADIX", "ITM_PERIOD", AN85), ".lo", ),"MNU_", "-MNU_")</f>
        <v>-MNU_PRINT</v>
      </c>
      <c r="AZ85" s="157" t="str" cm="1">
        <f t="array" ref="AZ85">SUBSTITUTE(SUBSTITUTE(_xlfn.SWITCH(AO85, "ITM_T_HOME", "ITM_UP1", "ITM_T_END", "ITM_DOWN1", "DOCU_CHR_sub", "ITM_DOWN_ARROW", "DOCU_CHR_super", "ITM_UP_ARROW", "MNU_TAMALPHA", "ITM_alpha", "DOCU_CHR_caseFLIP", "ITM_NULL", "DOCU_CHR_numSET", "ITM_NULL", "DOCU_ITM_RADIX", "ITM_PERIOD", AO85), ".lo", ),"MNU_", "-MNU_")</f>
        <v>-MNU_IO</v>
      </c>
      <c r="BA85" s="173" t="str" cm="1">
        <f t="array" ref="BA85">SUBSTITUTE(SUBSTITUTE(_xlfn.SWITCH(AP85, "ITM_T_HOME", "ITM_UP1", "ITM_T_END", "ITM_DOWN1", "DOCU_CHR_sub", "ITM_DOWN_ARROW", "DOCU_CHR_super", "ITM_UP_ARROW", "MNU_TAMALPHA", "ITM_alpha", "DOCU_CHR_caseFLIP", "ITM_NULL", "DOCU_CHR_numSET", "ITM_NULL", "DOCU_ITM_RADIX", "ITM_PERIOD", AP85), ".lo", ),"MNU_", "-MNU_")</f>
        <v>ITM_MINUS</v>
      </c>
      <c r="BB85" s="157" t="str" cm="1">
        <f t="array" ref="BB85">SUBSTITUTE(SUBSTITUTE(_xlfn.SWITCH(AQ85, "ITM_T_HOME", "ITM_UP1", "ITM_T_END", "ITM_DOWN1", "DOCU_CHR_sub", "ITM_DOWN_ARROW", "DOCU_CHR_super", "ITM_UP_ARROW", "MNU_TAMALPHA", "ITM_alpha", "DOCU_CHR_caseFLIP", "ITM_NULL", "DOCU_CHR_numSET", "ITM_NULL", "DOCU_ITM_RADIX", "ITM_PERIOD", AQ85), ".lo", ),"MNU_", "-MNU_")</f>
        <v>ITM_UNDERSCORE</v>
      </c>
      <c r="BC85" s="157" t="str" cm="1">
        <f t="array" ref="BC85">SUBSTITUTE(SUBSTITUTE(_xlfn.SWITCH(AR85, "ITM_T_HOME", "ITM_UP1", "ITM_T_END", "ITM_DOWN1", "DOCU_CHR_sub", "ITM_DOWN_ARROW", "DOCU_CHR_super", "ITM_UP_ARROW", "MNU_TAMALPHA", "ITM_alpha", "DOCU_CHR_caseFLIP", "ITM_NULL", "DOCU_CHR_numSET", "ITM_NULL", "DOCU_ITM_RADIX", "ITM_PERIOD", AR85), ".lo", ),"MNU_", "-MNU_")</f>
        <v>ITM_EulerE</v>
      </c>
      <c r="BD85" s="157" t="str" cm="1">
        <f t="array" ref="BD85">SUBSTITUTE(SUBSTITUTE(_xlfn.SWITCH(AS85, "ITM_T_HOME", "ITM_UP1", "ITM_T_END", "ITM_DOWN1", "DOCU_CHR_sub", "ITM_DOWN_ARROW", "DOCU_CHR_super", "ITM_UP_ARROW", "MNU_TAMALPHA", "ITM_alpha", "DOCU_CHR_caseFLIP", "ITM_NULL", "DOCU_CHR_numSET", "ITM_NULL", "DOCU_ITM_RADIX", "ITM_PERIOD", AS85), ".lo", ),"MNU_", "-MNU_")</f>
        <v>ITM_MINUS</v>
      </c>
      <c r="BE85" s="157" t="str" cm="1">
        <f t="array" ref="BE85">SUBSTITUTE(SUBSTITUTE(_xlfn.SWITCH(AT85, "ITM_T_HOME", "ITM_UP1", "ITM_T_END", "ITM_DOWN1", "DOCU_CHR_sub", "ITM_DOWN_ARROW", "DOCU_CHR_super", "ITM_UP_ARROW", "MNU_TAMALPHA", "ITM_alpha", "DOCU_CHR_caseFLIP", "ITM_NULL", "DOCU_CHR_numSET", "ITM_NULL", "DOCU_ITM_RADIX", "ITM_PERIOD", AT85), ".lo", ),"MNU_", "-MNU_")</f>
        <v>ITM_SUB</v>
      </c>
      <c r="BG85" s="75"/>
      <c r="BI85" s="13" t="str">
        <f t="shared" si="10"/>
        <v xml:space="preserve">  {75,                  ITM_SUB,              -MNU_PRINT,           -MNU_IO,              ITM_MINUS,            ITM_UNDERSCORE,       ITM_EulerE,           ITM_MINUS,            ITM_SUB             },</v>
      </c>
      <c r="BL85" s="45" t="str">
        <f t="shared" si="11"/>
        <v>ITM_EulerE</v>
      </c>
      <c r="BM85" s="45" t="str">
        <f t="shared" si="12"/>
        <v>ITM_MINUS</v>
      </c>
    </row>
    <row r="86" spans="1:65" ht="21" x14ac:dyDescent="0.2">
      <c r="A86" s="3"/>
      <c r="B86" s="3"/>
      <c r="C86" s="3">
        <f>2/10</f>
        <v>0.2</v>
      </c>
      <c r="D86" s="3">
        <f>3/10</f>
        <v>0.3</v>
      </c>
      <c r="E86" s="3">
        <f>4/10</f>
        <v>0.4</v>
      </c>
      <c r="F86" s="3">
        <f>2/10</f>
        <v>0.2</v>
      </c>
      <c r="G86" s="3"/>
      <c r="H86" s="3">
        <f>3/10</f>
        <v>0.3</v>
      </c>
      <c r="I86" s="3">
        <f>4/10</f>
        <v>0.4</v>
      </c>
      <c r="J86" s="3">
        <f>2/10</f>
        <v>0.2</v>
      </c>
      <c r="K86" s="3"/>
      <c r="L86" s="3">
        <f>3/10</f>
        <v>0.3</v>
      </c>
      <c r="M86" s="3">
        <f>4/10</f>
        <v>0.4</v>
      </c>
      <c r="N86" s="3">
        <f>2/10</f>
        <v>0.2</v>
      </c>
      <c r="O86" s="3"/>
      <c r="P86" s="3">
        <f>3/10</f>
        <v>0.3</v>
      </c>
      <c r="Q86" s="3">
        <f>4/10</f>
        <v>0.4</v>
      </c>
      <c r="R86" s="3">
        <f>2/10</f>
        <v>0.2</v>
      </c>
      <c r="S86" s="3"/>
      <c r="T86" s="3">
        <f>3/10</f>
        <v>0.3</v>
      </c>
      <c r="U86" s="3">
        <f>4/10</f>
        <v>0.4</v>
      </c>
      <c r="X86" s="127" t="str">
        <f t="shared" si="1"/>
        <v>C47</v>
      </c>
      <c r="Y86" s="106">
        <v>8</v>
      </c>
      <c r="Z86" s="106">
        <v>1</v>
      </c>
      <c r="AA86" s="112" t="str">
        <f t="shared" si="15"/>
        <v>C47.81</v>
      </c>
      <c r="AB86" s="117" t="s">
        <v>242</v>
      </c>
      <c r="AC86" s="118" t="s">
        <v>243</v>
      </c>
      <c r="AD86" s="119" t="s">
        <v>244</v>
      </c>
      <c r="AE86" s="3"/>
      <c r="AF86" s="49" t="s">
        <v>242</v>
      </c>
      <c r="AG86" s="77" t="b">
        <f t="shared" si="13"/>
        <v>0</v>
      </c>
      <c r="AH86" s="83" t="str">
        <f t="shared" si="2"/>
        <v>OFF</v>
      </c>
      <c r="AI86" s="84" t="str">
        <f t="shared" si="3"/>
        <v>SNAP</v>
      </c>
      <c r="AJ86" s="85" t="str">
        <f t="shared" si="4"/>
        <v>EXIT</v>
      </c>
      <c r="AK86" s="6"/>
      <c r="AL86" s="8" t="str">
        <f t="shared" si="5"/>
        <v>{81</v>
      </c>
      <c r="AM86" s="27" t="str">
        <f t="shared" si="6"/>
        <v>ITM_EXIT1</v>
      </c>
      <c r="AN86" s="27" t="str">
        <f t="shared" si="7"/>
        <v>ITM_OFF</v>
      </c>
      <c r="AO86" s="27" t="str">
        <f t="shared" si="8"/>
        <v>ITM_SNAP</v>
      </c>
      <c r="AP86" s="46" t="str">
        <f>IF(NOT(ISNA(MATCH(AM86,Lookups!E:E,))),VLOOKUP(AM86,Lookups!E:F,2,0),
IF(NOT(ISNA(MATCH(AN86,Lookups!E:E,))),VLOOKUP(AN86,Lookups!E:F,2,0),
IF(NOT(ISNA(MATCH(AO86,Lookups!E:E,))),VLOOKUP(AO86,Lookups!E:F,2,0),"ITM_NULL")))</f>
        <v>ITM_EXIT1</v>
      </c>
      <c r="AQ86" s="28" t="str">
        <f t="shared" si="26"/>
        <v>ITM_EXIT1</v>
      </c>
      <c r="AR86" s="198" t="s">
        <v>245</v>
      </c>
      <c r="AS86" s="186" t="s">
        <v>246</v>
      </c>
      <c r="AT86" s="197" t="s">
        <v>247</v>
      </c>
      <c r="AW86" s="14" t="str">
        <f t="shared" si="14"/>
        <v>{81</v>
      </c>
      <c r="AX86" s="157" t="str" cm="1">
        <f t="array" ref="AX86">SUBSTITUTE(SUBSTITUTE(_xlfn.SWITCH(AM86, "ITM_T_HOME", "ITM_UP1", "ITM_T_END", "ITM_DOWN1", "DOCU_CHR_sub", "ITM_DOWN_ARROW", "DOCU_CHR_super", "ITM_UP_ARROW", "MNU_TAMALPHA", "ITM_alpha", "DOCU_CHR_caseFLIP", "ITM_NULL", "DOCU_CHR_numSET", "ITM_NULL", "DOCU_ITM_RADIX", "ITM_PERIOD", AM86), ".lo", ),"MNU_", "-MNU_")</f>
        <v>ITM_EXIT1</v>
      </c>
      <c r="AY86" s="157" t="str" cm="1">
        <f t="array" ref="AY86">SUBSTITUTE(SUBSTITUTE(_xlfn.SWITCH(AN86, "ITM_T_HOME", "ITM_UP1", "ITM_T_END", "ITM_DOWN1", "DOCU_CHR_sub", "ITM_DOWN_ARROW", "DOCU_CHR_super", "ITM_UP_ARROW", "MNU_TAMALPHA", "ITM_alpha", "DOCU_CHR_caseFLIP", "ITM_NULL", "DOCU_CHR_numSET", "ITM_NULL", "DOCU_ITM_RADIX", "ITM_PERIOD", AN86), ".lo", ),"MNU_", "-MNU_")</f>
        <v>ITM_OFF</v>
      </c>
      <c r="AZ86" s="157" t="str" cm="1">
        <f t="array" ref="AZ86">SUBSTITUTE(SUBSTITUTE(_xlfn.SWITCH(AO86, "ITM_T_HOME", "ITM_UP1", "ITM_T_END", "ITM_DOWN1", "DOCU_CHR_sub", "ITM_DOWN_ARROW", "DOCU_CHR_super", "ITM_UP_ARROW", "MNU_TAMALPHA", "ITM_alpha", "DOCU_CHR_caseFLIP", "ITM_NULL", "DOCU_CHR_numSET", "ITM_NULL", "DOCU_ITM_RADIX", "ITM_PERIOD", AO86), ".lo", ),"MNU_", "-MNU_")</f>
        <v>ITM_SNAP</v>
      </c>
      <c r="BA86" s="173" t="str" cm="1">
        <f t="array" ref="BA86">SUBSTITUTE(SUBSTITUTE(_xlfn.SWITCH(AP86, "ITM_T_HOME", "ITM_UP1", "ITM_T_END", "ITM_DOWN1", "DOCU_CHR_sub", "ITM_DOWN_ARROW", "DOCU_CHR_super", "ITM_UP_ARROW", "MNU_TAMALPHA", "ITM_alpha", "DOCU_CHR_caseFLIP", "ITM_NULL", "DOCU_CHR_numSET", "ITM_NULL", "DOCU_ITM_RADIX", "ITM_PERIOD", AP86), ".lo", ),"MNU_", "-MNU_")</f>
        <v>ITM_EXIT1</v>
      </c>
      <c r="BB86" s="157" t="str" cm="1">
        <f t="array" ref="BB86">SUBSTITUTE(SUBSTITUTE(_xlfn.SWITCH(AQ86, "ITM_T_HOME", "ITM_UP1", "ITM_T_END", "ITM_DOWN1", "DOCU_CHR_sub", "ITM_DOWN_ARROW", "DOCU_CHR_super", "ITM_UP_ARROW", "MNU_TAMALPHA", "ITM_alpha", "DOCU_CHR_caseFLIP", "ITM_NULL", "DOCU_CHR_numSET", "ITM_NULL", "DOCU_ITM_RADIX", "ITM_PERIOD", AQ86), ".lo", ),"MNU_", "-MNU_")</f>
        <v>ITM_EXIT1</v>
      </c>
      <c r="BC86" s="157" t="str" cm="1">
        <f t="array" ref="BC86">SUBSTITUTE(SUBSTITUTE(_xlfn.SWITCH(AR86, "ITM_T_HOME", "ITM_UP1", "ITM_T_END", "ITM_DOWN1", "DOCU_CHR_sub", "ITM_DOWN_ARROW", "DOCU_CHR_super", "ITM_UP_ARROW", "MNU_TAMALPHA", "ITM_alpha", "DOCU_CHR_caseFLIP", "ITM_NULL", "DOCU_CHR_numSET", "ITM_NULL", "DOCU_ITM_RADIX", "ITM_PERIOD", AR86), ".lo", ),"MNU_", "-MNU_")</f>
        <v>ITM_OFF</v>
      </c>
      <c r="BD86" s="157" t="str" cm="1">
        <f t="array" ref="BD86">SUBSTITUTE(SUBSTITUTE(_xlfn.SWITCH(AS86, "ITM_T_HOME", "ITM_UP1", "ITM_T_END", "ITM_DOWN1", "DOCU_CHR_sub", "ITM_DOWN_ARROW", "DOCU_CHR_super", "ITM_UP_ARROW", "MNU_TAMALPHA", "ITM_alpha", "DOCU_CHR_caseFLIP", "ITM_NULL", "DOCU_CHR_numSET", "ITM_NULL", "DOCU_ITM_RADIX", "ITM_PERIOD", AS86), ".lo", ),"MNU_", "-MNU_")</f>
        <v>ITM_SNAP</v>
      </c>
      <c r="BE86" s="157" t="str" cm="1">
        <f t="array" ref="BE86">SUBSTITUTE(SUBSTITUTE(_xlfn.SWITCH(AT86, "ITM_T_HOME", "ITM_UP1", "ITM_T_END", "ITM_DOWN1", "DOCU_CHR_sub", "ITM_DOWN_ARROW", "DOCU_CHR_super", "ITM_UP_ARROW", "MNU_TAMALPHA", "ITM_alpha", "DOCU_CHR_caseFLIP", "ITM_NULL", "DOCU_CHR_numSET", "ITM_NULL", "DOCU_ITM_RADIX", "ITM_PERIOD", AT86), ".lo", ),"MNU_", "-MNU_")</f>
        <v>ITM_EXIT1</v>
      </c>
      <c r="BG86" s="75"/>
      <c r="BI86" s="13" t="str">
        <f t="shared" si="10"/>
        <v xml:space="preserve">  {81,                  ITM_EXIT1,            ITM_OFF,              ITM_SNAP,             ITM_EXIT1,            ITM_EXIT1,            ITM_OFF,              ITM_SNAP,             ITM_EXIT1           },</v>
      </c>
      <c r="BL86" s="45" t="str">
        <f t="shared" si="11"/>
        <v>ITM_OFF</v>
      </c>
      <c r="BM86" s="45" t="str">
        <f t="shared" si="12"/>
        <v>ITM_SNAP</v>
      </c>
    </row>
    <row r="87" spans="1:65" ht="21" x14ac:dyDescent="0.2">
      <c r="A87" s="3"/>
      <c r="B87" s="3"/>
      <c r="C87" s="3">
        <v>1</v>
      </c>
      <c r="D87" s="3">
        <v>1</v>
      </c>
      <c r="E87" s="3">
        <v>1</v>
      </c>
      <c r="F87" s="3">
        <v>2</v>
      </c>
      <c r="G87" s="3">
        <v>2</v>
      </c>
      <c r="H87" s="3">
        <v>2</v>
      </c>
      <c r="I87" s="3">
        <v>2</v>
      </c>
      <c r="J87" s="3">
        <v>3</v>
      </c>
      <c r="K87" s="3">
        <v>3</v>
      </c>
      <c r="L87" s="3">
        <v>3</v>
      </c>
      <c r="M87" s="3">
        <v>3</v>
      </c>
      <c r="N87" s="3">
        <v>4</v>
      </c>
      <c r="O87" s="3">
        <v>4</v>
      </c>
      <c r="P87" s="3">
        <v>4</v>
      </c>
      <c r="Q87" s="3">
        <v>4</v>
      </c>
      <c r="R87" s="3">
        <v>5</v>
      </c>
      <c r="S87" s="3">
        <v>5</v>
      </c>
      <c r="T87" s="3">
        <v>5</v>
      </c>
      <c r="U87" s="3">
        <v>5</v>
      </c>
      <c r="X87" s="127" t="str">
        <f t="shared" si="1"/>
        <v>C47</v>
      </c>
      <c r="Y87" s="109">
        <v>8</v>
      </c>
      <c r="Z87" s="109">
        <v>2</v>
      </c>
      <c r="AA87" s="112" t="str">
        <f t="shared" si="15"/>
        <v>C47.82</v>
      </c>
      <c r="AB87" s="117">
        <v>0</v>
      </c>
      <c r="AC87" s="118" t="s">
        <v>248</v>
      </c>
      <c r="AD87" s="119" t="s">
        <v>249</v>
      </c>
      <c r="AE87" s="3"/>
      <c r="AF87" s="49" t="s">
        <v>250</v>
      </c>
      <c r="AG87" s="77" t="b">
        <f t="shared" si="13"/>
        <v>0</v>
      </c>
      <c r="AH87" s="83" t="str">
        <f t="shared" si="2"/>
        <v>;</v>
      </c>
      <c r="AI87" s="84">
        <f t="shared" si="3"/>
        <v>0</v>
      </c>
      <c r="AJ87" s="85">
        <f t="shared" si="4"/>
        <v>0</v>
      </c>
      <c r="AK87" s="6"/>
      <c r="AL87" s="8" t="str">
        <f t="shared" si="5"/>
        <v>{82</v>
      </c>
      <c r="AM87" s="27" t="str">
        <f t="shared" si="6"/>
        <v>ITM_0</v>
      </c>
      <c r="AN87" s="27" t="str">
        <f t="shared" si="7"/>
        <v>ITM_VIEW</v>
      </c>
      <c r="AO87" s="27" t="str">
        <f t="shared" si="8"/>
        <v>ITM_TIMER</v>
      </c>
      <c r="AP87" s="46" t="str">
        <f>IF(NOT(ISNA(MATCH(AM87,Lookups!E:E,))),VLOOKUP(AM87,Lookups!E:F,2,0),
IF(NOT(ISNA(MATCH(AN87,Lookups!E:E,))),VLOOKUP(AN87,Lookups!E:F,2,0),
IF(NOT(ISNA(MATCH(AO87,Lookups!E:E,))),VLOOKUP(AO87,Lookups!E:F,2,0),"ITM_NULL")))</f>
        <v>ITM_0</v>
      </c>
      <c r="AQ87" s="28" t="str">
        <f t="shared" si="26"/>
        <v>ITM_COLON</v>
      </c>
      <c r="AR87" s="213" t="s">
        <v>251</v>
      </c>
      <c r="AS87" s="186" t="s">
        <v>252</v>
      </c>
      <c r="AT87" s="197" t="s">
        <v>252</v>
      </c>
      <c r="AW87" s="14" t="str">
        <f t="shared" si="14"/>
        <v>{82</v>
      </c>
      <c r="AX87" s="157" t="str" cm="1">
        <f t="array" ref="AX87">SUBSTITUTE(SUBSTITUTE(_xlfn.SWITCH(AM87, "ITM_T_HOME", "ITM_UP1", "ITM_T_END", "ITM_DOWN1", "DOCU_CHR_sub", "ITM_DOWN_ARROW", "DOCU_CHR_super", "ITM_UP_ARROW", "MNU_TAMALPHA", "ITM_alpha", "DOCU_CHR_caseFLIP", "ITM_NULL", "DOCU_CHR_numSET", "ITM_NULL", "DOCU_ITM_RADIX", "ITM_PERIOD", AM87), ".lo", ),"MNU_", "-MNU_")</f>
        <v>ITM_0</v>
      </c>
      <c r="AY87" s="157" t="str" cm="1">
        <f t="array" ref="AY87">SUBSTITUTE(SUBSTITUTE(_xlfn.SWITCH(AN87, "ITM_T_HOME", "ITM_UP1", "ITM_T_END", "ITM_DOWN1", "DOCU_CHR_sub", "ITM_DOWN_ARROW", "DOCU_CHR_super", "ITM_UP_ARROW", "MNU_TAMALPHA", "ITM_alpha", "DOCU_CHR_caseFLIP", "ITM_NULL", "DOCU_CHR_numSET", "ITM_NULL", "DOCU_ITM_RADIX", "ITM_PERIOD", AN87), ".lo", ),"MNU_", "-MNU_")</f>
        <v>ITM_VIEW</v>
      </c>
      <c r="AZ87" s="157" t="str" cm="1">
        <f t="array" ref="AZ87">SUBSTITUTE(SUBSTITUTE(_xlfn.SWITCH(AO87, "ITM_T_HOME", "ITM_UP1", "ITM_T_END", "ITM_DOWN1", "DOCU_CHR_sub", "ITM_DOWN_ARROW", "DOCU_CHR_super", "ITM_UP_ARROW", "MNU_TAMALPHA", "ITM_alpha", "DOCU_CHR_caseFLIP", "ITM_NULL", "DOCU_CHR_numSET", "ITM_NULL", "DOCU_ITM_RADIX", "ITM_PERIOD", AO87), ".lo", ),"MNU_", "-MNU_")</f>
        <v>ITM_TIMER</v>
      </c>
      <c r="BA87" s="173" t="str" cm="1">
        <f t="array" ref="BA87">SUBSTITUTE(SUBSTITUTE(_xlfn.SWITCH(AP87, "ITM_T_HOME", "ITM_UP1", "ITM_T_END", "ITM_DOWN1", "DOCU_CHR_sub", "ITM_DOWN_ARROW", "DOCU_CHR_super", "ITM_UP_ARROW", "MNU_TAMALPHA", "ITM_alpha", "DOCU_CHR_caseFLIP", "ITM_NULL", "DOCU_CHR_numSET", "ITM_NULL", "DOCU_ITM_RADIX", "ITM_PERIOD", AP87), ".lo", ),"MNU_", "-MNU_")</f>
        <v>ITM_0</v>
      </c>
      <c r="BB87" s="157" t="str" cm="1">
        <f t="array" ref="BB87">SUBSTITUTE(SUBSTITUTE(_xlfn.SWITCH(AQ87, "ITM_T_HOME", "ITM_UP1", "ITM_T_END", "ITM_DOWN1", "DOCU_CHR_sub", "ITM_DOWN_ARROW", "DOCU_CHR_super", "ITM_UP_ARROW", "MNU_TAMALPHA", "ITM_alpha", "DOCU_CHR_caseFLIP", "ITM_NULL", "DOCU_CHR_numSET", "ITM_NULL", "DOCU_ITM_RADIX", "ITM_PERIOD", AQ87), ".lo", ),"MNU_", "-MNU_")</f>
        <v>ITM_COLON</v>
      </c>
      <c r="BC87" s="216" t="str" cm="1">
        <f t="array" ref="BC87">SUBSTITUTE(SUBSTITUTE(_xlfn.SWITCH(AR87, "ITM_T_HOME", "ITM_UP1", "ITM_T_END", "ITM_DOWN1", "DOCU_CHR_sub", "ITM_DOWN_ARROW", "DOCU_CHR_super", "ITM_UP_ARROW", "MNU_TAMALPHA", "ITM_alpha", "DOCU_CHR_caseFLIP", "ITM_NULL", "DOCU_CHR_numSET", "ITM_NULL", "DOCU_ITM_RADIX", "ITM_PERIOD", AR87), ".lo", ),"MNU_", "-MNU_")</f>
        <v>ITM_SEMICOLON</v>
      </c>
      <c r="BD87" s="157" t="str" cm="1">
        <f t="array" ref="BD87">SUBSTITUTE(SUBSTITUTE(_xlfn.SWITCH(AS87, "ITM_T_HOME", "ITM_UP1", "ITM_T_END", "ITM_DOWN1", "DOCU_CHR_sub", "ITM_DOWN_ARROW", "DOCU_CHR_super", "ITM_UP_ARROW", "MNU_TAMALPHA", "ITM_alpha", "DOCU_CHR_caseFLIP", "ITM_NULL", "DOCU_CHR_numSET", "ITM_NULL", "DOCU_ITM_RADIX", "ITM_PERIOD", AS87), ".lo", ),"MNU_", "-MNU_")</f>
        <v>ITM_0</v>
      </c>
      <c r="BE87" s="157" t="str" cm="1">
        <f t="array" ref="BE87">SUBSTITUTE(SUBSTITUTE(_xlfn.SWITCH(AT87, "ITM_T_HOME", "ITM_UP1", "ITM_T_END", "ITM_DOWN1", "DOCU_CHR_sub", "ITM_DOWN_ARROW", "DOCU_CHR_super", "ITM_UP_ARROW", "MNU_TAMALPHA", "ITM_alpha", "DOCU_CHR_caseFLIP", "ITM_NULL", "DOCU_CHR_numSET", "ITM_NULL", "DOCU_ITM_RADIX", "ITM_PERIOD", AT87), ".lo", ),"MNU_", "-MNU_")</f>
        <v>ITM_0</v>
      </c>
      <c r="BG87" s="75"/>
      <c r="BI87" s="13" t="str">
        <f t="shared" si="10"/>
        <v xml:space="preserve">  {82,                  ITM_0,                ITM_VIEW,             ITM_TIMER,            ITM_0,                ITM_COLON,            ITM_SEMICOLON,        ITM_0,                ITM_0               },</v>
      </c>
      <c r="BL87" s="45" t="str">
        <f t="shared" si="11"/>
        <v>ITM_SEMICOLON</v>
      </c>
      <c r="BM87" s="45" t="str">
        <f t="shared" si="12"/>
        <v>ITM_0</v>
      </c>
    </row>
    <row r="88" spans="1:65" ht="22" thickBot="1" x14ac:dyDescent="0.25">
      <c r="A88" s="3"/>
      <c r="B88" s="3">
        <v>70</v>
      </c>
      <c r="C88" s="4" t="str">
        <f>layout&amp;"."&amp;$B88+C87+C86</f>
        <v>C47.71,2</v>
      </c>
      <c r="D88" s="4" t="str">
        <f>layout&amp;"."&amp;$B88+D87+D86</f>
        <v>C47.71,3</v>
      </c>
      <c r="F88" s="4" t="str">
        <f>layout&amp;"."&amp;$B88+F87+F86</f>
        <v>C47.72,2</v>
      </c>
      <c r="H88" s="4" t="str">
        <f>layout&amp;"."&amp;$B88+H87+H86</f>
        <v>C47.72,3</v>
      </c>
      <c r="J88" s="4" t="str">
        <f>layout&amp;"."&amp;$B88+J87+J86</f>
        <v>C47.73,2</v>
      </c>
      <c r="L88" s="4" t="str">
        <f>layout&amp;"."&amp;$B88+L87+L86</f>
        <v>C47.73,3</v>
      </c>
      <c r="N88" s="4" t="str">
        <f>layout&amp;"."&amp;$B88+N87+N86</f>
        <v>C47.74,2</v>
      </c>
      <c r="P88" s="4" t="str">
        <f>layout&amp;"."&amp;$B88+P87+P86</f>
        <v>C47.74,3</v>
      </c>
      <c r="R88" s="4" t="str">
        <f>layout&amp;"."&amp;$B88+R87+R86</f>
        <v>C47.75,2</v>
      </c>
      <c r="T88" s="4" t="str">
        <f>layout&amp;"."&amp;$B88+T87+T86</f>
        <v>C47.75,3</v>
      </c>
      <c r="X88" s="127" t="str">
        <f t="shared" si="1"/>
        <v>C47</v>
      </c>
      <c r="Y88" s="109">
        <v>8</v>
      </c>
      <c r="Z88" s="109">
        <v>3</v>
      </c>
      <c r="AA88" s="112" t="str">
        <f t="shared" si="15"/>
        <v>C47.83</v>
      </c>
      <c r="AB88" s="117" t="s">
        <v>253</v>
      </c>
      <c r="AC88" s="118" t="s">
        <v>254</v>
      </c>
      <c r="AD88" s="119" t="s">
        <v>255</v>
      </c>
      <c r="AE88" s="3"/>
      <c r="AF88" s="49" t="s">
        <v>256</v>
      </c>
      <c r="AG88" s="77" t="b">
        <f t="shared" si="13"/>
        <v>0</v>
      </c>
      <c r="AH88" s="83" t="str">
        <f t="shared" si="2"/>
        <v>#</v>
      </c>
      <c r="AI88" s="84" t="str">
        <f t="shared" si="3"/>
        <v>.</v>
      </c>
      <c r="AJ88" s="85" t="str">
        <f t="shared" si="4"/>
        <v>.</v>
      </c>
      <c r="AK88" s="6"/>
      <c r="AL88" s="8" t="str">
        <f t="shared" si="5"/>
        <v>{83</v>
      </c>
      <c r="AM88" s="27" t="str">
        <f t="shared" si="6"/>
        <v>DOCU_ITM_RADIX</v>
      </c>
      <c r="AN88" s="27" t="str">
        <f t="shared" si="7"/>
        <v>ITM_SHOW</v>
      </c>
      <c r="AO88" s="27" t="str">
        <f t="shared" si="8"/>
        <v>MNU_INFO</v>
      </c>
      <c r="AP88" s="46" t="str">
        <f>IF(NOT(ISNA(MATCH(AM88,Lookups!E:E,))),VLOOKUP(AM88,Lookups!E:F,2,0),
IF(NOT(ISNA(MATCH(AN88,Lookups!E:E,))),VLOOKUP(AN88,Lookups!E:F,2,0),
IF(NOT(ISNA(MATCH(AO88,Lookups!E:E,))),VLOOKUP(AO88,Lookups!E:F,2,0),"ITM_NULL")))</f>
        <v>ITM_PERIOD</v>
      </c>
      <c r="AQ88" s="28" t="str">
        <f t="shared" si="26"/>
        <v>ITM_COMMA</v>
      </c>
      <c r="AR88" s="209" t="s">
        <v>283</v>
      </c>
      <c r="AS88" s="207" t="s">
        <v>257</v>
      </c>
      <c r="AT88" s="197" t="s">
        <v>257</v>
      </c>
      <c r="AW88" s="14" t="str">
        <f t="shared" si="14"/>
        <v>{83</v>
      </c>
      <c r="AX88" s="157" t="str" cm="1">
        <f t="array" ref="AX88">SUBSTITUTE(SUBSTITUTE(_xlfn.SWITCH(AM88, "ITM_T_HOME", "ITM_UP1", "ITM_T_END", "ITM_DOWN1", "DOCU_CHR_sub", "ITM_DOWN_ARROW", "DOCU_CHR_super", "ITM_UP_ARROW", "MNU_TAMALPHA", "ITM_alpha", "DOCU_CHR_caseFLIP", "ITM_NULL", "DOCU_CHR_numSET", "ITM_NULL", "DOCU_ITM_RADIX", "ITM_PERIOD", AM88), ".lo", ),"MNU_", "-MNU_")</f>
        <v>ITM_PERIOD</v>
      </c>
      <c r="AY88" s="157" t="str" cm="1">
        <f t="array" ref="AY88">SUBSTITUTE(SUBSTITUTE(_xlfn.SWITCH(AN88, "ITM_T_HOME", "ITM_UP1", "ITM_T_END", "ITM_DOWN1", "DOCU_CHR_sub", "ITM_DOWN_ARROW", "DOCU_CHR_super", "ITM_UP_ARROW", "MNU_TAMALPHA", "ITM_alpha", "DOCU_CHR_caseFLIP", "ITM_NULL", "DOCU_CHR_numSET", "ITM_NULL", "DOCU_ITM_RADIX", "ITM_PERIOD", AN88), ".lo", ),"MNU_", "-MNU_")</f>
        <v>ITM_SHOW</v>
      </c>
      <c r="AZ88" s="157" t="str" cm="1">
        <f t="array" ref="AZ88">SUBSTITUTE(SUBSTITUTE(_xlfn.SWITCH(AO88, "ITM_T_HOME", "ITM_UP1", "ITM_T_END", "ITM_DOWN1", "DOCU_CHR_sub", "ITM_DOWN_ARROW", "DOCU_CHR_super", "ITM_UP_ARROW", "MNU_TAMALPHA", "ITM_alpha", "DOCU_CHR_caseFLIP", "ITM_NULL", "DOCU_CHR_numSET", "ITM_NULL", "DOCU_ITM_RADIX", "ITM_PERIOD", AO88), ".lo", ),"MNU_", "-MNU_")</f>
        <v>-MNU_INFO</v>
      </c>
      <c r="BA88" s="173" t="str" cm="1">
        <f t="array" ref="BA88">SUBSTITUTE(SUBSTITUTE(_xlfn.SWITCH(AP88, "ITM_T_HOME", "ITM_UP1", "ITM_T_END", "ITM_DOWN1", "DOCU_CHR_sub", "ITM_DOWN_ARROW", "DOCU_CHR_super", "ITM_UP_ARROW", "MNU_TAMALPHA", "ITM_alpha", "DOCU_CHR_caseFLIP", "ITM_NULL", "DOCU_CHR_numSET", "ITM_NULL", "DOCU_ITM_RADIX", "ITM_PERIOD", AP88), ".lo", ),"MNU_", "-MNU_")</f>
        <v>ITM_PERIOD</v>
      </c>
      <c r="BB88" s="157" t="str" cm="1">
        <f t="array" ref="BB88">SUBSTITUTE(SUBSTITUTE(_xlfn.SWITCH(AQ88, "ITM_T_HOME", "ITM_UP1", "ITM_T_END", "ITM_DOWN1", "DOCU_CHR_sub", "ITM_DOWN_ARROW", "DOCU_CHR_super", "ITM_UP_ARROW", "MNU_TAMALPHA", "ITM_alpha", "DOCU_CHR_caseFLIP", "ITM_NULL", "DOCU_CHR_numSET", "ITM_NULL", "DOCU_ITM_RADIX", "ITM_PERIOD", AQ88), ".lo", ),"MNU_", "-MNU_")</f>
        <v>ITM_COMMA</v>
      </c>
      <c r="BC88" s="157" t="str" cm="1">
        <f t="array" ref="BC88">SUBSTITUTE(SUBSTITUTE(_xlfn.SWITCH(AR88, "ITM_T_HOME", "ITM_UP1", "ITM_T_END", "ITM_DOWN1", "DOCU_CHR_sub", "ITM_DOWN_ARROW", "DOCU_CHR_super", "ITM_UP_ARROW", "MNU_TAMALPHA", "ITM_alpha", "DOCU_CHR_caseFLIP", "ITM_NULL", "DOCU_CHR_numSET", "ITM_NULL", "DOCU_ITM_RADIX", "ITM_PERIOD", AR88), ".lo", ),"MNU_", "-MNU_")</f>
        <v>ITM_NUMBER_SIGN</v>
      </c>
      <c r="BD88" s="157" t="str" cm="1">
        <f t="array" ref="BD88">SUBSTITUTE(SUBSTITUTE(_xlfn.SWITCH(AS88, "ITM_T_HOME", "ITM_UP1", "ITM_T_END", "ITM_DOWN1", "DOCU_CHR_sub", "ITM_DOWN_ARROW", "DOCU_CHR_super", "ITM_UP_ARROW", "MNU_TAMALPHA", "ITM_alpha", "DOCU_CHR_caseFLIP", "ITM_NULL", "DOCU_CHR_numSET", "ITM_NULL", "DOCU_ITM_RADIX", "ITM_PERIOD", AS88), ".lo", ),"MNU_", "-MNU_")</f>
        <v>ITM_PERIOD</v>
      </c>
      <c r="BE88" s="157" t="str" cm="1">
        <f t="array" ref="BE88">SUBSTITUTE(SUBSTITUTE(_xlfn.SWITCH(AT88, "ITM_T_HOME", "ITM_UP1", "ITM_T_END", "ITM_DOWN1", "DOCU_CHR_sub", "ITM_DOWN_ARROW", "DOCU_CHR_super", "ITM_UP_ARROW", "MNU_TAMALPHA", "ITM_alpha", "DOCU_CHR_caseFLIP", "ITM_NULL", "DOCU_CHR_numSET", "ITM_NULL", "DOCU_ITM_RADIX", "ITM_PERIOD", AT88), ".lo", ),"MNU_", "-MNU_")</f>
        <v>ITM_PERIOD</v>
      </c>
      <c r="BG88" s="75"/>
      <c r="BI88" s="13" t="str">
        <f t="shared" si="10"/>
        <v xml:space="preserve">  {83,                  ITM_PERIOD,           ITM_SHOW,             -MNU_INFO,            ITM_PERIOD,           ITM_COMMA,            ITM_NUMBER_SIGN,      ITM_PERIOD,           ITM_PERIOD          },</v>
      </c>
      <c r="BL88" s="45" t="str">
        <f t="shared" si="11"/>
        <v>ITM_NUMBER_SIGN</v>
      </c>
      <c r="BM88" s="45" t="str">
        <f t="shared" si="12"/>
        <v>ITM_PERIOD</v>
      </c>
    </row>
    <row r="89" spans="1:65" ht="21" x14ac:dyDescent="0.2">
      <c r="A89" s="3">
        <v>0.1</v>
      </c>
      <c r="B89" s="3">
        <v>70</v>
      </c>
      <c r="C89" s="227" t="str">
        <f>layout&amp;"."&amp;$B91+C87+$A89</f>
        <v>C47.71,1</v>
      </c>
      <c r="D89" s="229"/>
      <c r="E89" s="226" t="str">
        <f>layout&amp;"."&amp;$B89+E87+E86</f>
        <v>C47.71,4</v>
      </c>
      <c r="F89" s="227" t="str">
        <f>layout&amp;"."&amp;$B89+F87+$A89</f>
        <v>C47.72,1</v>
      </c>
      <c r="G89" s="228">
        <f t="shared" ref="G89" si="31">$B91+G87+$A89</f>
        <v>72.099999999999994</v>
      </c>
      <c r="H89" s="229"/>
      <c r="I89" s="226" t="str">
        <f>layout&amp;"."&amp;$B89+I87+I86</f>
        <v>C47.72,4</v>
      </c>
      <c r="J89" s="227" t="str">
        <f>layout&amp;"."&amp;$B89+J87+$A89</f>
        <v>C47.73,1</v>
      </c>
      <c r="K89" s="228">
        <f t="shared" ref="K89" si="32">$B91+K87+$A89</f>
        <v>73.099999999999994</v>
      </c>
      <c r="L89" s="229"/>
      <c r="M89" s="226" t="str">
        <f>layout&amp;"."&amp;$B89+M87+M86</f>
        <v>C47.73,4</v>
      </c>
      <c r="N89" s="227" t="str">
        <f>layout&amp;"."&amp;$B89+N87+$A89</f>
        <v>C47.74,1</v>
      </c>
      <c r="O89" s="228">
        <f t="shared" ref="O89" si="33">$B91+O87+$A89</f>
        <v>74.099999999999994</v>
      </c>
      <c r="P89" s="229"/>
      <c r="Q89" s="226" t="str">
        <f>layout&amp;"."&amp;$B89+Q87+Q86</f>
        <v>C47.74,4</v>
      </c>
      <c r="R89" s="227" t="str">
        <f>layout&amp;"."&amp;$B89+R87+$A89</f>
        <v>C47.75,1</v>
      </c>
      <c r="S89" s="228">
        <f t="shared" ref="S89" si="34">$B91+S87+$A89</f>
        <v>75.099999999999994</v>
      </c>
      <c r="T89" s="229"/>
      <c r="U89" s="236" t="str">
        <f>layout&amp;"."&amp;$B89+U87+U86</f>
        <v>C47.75,4</v>
      </c>
      <c r="X89" s="127" t="str">
        <f t="shared" si="1"/>
        <v>C47</v>
      </c>
      <c r="Y89" s="109">
        <v>8</v>
      </c>
      <c r="Z89" s="109">
        <v>4</v>
      </c>
      <c r="AA89" s="112" t="str">
        <f t="shared" si="15"/>
        <v>C47.84</v>
      </c>
      <c r="AB89" s="117" t="s">
        <v>258</v>
      </c>
      <c r="AC89" s="118" t="s">
        <v>259</v>
      </c>
      <c r="AD89" s="119" t="s">
        <v>260</v>
      </c>
      <c r="AE89" s="3"/>
      <c r="AF89" s="53" t="s">
        <v>261</v>
      </c>
      <c r="AG89" s="77" t="b">
        <f t="shared" si="13"/>
        <v>0</v>
      </c>
      <c r="AH89" s="83" t="str">
        <f t="shared" si="2"/>
        <v>!</v>
      </c>
      <c r="AI89" s="84" t="str">
        <f t="shared" si="3"/>
        <v>/</v>
      </c>
      <c r="AJ89" s="85" t="str">
        <f t="shared" si="4"/>
        <v xml:space="preserve"> </v>
      </c>
      <c r="AK89" s="6"/>
      <c r="AL89" s="8" t="str">
        <f t="shared" si="5"/>
        <v>{84</v>
      </c>
      <c r="AM89" s="27" t="str">
        <f t="shared" si="6"/>
        <v>ITM_RS</v>
      </c>
      <c r="AN89" s="27" t="str">
        <f t="shared" si="7"/>
        <v>ITM_PR</v>
      </c>
      <c r="AO89" s="27" t="str">
        <f t="shared" si="8"/>
        <v>MNU_TEST</v>
      </c>
      <c r="AP89" s="46" t="str">
        <f>IF(NOT(ISNA(MATCH(AM89,Lookups!E:E,))),VLOOKUP(AM89,Lookups!E:F,2,0),
IF(NOT(ISNA(MATCH(AN89,Lookups!E:E,))),VLOOKUP(AN89,Lookups!E:F,2,0),
IF(NOT(ISNA(MATCH(AO89,Lookups!E:E,))),VLOOKUP(AO89,Lookups!E:F,2,0),"ITM_NULL")))</f>
        <v>ITM_NULL</v>
      </c>
      <c r="AQ89" s="28" t="str">
        <f t="shared" si="26"/>
        <v>ITM_QUESTION_MARK</v>
      </c>
      <c r="AR89" s="209" t="s">
        <v>635</v>
      </c>
      <c r="AS89" s="207" t="s">
        <v>262</v>
      </c>
      <c r="AT89" s="197" t="s">
        <v>81</v>
      </c>
      <c r="AW89" s="14" t="str">
        <f t="shared" si="14"/>
        <v>{84</v>
      </c>
      <c r="AX89" s="157" t="str" cm="1">
        <f t="array" ref="AX89">SUBSTITUTE(SUBSTITUTE(_xlfn.SWITCH(AM89, "ITM_T_HOME", "ITM_UP1", "ITM_T_END", "ITM_DOWN1", "DOCU_CHR_sub", "ITM_DOWN_ARROW", "DOCU_CHR_super", "ITM_UP_ARROW", "MNU_TAMALPHA", "ITM_alpha", "DOCU_CHR_caseFLIP", "ITM_NULL", "DOCU_CHR_numSET", "ITM_NULL", "DOCU_ITM_RADIX", "ITM_PERIOD", AM89), ".lo", ),"MNU_", "-MNU_")</f>
        <v>ITM_RS</v>
      </c>
      <c r="AY89" s="157" t="str" cm="1">
        <f t="array" ref="AY89">SUBSTITUTE(SUBSTITUTE(_xlfn.SWITCH(AN89, "ITM_T_HOME", "ITM_UP1", "ITM_T_END", "ITM_DOWN1", "DOCU_CHR_sub", "ITM_DOWN_ARROW", "DOCU_CHR_super", "ITM_UP_ARROW", "MNU_TAMALPHA", "ITM_alpha", "DOCU_CHR_caseFLIP", "ITM_NULL", "DOCU_CHR_numSET", "ITM_NULL", "DOCU_ITM_RADIX", "ITM_PERIOD", AN89), ".lo", ),"MNU_", "-MNU_")</f>
        <v>ITM_PR</v>
      </c>
      <c r="AZ89" s="157" t="str" cm="1">
        <f t="array" ref="AZ89">SUBSTITUTE(SUBSTITUTE(_xlfn.SWITCH(AO89, "ITM_T_HOME", "ITM_UP1", "ITM_T_END", "ITM_DOWN1", "DOCU_CHR_sub", "ITM_DOWN_ARROW", "DOCU_CHR_super", "ITM_UP_ARROW", "MNU_TAMALPHA", "ITM_alpha", "DOCU_CHR_caseFLIP", "ITM_NULL", "DOCU_CHR_numSET", "ITM_NULL", "DOCU_ITM_RADIX", "ITM_PERIOD", AO89), ".lo", ),"MNU_", "-MNU_")</f>
        <v>-MNU_TEST</v>
      </c>
      <c r="BA89" s="173" t="str" cm="1">
        <f t="array" ref="BA89">SUBSTITUTE(SUBSTITUTE(_xlfn.SWITCH(AP89, "ITM_T_HOME", "ITM_UP1", "ITM_T_END", "ITM_DOWN1", "DOCU_CHR_sub", "ITM_DOWN_ARROW", "DOCU_CHR_super", "ITM_UP_ARROW", "MNU_TAMALPHA", "ITM_alpha", "DOCU_CHR_caseFLIP", "ITM_NULL", "DOCU_CHR_numSET", "ITM_NULL", "DOCU_ITM_RADIX", "ITM_PERIOD", AP89), ".lo", ),"MNU_", "-MNU_")</f>
        <v>ITM_NULL</v>
      </c>
      <c r="BB89" s="157" t="str" cm="1">
        <f t="array" ref="BB89">SUBSTITUTE(SUBSTITUTE(_xlfn.SWITCH(AQ89, "ITM_T_HOME", "ITM_UP1", "ITM_T_END", "ITM_DOWN1", "DOCU_CHR_sub", "ITM_DOWN_ARROW", "DOCU_CHR_super", "ITM_UP_ARROW", "MNU_TAMALPHA", "ITM_alpha", "DOCU_CHR_caseFLIP", "ITM_NULL", "DOCU_CHR_numSET", "ITM_NULL", "DOCU_ITM_RADIX", "ITM_PERIOD", AQ89), ".lo", ),"MNU_", "-MNU_")</f>
        <v>ITM_QUESTION_MARK</v>
      </c>
      <c r="BC89" s="157" t="str" cm="1">
        <f t="array" ref="BC89">SUBSTITUTE(SUBSTITUTE(_xlfn.SWITCH(AR89, "ITM_T_HOME", "ITM_UP1", "ITM_T_END", "ITM_DOWN1", "DOCU_CHR_sub", "ITM_DOWN_ARROW", "DOCU_CHR_super", "ITM_UP_ARROW", "MNU_TAMALPHA", "ITM_alpha", "DOCU_CHR_caseFLIP", "ITM_NULL", "DOCU_CHR_numSET", "ITM_NULL", "DOCU_ITM_RADIX", "ITM_PERIOD", AR89), ".lo", ),"MNU_", "-MNU_")</f>
        <v>ITM_EXCLAMATION_MARK</v>
      </c>
      <c r="BD89" s="157" t="str" cm="1">
        <f t="array" ref="BD89">SUBSTITUTE(SUBSTITUTE(_xlfn.SWITCH(AS89, "ITM_T_HOME", "ITM_UP1", "ITM_T_END", "ITM_DOWN1", "DOCU_CHR_sub", "ITM_DOWN_ARROW", "DOCU_CHR_super", "ITM_UP_ARROW", "MNU_TAMALPHA", "ITM_alpha", "DOCU_CHR_caseFLIP", "ITM_NULL", "DOCU_CHR_numSET", "ITM_NULL", "DOCU_ITM_RADIX", "ITM_PERIOD", AS89), ".lo", ),"MNU_", "-MNU_")</f>
        <v>ITM_SLASH</v>
      </c>
      <c r="BE89" s="157" t="str" cm="1">
        <f t="array" ref="BE89">SUBSTITUTE(SUBSTITUTE(_xlfn.SWITCH(AT89, "ITM_T_HOME", "ITM_UP1", "ITM_T_END", "ITM_DOWN1", "DOCU_CHR_sub", "ITM_DOWN_ARROW", "DOCU_CHR_super", "ITM_UP_ARROW", "MNU_TAMALPHA", "ITM_alpha", "DOCU_CHR_caseFLIP", "ITM_NULL", "DOCU_CHR_numSET", "ITM_NULL", "DOCU_ITM_RADIX", "ITM_PERIOD", AT89), ".lo", ),"MNU_", "-MNU_")</f>
        <v>ITM_NULL</v>
      </c>
      <c r="BG89" s="75"/>
      <c r="BI89" s="13" t="str">
        <f t="shared" si="10"/>
        <v xml:space="preserve">  {84,                  ITM_RS,               ITM_PR,               -MNU_TEST,            ITM_NULL,             ITM_QUESTION_MARK,    ITM_EXCLAMATION_MARK, ITM_SLASH,            ITM_NULL            },</v>
      </c>
      <c r="BL89" s="45" t="str">
        <f t="shared" si="11"/>
        <v>ITM_EXCLAMATION_MARK</v>
      </c>
      <c r="BM89" s="45" t="str">
        <f t="shared" si="12"/>
        <v>ITM_SLASH</v>
      </c>
    </row>
    <row r="90" spans="1:65" ht="22" thickBot="1" x14ac:dyDescent="0.25">
      <c r="A90" s="3">
        <v>0.1</v>
      </c>
      <c r="B90" s="3">
        <v>70</v>
      </c>
      <c r="C90" s="230"/>
      <c r="D90" s="232"/>
      <c r="E90" s="226" t="e">
        <f>layout&amp;"."&amp;$B90+E89+E88</f>
        <v>#VALUE!</v>
      </c>
      <c r="F90" s="230"/>
      <c r="G90" s="231"/>
      <c r="H90" s="232"/>
      <c r="I90" s="226" t="e">
        <f>layout&amp;"."&amp;$B90+I89+I88</f>
        <v>#VALUE!</v>
      </c>
      <c r="J90" s="230"/>
      <c r="K90" s="231"/>
      <c r="L90" s="232"/>
      <c r="M90" s="226" t="e">
        <f>layout&amp;"."&amp;$B90+M89+M88</f>
        <v>#VALUE!</v>
      </c>
      <c r="N90" s="230"/>
      <c r="O90" s="231"/>
      <c r="P90" s="232"/>
      <c r="Q90" s="226" t="e">
        <f>layout&amp;"."&amp;$B90+Q89+Q88</f>
        <v>#VALUE!</v>
      </c>
      <c r="R90" s="230"/>
      <c r="S90" s="231"/>
      <c r="T90" s="232"/>
      <c r="U90" s="236" t="e">
        <f>layout&amp;"."&amp;$B90+U89+U88</f>
        <v>#VALUE!</v>
      </c>
      <c r="X90" s="127" t="str">
        <f t="shared" si="1"/>
        <v>C47</v>
      </c>
      <c r="Y90" s="109">
        <v>8</v>
      </c>
      <c r="Z90" s="109">
        <v>5</v>
      </c>
      <c r="AA90" s="112" t="str">
        <f t="shared" si="15"/>
        <v>C47.85</v>
      </c>
      <c r="AB90" s="122" t="s">
        <v>263</v>
      </c>
      <c r="AC90" s="123" t="s">
        <v>264</v>
      </c>
      <c r="AD90" s="124" t="s">
        <v>265</v>
      </c>
      <c r="AE90" s="125"/>
      <c r="AF90" s="50" t="s">
        <v>266</v>
      </c>
      <c r="AG90" s="77" t="b">
        <f t="shared" si="13"/>
        <v>0</v>
      </c>
      <c r="AH90" s="86" t="str">
        <f t="shared" si="2"/>
        <v>=</v>
      </c>
      <c r="AI90" s="87" t="str">
        <f t="shared" si="3"/>
        <v>+</v>
      </c>
      <c r="AJ90" s="88" t="str">
        <f t="shared" si="4"/>
        <v>+</v>
      </c>
      <c r="AK90" s="6"/>
      <c r="AL90" s="8" t="str">
        <f t="shared" si="5"/>
        <v>{85</v>
      </c>
      <c r="AM90" s="27" t="str">
        <f t="shared" si="6"/>
        <v>ITM_ADD</v>
      </c>
      <c r="AN90" s="27" t="str">
        <f t="shared" si="7"/>
        <v>MNU_CATALOG</v>
      </c>
      <c r="AO90" s="27" t="str">
        <f t="shared" si="8"/>
        <v>MNU_CONST</v>
      </c>
      <c r="AP90" s="46" t="str">
        <f>IF(NOT(ISNA(MATCH(AM90,Lookups!E:E,))),VLOOKUP(AM90,Lookups!E:F,2,0),
IF(NOT(ISNA(MATCH(AN90,Lookups!E:E,))),VLOOKUP(AN90,Lookups!E:F,2,0),
IF(NOT(ISNA(MATCH(AO90,Lookups!E:E,))),VLOOKUP(AO90,Lookups!E:F,2,0),"ITM_NULL")))</f>
        <v>ITM_PLUS</v>
      </c>
      <c r="AQ90" s="28" t="str">
        <f t="shared" si="26"/>
        <v>ITM_SPACE</v>
      </c>
      <c r="AR90" s="210" t="s">
        <v>650</v>
      </c>
      <c r="AS90" s="208" t="s">
        <v>267</v>
      </c>
      <c r="AT90" s="201" t="s">
        <v>268</v>
      </c>
      <c r="AW90" s="14" t="str">
        <f t="shared" si="14"/>
        <v>{85</v>
      </c>
      <c r="AX90" s="157" t="str" cm="1">
        <f t="array" ref="AX90">SUBSTITUTE(SUBSTITUTE(_xlfn.SWITCH(AM90, "ITM_T_HOME", "ITM_UP1", "ITM_T_END", "ITM_DOWN1", "DOCU_CHR_sub", "ITM_DOWN_ARROW", "DOCU_CHR_super", "ITM_UP_ARROW", "MNU_TAMALPHA", "ITM_alpha", "DOCU_CHR_caseFLIP", "ITM_NULL", "DOCU_CHR_numSET", "ITM_NULL", "DOCU_ITM_RADIX", "ITM_PERIOD", AM90), ".lo", ),"MNU_", "-MNU_")</f>
        <v>ITM_ADD</v>
      </c>
      <c r="AY90" s="157" t="str" cm="1">
        <f t="array" ref="AY90">SUBSTITUTE(SUBSTITUTE(_xlfn.SWITCH(AN90, "ITM_T_HOME", "ITM_UP1", "ITM_T_END", "ITM_DOWN1", "DOCU_CHR_sub", "ITM_DOWN_ARROW", "DOCU_CHR_super", "ITM_UP_ARROW", "MNU_TAMALPHA", "ITM_alpha", "DOCU_CHR_caseFLIP", "ITM_NULL", "DOCU_CHR_numSET", "ITM_NULL", "DOCU_ITM_RADIX", "ITM_PERIOD", AN90), ".lo", ),"MNU_", "-MNU_")</f>
        <v>-MNU_CATALOG</v>
      </c>
      <c r="AZ90" s="157" t="str" cm="1">
        <f t="array" ref="AZ90">SUBSTITUTE(SUBSTITUTE(_xlfn.SWITCH(AO90, "ITM_T_HOME", "ITM_UP1", "ITM_T_END", "ITM_DOWN1", "DOCU_CHR_sub", "ITM_DOWN_ARROW", "DOCU_CHR_super", "ITM_UP_ARROW", "MNU_TAMALPHA", "ITM_alpha", "DOCU_CHR_caseFLIP", "ITM_NULL", "DOCU_CHR_numSET", "ITM_NULL", "DOCU_ITM_RADIX", "ITM_PERIOD", AO90), ".lo", ),"MNU_", "-MNU_")</f>
        <v>-MNU_CONST</v>
      </c>
      <c r="BA90" s="173" t="str" cm="1">
        <f t="array" ref="BA90">SUBSTITUTE(SUBSTITUTE(_xlfn.SWITCH(AP90, "ITM_T_HOME", "ITM_UP1", "ITM_T_END", "ITM_DOWN1", "DOCU_CHR_sub", "ITM_DOWN_ARROW", "DOCU_CHR_super", "ITM_UP_ARROW", "MNU_TAMALPHA", "ITM_alpha", "DOCU_CHR_caseFLIP", "ITM_NULL", "DOCU_CHR_numSET", "ITM_NULL", "DOCU_ITM_RADIX", "ITM_PERIOD", AP90), ".lo", ),"MNU_", "-MNU_")</f>
        <v>ITM_PLUS</v>
      </c>
      <c r="BB90" s="157" t="str" cm="1">
        <f t="array" ref="BB90">SUBSTITUTE(SUBSTITUTE(_xlfn.SWITCH(AQ90, "ITM_T_HOME", "ITM_UP1", "ITM_T_END", "ITM_DOWN1", "DOCU_CHR_sub", "ITM_DOWN_ARROW", "DOCU_CHR_super", "ITM_UP_ARROW", "MNU_TAMALPHA", "ITM_alpha", "DOCU_CHR_caseFLIP", "ITM_NULL", "DOCU_CHR_numSET", "ITM_NULL", "DOCU_ITM_RADIX", "ITM_PERIOD", AQ90), ".lo", ),"MNU_", "-MNU_")</f>
        <v>ITM_SPACE</v>
      </c>
      <c r="BC90" s="157" t="str" cm="1">
        <f t="array" ref="BC90">SUBSTITUTE(SUBSTITUTE(_xlfn.SWITCH(AR90, "ITM_T_HOME", "ITM_UP1", "ITM_T_END", "ITM_DOWN1", "DOCU_CHR_sub", "ITM_DOWN_ARROW", "DOCU_CHR_super", "ITM_UP_ARROW", "MNU_TAMALPHA", "ITM_alpha", "DOCU_CHR_caseFLIP", "ITM_NULL", "DOCU_CHR_numSET", "ITM_NULL", "DOCU_ITM_RADIX", "ITM_PERIOD", AR90), ".lo", ),"MNU_", "-MNU_")</f>
        <v>ITM_EQUAL</v>
      </c>
      <c r="BD90" s="157" t="str" cm="1">
        <f t="array" ref="BD90">SUBSTITUTE(SUBSTITUTE(_xlfn.SWITCH(AS90, "ITM_T_HOME", "ITM_UP1", "ITM_T_END", "ITM_DOWN1", "DOCU_CHR_sub", "ITM_DOWN_ARROW", "DOCU_CHR_super", "ITM_UP_ARROW", "MNU_TAMALPHA", "ITM_alpha", "DOCU_CHR_caseFLIP", "ITM_NULL", "DOCU_CHR_numSET", "ITM_NULL", "DOCU_ITM_RADIX", "ITM_PERIOD", AS90), ".lo", ),"MNU_", "-MNU_")</f>
        <v>ITM_PLUS</v>
      </c>
      <c r="BE90" s="157" t="str" cm="1">
        <f t="array" ref="BE90">SUBSTITUTE(SUBSTITUTE(_xlfn.SWITCH(AT90, "ITM_T_HOME", "ITM_UP1", "ITM_T_END", "ITM_DOWN1", "DOCU_CHR_sub", "ITM_DOWN_ARROW", "DOCU_CHR_super", "ITM_UP_ARROW", "MNU_TAMALPHA", "ITM_alpha", "DOCU_CHR_caseFLIP", "ITM_NULL", "DOCU_CHR_numSET", "ITM_NULL", "DOCU_ITM_RADIX", "ITM_PERIOD", AT90), ".lo", ),"MNU_", "-MNU_")</f>
        <v>ITM_ADD</v>
      </c>
      <c r="BG90" s="75"/>
      <c r="BI90" s="73" t="str">
        <f>"  "&amp;AW90&amp;", "&amp;REPT(" ",$BH$54-LEN(AW90))&amp;
AX90&amp;", "&amp;REPT(" ",$BH$54-LEN(AX90))&amp;
AY90&amp;", "&amp;REPT(" ",$BH$54-LEN(AY90))&amp;
AZ90&amp;", "&amp;REPT(" ",$BH$54-LEN(AZ90))&amp;
BA90&amp;", "&amp;REPT(" ",$BH$54-LEN(BA90))&amp;
BB90&amp;", "&amp;REPT(" ",$BH$54-LEN(BB90))&amp;
BC90&amp;", "&amp;REPT(" ",$BH$54-LEN(BC90))&amp;
BD90&amp;", "&amp;REPT(" ",$BH$54-LEN(BD90))&amp;
BE90&amp;REPT(" ",$BH$54-LEN(BE90))&amp;
"}"</f>
        <v xml:space="preserve">  {85,                  ITM_ADD,              -MNU_CATALOG,         -MNU_CONST,           ITM_PLUS,             ITM_SPACE,            ITM_EQUAL,            ITM_PLUS,             ITM_ADD             }</v>
      </c>
      <c r="BL90" s="45" t="str">
        <f t="shared" si="11"/>
        <v>ITM_EQUAL</v>
      </c>
      <c r="BM90" s="45" t="str">
        <f t="shared" si="12"/>
        <v>ITM_PLUS</v>
      </c>
    </row>
    <row r="91" spans="1:65" ht="22" thickBot="1" x14ac:dyDescent="0.25">
      <c r="A91" s="3">
        <v>0.1</v>
      </c>
      <c r="B91" s="3">
        <v>70</v>
      </c>
      <c r="C91" s="233"/>
      <c r="D91" s="235"/>
      <c r="E91" s="226" t="e">
        <f>layout&amp;"."&amp;$B91+E90+E89</f>
        <v>#VALUE!</v>
      </c>
      <c r="F91" s="233"/>
      <c r="G91" s="234"/>
      <c r="H91" s="235"/>
      <c r="I91" s="226" t="e">
        <f>layout&amp;"."&amp;$B91+I90+I89</f>
        <v>#VALUE!</v>
      </c>
      <c r="J91" s="233"/>
      <c r="K91" s="234"/>
      <c r="L91" s="235"/>
      <c r="M91" s="226" t="e">
        <f>layout&amp;"."&amp;$B91+M90+M89</f>
        <v>#VALUE!</v>
      </c>
      <c r="N91" s="233"/>
      <c r="O91" s="234"/>
      <c r="P91" s="235"/>
      <c r="Q91" s="226" t="e">
        <f>layout&amp;"."&amp;$B91+Q90+Q89</f>
        <v>#VALUE!</v>
      </c>
      <c r="R91" s="233"/>
      <c r="S91" s="234"/>
      <c r="T91" s="235"/>
      <c r="U91" s="236" t="e">
        <f>layout&amp;"."&amp;$B91+U90+U89</f>
        <v>#VALUE!</v>
      </c>
      <c r="Y91" s="1"/>
      <c r="Z91" s="1"/>
      <c r="AK91" s="6"/>
      <c r="AL91" s="111"/>
      <c r="AM91" s="29"/>
      <c r="AN91" s="29"/>
      <c r="AO91" s="29"/>
      <c r="AP91" s="47"/>
      <c r="AQ91" s="29"/>
      <c r="AR91" s="202"/>
      <c r="AS91" s="202"/>
      <c r="AT91" s="202"/>
      <c r="BG91" s="75"/>
      <c r="BI91" s="16" t="s">
        <v>269</v>
      </c>
    </row>
    <row r="92" spans="1:65" ht="21" x14ac:dyDescent="0.2">
      <c r="A92" s="3"/>
      <c r="B92" s="3"/>
      <c r="C92" s="3">
        <f>2/10</f>
        <v>0.2</v>
      </c>
      <c r="D92" s="3">
        <f>3/10</f>
        <v>0.3</v>
      </c>
      <c r="E92" s="3">
        <f>4/10</f>
        <v>0.4</v>
      </c>
      <c r="F92" s="3">
        <f>2/10</f>
        <v>0.2</v>
      </c>
      <c r="G92" s="3"/>
      <c r="H92" s="3">
        <f>3/10</f>
        <v>0.3</v>
      </c>
      <c r="I92" s="3">
        <f>4/10</f>
        <v>0.4</v>
      </c>
      <c r="J92" s="3">
        <f>2/10</f>
        <v>0.2</v>
      </c>
      <c r="K92" s="3"/>
      <c r="L92" s="3">
        <f>3/10</f>
        <v>0.3</v>
      </c>
      <c r="M92" s="3">
        <f>4/10</f>
        <v>0.4</v>
      </c>
      <c r="N92" s="3">
        <f>2/10</f>
        <v>0.2</v>
      </c>
      <c r="O92" s="3"/>
      <c r="P92" s="3">
        <f>3/10</f>
        <v>0.3</v>
      </c>
      <c r="Q92" s="3">
        <f>4/10</f>
        <v>0.4</v>
      </c>
      <c r="R92" s="3">
        <f>2/10</f>
        <v>0.2</v>
      </c>
      <c r="S92" s="3"/>
      <c r="T92" s="3">
        <f>3/10</f>
        <v>0.3</v>
      </c>
      <c r="U92" s="3">
        <f>4/10</f>
        <v>0.4</v>
      </c>
      <c r="Y92" s="1"/>
      <c r="Z92" s="1"/>
      <c r="AK92" s="6"/>
      <c r="AL92" s="111"/>
      <c r="AM92" s="29"/>
      <c r="AN92" s="29"/>
      <c r="AO92" s="29"/>
      <c r="AP92" s="47"/>
      <c r="AQ92" s="29"/>
      <c r="AR92" s="202"/>
      <c r="AS92" s="202"/>
      <c r="AT92" s="202"/>
      <c r="BG92" s="75"/>
      <c r="BI92" s="13" t="s">
        <v>270</v>
      </c>
    </row>
    <row r="93" spans="1:65" ht="21" x14ac:dyDescent="0.2">
      <c r="A93" s="3"/>
      <c r="B93" s="3"/>
      <c r="C93" s="3">
        <v>1</v>
      </c>
      <c r="D93" s="3">
        <v>1</v>
      </c>
      <c r="E93" s="3">
        <v>1</v>
      </c>
      <c r="F93" s="3">
        <v>2</v>
      </c>
      <c r="G93" s="3">
        <v>2</v>
      </c>
      <c r="H93" s="3">
        <v>2</v>
      </c>
      <c r="I93" s="3">
        <v>2</v>
      </c>
      <c r="J93" s="3">
        <v>3</v>
      </c>
      <c r="K93" s="3">
        <v>3</v>
      </c>
      <c r="L93" s="3">
        <v>3</v>
      </c>
      <c r="M93" s="3">
        <v>3</v>
      </c>
      <c r="N93" s="3">
        <v>4</v>
      </c>
      <c r="O93" s="3">
        <v>4</v>
      </c>
      <c r="P93" s="3">
        <v>4</v>
      </c>
      <c r="Q93" s="3">
        <v>4</v>
      </c>
      <c r="R93" s="3">
        <v>5</v>
      </c>
      <c r="S93" s="3">
        <v>5</v>
      </c>
      <c r="T93" s="3">
        <v>5</v>
      </c>
      <c r="U93" s="3">
        <v>5</v>
      </c>
      <c r="W93" s="1" t="s">
        <v>271</v>
      </c>
      <c r="X93" s="128" t="s">
        <v>272</v>
      </c>
      <c r="Y93" s="106">
        <v>1</v>
      </c>
      <c r="Z93" s="106">
        <v>1</v>
      </c>
      <c r="AA93" s="107" t="str">
        <f t="shared" si="15"/>
        <v>WP43.11</v>
      </c>
      <c r="AB93" s="108" t="s">
        <v>31</v>
      </c>
      <c r="AC93" s="15"/>
      <c r="AD93" s="15"/>
      <c r="AE93" s="102"/>
      <c r="AF93" s="9"/>
      <c r="AH93" s="92"/>
      <c r="AI93" s="92"/>
      <c r="AJ93" s="92"/>
      <c r="AK93" s="6"/>
      <c r="AL93" s="6"/>
      <c r="AM93" s="29"/>
      <c r="AN93" s="29"/>
      <c r="AO93" s="29"/>
      <c r="AP93" s="47"/>
      <c r="AQ93" s="29"/>
      <c r="AR93" s="202"/>
      <c r="AS93" s="202"/>
      <c r="AT93" s="202"/>
    </row>
    <row r="94" spans="1:65" ht="22" thickBot="1" x14ac:dyDescent="0.25">
      <c r="A94" s="3"/>
      <c r="B94" s="3">
        <v>80</v>
      </c>
      <c r="C94" s="4" t="str">
        <f>layout&amp;"."&amp;$B94+C93+C92</f>
        <v>C47.81,2</v>
      </c>
      <c r="D94" s="4" t="str">
        <f>layout&amp;"."&amp;$B94+D93+D92</f>
        <v>C47.81,3</v>
      </c>
      <c r="F94" s="4" t="str">
        <f>layout&amp;"."&amp;$B94+F93+F92</f>
        <v>C47.82,2</v>
      </c>
      <c r="H94" s="4" t="str">
        <f>layout&amp;"."&amp;$B94+H93+H92</f>
        <v>C47.82,3</v>
      </c>
      <c r="J94" s="4" t="str">
        <f>layout&amp;"."&amp;$B94+J93+J92</f>
        <v>C47.83,2</v>
      </c>
      <c r="L94" s="4" t="str">
        <f>layout&amp;"."&amp;$B94+L93+L92</f>
        <v>C47.83,3</v>
      </c>
      <c r="N94" s="4" t="str">
        <f>layout&amp;"."&amp;$B94+N93+N92</f>
        <v>C47.84,2</v>
      </c>
      <c r="P94" s="4" t="str">
        <f>layout&amp;"."&amp;$B94+P93+P92</f>
        <v>C47.84,3</v>
      </c>
      <c r="R94" s="4" t="str">
        <f>layout&amp;"."&amp;$B94+R93+R92</f>
        <v>C47.85,2</v>
      </c>
      <c r="T94" s="4" t="str">
        <f>layout&amp;"."&amp;$B94+T93+T92</f>
        <v>C47.85,3</v>
      </c>
      <c r="X94" s="129" t="str">
        <f>X93</f>
        <v>WP43</v>
      </c>
      <c r="Y94" s="109">
        <v>1</v>
      </c>
      <c r="Z94" s="109">
        <v>2</v>
      </c>
      <c r="AA94" s="107" t="str">
        <f t="shared" si="15"/>
        <v>WP43.12</v>
      </c>
      <c r="AB94" s="108" t="s">
        <v>32</v>
      </c>
      <c r="AC94" s="15"/>
      <c r="AD94" s="15"/>
      <c r="AE94" s="102"/>
      <c r="AF94" s="15"/>
      <c r="AH94" s="90"/>
      <c r="AI94" s="90"/>
      <c r="AJ94" s="90"/>
      <c r="AK94" s="6"/>
      <c r="AL94" s="6"/>
      <c r="AM94" s="29"/>
      <c r="AN94" s="29"/>
      <c r="AO94" s="29"/>
      <c r="AP94" s="47"/>
      <c r="AQ94" s="29"/>
      <c r="AR94" s="202"/>
      <c r="AS94" s="202"/>
      <c r="AT94" s="202"/>
    </row>
    <row r="95" spans="1:65" ht="21" x14ac:dyDescent="0.2">
      <c r="A95" s="3">
        <v>0.1</v>
      </c>
      <c r="B95" s="3">
        <v>80</v>
      </c>
      <c r="C95" s="227" t="str">
        <f>layout&amp;"."&amp;$B97+C93+$A95</f>
        <v>C47.81,1</v>
      </c>
      <c r="D95" s="229"/>
      <c r="E95" s="226" t="str">
        <f>layout&amp;"."&amp;$B95+E93+E92</f>
        <v>C47.81,4</v>
      </c>
      <c r="F95" s="227" t="str">
        <f>layout&amp;"."&amp;$B95+F93+$A95</f>
        <v>C47.82,1</v>
      </c>
      <c r="G95" s="228">
        <f t="shared" ref="G95" si="35">$B97+G93+$A95</f>
        <v>82.1</v>
      </c>
      <c r="H95" s="229"/>
      <c r="I95" s="226" t="str">
        <f>layout&amp;"."&amp;$B95+I93+I92</f>
        <v>C47.82,4</v>
      </c>
      <c r="J95" s="227" t="str">
        <f>layout&amp;"."&amp;$B95+J93+$A95</f>
        <v>C47.83,1</v>
      </c>
      <c r="K95" s="228">
        <f t="shared" ref="K95" si="36">$B97+K93+$A95</f>
        <v>83.1</v>
      </c>
      <c r="L95" s="229"/>
      <c r="M95" s="226" t="str">
        <f>layout&amp;"."&amp;$B95+M93+M92</f>
        <v>C47.83,4</v>
      </c>
      <c r="N95" s="227" t="str">
        <f>layout&amp;"."&amp;$B95+N93+$A95</f>
        <v>C47.84,1</v>
      </c>
      <c r="O95" s="228">
        <f t="shared" ref="O95" si="37">$B97+O93+$A95</f>
        <v>84.1</v>
      </c>
      <c r="P95" s="229"/>
      <c r="Q95" s="226" t="str">
        <f>layout&amp;"."&amp;$B95+Q93+Q92</f>
        <v>C47.84,4</v>
      </c>
      <c r="R95" s="227" t="str">
        <f>layout&amp;"."&amp;$B95+R93+$A95</f>
        <v>C47.85,1</v>
      </c>
      <c r="S95" s="228">
        <f t="shared" ref="S95" si="38">$B97+S93+$A95</f>
        <v>85.1</v>
      </c>
      <c r="T95" s="229"/>
      <c r="U95" s="236" t="str">
        <f>layout&amp;"."&amp;$B95+U93+U92</f>
        <v>C47.85,4</v>
      </c>
      <c r="X95" s="129" t="str">
        <f t="shared" ref="X95:X135" si="39">X94</f>
        <v>WP43</v>
      </c>
      <c r="Y95" s="109">
        <v>1</v>
      </c>
      <c r="Z95" s="109">
        <v>3</v>
      </c>
      <c r="AA95" s="107" t="str">
        <f t="shared" si="15"/>
        <v>WP43.13</v>
      </c>
      <c r="AB95" s="108" t="s">
        <v>33</v>
      </c>
      <c r="AC95" s="15"/>
      <c r="AD95" s="15"/>
      <c r="AE95" s="102"/>
      <c r="AF95" s="15"/>
      <c r="AH95" s="90"/>
      <c r="AI95" s="90"/>
      <c r="AJ95" s="90"/>
      <c r="AK95" s="6"/>
      <c r="AL95" s="6"/>
      <c r="AM95" s="72" t="s">
        <v>34</v>
      </c>
      <c r="AX95" s="72" t="s">
        <v>35</v>
      </c>
      <c r="AY95" s="27" t="s">
        <v>36</v>
      </c>
      <c r="BG95" s="75"/>
    </row>
    <row r="96" spans="1:65" ht="22" thickBot="1" x14ac:dyDescent="0.25">
      <c r="A96" s="3">
        <v>0.1</v>
      </c>
      <c r="B96" s="3">
        <v>80</v>
      </c>
      <c r="C96" s="230"/>
      <c r="D96" s="232"/>
      <c r="E96" s="226" t="e">
        <f>layout&amp;"."&amp;$B96+E95+E94</f>
        <v>#VALUE!</v>
      </c>
      <c r="F96" s="230"/>
      <c r="G96" s="231"/>
      <c r="H96" s="232"/>
      <c r="I96" s="226" t="e">
        <f>layout&amp;"."&amp;$B96+I95+I94</f>
        <v>#VALUE!</v>
      </c>
      <c r="J96" s="230"/>
      <c r="K96" s="231"/>
      <c r="L96" s="232"/>
      <c r="M96" s="226" t="e">
        <f>layout&amp;"."&amp;$B96+M95+M94</f>
        <v>#VALUE!</v>
      </c>
      <c r="N96" s="230"/>
      <c r="O96" s="231"/>
      <c r="P96" s="232"/>
      <c r="Q96" s="226" t="e">
        <f>layout&amp;"."&amp;$B96+Q95+Q94</f>
        <v>#VALUE!</v>
      </c>
      <c r="R96" s="230"/>
      <c r="S96" s="231"/>
      <c r="T96" s="232"/>
      <c r="U96" s="236" t="e">
        <f>layout&amp;"."&amp;$B96+U95+U94</f>
        <v>#VALUE!</v>
      </c>
      <c r="X96" s="129" t="str">
        <f t="shared" si="39"/>
        <v>WP43</v>
      </c>
      <c r="Y96" s="109">
        <v>1</v>
      </c>
      <c r="Z96" s="109">
        <v>4</v>
      </c>
      <c r="AA96" s="107" t="str">
        <f t="shared" si="15"/>
        <v>WP43.14</v>
      </c>
      <c r="AB96" s="108" t="s">
        <v>37</v>
      </c>
      <c r="AC96" s="15"/>
      <c r="AD96" s="15"/>
      <c r="AE96" s="102"/>
      <c r="AF96" s="15"/>
      <c r="AH96" s="90"/>
      <c r="AI96" s="90"/>
      <c r="AJ96" s="90"/>
      <c r="AK96" s="6"/>
      <c r="AL96" s="6"/>
      <c r="AM96" s="29"/>
      <c r="AN96" s="29"/>
      <c r="AO96" s="29"/>
      <c r="AP96" s="47"/>
      <c r="AQ96" s="29"/>
      <c r="AR96" s="202"/>
      <c r="AS96" s="202"/>
      <c r="AT96" s="202"/>
      <c r="BG96" s="75"/>
    </row>
    <row r="97" spans="1:77" ht="22" thickBot="1" x14ac:dyDescent="0.25">
      <c r="A97" s="3">
        <v>0.1</v>
      </c>
      <c r="B97" s="3">
        <v>80</v>
      </c>
      <c r="C97" s="233"/>
      <c r="D97" s="235"/>
      <c r="E97" s="226" t="e">
        <f>layout&amp;"."&amp;$B97+E96+E95</f>
        <v>#VALUE!</v>
      </c>
      <c r="F97" s="233"/>
      <c r="G97" s="234"/>
      <c r="H97" s="235"/>
      <c r="I97" s="226" t="e">
        <f>layout&amp;"."&amp;$B97+I96+I95</f>
        <v>#VALUE!</v>
      </c>
      <c r="J97" s="233"/>
      <c r="K97" s="234"/>
      <c r="L97" s="235"/>
      <c r="M97" s="226" t="e">
        <f>layout&amp;"."&amp;$B97+M96+M95</f>
        <v>#VALUE!</v>
      </c>
      <c r="N97" s="233"/>
      <c r="O97" s="234"/>
      <c r="P97" s="235"/>
      <c r="Q97" s="226" t="e">
        <f>layout&amp;"."&amp;$B97+Q96+Q95</f>
        <v>#VALUE!</v>
      </c>
      <c r="R97" s="233"/>
      <c r="S97" s="234"/>
      <c r="T97" s="235"/>
      <c r="U97" s="236" t="e">
        <f>layout&amp;"."&amp;$B97+U96+U95</f>
        <v>#VALUE!</v>
      </c>
      <c r="X97" s="129" t="str">
        <f t="shared" si="39"/>
        <v>WP43</v>
      </c>
      <c r="Y97" s="109">
        <v>1</v>
      </c>
      <c r="Z97" s="109">
        <v>5</v>
      </c>
      <c r="AA97" s="107" t="str">
        <f t="shared" si="15"/>
        <v>WP43.15</v>
      </c>
      <c r="AB97" s="108" t="s">
        <v>37</v>
      </c>
      <c r="AC97" s="15"/>
      <c r="AD97" s="15"/>
      <c r="AE97" s="102"/>
      <c r="AF97" s="15"/>
      <c r="AH97" s="90"/>
      <c r="AI97" s="90"/>
      <c r="AJ97" s="90"/>
      <c r="AK97" s="6"/>
      <c r="AL97" s="185" t="str">
        <f>X97</f>
        <v>WP43</v>
      </c>
      <c r="AM97" s="224" t="s">
        <v>39</v>
      </c>
      <c r="AN97" s="224"/>
      <c r="AO97" s="224"/>
      <c r="AP97" s="71" t="s">
        <v>40</v>
      </c>
      <c r="AQ97" s="31" t="s">
        <v>41</v>
      </c>
      <c r="AR97" s="189" t="s">
        <v>42</v>
      </c>
      <c r="AS97" s="190" t="s">
        <v>42</v>
      </c>
      <c r="AT97" s="191" t="s">
        <v>42</v>
      </c>
      <c r="AX97" s="97" t="s">
        <v>273</v>
      </c>
      <c r="AY97" s="97" t="s">
        <v>274</v>
      </c>
      <c r="BG97" s="75"/>
    </row>
    <row r="98" spans="1:77" ht="22" thickBot="1" x14ac:dyDescent="0.25">
      <c r="X98" s="129" t="str">
        <f t="shared" si="39"/>
        <v>WP43</v>
      </c>
      <c r="Y98" s="109">
        <v>1</v>
      </c>
      <c r="Z98" s="109">
        <v>6</v>
      </c>
      <c r="AA98" s="107" t="str">
        <f t="shared" si="15"/>
        <v>WP43.16</v>
      </c>
      <c r="AB98" s="110" t="s">
        <v>43</v>
      </c>
      <c r="AC98" s="30"/>
      <c r="AD98" s="30"/>
      <c r="AE98" s="102"/>
      <c r="AF98" s="30"/>
      <c r="AH98" s="90"/>
      <c r="AI98" s="90"/>
      <c r="AJ98" s="90"/>
      <c r="AK98" s="6"/>
      <c r="AL98" s="1"/>
      <c r="BG98" s="75"/>
    </row>
    <row r="99" spans="1:77" ht="21" x14ac:dyDescent="0.2">
      <c r="X99" s="129" t="str">
        <f t="shared" si="39"/>
        <v>WP43</v>
      </c>
      <c r="Y99" s="106">
        <v>2</v>
      </c>
      <c r="Z99" s="106">
        <v>1</v>
      </c>
      <c r="AA99" s="112" t="str">
        <f t="shared" si="15"/>
        <v>WP43.21</v>
      </c>
      <c r="AB99" s="113" t="s">
        <v>54</v>
      </c>
      <c r="AC99" s="114" t="s">
        <v>49</v>
      </c>
      <c r="AD99" s="115" t="s">
        <v>275</v>
      </c>
      <c r="AE99" s="116"/>
      <c r="AF99" s="51" t="s">
        <v>50</v>
      </c>
      <c r="AG99" s="77" t="b">
        <f>AF99=AH99</f>
        <v>0</v>
      </c>
      <c r="AH99" s="80" t="str">
        <f t="shared" ref="AH99:AH135" si="40">INDEX(labelitem,MATCH(AR99,items,0),1)</f>
        <v>[ aINTL ]</v>
      </c>
      <c r="AI99" s="81" t="str">
        <f t="shared" ref="AI99:AI135" si="41">INDEX(labelitem,MATCH(AS99,items,0),1)</f>
        <v>Alpha</v>
      </c>
      <c r="AJ99" s="82" t="str">
        <f t="shared" ref="AJ99:AJ135" si="42">INDEX(labelitem,MATCH(AT99,items,0),1)</f>
        <v>Reg A</v>
      </c>
      <c r="AK99" s="6"/>
      <c r="AL99" s="8" t="str">
        <f t="shared" ref="AL99:AL135" si="43">"{"&amp;Y99*10+Z99</f>
        <v>{21</v>
      </c>
      <c r="AM99" s="27" t="str">
        <f t="shared" ref="AM99:AM135" si="44">VLOOKUP(AB99,labelitem,2,0)</f>
        <v>ITM_1ONX</v>
      </c>
      <c r="AN99" s="27" t="str">
        <f t="shared" ref="AN99:AN135" si="45">VLOOKUP(AC99,labelitem,2,0)</f>
        <v>ITM_TGLFRT</v>
      </c>
      <c r="AO99" s="167" t="str">
        <f t="shared" ref="AO99:AO135" si="46">VLOOKUP(AD99,labelitem,2,0)</f>
        <v>MNU_UNITCONV</v>
      </c>
      <c r="AP99" s="46" t="str">
        <f>IF(NOT(ISNA(MATCH(AM99,Lookups!E:E,))),VLOOKUP(AM99,Lookups!E:F,2,0),
IF(NOT(ISNA(MATCH(AN99,Lookups!E:E,))),VLOOKUP(AN99,Lookups!E:F,2,0),
IF(NOT(ISNA(MATCH(AO99,Lookups!E:E,))),VLOOKUP(AO99,Lookups!E:F,2,0),"ITM_NULL")))</f>
        <v>ITM_NULL</v>
      </c>
      <c r="AQ99" s="28" t="str">
        <f t="shared" ref="AQ99:AQ135" si="47">VLOOKUP(AF99,labelitem,2,0)</f>
        <v>ITM_A</v>
      </c>
      <c r="AR99" s="192" t="s">
        <v>276</v>
      </c>
      <c r="AS99" s="193" t="s">
        <v>277</v>
      </c>
      <c r="AT99" s="194" t="s">
        <v>53</v>
      </c>
      <c r="AW99" s="14" t="str">
        <f>AL99</f>
        <v>{21</v>
      </c>
      <c r="AX99" s="157" t="str" cm="1">
        <f t="array" ref="AX99">SUBSTITUTE(SUBSTITUTE(_xlfn.SWITCH(AM99, "ITM_T_HOME", "ITM_UP1", "ITM_T_END", "ITM_DOWN1", "DOCU_CHR_sub", "ITM_DOWN_ARROW", "DOCU_CHR_super", "ITM_UP_ARROW", "MNU_TAMALPHA", "ITM_alpha", "DOCU_CHR_caseFLIP", "ITM_NULL", "DOCU_CHR_numSET", "ITM_NULL", "DOCU_ITM_RADIX", "ITM_PERIOD", AM99), ".lo", ),"MNU_", "-MNU_")</f>
        <v>ITM_1ONX</v>
      </c>
      <c r="AY99" s="157" t="str" cm="1">
        <f t="array" ref="AY99">SUBSTITUTE(SUBSTITUTE(_xlfn.SWITCH(AN99, "ITM_T_HOME", "ITM_UP1", "ITM_T_END", "ITM_DOWN1", "DOCU_CHR_sub", "ITM_DOWN_ARROW", "DOCU_CHR_super", "ITM_UP_ARROW", "MNU_TAMALPHA", "ITM_alpha", "DOCU_CHR_caseFLIP", "ITM_NULL", "DOCU_CHR_numSET", "ITM_NULL", "DOCU_ITM_RADIX", "ITM_PERIOD", AN99), ".lo", ),"MNU_", "-MNU_")</f>
        <v>ITM_TGLFRT</v>
      </c>
      <c r="AZ99" s="157" t="str" cm="1">
        <f t="array" ref="AZ99">SUBSTITUTE(SUBSTITUTE(_xlfn.SWITCH(AO99, "ITM_T_HOME", "ITM_UP1", "ITM_T_END", "ITM_DOWN1", "DOCU_CHR_sub", "ITM_DOWN_ARROW", "DOCU_CHR_super", "ITM_UP_ARROW", "MNU_TAMALPHA", "ITM_alpha", "DOCU_CHR_caseFLIP", "ITM_NULL", "DOCU_CHR_numSET", "ITM_NULL", "DOCU_ITM_RADIX", "ITM_PERIOD", AO99), ".lo", ),"MNU_", "-MNU_")</f>
        <v>-MNU_UNITCONV</v>
      </c>
      <c r="BA99" s="173" t="str" cm="1">
        <f t="array" ref="BA99">SUBSTITUTE(SUBSTITUTE(_xlfn.SWITCH(AP99, "ITM_T_HOME", "ITM_UP1", "ITM_T_END", "ITM_DOWN1", "DOCU_CHR_sub", "ITM_DOWN_ARROW", "DOCU_CHR_super", "ITM_UP_ARROW", "MNU_TAMALPHA", "ITM_alpha", "DOCU_CHR_caseFLIP", "ITM_NULL", "DOCU_CHR_numSET", "ITM_NULL", "DOCU_ITM_RADIX", "ITM_PERIOD", AP99), ".lo", ),"MNU_", "-MNU_")</f>
        <v>ITM_NULL</v>
      </c>
      <c r="BB99" s="157" t="str" cm="1">
        <f t="array" ref="BB99">SUBSTITUTE(SUBSTITUTE(_xlfn.SWITCH(AQ99, "ITM_T_HOME", "ITM_UP1", "ITM_T_END", "ITM_DOWN1", "DOCU_CHR_sub", "ITM_DOWN_ARROW", "DOCU_CHR_super", "ITM_UP_ARROW", "MNU_TAMALPHA", "ITM_alpha", "DOCU_CHR_caseFLIP", "ITM_NULL", "DOCU_CHR_numSET", "ITM_NULL", "DOCU_ITM_RADIX", "ITM_PERIOD", AQ99), ".lo", ),"MNU_", "-MNU_")</f>
        <v>ITM_A</v>
      </c>
      <c r="BC99" s="157" t="str" cm="1">
        <f t="array" ref="BC99">SUBSTITUTE(SUBSTITUTE(_xlfn.SWITCH(AR99, "ITM_T_HOME", "ITM_UP1", "ITM_T_END", "ITM_DOWN1", "DOCU_CHR_sub", "ITM_DOWN_ARROW", "DOCU_CHR_super", "ITM_UP_ARROW", "MNU_TAMALPHA", "ITM_alpha", "DOCU_CHR_caseFLIP", "ITM_NULL", "DOCU_CHR_numSET", "ITM_NULL", "DOCU_ITM_RADIX", "ITM_PERIOD", AR99), ".lo", ),"MNU_", "-MNU_")</f>
        <v>-MNU_ALPHAINTL</v>
      </c>
      <c r="BD99" s="157" t="str" cm="1">
        <f t="array" ref="BD99">SUBSTITUTE(SUBSTITUTE(_xlfn.SWITCH(AS99, "ITM_T_HOME", "ITM_UP1", "ITM_T_END", "ITM_DOWN1", "DOCU_CHR_sub", "ITM_DOWN_ARROW", "DOCU_CHR_super", "ITM_UP_ARROW", "MNU_TAMALPHA", "ITM_alpha", "DOCU_CHR_caseFLIP", "ITM_NULL", "DOCU_CHR_numSET", "ITM_NULL", "DOCU_ITM_RADIX", "ITM_PERIOD", AS99), ".lo", ),"MNU_", "-MNU_")</f>
        <v>ITM_ALPHA</v>
      </c>
      <c r="BE99" s="157" t="str" cm="1">
        <f t="array" ref="BE99">SUBSTITUTE(SUBSTITUTE(_xlfn.SWITCH(AT99, "ITM_T_HOME", "ITM_UP1", "ITM_T_END", "ITM_DOWN1", "DOCU_CHR_sub", "ITM_DOWN_ARROW", "DOCU_CHR_super", "ITM_UP_ARROW", "MNU_TAMALPHA", "ITM_alpha", "DOCU_CHR_caseFLIP", "ITM_NULL", "DOCU_CHR_numSET", "ITM_NULL", "DOCU_ITM_RADIX", "ITM_PERIOD", AT99), ".lo", ),"MNU_", "-MNU_")</f>
        <v>ITM_REG_A</v>
      </c>
      <c r="BG99" s="75"/>
      <c r="BR99" s="1" t="s">
        <v>278</v>
      </c>
      <c r="BS99" s="1" t="s">
        <v>279</v>
      </c>
      <c r="BT99" s="1" t="s">
        <v>280</v>
      </c>
      <c r="BU99" s="1" t="s">
        <v>81</v>
      </c>
      <c r="BV99" s="1" t="s">
        <v>281</v>
      </c>
      <c r="BW99" s="1" t="s">
        <v>276</v>
      </c>
      <c r="BX99" s="1" t="s">
        <v>277</v>
      </c>
      <c r="BY99" s="1" t="s">
        <v>53</v>
      </c>
    </row>
    <row r="100" spans="1:77" ht="21" x14ac:dyDescent="0.2">
      <c r="X100" s="129" t="str">
        <f t="shared" si="39"/>
        <v>WP43</v>
      </c>
      <c r="Y100" s="109">
        <v>2</v>
      </c>
      <c r="Z100" s="109">
        <v>2</v>
      </c>
      <c r="AA100" s="112" t="str">
        <f t="shared" si="15"/>
        <v>WP43.22</v>
      </c>
      <c r="AB100" s="117" t="s">
        <v>149</v>
      </c>
      <c r="AC100" s="121" t="s">
        <v>282</v>
      </c>
      <c r="AD100" s="119" t="s">
        <v>196</v>
      </c>
      <c r="AE100" s="3"/>
      <c r="AF100" s="52" t="s">
        <v>57</v>
      </c>
      <c r="AG100" s="77" t="b">
        <f t="shared" ref="AG100:AG135" si="48">AF100=AH100</f>
        <v>0</v>
      </c>
      <c r="AH100" s="83" t="str">
        <f t="shared" si="40"/>
        <v>#</v>
      </c>
      <c r="AI100" s="84" t="str">
        <f t="shared" si="41"/>
        <v>Beta</v>
      </c>
      <c r="AJ100" s="85" t="str">
        <f t="shared" si="42"/>
        <v>Reg B</v>
      </c>
      <c r="AK100" s="6"/>
      <c r="AL100" s="8" t="str">
        <f t="shared" si="43"/>
        <v>{22</v>
      </c>
      <c r="AM100" s="27" t="str">
        <f t="shared" si="44"/>
        <v>MNU_EXP</v>
      </c>
      <c r="AN100" s="27" t="str">
        <f t="shared" si="45"/>
        <v>ITM_toINT</v>
      </c>
      <c r="AO100" s="27" t="str">
        <f t="shared" si="46"/>
        <v>MNU_BITS</v>
      </c>
      <c r="AP100" s="46" t="str">
        <f>IF(NOT(ISNA(MATCH(AM100,Lookups!E:E,))),VLOOKUP(AM100,Lookups!E:F,2,0),
IF(NOT(ISNA(MATCH(AN100,Lookups!E:E,))),VLOOKUP(AN100,Lookups!E:F,2,0),
IF(NOT(ISNA(MATCH(AO100,Lookups!E:E,))),VLOOKUP(AO100,Lookups!E:F,2,0),"ITM_NULL")))</f>
        <v>ITM_NULL</v>
      </c>
      <c r="AQ100" s="28" t="str">
        <f t="shared" si="47"/>
        <v>ITM_B</v>
      </c>
      <c r="AR100" s="195" t="s">
        <v>283</v>
      </c>
      <c r="AS100" s="186" t="s">
        <v>284</v>
      </c>
      <c r="AT100" s="196" t="s">
        <v>60</v>
      </c>
      <c r="AW100" s="14" t="str">
        <f t="shared" ref="AW100:AW135" si="49">AL100</f>
        <v>{22</v>
      </c>
      <c r="AX100" s="157" t="str" cm="1">
        <f t="array" ref="AX100">SUBSTITUTE(SUBSTITUTE(_xlfn.SWITCH(AM100, "ITM_T_HOME", "ITM_UP1", "ITM_T_END", "ITM_DOWN1", "DOCU_CHR_sub", "ITM_DOWN_ARROW", "DOCU_CHR_super", "ITM_UP_ARROW", "MNU_TAMALPHA", "ITM_alpha", "DOCU_CHR_caseFLIP", "ITM_NULL", "DOCU_CHR_numSET", "ITM_NULL", "DOCU_ITM_RADIX", "ITM_PERIOD", AM100), ".lo", ),"MNU_", "-MNU_")</f>
        <v>-MNU_EXP</v>
      </c>
      <c r="AY100" s="157" t="str" cm="1">
        <f t="array" ref="AY100">SUBSTITUTE(SUBSTITUTE(_xlfn.SWITCH(AN100, "ITM_T_HOME", "ITM_UP1", "ITM_T_END", "ITM_DOWN1", "DOCU_CHR_sub", "ITM_DOWN_ARROW", "DOCU_CHR_super", "ITM_UP_ARROW", "MNU_TAMALPHA", "ITM_alpha", "DOCU_CHR_caseFLIP", "ITM_NULL", "DOCU_CHR_numSET", "ITM_NULL", "DOCU_ITM_RADIX", "ITM_PERIOD", AN100), ".lo", ),"MNU_", "-MNU_")</f>
        <v>ITM_toINT</v>
      </c>
      <c r="AZ100" s="157" t="str" cm="1">
        <f t="array" ref="AZ100">SUBSTITUTE(SUBSTITUTE(_xlfn.SWITCH(AO100, "ITM_T_HOME", "ITM_UP1", "ITM_T_END", "ITM_DOWN1", "DOCU_CHR_sub", "ITM_DOWN_ARROW", "DOCU_CHR_super", "ITM_UP_ARROW", "MNU_TAMALPHA", "ITM_alpha", "DOCU_CHR_caseFLIP", "ITM_NULL", "DOCU_CHR_numSET", "ITM_NULL", "DOCU_ITM_RADIX", "ITM_PERIOD", AO100), ".lo", ),"MNU_", "-MNU_")</f>
        <v>-MNU_BITS</v>
      </c>
      <c r="BA100" s="173" t="str" cm="1">
        <f t="array" ref="BA100">SUBSTITUTE(SUBSTITUTE(_xlfn.SWITCH(AP100, "ITM_T_HOME", "ITM_UP1", "ITM_T_END", "ITM_DOWN1", "DOCU_CHR_sub", "ITM_DOWN_ARROW", "DOCU_CHR_super", "ITM_UP_ARROW", "MNU_TAMALPHA", "ITM_alpha", "DOCU_CHR_caseFLIP", "ITM_NULL", "DOCU_CHR_numSET", "ITM_NULL", "DOCU_ITM_RADIX", "ITM_PERIOD", AP100), ".lo", ),"MNU_", "-MNU_")</f>
        <v>ITM_NULL</v>
      </c>
      <c r="BB100" s="157" t="str" cm="1">
        <f t="array" ref="BB100">SUBSTITUTE(SUBSTITUTE(_xlfn.SWITCH(AQ100, "ITM_T_HOME", "ITM_UP1", "ITM_T_END", "ITM_DOWN1", "DOCU_CHR_sub", "ITM_DOWN_ARROW", "DOCU_CHR_super", "ITM_UP_ARROW", "MNU_TAMALPHA", "ITM_alpha", "DOCU_CHR_caseFLIP", "ITM_NULL", "DOCU_CHR_numSET", "ITM_NULL", "DOCU_ITM_RADIX", "ITM_PERIOD", AQ100), ".lo", ),"MNU_", "-MNU_")</f>
        <v>ITM_B</v>
      </c>
      <c r="BC100" s="157" t="str" cm="1">
        <f t="array" ref="BC100">SUBSTITUTE(SUBSTITUTE(_xlfn.SWITCH(AR100, "ITM_T_HOME", "ITM_UP1", "ITM_T_END", "ITM_DOWN1", "DOCU_CHR_sub", "ITM_DOWN_ARROW", "DOCU_CHR_super", "ITM_UP_ARROW", "MNU_TAMALPHA", "ITM_alpha", "DOCU_CHR_caseFLIP", "ITM_NULL", "DOCU_CHR_numSET", "ITM_NULL", "DOCU_ITM_RADIX", "ITM_PERIOD", AR100), ".lo", ),"MNU_", "-MNU_")</f>
        <v>ITM_NUMBER_SIGN</v>
      </c>
      <c r="BD100" s="157" t="str" cm="1">
        <f t="array" ref="BD100">SUBSTITUTE(SUBSTITUTE(_xlfn.SWITCH(AS100, "ITM_T_HOME", "ITM_UP1", "ITM_T_END", "ITM_DOWN1", "DOCU_CHR_sub", "ITM_DOWN_ARROW", "DOCU_CHR_super", "ITM_UP_ARROW", "MNU_TAMALPHA", "ITM_alpha", "DOCU_CHR_caseFLIP", "ITM_NULL", "DOCU_CHR_numSET", "ITM_NULL", "DOCU_ITM_RADIX", "ITM_PERIOD", AS100), ".lo", ),"MNU_", "-MNU_")</f>
        <v>ITM_BETA</v>
      </c>
      <c r="BE100" s="157" t="str" cm="1">
        <f t="array" ref="BE100">SUBSTITUTE(SUBSTITUTE(_xlfn.SWITCH(AT100, "ITM_T_HOME", "ITM_UP1", "ITM_T_END", "ITM_DOWN1", "DOCU_CHR_sub", "ITM_DOWN_ARROW", "DOCU_CHR_super", "ITM_UP_ARROW", "MNU_TAMALPHA", "ITM_alpha", "DOCU_CHR_caseFLIP", "ITM_NULL", "DOCU_CHR_numSET", "ITM_NULL", "DOCU_ITM_RADIX", "ITM_PERIOD", AT100), ".lo", ),"MNU_", "-MNU_")</f>
        <v>ITM_REG_B</v>
      </c>
      <c r="BG100" s="75"/>
      <c r="BR100" s="1" t="s">
        <v>285</v>
      </c>
      <c r="BS100" s="1" t="s">
        <v>286</v>
      </c>
      <c r="BT100" s="1" t="s">
        <v>287</v>
      </c>
      <c r="BU100" s="1" t="s">
        <v>283</v>
      </c>
      <c r="BV100" s="1" t="s">
        <v>288</v>
      </c>
      <c r="BW100" s="1" t="s">
        <v>283</v>
      </c>
      <c r="BX100" s="1" t="s">
        <v>284</v>
      </c>
      <c r="BY100" s="1" t="s">
        <v>60</v>
      </c>
    </row>
    <row r="101" spans="1:77" ht="21" x14ac:dyDescent="0.2">
      <c r="X101" s="129" t="str">
        <f t="shared" si="39"/>
        <v>WP43</v>
      </c>
      <c r="Y101" s="109">
        <v>2</v>
      </c>
      <c r="Z101" s="109">
        <v>3</v>
      </c>
      <c r="AA101" s="112" t="str">
        <f t="shared" si="15"/>
        <v>WP43.23</v>
      </c>
      <c r="AB101" s="117" t="s">
        <v>634</v>
      </c>
      <c r="AC101" s="118" t="s">
        <v>289</v>
      </c>
      <c r="AD101" s="119" t="s">
        <v>290</v>
      </c>
      <c r="AE101" s="3"/>
      <c r="AF101" s="52" t="s">
        <v>64</v>
      </c>
      <c r="AG101" s="77" t="b">
        <f t="shared" si="48"/>
        <v>0</v>
      </c>
      <c r="AH101" s="83" t="str">
        <f t="shared" si="40"/>
        <v>(</v>
      </c>
      <c r="AI101" s="84" t="str">
        <f t="shared" si="41"/>
        <v>Gamma</v>
      </c>
      <c r="AJ101" s="85" t="str">
        <f t="shared" si="42"/>
        <v>Reg C</v>
      </c>
      <c r="AK101" s="6"/>
      <c r="AL101" s="8" t="str">
        <f t="shared" si="43"/>
        <v>{23</v>
      </c>
      <c r="AM101" s="167" t="str">
        <f t="shared" si="44"/>
        <v>MNU_TRI</v>
      </c>
      <c r="AN101" s="27" t="str">
        <f t="shared" si="45"/>
        <v>ITM_DMS</v>
      </c>
      <c r="AO101" s="167" t="str">
        <f t="shared" si="46"/>
        <v>MNU_ANGLECONV_43S</v>
      </c>
      <c r="AP101" s="46" t="str">
        <f>IF(NOT(ISNA(MATCH(AM101,Lookups!E:E,))),VLOOKUP(AM101,Lookups!E:F,2,0),
IF(NOT(ISNA(MATCH(AN101,Lookups!E:E,))),VLOOKUP(AN101,Lookups!E:F,2,0),
IF(NOT(ISNA(MATCH(AO101,Lookups!E:E,))),VLOOKUP(AO101,Lookups!E:F,2,0),"ITM_NULL")))</f>
        <v>ITM_NULL</v>
      </c>
      <c r="AQ101" s="28" t="str">
        <f t="shared" si="47"/>
        <v>ITM_C</v>
      </c>
      <c r="AR101" s="195" t="s">
        <v>291</v>
      </c>
      <c r="AS101" s="186" t="s">
        <v>292</v>
      </c>
      <c r="AT101" s="196" t="s">
        <v>67</v>
      </c>
      <c r="AW101" s="14" t="str">
        <f t="shared" si="49"/>
        <v>{23</v>
      </c>
      <c r="AX101" s="157" t="str" cm="1">
        <f t="array" ref="AX101">SUBSTITUTE(SUBSTITUTE(_xlfn.SWITCH(AM101, "ITM_T_HOME", "ITM_UP1", "ITM_T_END", "ITM_DOWN1", "DOCU_CHR_sub", "ITM_DOWN_ARROW", "DOCU_CHR_super", "ITM_UP_ARROW", "MNU_TAMALPHA", "ITM_alpha", "DOCU_CHR_caseFLIP", "ITM_NULL", "DOCU_CHR_numSET", "ITM_NULL", "DOCU_ITM_RADIX", "ITM_PERIOD", AM101), ".lo", ),"MNU_", "-MNU_")</f>
        <v>-MNU_TRI</v>
      </c>
      <c r="AY101" s="157" t="str" cm="1">
        <f t="array" ref="AY101">SUBSTITUTE(SUBSTITUTE(_xlfn.SWITCH(AN101, "ITM_T_HOME", "ITM_UP1", "ITM_T_END", "ITM_DOWN1", "DOCU_CHR_sub", "ITM_DOWN_ARROW", "DOCU_CHR_super", "ITM_UP_ARROW", "MNU_TAMALPHA", "ITM_alpha", "DOCU_CHR_caseFLIP", "ITM_NULL", "DOCU_CHR_numSET", "ITM_NULL", "DOCU_ITM_RADIX", "ITM_PERIOD", AN101), ".lo", ),"MNU_", "-MNU_")</f>
        <v>ITM_DMS</v>
      </c>
      <c r="AZ101" s="157" t="str" cm="1">
        <f t="array" ref="AZ101">SUBSTITUTE(SUBSTITUTE(_xlfn.SWITCH(AO101, "ITM_T_HOME", "ITM_UP1", "ITM_T_END", "ITM_DOWN1", "DOCU_CHR_sub", "ITM_DOWN_ARROW", "DOCU_CHR_super", "ITM_UP_ARROW", "MNU_TAMALPHA", "ITM_alpha", "DOCU_CHR_caseFLIP", "ITM_NULL", "DOCU_CHR_numSET", "ITM_NULL", "DOCU_ITM_RADIX", "ITM_PERIOD", AO101), ".lo", ),"MNU_", "-MNU_")</f>
        <v>-MNU_ANGLECONV_43S</v>
      </c>
      <c r="BA101" s="173" t="str" cm="1">
        <f t="array" ref="BA101">SUBSTITUTE(SUBSTITUTE(_xlfn.SWITCH(AP101, "ITM_T_HOME", "ITM_UP1", "ITM_T_END", "ITM_DOWN1", "DOCU_CHR_sub", "ITM_DOWN_ARROW", "DOCU_CHR_super", "ITM_UP_ARROW", "MNU_TAMALPHA", "ITM_alpha", "DOCU_CHR_caseFLIP", "ITM_NULL", "DOCU_CHR_numSET", "ITM_NULL", "DOCU_ITM_RADIX", "ITM_PERIOD", AP101), ".lo", ),"MNU_", "-MNU_")</f>
        <v>ITM_NULL</v>
      </c>
      <c r="BB101" s="157" t="str" cm="1">
        <f t="array" ref="BB101">SUBSTITUTE(SUBSTITUTE(_xlfn.SWITCH(AQ101, "ITM_T_HOME", "ITM_UP1", "ITM_T_END", "ITM_DOWN1", "DOCU_CHR_sub", "ITM_DOWN_ARROW", "DOCU_CHR_super", "ITM_UP_ARROW", "MNU_TAMALPHA", "ITM_alpha", "DOCU_CHR_caseFLIP", "ITM_NULL", "DOCU_CHR_numSET", "ITM_NULL", "DOCU_ITM_RADIX", "ITM_PERIOD", AQ101), ".lo", ),"MNU_", "-MNU_")</f>
        <v>ITM_C</v>
      </c>
      <c r="BC101" s="157" t="str" cm="1">
        <f t="array" ref="BC101">SUBSTITUTE(SUBSTITUTE(_xlfn.SWITCH(AR101, "ITM_T_HOME", "ITM_UP1", "ITM_T_END", "ITM_DOWN1", "DOCU_CHR_sub", "ITM_DOWN_ARROW", "DOCU_CHR_super", "ITM_UP_ARROW", "MNU_TAMALPHA", "ITM_alpha", "DOCU_CHR_caseFLIP", "ITM_NULL", "DOCU_CHR_numSET", "ITM_NULL", "DOCU_ITM_RADIX", "ITM_PERIOD", AR101), ".lo", ),"MNU_", "-MNU_")</f>
        <v>ITM_LEFT_PARENTHESIS</v>
      </c>
      <c r="BD101" s="157" t="str" cm="1">
        <f t="array" ref="BD101">SUBSTITUTE(SUBSTITUTE(_xlfn.SWITCH(AS101, "ITM_T_HOME", "ITM_UP1", "ITM_T_END", "ITM_DOWN1", "DOCU_CHR_sub", "ITM_DOWN_ARROW", "DOCU_CHR_super", "ITM_UP_ARROW", "MNU_TAMALPHA", "ITM_alpha", "DOCU_CHR_caseFLIP", "ITM_NULL", "DOCU_CHR_numSET", "ITM_NULL", "DOCU_ITM_RADIX", "ITM_PERIOD", AS101), ".lo", ),"MNU_", "-MNU_")</f>
        <v>ITM_GAMMA</v>
      </c>
      <c r="BE101" s="157" t="str" cm="1">
        <f t="array" ref="BE101">SUBSTITUTE(SUBSTITUTE(_xlfn.SWITCH(AT101, "ITM_T_HOME", "ITM_UP1", "ITM_T_END", "ITM_DOWN1", "DOCU_CHR_sub", "ITM_DOWN_ARROW", "DOCU_CHR_super", "ITM_UP_ARROW", "MNU_TAMALPHA", "ITM_alpha", "DOCU_CHR_caseFLIP", "ITM_NULL", "DOCU_CHR_numSET", "ITM_NULL", "DOCU_ITM_RADIX", "ITM_PERIOD", AT101), ".lo", ),"MNU_", "-MNU_")</f>
        <v>ITM_REG_C</v>
      </c>
      <c r="BG101" s="75"/>
      <c r="BR101" s="1" t="s">
        <v>293</v>
      </c>
      <c r="BS101" s="1" t="s">
        <v>294</v>
      </c>
      <c r="BT101" s="1" t="s">
        <v>295</v>
      </c>
      <c r="BU101" s="1" t="s">
        <v>81</v>
      </c>
      <c r="BV101" s="1" t="s">
        <v>296</v>
      </c>
      <c r="BW101" s="1" t="s">
        <v>291</v>
      </c>
      <c r="BX101" s="1" t="s">
        <v>292</v>
      </c>
      <c r="BY101" s="1" t="s">
        <v>67</v>
      </c>
    </row>
    <row r="102" spans="1:77" ht="21" x14ac:dyDescent="0.2">
      <c r="X102" s="129" t="str">
        <f t="shared" si="39"/>
        <v>WP43</v>
      </c>
      <c r="Y102" s="109">
        <v>2</v>
      </c>
      <c r="Z102" s="109">
        <v>4</v>
      </c>
      <c r="AA102" s="112" t="str">
        <f t="shared" si="15"/>
        <v>WP43.24</v>
      </c>
      <c r="AB102" s="117" t="s">
        <v>297</v>
      </c>
      <c r="AC102" s="118" t="s">
        <v>70</v>
      </c>
      <c r="AD102" s="119" t="s">
        <v>68</v>
      </c>
      <c r="AE102" s="3"/>
      <c r="AF102" s="52" t="s">
        <v>71</v>
      </c>
      <c r="AG102" s="77" t="b">
        <f t="shared" si="48"/>
        <v>0</v>
      </c>
      <c r="AH102" s="83" t="str">
        <f t="shared" si="40"/>
        <v>)</v>
      </c>
      <c r="AI102" s="84" t="str">
        <f t="shared" si="41"/>
        <v>Delta</v>
      </c>
      <c r="AJ102" s="85" t="str">
        <f t="shared" si="42"/>
        <v>Reg D</v>
      </c>
      <c r="AK102" s="6"/>
      <c r="AL102" s="8" t="str">
        <f t="shared" si="43"/>
        <v>{24</v>
      </c>
      <c r="AM102" s="27" t="str">
        <f t="shared" si="44"/>
        <v>ITM_LN</v>
      </c>
      <c r="AN102" s="27" t="str">
        <f t="shared" si="45"/>
        <v>ITM_dotD</v>
      </c>
      <c r="AO102" s="27" t="str">
        <f t="shared" si="46"/>
        <v>ITM_LOG10</v>
      </c>
      <c r="AP102" s="46" t="str">
        <f>IF(NOT(ISNA(MATCH(AM102,Lookups!E:E,))),VLOOKUP(AM102,Lookups!E:F,2,0),
IF(NOT(ISNA(MATCH(AN102,Lookups!E:E,))),VLOOKUP(AN102,Lookups!E:F,2,0),
IF(NOT(ISNA(MATCH(AO102,Lookups!E:E,))),VLOOKUP(AO102,Lookups!E:F,2,0),"ITM_NULL")))</f>
        <v>ITM_NULL</v>
      </c>
      <c r="AQ102" s="28" t="str">
        <f t="shared" si="47"/>
        <v>ITM_D</v>
      </c>
      <c r="AR102" s="195" t="s">
        <v>298</v>
      </c>
      <c r="AS102" s="186" t="s">
        <v>99</v>
      </c>
      <c r="AT102" s="196" t="s">
        <v>74</v>
      </c>
      <c r="AW102" s="14" t="str">
        <f t="shared" si="49"/>
        <v>{24</v>
      </c>
      <c r="AX102" s="157" t="str" cm="1">
        <f t="array" ref="AX102">SUBSTITUTE(SUBSTITUTE(_xlfn.SWITCH(AM102, "ITM_T_HOME", "ITM_UP1", "ITM_T_END", "ITM_DOWN1", "DOCU_CHR_sub", "ITM_DOWN_ARROW", "DOCU_CHR_super", "ITM_UP_ARROW", "MNU_TAMALPHA", "ITM_alpha", "DOCU_CHR_caseFLIP", "ITM_NULL", "DOCU_CHR_numSET", "ITM_NULL", "DOCU_ITM_RADIX", "ITM_PERIOD", AM102), ".lo", ),"MNU_", "-MNU_")</f>
        <v>ITM_LN</v>
      </c>
      <c r="AY102" s="157" t="str" cm="1">
        <f t="array" ref="AY102">SUBSTITUTE(SUBSTITUTE(_xlfn.SWITCH(AN102, "ITM_T_HOME", "ITM_UP1", "ITM_T_END", "ITM_DOWN1", "DOCU_CHR_sub", "ITM_DOWN_ARROW", "DOCU_CHR_super", "ITM_UP_ARROW", "MNU_TAMALPHA", "ITM_alpha", "DOCU_CHR_caseFLIP", "ITM_NULL", "DOCU_CHR_numSET", "ITM_NULL", "DOCU_ITM_RADIX", "ITM_PERIOD", AN102), ".lo", ),"MNU_", "-MNU_")</f>
        <v>ITM_dotD</v>
      </c>
      <c r="AZ102" s="157" t="str" cm="1">
        <f t="array" ref="AZ102">SUBSTITUTE(SUBSTITUTE(_xlfn.SWITCH(AO102, "ITM_T_HOME", "ITM_UP1", "ITM_T_END", "ITM_DOWN1", "DOCU_CHR_sub", "ITM_DOWN_ARROW", "DOCU_CHR_super", "ITM_UP_ARROW", "MNU_TAMALPHA", "ITM_alpha", "DOCU_CHR_caseFLIP", "ITM_NULL", "DOCU_CHR_numSET", "ITM_NULL", "DOCU_ITM_RADIX", "ITM_PERIOD", AO102), ".lo", ),"MNU_", "-MNU_")</f>
        <v>ITM_LOG10</v>
      </c>
      <c r="BA102" s="173" t="str" cm="1">
        <f t="array" ref="BA102">SUBSTITUTE(SUBSTITUTE(_xlfn.SWITCH(AP102, "ITM_T_HOME", "ITM_UP1", "ITM_T_END", "ITM_DOWN1", "DOCU_CHR_sub", "ITM_DOWN_ARROW", "DOCU_CHR_super", "ITM_UP_ARROW", "MNU_TAMALPHA", "ITM_alpha", "DOCU_CHR_caseFLIP", "ITM_NULL", "DOCU_CHR_numSET", "ITM_NULL", "DOCU_ITM_RADIX", "ITM_PERIOD", AP102), ".lo", ),"MNU_", "-MNU_")</f>
        <v>ITM_NULL</v>
      </c>
      <c r="BB102" s="157" t="str" cm="1">
        <f t="array" ref="BB102">SUBSTITUTE(SUBSTITUTE(_xlfn.SWITCH(AQ102, "ITM_T_HOME", "ITM_UP1", "ITM_T_END", "ITM_DOWN1", "DOCU_CHR_sub", "ITM_DOWN_ARROW", "DOCU_CHR_super", "ITM_UP_ARROW", "MNU_TAMALPHA", "ITM_alpha", "DOCU_CHR_caseFLIP", "ITM_NULL", "DOCU_CHR_numSET", "ITM_NULL", "DOCU_ITM_RADIX", "ITM_PERIOD", AQ102), ".lo", ),"MNU_", "-MNU_")</f>
        <v>ITM_D</v>
      </c>
      <c r="BC102" s="157" t="str" cm="1">
        <f t="array" ref="BC102">SUBSTITUTE(SUBSTITUTE(_xlfn.SWITCH(AR102, "ITM_T_HOME", "ITM_UP1", "ITM_T_END", "ITM_DOWN1", "DOCU_CHR_sub", "ITM_DOWN_ARROW", "DOCU_CHR_super", "ITM_UP_ARROW", "MNU_TAMALPHA", "ITM_alpha", "DOCU_CHR_caseFLIP", "ITM_NULL", "DOCU_CHR_numSET", "ITM_NULL", "DOCU_ITM_RADIX", "ITM_PERIOD", AR102), ".lo", ),"MNU_", "-MNU_")</f>
        <v>ITM_RIGHT_PARENTHESIS</v>
      </c>
      <c r="BD102" s="157" t="str" cm="1">
        <f t="array" ref="BD102">SUBSTITUTE(SUBSTITUTE(_xlfn.SWITCH(AS102, "ITM_T_HOME", "ITM_UP1", "ITM_T_END", "ITM_DOWN1", "DOCU_CHR_sub", "ITM_DOWN_ARROW", "DOCU_CHR_super", "ITM_UP_ARROW", "MNU_TAMALPHA", "ITM_alpha", "DOCU_CHR_caseFLIP", "ITM_NULL", "DOCU_CHR_numSET", "ITM_NULL", "DOCU_ITM_RADIX", "ITM_PERIOD", AS102), ".lo", ),"MNU_", "-MNU_")</f>
        <v>ITM_DELTA</v>
      </c>
      <c r="BE102" s="157" t="str" cm="1">
        <f t="array" ref="BE102">SUBSTITUTE(SUBSTITUTE(_xlfn.SWITCH(AT102, "ITM_T_HOME", "ITM_UP1", "ITM_T_END", "ITM_DOWN1", "DOCU_CHR_sub", "ITM_DOWN_ARROW", "DOCU_CHR_super", "ITM_UP_ARROW", "MNU_TAMALPHA", "ITM_alpha", "DOCU_CHR_caseFLIP", "ITM_NULL", "DOCU_CHR_numSET", "ITM_NULL", "DOCU_ITM_RADIX", "ITM_PERIOD", AT102), ".lo", ),"MNU_", "-MNU_")</f>
        <v>ITM_REG_D</v>
      </c>
      <c r="BG102" s="75"/>
      <c r="BR102" s="1" t="s">
        <v>299</v>
      </c>
      <c r="BS102" s="1" t="s">
        <v>300</v>
      </c>
      <c r="BT102" s="1" t="s">
        <v>301</v>
      </c>
      <c r="BU102" s="1" t="s">
        <v>81</v>
      </c>
      <c r="BV102" s="1" t="s">
        <v>302</v>
      </c>
      <c r="BW102" s="1" t="s">
        <v>298</v>
      </c>
      <c r="BX102" s="1" t="s">
        <v>99</v>
      </c>
      <c r="BY102" s="1" t="s">
        <v>74</v>
      </c>
    </row>
    <row r="103" spans="1:77" ht="21" x14ac:dyDescent="0.2">
      <c r="X103" s="129" t="str">
        <f t="shared" si="39"/>
        <v>WP43</v>
      </c>
      <c r="Y103" s="109">
        <v>2</v>
      </c>
      <c r="Z103" s="109">
        <v>5</v>
      </c>
      <c r="AA103" s="112" t="str">
        <f t="shared" si="15"/>
        <v>WP43.25</v>
      </c>
      <c r="AB103" s="117" t="s">
        <v>76</v>
      </c>
      <c r="AC103" s="118" t="s">
        <v>303</v>
      </c>
      <c r="AD103" s="119" t="s">
        <v>69</v>
      </c>
      <c r="AE103" s="3"/>
      <c r="AF103" s="52" t="s">
        <v>78</v>
      </c>
      <c r="AG103" s="77" t="e">
        <f t="shared" si="48"/>
        <v>#N/A</v>
      </c>
      <c r="AH103" s="83" t="e">
        <f t="shared" si="40"/>
        <v>#N/A</v>
      </c>
      <c r="AI103" s="84" t="str">
        <f t="shared" si="41"/>
        <v>Epsilon</v>
      </c>
      <c r="AJ103" s="85" t="str">
        <f t="shared" si="42"/>
        <v>E</v>
      </c>
      <c r="AK103" s="6"/>
      <c r="AL103" s="8" t="str">
        <f t="shared" si="43"/>
        <v>{25</v>
      </c>
      <c r="AM103" s="27" t="str">
        <f t="shared" si="44"/>
        <v>ITM_EXP</v>
      </c>
      <c r="AN103" s="27" t="str">
        <f t="shared" si="45"/>
        <v>ITM_toHMS</v>
      </c>
      <c r="AO103" s="27" t="str">
        <f t="shared" si="46"/>
        <v>ITM_10x</v>
      </c>
      <c r="AP103" s="101" t="str">
        <f>IF(NOT(ISNA(MATCH(AM103,Lookups!E:E,))),VLOOKUP(AM103,Lookups!E:F,2,0),
IF(NOT(ISNA(MATCH(AN103,Lookups!E:E,))),VLOOKUP(AN103,Lookups!E:F,2,0),
IF(NOT(ISNA(MATCH(AO103,Lookups!E:E,))),VLOOKUP(AO103,Lookups!E:F,2,0),"ITM_NULL")))</f>
        <v>ITM_NULL</v>
      </c>
      <c r="AQ103" s="28" t="str">
        <f t="shared" si="47"/>
        <v>ITM_E</v>
      </c>
      <c r="AR103" s="195" t="s">
        <v>304</v>
      </c>
      <c r="AS103" s="186" t="s">
        <v>305</v>
      </c>
      <c r="AT103" s="197" t="s">
        <v>306</v>
      </c>
      <c r="AW103" s="14" t="str">
        <f t="shared" si="49"/>
        <v>{25</v>
      </c>
      <c r="AX103" s="157" t="str" cm="1">
        <f t="array" ref="AX103">SUBSTITUTE(SUBSTITUTE(_xlfn.SWITCH(AM103, "ITM_T_HOME", "ITM_UP1", "ITM_T_END", "ITM_DOWN1", "DOCU_CHR_sub", "ITM_DOWN_ARROW", "DOCU_CHR_super", "ITM_UP_ARROW", "MNU_TAMALPHA", "ITM_alpha", "DOCU_CHR_caseFLIP", "ITM_NULL", "DOCU_CHR_numSET", "ITM_NULL", "DOCU_ITM_RADIX", "ITM_PERIOD", AM103), ".lo", ),"MNU_", "-MNU_")</f>
        <v>ITM_EXP</v>
      </c>
      <c r="AY103" s="157" t="str" cm="1">
        <f t="array" ref="AY103">SUBSTITUTE(SUBSTITUTE(_xlfn.SWITCH(AN103, "ITM_T_HOME", "ITM_UP1", "ITM_T_END", "ITM_DOWN1", "DOCU_CHR_sub", "ITM_DOWN_ARROW", "DOCU_CHR_super", "ITM_UP_ARROW", "MNU_TAMALPHA", "ITM_alpha", "DOCU_CHR_caseFLIP", "ITM_NULL", "DOCU_CHR_numSET", "ITM_NULL", "DOCU_ITM_RADIX", "ITM_PERIOD", AN103), ".lo", ),"MNU_", "-MNU_")</f>
        <v>ITM_toHMS</v>
      </c>
      <c r="AZ103" s="157" t="str" cm="1">
        <f t="array" ref="AZ103">SUBSTITUTE(SUBSTITUTE(_xlfn.SWITCH(AO103, "ITM_T_HOME", "ITM_UP1", "ITM_T_END", "ITM_DOWN1", "DOCU_CHR_sub", "ITM_DOWN_ARROW", "DOCU_CHR_super", "ITM_UP_ARROW", "MNU_TAMALPHA", "ITM_alpha", "DOCU_CHR_caseFLIP", "ITM_NULL", "DOCU_CHR_numSET", "ITM_NULL", "DOCU_ITM_RADIX", "ITM_PERIOD", AO103), ".lo", ),"MNU_", "-MNU_")</f>
        <v>ITM_10x</v>
      </c>
      <c r="BA103" s="173" t="str" cm="1">
        <f t="array" ref="BA103">SUBSTITUTE(SUBSTITUTE(_xlfn.SWITCH(AP103, "ITM_T_HOME", "ITM_UP1", "ITM_T_END", "ITM_DOWN1", "DOCU_CHR_sub", "ITM_DOWN_ARROW", "DOCU_CHR_super", "ITM_UP_ARROW", "MNU_TAMALPHA", "ITM_alpha", "DOCU_CHR_caseFLIP", "ITM_NULL", "DOCU_CHR_numSET", "ITM_NULL", "DOCU_ITM_RADIX", "ITM_PERIOD", AP103), ".lo", ),"MNU_", "-MNU_")</f>
        <v>ITM_NULL</v>
      </c>
      <c r="BB103" s="157" t="str" cm="1">
        <f t="array" ref="BB103">SUBSTITUTE(SUBSTITUTE(_xlfn.SWITCH(AQ103, "ITM_T_HOME", "ITM_UP1", "ITM_T_END", "ITM_DOWN1", "DOCU_CHR_sub", "ITM_DOWN_ARROW", "DOCU_CHR_super", "ITM_UP_ARROW", "MNU_TAMALPHA", "ITM_alpha", "DOCU_CHR_caseFLIP", "ITM_NULL", "DOCU_CHR_numSET", "ITM_NULL", "DOCU_ITM_RADIX", "ITM_PERIOD", AQ103), ".lo", ),"MNU_", "-MNU_")</f>
        <v>ITM_E</v>
      </c>
      <c r="BC103" s="157" t="str" cm="1">
        <f t="array" ref="BC103">SUBSTITUTE(SUBSTITUTE(_xlfn.SWITCH(AR103, "ITM_T_HOME", "ITM_UP1", "ITM_T_END", "ITM_DOWN1", "DOCU_CHR_sub", "ITM_DOWN_ARROW", "DOCU_CHR_super", "ITM_UP_ARROW", "MNU_TAMALPHA", "ITM_alpha", "DOCU_CHR_caseFLIP", "ITM_NULL", "DOCU_CHR_numSET", "ITM_NULL", "DOCU_ITM_RADIX", "ITM_PERIOD", AR103), ".lo", ),"MNU_", "-MNU_")</f>
        <v>ITM_ALOG_SYMBOL</v>
      </c>
      <c r="BD103" s="157" t="str" cm="1">
        <f t="array" ref="BD103">SUBSTITUTE(SUBSTITUTE(_xlfn.SWITCH(AS103, "ITM_T_HOME", "ITM_UP1", "ITM_T_END", "ITM_DOWN1", "DOCU_CHR_sub", "ITM_DOWN_ARROW", "DOCU_CHR_super", "ITM_UP_ARROW", "MNU_TAMALPHA", "ITM_alpha", "DOCU_CHR_caseFLIP", "ITM_NULL", "DOCU_CHR_numSET", "ITM_NULL", "DOCU_ITM_RADIX", "ITM_PERIOD", AS103), ".lo", ),"MNU_", "-MNU_")</f>
        <v>ITM_EPSILON</v>
      </c>
      <c r="BE103" s="157" t="str" cm="1">
        <f t="array" ref="BE103">SUBSTITUTE(SUBSTITUTE(_xlfn.SWITCH(AT103, "ITM_T_HOME", "ITM_UP1", "ITM_T_END", "ITM_DOWN1", "DOCU_CHR_sub", "ITM_DOWN_ARROW", "DOCU_CHR_super", "ITM_UP_ARROW", "MNU_TAMALPHA", "ITM_alpha", "DOCU_CHR_caseFLIP", "ITM_NULL", "DOCU_CHR_numSET", "ITM_NULL", "DOCU_ITM_RADIX", "ITM_PERIOD", AT103), ".lo", ),"MNU_", "-MNU_")</f>
        <v>ITM_E</v>
      </c>
      <c r="BG103" s="75"/>
      <c r="BR103" s="1" t="s">
        <v>307</v>
      </c>
      <c r="BS103" s="1" t="s">
        <v>308</v>
      </c>
      <c r="BT103" s="1" t="s">
        <v>309</v>
      </c>
      <c r="BU103" s="1" t="s">
        <v>304</v>
      </c>
      <c r="BV103" s="1" t="s">
        <v>306</v>
      </c>
      <c r="BW103" s="1" t="s">
        <v>304</v>
      </c>
      <c r="BX103" s="1" t="s">
        <v>305</v>
      </c>
      <c r="BY103" s="1" t="s">
        <v>306</v>
      </c>
    </row>
    <row r="104" spans="1:77" ht="21" x14ac:dyDescent="0.2">
      <c r="X104" s="129" t="str">
        <f t="shared" si="39"/>
        <v>WP43</v>
      </c>
      <c r="Y104" s="109">
        <v>2</v>
      </c>
      <c r="Z104" s="109">
        <v>6</v>
      </c>
      <c r="AA104" s="112" t="str">
        <f t="shared" si="15"/>
        <v>WP43.26</v>
      </c>
      <c r="AB104" s="117" t="s">
        <v>61</v>
      </c>
      <c r="AC104" s="118" t="s">
        <v>83</v>
      </c>
      <c r="AD104" s="119" t="s">
        <v>645</v>
      </c>
      <c r="AE104" s="3"/>
      <c r="AF104" s="52" t="s">
        <v>85</v>
      </c>
      <c r="AG104" s="77" t="b">
        <f t="shared" si="48"/>
        <v>0</v>
      </c>
      <c r="AH104" s="83" t="str">
        <f t="shared" si="40"/>
        <v>√</v>
      </c>
      <c r="AI104" s="84" t="str">
        <f t="shared" si="41"/>
        <v>Phi</v>
      </c>
      <c r="AJ104" s="85" t="str">
        <f t="shared" si="42"/>
        <v>[TAMALPHA]</v>
      </c>
      <c r="AK104" s="6"/>
      <c r="AL104" s="8" t="str">
        <f t="shared" si="43"/>
        <v>{26</v>
      </c>
      <c r="AM104" s="27" t="str">
        <f t="shared" si="44"/>
        <v>ITM_SQUAREROOTX</v>
      </c>
      <c r="AN104" s="27" t="str">
        <f t="shared" si="45"/>
        <v>ITM_AIM</v>
      </c>
      <c r="AO104" s="27" t="str">
        <f t="shared" si="46"/>
        <v>MNU_ALPHAFN</v>
      </c>
      <c r="AP104" s="46" t="str">
        <f>IF(NOT(ISNA(MATCH(AM104,Lookups!E:E,))),VLOOKUP(AM104,Lookups!E:F,2,0),
IF(NOT(ISNA(MATCH(AN104,Lookups!E:E,))),VLOOKUP(AN104,Lookups!E:F,2,0),
IF(NOT(ISNA(MATCH(AO104,Lookups!E:E,))),VLOOKUP(AO104,Lookups!E:F,2,0),"ITM_NULL")))</f>
        <v>ITM_ROOT_SIGN</v>
      </c>
      <c r="AQ104" s="28" t="str">
        <f t="shared" si="47"/>
        <v>ITM_F</v>
      </c>
      <c r="AR104" s="195" t="s">
        <v>66</v>
      </c>
      <c r="AS104" s="186" t="s">
        <v>310</v>
      </c>
      <c r="AT104" s="197" t="s">
        <v>622</v>
      </c>
      <c r="AW104" s="14" t="str">
        <f t="shared" si="49"/>
        <v>{26</v>
      </c>
      <c r="AX104" s="157" t="str" cm="1">
        <f t="array" ref="AX104">SUBSTITUTE(SUBSTITUTE(_xlfn.SWITCH(AM104, "ITM_T_HOME", "ITM_UP1", "ITM_T_END", "ITM_DOWN1", "DOCU_CHR_sub", "ITM_DOWN_ARROW", "DOCU_CHR_super", "ITM_UP_ARROW", "MNU_TAMALPHA", "ITM_alpha", "DOCU_CHR_caseFLIP", "ITM_NULL", "DOCU_CHR_numSET", "ITM_NULL", "DOCU_ITM_RADIX", "ITM_PERIOD", AM104), ".lo", ),"MNU_", "-MNU_")</f>
        <v>ITM_SQUAREROOTX</v>
      </c>
      <c r="AY104" s="157" t="str" cm="1">
        <f t="array" ref="AY104">SUBSTITUTE(SUBSTITUTE(_xlfn.SWITCH(AN104, "ITM_T_HOME", "ITM_UP1", "ITM_T_END", "ITM_DOWN1", "DOCU_CHR_sub", "ITM_DOWN_ARROW", "DOCU_CHR_super", "ITM_UP_ARROW", "MNU_TAMALPHA", "ITM_alpha", "DOCU_CHR_caseFLIP", "ITM_NULL", "DOCU_CHR_numSET", "ITM_NULL", "DOCU_ITM_RADIX", "ITM_PERIOD", AN104), ".lo", ),"MNU_", "-MNU_")</f>
        <v>ITM_AIM</v>
      </c>
      <c r="AZ104" s="157" t="str" cm="1">
        <f t="array" ref="AZ104">SUBSTITUTE(SUBSTITUTE(_xlfn.SWITCH(AO104, "ITM_T_HOME", "ITM_UP1", "ITM_T_END", "ITM_DOWN1", "DOCU_CHR_sub", "ITM_DOWN_ARROW", "DOCU_CHR_super", "ITM_UP_ARROW", "MNU_TAMALPHA", "ITM_alpha", "DOCU_CHR_caseFLIP", "ITM_NULL", "DOCU_CHR_numSET", "ITM_NULL", "DOCU_ITM_RADIX", "ITM_PERIOD", AO104), ".lo", ),"MNU_", "-MNU_")</f>
        <v>-MNU_ALPHAFN</v>
      </c>
      <c r="BA104" s="173" t="str" cm="1">
        <f t="array" ref="BA104">SUBSTITUTE(SUBSTITUTE(_xlfn.SWITCH(AP104, "ITM_T_HOME", "ITM_UP1", "ITM_T_END", "ITM_DOWN1", "DOCU_CHR_sub", "ITM_DOWN_ARROW", "DOCU_CHR_super", "ITM_UP_ARROW", "MNU_TAMALPHA", "ITM_alpha", "DOCU_CHR_caseFLIP", "ITM_NULL", "DOCU_CHR_numSET", "ITM_NULL", "DOCU_ITM_RADIX", "ITM_PERIOD", AP104), ".lo", ),"MNU_", "-MNU_")</f>
        <v>ITM_ROOT_SIGN</v>
      </c>
      <c r="BB104" s="157" t="str" cm="1">
        <f t="array" ref="BB104">SUBSTITUTE(SUBSTITUTE(_xlfn.SWITCH(AQ104, "ITM_T_HOME", "ITM_UP1", "ITM_T_END", "ITM_DOWN1", "DOCU_CHR_sub", "ITM_DOWN_ARROW", "DOCU_CHR_super", "ITM_UP_ARROW", "MNU_TAMALPHA", "ITM_alpha", "DOCU_CHR_caseFLIP", "ITM_NULL", "DOCU_CHR_numSET", "ITM_NULL", "DOCU_ITM_RADIX", "ITM_PERIOD", AQ104), ".lo", ),"MNU_", "-MNU_")</f>
        <v>ITM_F</v>
      </c>
      <c r="BC104" s="157" t="str" cm="1">
        <f t="array" ref="BC104">SUBSTITUTE(SUBSTITUTE(_xlfn.SWITCH(AR104, "ITM_T_HOME", "ITM_UP1", "ITM_T_END", "ITM_DOWN1", "DOCU_CHR_sub", "ITM_DOWN_ARROW", "DOCU_CHR_super", "ITM_UP_ARROW", "MNU_TAMALPHA", "ITM_alpha", "DOCU_CHR_caseFLIP", "ITM_NULL", "DOCU_CHR_numSET", "ITM_NULL", "DOCU_ITM_RADIX", "ITM_PERIOD", AR104), ".lo", ),"MNU_", "-MNU_")</f>
        <v>ITM_ROOT_SIGN</v>
      </c>
      <c r="BD104" s="157" t="str" cm="1">
        <f t="array" ref="BD104">SUBSTITUTE(SUBSTITUTE(_xlfn.SWITCH(AS104, "ITM_T_HOME", "ITM_UP1", "ITM_T_END", "ITM_DOWN1", "DOCU_CHR_sub", "ITM_DOWN_ARROW", "DOCU_CHR_super", "ITM_UP_ARROW", "MNU_TAMALPHA", "ITM_alpha", "DOCU_CHR_caseFLIP", "ITM_NULL", "DOCU_CHR_numSET", "ITM_NULL", "DOCU_ITM_RADIX", "ITM_PERIOD", AS104), ".lo", ),"MNU_", "-MNU_")</f>
        <v>ITM_PHI</v>
      </c>
      <c r="BE104" s="157" t="str" cm="1">
        <f t="array" ref="BE104">SUBSTITUTE(SUBSTITUTE(_xlfn.SWITCH(AT104, "ITM_T_HOME", "ITM_UP1", "ITM_T_END", "ITM_DOWN1", "DOCU_CHR_sub", "ITM_DOWN_ARROW", "DOCU_CHR_super", "ITM_UP_ARROW", "MNU_TAMALPHA", "ITM_alpha", "DOCU_CHR_caseFLIP", "ITM_NULL", "DOCU_CHR_numSET", "ITM_NULL", "DOCU_ITM_RADIX", "ITM_PERIOD", AT104), ".lo", ),"MNU_", "-MNU_")</f>
        <v>ITM_alpha</v>
      </c>
      <c r="BG104" s="75"/>
      <c r="BR104" s="1" t="s">
        <v>311</v>
      </c>
      <c r="BS104" s="1" t="s">
        <v>312</v>
      </c>
      <c r="BT104" s="1" t="s">
        <v>313</v>
      </c>
      <c r="BU104" s="1" t="s">
        <v>66</v>
      </c>
      <c r="BV104" s="1" t="s">
        <v>314</v>
      </c>
      <c r="BW104" s="1" t="s">
        <v>66</v>
      </c>
      <c r="BX104" s="1" t="s">
        <v>310</v>
      </c>
      <c r="BY104" s="1" t="s">
        <v>315</v>
      </c>
    </row>
    <row r="105" spans="1:77" ht="21" x14ac:dyDescent="0.2">
      <c r="X105" s="129" t="str">
        <f t="shared" si="39"/>
        <v>WP43</v>
      </c>
      <c r="Y105" s="106">
        <v>3</v>
      </c>
      <c r="Z105" s="106">
        <v>1</v>
      </c>
      <c r="AA105" s="112" t="str">
        <f t="shared" si="15"/>
        <v>WP43.31</v>
      </c>
      <c r="AB105" s="117" t="s">
        <v>88</v>
      </c>
      <c r="AC105" s="118" t="s">
        <v>222</v>
      </c>
      <c r="AD105" s="119" t="s">
        <v>316</v>
      </c>
      <c r="AE105" s="3"/>
      <c r="AF105" s="52" t="s">
        <v>91</v>
      </c>
      <c r="AG105" s="77" t="b">
        <f t="shared" si="48"/>
        <v>0</v>
      </c>
      <c r="AH105" s="83" t="str">
        <f t="shared" si="40"/>
        <v>ASN</v>
      </c>
      <c r="AI105" s="84" t="str">
        <f t="shared" si="41"/>
        <v>Gamma</v>
      </c>
      <c r="AJ105" s="85" t="str">
        <f t="shared" si="42"/>
        <v xml:space="preserve"> </v>
      </c>
      <c r="AK105" s="6"/>
      <c r="AL105" s="8" t="str">
        <f t="shared" si="43"/>
        <v>{31</v>
      </c>
      <c r="AM105" s="27" t="str">
        <f t="shared" si="44"/>
        <v>ITM_STO</v>
      </c>
      <c r="AN105" s="27" t="str">
        <f t="shared" si="45"/>
        <v>ITM_ASSIGN</v>
      </c>
      <c r="AO105" s="27" t="str">
        <f t="shared" si="46"/>
        <v>ITM_SAVE</v>
      </c>
      <c r="AP105" s="46" t="str">
        <f>IF(NOT(ISNA(MATCH(AM105,Lookups!E:E,))),VLOOKUP(AM105,Lookups!E:F,2,0),
IF(NOT(ISNA(MATCH(AN105,Lookups!E:E,))),VLOOKUP(AN105,Lookups!E:F,2,0),
IF(NOT(ISNA(MATCH(AO105,Lookups!E:E,))),VLOOKUP(AO105,Lookups!E:F,2,0),"ITM_NULL")))</f>
        <v>ITM_NULL</v>
      </c>
      <c r="AQ105" s="28" t="str">
        <f t="shared" si="47"/>
        <v>ITM_G</v>
      </c>
      <c r="AR105" s="195" t="s">
        <v>317</v>
      </c>
      <c r="AS105" s="186" t="s">
        <v>292</v>
      </c>
      <c r="AT105" s="197" t="s">
        <v>81</v>
      </c>
      <c r="AW105" s="14" t="str">
        <f t="shared" si="49"/>
        <v>{31</v>
      </c>
      <c r="AX105" s="157" t="str" cm="1">
        <f t="array" ref="AX105">SUBSTITUTE(SUBSTITUTE(_xlfn.SWITCH(AM105, "ITM_T_HOME", "ITM_UP1", "ITM_T_END", "ITM_DOWN1", "DOCU_CHR_sub", "ITM_DOWN_ARROW", "DOCU_CHR_super", "ITM_UP_ARROW", "MNU_TAMALPHA", "ITM_alpha", "DOCU_CHR_caseFLIP", "ITM_NULL", "DOCU_CHR_numSET", "ITM_NULL", "DOCU_ITM_RADIX", "ITM_PERIOD", AM105), ".lo", ),"MNU_", "-MNU_")</f>
        <v>ITM_STO</v>
      </c>
      <c r="AY105" s="157" t="str" cm="1">
        <f t="array" ref="AY105">SUBSTITUTE(SUBSTITUTE(_xlfn.SWITCH(AN105, "ITM_T_HOME", "ITM_UP1", "ITM_T_END", "ITM_DOWN1", "DOCU_CHR_sub", "ITM_DOWN_ARROW", "DOCU_CHR_super", "ITM_UP_ARROW", "MNU_TAMALPHA", "ITM_alpha", "DOCU_CHR_caseFLIP", "ITM_NULL", "DOCU_CHR_numSET", "ITM_NULL", "DOCU_ITM_RADIX", "ITM_PERIOD", AN105), ".lo", ),"MNU_", "-MNU_")</f>
        <v>ITM_ASSIGN</v>
      </c>
      <c r="AZ105" s="157" t="str" cm="1">
        <f t="array" ref="AZ105">SUBSTITUTE(SUBSTITUTE(_xlfn.SWITCH(AO105, "ITM_T_HOME", "ITM_UP1", "ITM_T_END", "ITM_DOWN1", "DOCU_CHR_sub", "ITM_DOWN_ARROW", "DOCU_CHR_super", "ITM_UP_ARROW", "MNU_TAMALPHA", "ITM_alpha", "DOCU_CHR_caseFLIP", "ITM_NULL", "DOCU_CHR_numSET", "ITM_NULL", "DOCU_ITM_RADIX", "ITM_PERIOD", AO105), ".lo", ),"MNU_", "-MNU_")</f>
        <v>ITM_SAVE</v>
      </c>
      <c r="BA105" s="173" t="str" cm="1">
        <f t="array" ref="BA105">SUBSTITUTE(SUBSTITUTE(_xlfn.SWITCH(AP105, "ITM_T_HOME", "ITM_UP1", "ITM_T_END", "ITM_DOWN1", "DOCU_CHR_sub", "ITM_DOWN_ARROW", "DOCU_CHR_super", "ITM_UP_ARROW", "MNU_TAMALPHA", "ITM_alpha", "DOCU_CHR_caseFLIP", "ITM_NULL", "DOCU_CHR_numSET", "ITM_NULL", "DOCU_ITM_RADIX", "ITM_PERIOD", AP105), ".lo", ),"MNU_", "-MNU_")</f>
        <v>ITM_NULL</v>
      </c>
      <c r="BB105" s="157" t="str" cm="1">
        <f t="array" ref="BB105">SUBSTITUTE(SUBSTITUTE(_xlfn.SWITCH(AQ105, "ITM_T_HOME", "ITM_UP1", "ITM_T_END", "ITM_DOWN1", "DOCU_CHR_sub", "ITM_DOWN_ARROW", "DOCU_CHR_super", "ITM_UP_ARROW", "MNU_TAMALPHA", "ITM_alpha", "DOCU_CHR_caseFLIP", "ITM_NULL", "DOCU_CHR_numSET", "ITM_NULL", "DOCU_ITM_RADIX", "ITM_PERIOD", AQ105), ".lo", ),"MNU_", "-MNU_")</f>
        <v>ITM_G</v>
      </c>
      <c r="BC105" s="157" t="str" cm="1">
        <f t="array" ref="BC105">SUBSTITUTE(SUBSTITUTE(_xlfn.SWITCH(AR105, "ITM_T_HOME", "ITM_UP1", "ITM_T_END", "ITM_DOWN1", "DOCU_CHR_sub", "ITM_DOWN_ARROW", "DOCU_CHR_super", "ITM_UP_ARROW", "MNU_TAMALPHA", "ITM_alpha", "DOCU_CHR_caseFLIP", "ITM_NULL", "DOCU_CHR_numSET", "ITM_NULL", "DOCU_ITM_RADIX", "ITM_PERIOD", AR105), ".lo", ),"MNU_", "-MNU_")</f>
        <v>ITM_ASSIGN</v>
      </c>
      <c r="BD105" s="157" t="str" cm="1">
        <f t="array" ref="BD105">SUBSTITUTE(SUBSTITUTE(_xlfn.SWITCH(AS105, "ITM_T_HOME", "ITM_UP1", "ITM_T_END", "ITM_DOWN1", "DOCU_CHR_sub", "ITM_DOWN_ARROW", "DOCU_CHR_super", "ITM_UP_ARROW", "MNU_TAMALPHA", "ITM_alpha", "DOCU_CHR_caseFLIP", "ITM_NULL", "DOCU_CHR_numSET", "ITM_NULL", "DOCU_ITM_RADIX", "ITM_PERIOD", AS105), ".lo", ),"MNU_", "-MNU_")</f>
        <v>ITM_GAMMA</v>
      </c>
      <c r="BE105" s="157" t="str" cm="1">
        <f t="array" ref="BE105">SUBSTITUTE(SUBSTITUTE(_xlfn.SWITCH(AT105, "ITM_T_HOME", "ITM_UP1", "ITM_T_END", "ITM_DOWN1", "DOCU_CHR_sub", "ITM_DOWN_ARROW", "DOCU_CHR_super", "ITM_UP_ARROW", "MNU_TAMALPHA", "ITM_alpha", "DOCU_CHR_caseFLIP", "ITM_NULL", "DOCU_CHR_numSET", "ITM_NULL", "DOCU_ITM_RADIX", "ITM_PERIOD", AT105), ".lo", ),"MNU_", "-MNU_")</f>
        <v>ITM_NULL</v>
      </c>
      <c r="BG105" s="75"/>
      <c r="BR105" s="1" t="s">
        <v>318</v>
      </c>
      <c r="BS105" s="1" t="s">
        <v>317</v>
      </c>
      <c r="BT105" s="1" t="s">
        <v>319</v>
      </c>
      <c r="BU105" s="1" t="s">
        <v>81</v>
      </c>
      <c r="BV105" s="1" t="s">
        <v>320</v>
      </c>
      <c r="BW105" s="1" t="s">
        <v>317</v>
      </c>
      <c r="BX105" s="1" t="s">
        <v>292</v>
      </c>
      <c r="BY105" s="1" t="s">
        <v>81</v>
      </c>
    </row>
    <row r="106" spans="1:77" ht="21" x14ac:dyDescent="0.2">
      <c r="X106" s="129" t="str">
        <f t="shared" si="39"/>
        <v>WP43</v>
      </c>
      <c r="Y106" s="109">
        <v>3</v>
      </c>
      <c r="Z106" s="109">
        <v>2</v>
      </c>
      <c r="AA106" s="112" t="str">
        <f t="shared" si="15"/>
        <v>WP43.32</v>
      </c>
      <c r="AB106" s="117" t="s">
        <v>94</v>
      </c>
      <c r="AC106" s="118" t="s">
        <v>161</v>
      </c>
      <c r="AD106" s="119" t="s">
        <v>248</v>
      </c>
      <c r="AE106" s="3"/>
      <c r="AF106" s="52" t="s">
        <v>97</v>
      </c>
      <c r="AG106" s="77" t="b">
        <f t="shared" si="48"/>
        <v>0</v>
      </c>
      <c r="AH106" s="83" t="str">
        <f t="shared" si="40"/>
        <v>REGS</v>
      </c>
      <c r="AI106" s="84" t="str">
        <f t="shared" si="41"/>
        <v>Chi</v>
      </c>
      <c r="AJ106" s="85" t="str">
        <f t="shared" si="42"/>
        <v>HEX</v>
      </c>
      <c r="AK106" s="6"/>
      <c r="AL106" s="8" t="str">
        <f t="shared" si="43"/>
        <v>{32</v>
      </c>
      <c r="AM106" s="27" t="str">
        <f t="shared" si="44"/>
        <v>ITM_RCL</v>
      </c>
      <c r="AN106" s="27" t="str">
        <f t="shared" si="45"/>
        <v>ITM_RBR</v>
      </c>
      <c r="AO106" s="27" t="str">
        <f t="shared" si="46"/>
        <v>ITM_VIEW</v>
      </c>
      <c r="AP106" s="46" t="str">
        <f>IF(NOT(ISNA(MATCH(AM106,Lookups!E:E,))),VLOOKUP(AM106,Lookups!E:F,2,0),
IF(NOT(ISNA(MATCH(AN106,Lookups!E:E,))),VLOOKUP(AN106,Lookups!E:F,2,0),
IF(NOT(ISNA(MATCH(AO106,Lookups!E:E,))),VLOOKUP(AO106,Lookups!E:F,2,0),"ITM_NULL")))</f>
        <v>ITM_NULL</v>
      </c>
      <c r="AQ106" s="28" t="str">
        <f t="shared" si="47"/>
        <v>ITM_H</v>
      </c>
      <c r="AR106" s="195" t="s">
        <v>321</v>
      </c>
      <c r="AS106" s="186" t="s">
        <v>322</v>
      </c>
      <c r="AT106" s="197" t="s">
        <v>667</v>
      </c>
      <c r="AW106" s="14" t="str">
        <f t="shared" si="49"/>
        <v>{32</v>
      </c>
      <c r="AX106" s="157" t="str" cm="1">
        <f t="array" ref="AX106">SUBSTITUTE(SUBSTITUTE(_xlfn.SWITCH(AM106, "ITM_T_HOME", "ITM_UP1", "ITM_T_END", "ITM_DOWN1", "DOCU_CHR_sub", "ITM_DOWN_ARROW", "DOCU_CHR_super", "ITM_UP_ARROW", "MNU_TAMALPHA", "ITM_alpha", "DOCU_CHR_caseFLIP", "ITM_NULL", "DOCU_CHR_numSET", "ITM_NULL", "DOCU_ITM_RADIX", "ITM_PERIOD", AM106), ".lo", ),"MNU_", "-MNU_")</f>
        <v>ITM_RCL</v>
      </c>
      <c r="AY106" s="157" t="str" cm="1">
        <f t="array" ref="AY106">SUBSTITUTE(SUBSTITUTE(_xlfn.SWITCH(AN106, "ITM_T_HOME", "ITM_UP1", "ITM_T_END", "ITM_DOWN1", "DOCU_CHR_sub", "ITM_DOWN_ARROW", "DOCU_CHR_super", "ITM_UP_ARROW", "MNU_TAMALPHA", "ITM_alpha", "DOCU_CHR_caseFLIP", "ITM_NULL", "DOCU_CHR_numSET", "ITM_NULL", "DOCU_ITM_RADIX", "ITM_PERIOD", AN106), ".lo", ),"MNU_", "-MNU_")</f>
        <v>ITM_RBR</v>
      </c>
      <c r="AZ106" s="157" t="str" cm="1">
        <f t="array" ref="AZ106">SUBSTITUTE(SUBSTITUTE(_xlfn.SWITCH(AO106, "ITM_T_HOME", "ITM_UP1", "ITM_T_END", "ITM_DOWN1", "DOCU_CHR_sub", "ITM_DOWN_ARROW", "DOCU_CHR_super", "ITM_UP_ARROW", "MNU_TAMALPHA", "ITM_alpha", "DOCU_CHR_caseFLIP", "ITM_NULL", "DOCU_CHR_numSET", "ITM_NULL", "DOCU_ITM_RADIX", "ITM_PERIOD", AO106), ".lo", ),"MNU_", "-MNU_")</f>
        <v>ITM_VIEW</v>
      </c>
      <c r="BA106" s="173" t="str" cm="1">
        <f t="array" ref="BA106">SUBSTITUTE(SUBSTITUTE(_xlfn.SWITCH(AP106, "ITM_T_HOME", "ITM_UP1", "ITM_T_END", "ITM_DOWN1", "DOCU_CHR_sub", "ITM_DOWN_ARROW", "DOCU_CHR_super", "ITM_UP_ARROW", "MNU_TAMALPHA", "ITM_alpha", "DOCU_CHR_caseFLIP", "ITM_NULL", "DOCU_CHR_numSET", "ITM_NULL", "DOCU_ITM_RADIX", "ITM_PERIOD", AP106), ".lo", ),"MNU_", "-MNU_")</f>
        <v>ITM_NULL</v>
      </c>
      <c r="BB106" s="157" t="str" cm="1">
        <f t="array" ref="BB106">SUBSTITUTE(SUBSTITUTE(_xlfn.SWITCH(AQ106, "ITM_T_HOME", "ITM_UP1", "ITM_T_END", "ITM_DOWN1", "DOCU_CHR_sub", "ITM_DOWN_ARROW", "DOCU_CHR_super", "ITM_UP_ARROW", "MNU_TAMALPHA", "ITM_alpha", "DOCU_CHR_caseFLIP", "ITM_NULL", "DOCU_CHR_numSET", "ITM_NULL", "DOCU_ITM_RADIX", "ITM_PERIOD", AQ106), ".lo", ),"MNU_", "-MNU_")</f>
        <v>ITM_H</v>
      </c>
      <c r="BC106" s="157" t="str" cm="1">
        <f t="array" ref="BC106">SUBSTITUTE(SUBSTITUTE(_xlfn.SWITCH(AR106, "ITM_T_HOME", "ITM_UP1", "ITM_T_END", "ITM_DOWN1", "DOCU_CHR_sub", "ITM_DOWN_ARROW", "DOCU_CHR_super", "ITM_UP_ARROW", "MNU_TAMALPHA", "ITM_alpha", "DOCU_CHR_caseFLIP", "ITM_NULL", "DOCU_CHR_numSET", "ITM_NULL", "DOCU_ITM_RADIX", "ITM_PERIOD", AR106), ".lo", ),"MNU_", "-MNU_")</f>
        <v>ITM_RBR</v>
      </c>
      <c r="BD106" s="157" t="str" cm="1">
        <f t="array" ref="BD106">SUBSTITUTE(SUBSTITUTE(_xlfn.SWITCH(AS106, "ITM_T_HOME", "ITM_UP1", "ITM_T_END", "ITM_DOWN1", "DOCU_CHR_sub", "ITM_DOWN_ARROW", "DOCU_CHR_super", "ITM_UP_ARROW", "MNU_TAMALPHA", "ITM_alpha", "DOCU_CHR_caseFLIP", "ITM_NULL", "DOCU_CHR_numSET", "ITM_NULL", "DOCU_ITM_RADIX", "ITM_PERIOD", AS106), ".lo", ),"MNU_", "-MNU_")</f>
        <v>ITM_CHI</v>
      </c>
      <c r="BE106" s="157" t="str" cm="1">
        <f t="array" ref="BE106">SUBSTITUTE(SUBSTITUTE(_xlfn.SWITCH(AT106, "ITM_T_HOME", "ITM_UP1", "ITM_T_END", "ITM_DOWN1", "DOCU_CHR_sub", "ITM_DOWN_ARROW", "DOCU_CHR_super", "ITM_UP_ARROW", "MNU_TAMALPHA", "ITM_alpha", "DOCU_CHR_caseFLIP", "ITM_NULL", "DOCU_CHR_numSET", "ITM_NULL", "DOCU_ITM_RADIX", "ITM_PERIOD", AT106), ".lo", ),"MNU_", "-MNU_")</f>
        <v>ITM_2HEX</v>
      </c>
      <c r="BG106" s="75"/>
      <c r="BR106" s="1" t="s">
        <v>323</v>
      </c>
      <c r="BS106" s="1" t="s">
        <v>321</v>
      </c>
      <c r="BT106" s="1" t="s">
        <v>324</v>
      </c>
      <c r="BU106" s="1" t="s">
        <v>81</v>
      </c>
      <c r="BV106" s="1" t="s">
        <v>325</v>
      </c>
      <c r="BW106" s="1" t="s">
        <v>321</v>
      </c>
      <c r="BX106" s="1" t="s">
        <v>322</v>
      </c>
      <c r="BY106" s="1" t="s">
        <v>100</v>
      </c>
    </row>
    <row r="107" spans="1:77" ht="21" x14ac:dyDescent="0.2">
      <c r="X107" s="129" t="str">
        <f t="shared" si="39"/>
        <v>WP43</v>
      </c>
      <c r="Y107" s="109">
        <v>3</v>
      </c>
      <c r="Z107" s="109">
        <v>3</v>
      </c>
      <c r="AA107" s="112" t="str">
        <f t="shared" si="15"/>
        <v>WP43.33</v>
      </c>
      <c r="AB107" s="117" t="s">
        <v>101</v>
      </c>
      <c r="AC107" s="118" t="s">
        <v>326</v>
      </c>
      <c r="AD107" s="119" t="s">
        <v>131</v>
      </c>
      <c r="AE107" s="3"/>
      <c r="AF107" s="52" t="s">
        <v>104</v>
      </c>
      <c r="AG107" s="77" t="b">
        <f t="shared" si="48"/>
        <v>0</v>
      </c>
      <c r="AH107" s="83" t="str">
        <f t="shared" si="40"/>
        <v>v</v>
      </c>
      <c r="AI107" s="84" t="str">
        <f t="shared" si="41"/>
        <v>Iota</v>
      </c>
      <c r="AJ107" s="85" t="str">
        <f t="shared" si="42"/>
        <v>Reg I</v>
      </c>
      <c r="AK107" s="6"/>
      <c r="AL107" s="8" t="str">
        <f t="shared" si="43"/>
        <v>{33</v>
      </c>
      <c r="AM107" s="27" t="str">
        <f t="shared" si="44"/>
        <v>ITM_Rdown</v>
      </c>
      <c r="AN107" s="27" t="str">
        <f t="shared" si="45"/>
        <v>ITM_Rup</v>
      </c>
      <c r="AO107" s="27" t="str">
        <f t="shared" si="46"/>
        <v>MNU_CPX</v>
      </c>
      <c r="AP107" s="46" t="str">
        <f>IF(NOT(ISNA(MATCH(AM107,Lookups!E:E,))),VLOOKUP(AM107,Lookups!E:F,2,0),
IF(NOT(ISNA(MATCH(AN107,Lookups!E:E,))),VLOOKUP(AN107,Lookups!E:F,2,0),
IF(NOT(ISNA(MATCH(AO107,Lookups!E:E,))),VLOOKUP(AO107,Lookups!E:F,2,0),"ITM_NULL")))</f>
        <v>ITM_NULL</v>
      </c>
      <c r="AQ107" s="28" t="str">
        <f t="shared" si="47"/>
        <v>ITM_I</v>
      </c>
      <c r="AR107" s="195" t="s">
        <v>327</v>
      </c>
      <c r="AS107" s="186" t="s">
        <v>328</v>
      </c>
      <c r="AT107" s="196" t="s">
        <v>107</v>
      </c>
      <c r="AW107" s="14" t="str">
        <f t="shared" si="49"/>
        <v>{33</v>
      </c>
      <c r="AX107" s="157" t="str" cm="1">
        <f t="array" ref="AX107">SUBSTITUTE(SUBSTITUTE(_xlfn.SWITCH(AM107, "ITM_T_HOME", "ITM_UP1", "ITM_T_END", "ITM_DOWN1", "DOCU_CHR_sub", "ITM_DOWN_ARROW", "DOCU_CHR_super", "ITM_UP_ARROW", "MNU_TAMALPHA", "ITM_alpha", "DOCU_CHR_caseFLIP", "ITM_NULL", "DOCU_CHR_numSET", "ITM_NULL", "DOCU_ITM_RADIX", "ITM_PERIOD", AM107), ".lo", ),"MNU_", "-MNU_")</f>
        <v>ITM_Rdown</v>
      </c>
      <c r="AY107" s="157" t="str" cm="1">
        <f t="array" ref="AY107">SUBSTITUTE(SUBSTITUTE(_xlfn.SWITCH(AN107, "ITM_T_HOME", "ITM_UP1", "ITM_T_END", "ITM_DOWN1", "DOCU_CHR_sub", "ITM_DOWN_ARROW", "DOCU_CHR_super", "ITM_UP_ARROW", "MNU_TAMALPHA", "ITM_alpha", "DOCU_CHR_caseFLIP", "ITM_NULL", "DOCU_CHR_numSET", "ITM_NULL", "DOCU_ITM_RADIX", "ITM_PERIOD", AN107), ".lo", ),"MNU_", "-MNU_")</f>
        <v>ITM_Rup</v>
      </c>
      <c r="AZ107" s="157" t="str" cm="1">
        <f t="array" ref="AZ107">SUBSTITUTE(SUBSTITUTE(_xlfn.SWITCH(AO107, "ITM_T_HOME", "ITM_UP1", "ITM_T_END", "ITM_DOWN1", "DOCU_CHR_sub", "ITM_DOWN_ARROW", "DOCU_CHR_super", "ITM_UP_ARROW", "MNU_TAMALPHA", "ITM_alpha", "DOCU_CHR_caseFLIP", "ITM_NULL", "DOCU_CHR_numSET", "ITM_NULL", "DOCU_ITM_RADIX", "ITM_PERIOD", AO107), ".lo", ),"MNU_", "-MNU_")</f>
        <v>-MNU_CPX</v>
      </c>
      <c r="BA107" s="173" t="str" cm="1">
        <f t="array" ref="BA107">SUBSTITUTE(SUBSTITUTE(_xlfn.SWITCH(AP107, "ITM_T_HOME", "ITM_UP1", "ITM_T_END", "ITM_DOWN1", "DOCU_CHR_sub", "ITM_DOWN_ARROW", "DOCU_CHR_super", "ITM_UP_ARROW", "MNU_TAMALPHA", "ITM_alpha", "DOCU_CHR_caseFLIP", "ITM_NULL", "DOCU_CHR_numSET", "ITM_NULL", "DOCU_ITM_RADIX", "ITM_PERIOD", AP107), ".lo", ),"MNU_", "-MNU_")</f>
        <v>ITM_NULL</v>
      </c>
      <c r="BB107" s="157" t="str" cm="1">
        <f t="array" ref="BB107">SUBSTITUTE(SUBSTITUTE(_xlfn.SWITCH(AQ107, "ITM_T_HOME", "ITM_UP1", "ITM_T_END", "ITM_DOWN1", "DOCU_CHR_sub", "ITM_DOWN_ARROW", "DOCU_CHR_super", "ITM_UP_ARROW", "MNU_TAMALPHA", "ITM_alpha", "DOCU_CHR_caseFLIP", "ITM_NULL", "DOCU_CHR_numSET", "ITM_NULL", "DOCU_ITM_RADIX", "ITM_PERIOD", AQ107), ".lo", ),"MNU_", "-MNU_")</f>
        <v>ITM_I</v>
      </c>
      <c r="BC107" s="157" t="str" cm="1">
        <f t="array" ref="BC107">SUBSTITUTE(SUBSTITUTE(_xlfn.SWITCH(AR107, "ITM_T_HOME", "ITM_UP1", "ITM_T_END", "ITM_DOWN1", "DOCU_CHR_sub", "ITM_DOWN_ARROW", "DOCU_CHR_super", "ITM_UP_ARROW", "MNU_TAMALPHA", "ITM_alpha", "DOCU_CHR_caseFLIP", "ITM_NULL", "DOCU_CHR_numSET", "ITM_NULL", "DOCU_ITM_RADIX", "ITM_PERIOD", AR107), ".lo", ),"MNU_", "-MNU_")</f>
        <v>ITM_DOWN_ARROW</v>
      </c>
      <c r="BD107" s="157" t="str" cm="1">
        <f t="array" ref="BD107">SUBSTITUTE(SUBSTITUTE(_xlfn.SWITCH(AS107, "ITM_T_HOME", "ITM_UP1", "ITM_T_END", "ITM_DOWN1", "DOCU_CHR_sub", "ITM_DOWN_ARROW", "DOCU_CHR_super", "ITM_UP_ARROW", "MNU_TAMALPHA", "ITM_alpha", "DOCU_CHR_caseFLIP", "ITM_NULL", "DOCU_CHR_numSET", "ITM_NULL", "DOCU_ITM_RADIX", "ITM_PERIOD", AS107), ".lo", ),"MNU_", "-MNU_")</f>
        <v>ITM_IOTA</v>
      </c>
      <c r="BE107" s="157" t="str" cm="1">
        <f t="array" ref="BE107">SUBSTITUTE(SUBSTITUTE(_xlfn.SWITCH(AT107, "ITM_T_HOME", "ITM_UP1", "ITM_T_END", "ITM_DOWN1", "DOCU_CHR_sub", "ITM_DOWN_ARROW", "DOCU_CHR_super", "ITM_UP_ARROW", "MNU_TAMALPHA", "ITM_alpha", "DOCU_CHR_caseFLIP", "ITM_NULL", "DOCU_CHR_numSET", "ITM_NULL", "DOCU_ITM_RADIX", "ITM_PERIOD", AT107), ".lo", ),"MNU_", "-MNU_")</f>
        <v>ITM_REG_I</v>
      </c>
      <c r="BG107" s="75"/>
      <c r="BR107" s="1" t="s">
        <v>329</v>
      </c>
      <c r="BS107" s="1" t="s">
        <v>330</v>
      </c>
      <c r="BT107" s="1" t="s">
        <v>331</v>
      </c>
      <c r="BU107" s="1" t="s">
        <v>81</v>
      </c>
      <c r="BV107" s="1" t="s">
        <v>332</v>
      </c>
      <c r="BW107" s="1" t="s">
        <v>327</v>
      </c>
      <c r="BX107" s="1" t="s">
        <v>328</v>
      </c>
      <c r="BY107" s="1" t="s">
        <v>107</v>
      </c>
    </row>
    <row r="108" spans="1:77" ht="21" x14ac:dyDescent="0.2">
      <c r="X108" s="129" t="str">
        <f t="shared" si="39"/>
        <v>WP43</v>
      </c>
      <c r="Y108" s="109">
        <v>3</v>
      </c>
      <c r="Z108" s="109">
        <v>4</v>
      </c>
      <c r="AA108" s="112" t="str">
        <f t="shared" si="15"/>
        <v>WP43.34</v>
      </c>
      <c r="AB108" s="117" t="s">
        <v>333</v>
      </c>
      <c r="AC108" s="118" t="s">
        <v>89</v>
      </c>
      <c r="AD108" s="119" t="s">
        <v>90</v>
      </c>
      <c r="AE108" s="3"/>
      <c r="AF108" s="52" t="s">
        <v>111</v>
      </c>
      <c r="AG108" s="77" t="b">
        <f t="shared" si="48"/>
        <v>0</v>
      </c>
      <c r="AH108" s="83" t="str">
        <f t="shared" si="40"/>
        <v>|</v>
      </c>
      <c r="AI108" s="84" t="str">
        <f t="shared" si="41"/>
        <v>Eta</v>
      </c>
      <c r="AJ108" s="85" t="str">
        <f t="shared" si="42"/>
        <v>Reg J</v>
      </c>
      <c r="AK108" s="6"/>
      <c r="AL108" s="8" t="str">
        <f t="shared" si="43"/>
        <v>{34</v>
      </c>
      <c r="AM108" s="27" t="str">
        <f t="shared" si="44"/>
        <v>ITM_CC</v>
      </c>
      <c r="AN108" s="27" t="str">
        <f t="shared" si="45"/>
        <v>ITM_MAGNITUDE</v>
      </c>
      <c r="AO108" s="27" t="str">
        <f t="shared" si="46"/>
        <v>ITM_ARG</v>
      </c>
      <c r="AP108" s="46" t="str">
        <f>IF(NOT(ISNA(MATCH(AM108,Lookups!E:E,))),VLOOKUP(AM108,Lookups!E:F,2,0),
IF(NOT(ISNA(MATCH(AN108,Lookups!E:E,))),VLOOKUP(AN108,Lookups!E:F,2,0),
IF(NOT(ISNA(MATCH(AO108,Lookups!E:E,))),VLOOKUP(AO108,Lookups!E:F,2,0),"ITM_NULL")))</f>
        <v>ITM_NULL</v>
      </c>
      <c r="AQ108" s="28" t="str">
        <f t="shared" si="47"/>
        <v>ITM_J</v>
      </c>
      <c r="AR108" s="195" t="s">
        <v>93</v>
      </c>
      <c r="AS108" s="186" t="s">
        <v>334</v>
      </c>
      <c r="AT108" s="196" t="s">
        <v>114</v>
      </c>
      <c r="AW108" s="14" t="str">
        <f t="shared" si="49"/>
        <v>{34</v>
      </c>
      <c r="AX108" s="157" t="str" cm="1">
        <f t="array" ref="AX108">SUBSTITUTE(SUBSTITUTE(_xlfn.SWITCH(AM108, "ITM_T_HOME", "ITM_UP1", "ITM_T_END", "ITM_DOWN1", "DOCU_CHR_sub", "ITM_DOWN_ARROW", "DOCU_CHR_super", "ITM_UP_ARROW", "MNU_TAMALPHA", "ITM_alpha", "DOCU_CHR_caseFLIP", "ITM_NULL", "DOCU_CHR_numSET", "ITM_NULL", "DOCU_ITM_RADIX", "ITM_PERIOD", AM108), ".lo", ),"MNU_", "-MNU_")</f>
        <v>ITM_CC</v>
      </c>
      <c r="AY108" s="157" t="str" cm="1">
        <f t="array" ref="AY108">SUBSTITUTE(SUBSTITUTE(_xlfn.SWITCH(AN108, "ITM_T_HOME", "ITM_UP1", "ITM_T_END", "ITM_DOWN1", "DOCU_CHR_sub", "ITM_DOWN_ARROW", "DOCU_CHR_super", "ITM_UP_ARROW", "MNU_TAMALPHA", "ITM_alpha", "DOCU_CHR_caseFLIP", "ITM_NULL", "DOCU_CHR_numSET", "ITM_NULL", "DOCU_ITM_RADIX", "ITM_PERIOD", AN108), ".lo", ),"MNU_", "-MNU_")</f>
        <v>ITM_MAGNITUDE</v>
      </c>
      <c r="AZ108" s="157" t="str" cm="1">
        <f t="array" ref="AZ108">SUBSTITUTE(SUBSTITUTE(_xlfn.SWITCH(AO108, "ITM_T_HOME", "ITM_UP1", "ITM_T_END", "ITM_DOWN1", "DOCU_CHR_sub", "ITM_DOWN_ARROW", "DOCU_CHR_super", "ITM_UP_ARROW", "MNU_TAMALPHA", "ITM_alpha", "DOCU_CHR_caseFLIP", "ITM_NULL", "DOCU_CHR_numSET", "ITM_NULL", "DOCU_ITM_RADIX", "ITM_PERIOD", AO108), ".lo", ),"MNU_", "-MNU_")</f>
        <v>ITM_ARG</v>
      </c>
      <c r="BA108" s="173" t="str" cm="1">
        <f t="array" ref="BA108">SUBSTITUTE(SUBSTITUTE(_xlfn.SWITCH(AP108, "ITM_T_HOME", "ITM_UP1", "ITM_T_END", "ITM_DOWN1", "DOCU_CHR_sub", "ITM_DOWN_ARROW", "DOCU_CHR_super", "ITM_UP_ARROW", "MNU_TAMALPHA", "ITM_alpha", "DOCU_CHR_caseFLIP", "ITM_NULL", "DOCU_CHR_numSET", "ITM_NULL", "DOCU_ITM_RADIX", "ITM_PERIOD", AP108), ".lo", ),"MNU_", "-MNU_")</f>
        <v>ITM_NULL</v>
      </c>
      <c r="BB108" s="157" t="str" cm="1">
        <f t="array" ref="BB108">SUBSTITUTE(SUBSTITUTE(_xlfn.SWITCH(AQ108, "ITM_T_HOME", "ITM_UP1", "ITM_T_END", "ITM_DOWN1", "DOCU_CHR_sub", "ITM_DOWN_ARROW", "DOCU_CHR_super", "ITM_UP_ARROW", "MNU_TAMALPHA", "ITM_alpha", "DOCU_CHR_caseFLIP", "ITM_NULL", "DOCU_CHR_numSET", "ITM_NULL", "DOCU_ITM_RADIX", "ITM_PERIOD", AQ108), ".lo", ),"MNU_", "-MNU_")</f>
        <v>ITM_J</v>
      </c>
      <c r="BC108" s="157" t="str" cm="1">
        <f t="array" ref="BC108">SUBSTITUTE(SUBSTITUTE(_xlfn.SWITCH(AR108, "ITM_T_HOME", "ITM_UP1", "ITM_T_END", "ITM_DOWN1", "DOCU_CHR_sub", "ITM_DOWN_ARROW", "DOCU_CHR_super", "ITM_UP_ARROW", "MNU_TAMALPHA", "ITM_alpha", "DOCU_CHR_caseFLIP", "ITM_NULL", "DOCU_CHR_numSET", "ITM_NULL", "DOCU_ITM_RADIX", "ITM_PERIOD", AR108), ".lo", ),"MNU_", "-MNU_")</f>
        <v>ITM_VERTICAL_BAR</v>
      </c>
      <c r="BD108" s="157" t="str" cm="1">
        <f t="array" ref="BD108">SUBSTITUTE(SUBSTITUTE(_xlfn.SWITCH(AS108, "ITM_T_HOME", "ITM_UP1", "ITM_T_END", "ITM_DOWN1", "DOCU_CHR_sub", "ITM_DOWN_ARROW", "DOCU_CHR_super", "ITM_UP_ARROW", "MNU_TAMALPHA", "ITM_alpha", "DOCU_CHR_caseFLIP", "ITM_NULL", "DOCU_CHR_numSET", "ITM_NULL", "DOCU_ITM_RADIX", "ITM_PERIOD", AS108), ".lo", ),"MNU_", "-MNU_")</f>
        <v>ITM_ETA</v>
      </c>
      <c r="BE108" s="157" t="str" cm="1">
        <f t="array" ref="BE108">SUBSTITUTE(SUBSTITUTE(_xlfn.SWITCH(AT108, "ITM_T_HOME", "ITM_UP1", "ITM_T_END", "ITM_DOWN1", "DOCU_CHR_sub", "ITM_DOWN_ARROW", "DOCU_CHR_super", "ITM_UP_ARROW", "MNU_TAMALPHA", "ITM_alpha", "DOCU_CHR_caseFLIP", "ITM_NULL", "DOCU_CHR_numSET", "ITM_NULL", "DOCU_ITM_RADIX", "ITM_PERIOD", AT108), ".lo", ),"MNU_", "-MNU_")</f>
        <v>ITM_REG_J</v>
      </c>
      <c r="BG108" s="75"/>
      <c r="BR108" s="1" t="s">
        <v>335</v>
      </c>
      <c r="BS108" s="1" t="s">
        <v>336</v>
      </c>
      <c r="BT108" s="1" t="s">
        <v>337</v>
      </c>
      <c r="BU108" s="1" t="s">
        <v>81</v>
      </c>
      <c r="BV108" s="1" t="s">
        <v>338</v>
      </c>
      <c r="BW108" s="1" t="s">
        <v>93</v>
      </c>
      <c r="BX108" s="1" t="s">
        <v>334</v>
      </c>
      <c r="BY108" s="1" t="s">
        <v>114</v>
      </c>
    </row>
    <row r="109" spans="1:77" ht="21" x14ac:dyDescent="0.2">
      <c r="X109" s="129" t="str">
        <f t="shared" si="39"/>
        <v>WP43</v>
      </c>
      <c r="Y109" s="109">
        <v>3</v>
      </c>
      <c r="Z109" s="109">
        <v>5</v>
      </c>
      <c r="AA109" s="112" t="str">
        <f t="shared" si="15"/>
        <v>WP43.35</v>
      </c>
      <c r="AB109" s="121" t="s">
        <v>339</v>
      </c>
      <c r="AC109" s="118" t="s">
        <v>218</v>
      </c>
      <c r="AD109" s="119" t="s">
        <v>244</v>
      </c>
      <c r="AE109" s="3"/>
      <c r="AF109" s="121" t="s">
        <v>339</v>
      </c>
      <c r="AG109" s="77" t="b">
        <f t="shared" si="48"/>
        <v>0</v>
      </c>
      <c r="AH109" s="83" t="str">
        <f t="shared" si="40"/>
        <v xml:space="preserve"> </v>
      </c>
      <c r="AI109" s="84" t="str">
        <f t="shared" si="41"/>
        <v>SNAP</v>
      </c>
      <c r="AJ109" s="85" t="str">
        <f t="shared" si="42"/>
        <v xml:space="preserve"> f </v>
      </c>
      <c r="AK109" s="6"/>
      <c r="AL109" s="8" t="str">
        <f t="shared" si="43"/>
        <v>{35</v>
      </c>
      <c r="AM109" s="27" t="str">
        <f t="shared" si="44"/>
        <v>ITM_SHIFTf</v>
      </c>
      <c r="AN109" s="27" t="str">
        <f t="shared" si="45"/>
        <v>ITM_NULL</v>
      </c>
      <c r="AO109" s="27" t="str">
        <f t="shared" si="46"/>
        <v>ITM_SNAP</v>
      </c>
      <c r="AP109" s="46" t="str">
        <f>IF(NOT(ISNA(MATCH(AM109,Lookups!E:E,))),VLOOKUP(AM109,Lookups!E:F,2,0),
IF(NOT(ISNA(MATCH(AN109,Lookups!E:E,))),VLOOKUP(AN109,Lookups!E:F,2,0),
IF(NOT(ISNA(MATCH(AO109,Lookups!E:E,))),VLOOKUP(AO109,Lookups!E:F,2,0),"ITM_NULL")))</f>
        <v>ITM_SHIFTf</v>
      </c>
      <c r="AQ109" s="28" t="str">
        <f t="shared" si="47"/>
        <v>ITM_SHIFTf</v>
      </c>
      <c r="AR109" s="195" t="s">
        <v>81</v>
      </c>
      <c r="AS109" s="186" t="s">
        <v>246</v>
      </c>
      <c r="AT109" s="196" t="s">
        <v>340</v>
      </c>
      <c r="AW109" s="14" t="str">
        <f t="shared" si="49"/>
        <v>{35</v>
      </c>
      <c r="AX109" s="157" t="str" cm="1">
        <f t="array" ref="AX109">SUBSTITUTE(SUBSTITUTE(_xlfn.SWITCH(AM109, "ITM_T_HOME", "ITM_UP1", "ITM_T_END", "ITM_DOWN1", "DOCU_CHR_sub", "ITM_DOWN_ARROW", "DOCU_CHR_super", "ITM_UP_ARROW", "MNU_TAMALPHA", "ITM_alpha", "DOCU_CHR_caseFLIP", "ITM_NULL", "DOCU_CHR_numSET", "ITM_NULL", "DOCU_ITM_RADIX", "ITM_PERIOD", AM109), ".lo", ),"MNU_", "-MNU_")</f>
        <v>ITM_SHIFTf</v>
      </c>
      <c r="AY109" s="157" t="str" cm="1">
        <f t="array" ref="AY109">SUBSTITUTE(SUBSTITUTE(_xlfn.SWITCH(AN109, "ITM_T_HOME", "ITM_UP1", "ITM_T_END", "ITM_DOWN1", "DOCU_CHR_sub", "ITM_DOWN_ARROW", "DOCU_CHR_super", "ITM_UP_ARROW", "MNU_TAMALPHA", "ITM_alpha", "DOCU_CHR_caseFLIP", "ITM_NULL", "DOCU_CHR_numSET", "ITM_NULL", "DOCU_ITM_RADIX", "ITM_PERIOD", AN109), ".lo", ),"MNU_", "-MNU_")</f>
        <v>ITM_NULL</v>
      </c>
      <c r="AZ109" s="157" t="str" cm="1">
        <f t="array" ref="AZ109">SUBSTITUTE(SUBSTITUTE(_xlfn.SWITCH(AO109, "ITM_T_HOME", "ITM_UP1", "ITM_T_END", "ITM_DOWN1", "DOCU_CHR_sub", "ITM_DOWN_ARROW", "DOCU_CHR_super", "ITM_UP_ARROW", "MNU_TAMALPHA", "ITM_alpha", "DOCU_CHR_caseFLIP", "ITM_NULL", "DOCU_CHR_numSET", "ITM_NULL", "DOCU_ITM_RADIX", "ITM_PERIOD", AO109), ".lo", ),"MNU_", "-MNU_")</f>
        <v>ITM_SNAP</v>
      </c>
      <c r="BA109" s="173" t="str" cm="1">
        <f t="array" ref="BA109">SUBSTITUTE(SUBSTITUTE(_xlfn.SWITCH(AP109, "ITM_T_HOME", "ITM_UP1", "ITM_T_END", "ITM_DOWN1", "DOCU_CHR_sub", "ITM_DOWN_ARROW", "DOCU_CHR_super", "ITM_UP_ARROW", "MNU_TAMALPHA", "ITM_alpha", "DOCU_CHR_caseFLIP", "ITM_NULL", "DOCU_CHR_numSET", "ITM_NULL", "DOCU_ITM_RADIX", "ITM_PERIOD", AP109), ".lo", ),"MNU_", "-MNU_")</f>
        <v>ITM_SHIFTf</v>
      </c>
      <c r="BB109" s="157" t="str" cm="1">
        <f t="array" ref="BB109">SUBSTITUTE(SUBSTITUTE(_xlfn.SWITCH(AQ109, "ITM_T_HOME", "ITM_UP1", "ITM_T_END", "ITM_DOWN1", "DOCU_CHR_sub", "ITM_DOWN_ARROW", "DOCU_CHR_super", "ITM_UP_ARROW", "MNU_TAMALPHA", "ITM_alpha", "DOCU_CHR_caseFLIP", "ITM_NULL", "DOCU_CHR_numSET", "ITM_NULL", "DOCU_ITM_RADIX", "ITM_PERIOD", AQ109), ".lo", ),"MNU_", "-MNU_")</f>
        <v>ITM_SHIFTf</v>
      </c>
      <c r="BC109" s="157" t="str" cm="1">
        <f t="array" ref="BC109">SUBSTITUTE(SUBSTITUTE(_xlfn.SWITCH(AR109, "ITM_T_HOME", "ITM_UP1", "ITM_T_END", "ITM_DOWN1", "DOCU_CHR_sub", "ITM_DOWN_ARROW", "DOCU_CHR_super", "ITM_UP_ARROW", "MNU_TAMALPHA", "ITM_alpha", "DOCU_CHR_caseFLIP", "ITM_NULL", "DOCU_CHR_numSET", "ITM_NULL", "DOCU_ITM_RADIX", "ITM_PERIOD", AR109), ".lo", ),"MNU_", "-MNU_")</f>
        <v>ITM_NULL</v>
      </c>
      <c r="BD109" s="157" t="str" cm="1">
        <f t="array" ref="BD109">SUBSTITUTE(SUBSTITUTE(_xlfn.SWITCH(AS109, "ITM_T_HOME", "ITM_UP1", "ITM_T_END", "ITM_DOWN1", "DOCU_CHR_sub", "ITM_DOWN_ARROW", "DOCU_CHR_super", "ITM_UP_ARROW", "MNU_TAMALPHA", "ITM_alpha", "DOCU_CHR_caseFLIP", "ITM_NULL", "DOCU_CHR_numSET", "ITM_NULL", "DOCU_ITM_RADIX", "ITM_PERIOD", AS109), ".lo", ),"MNU_", "-MNU_")</f>
        <v>ITM_SNAP</v>
      </c>
      <c r="BE109" s="157" t="str" cm="1">
        <f t="array" ref="BE109">SUBSTITUTE(SUBSTITUTE(_xlfn.SWITCH(AT109, "ITM_T_HOME", "ITM_UP1", "ITM_T_END", "ITM_DOWN1", "DOCU_CHR_sub", "ITM_DOWN_ARROW", "DOCU_CHR_super", "ITM_UP_ARROW", "MNU_TAMALPHA", "ITM_alpha", "DOCU_CHR_caseFLIP", "ITM_NULL", "DOCU_CHR_numSET", "ITM_NULL", "DOCU_ITM_RADIX", "ITM_PERIOD", AT109), ".lo", ),"MNU_", "-MNU_")</f>
        <v>ITM_SHIFTf</v>
      </c>
      <c r="BG109" s="75"/>
      <c r="BR109" s="1" t="s">
        <v>340</v>
      </c>
      <c r="BS109" s="1" t="s">
        <v>81</v>
      </c>
      <c r="BT109" s="1" t="s">
        <v>246</v>
      </c>
      <c r="BU109" s="1" t="s">
        <v>340</v>
      </c>
      <c r="BV109" s="1" t="s">
        <v>340</v>
      </c>
      <c r="BW109" s="1" t="s">
        <v>81</v>
      </c>
      <c r="BX109" s="1" t="s">
        <v>246</v>
      </c>
      <c r="BY109" s="1" t="s">
        <v>340</v>
      </c>
    </row>
    <row r="110" spans="1:77" ht="21" x14ac:dyDescent="0.2">
      <c r="X110" s="129" t="str">
        <f t="shared" si="39"/>
        <v>WP43</v>
      </c>
      <c r="Y110" s="109">
        <v>3</v>
      </c>
      <c r="Z110" s="109">
        <v>6</v>
      </c>
      <c r="AA110" s="112" t="str">
        <f t="shared" si="15"/>
        <v>WP43.36</v>
      </c>
      <c r="AB110" s="121" t="s">
        <v>341</v>
      </c>
      <c r="AC110" s="118" t="s">
        <v>227</v>
      </c>
      <c r="AD110" s="119" t="s">
        <v>218</v>
      </c>
      <c r="AE110" s="3"/>
      <c r="AF110" s="121" t="s">
        <v>341</v>
      </c>
      <c r="AG110" s="77" t="b">
        <f t="shared" si="48"/>
        <v>0</v>
      </c>
      <c r="AH110" s="83" t="str">
        <f t="shared" si="40"/>
        <v>USER</v>
      </c>
      <c r="AI110" s="84" t="str">
        <f t="shared" si="41"/>
        <v xml:space="preserve"> </v>
      </c>
      <c r="AJ110" s="85" t="str">
        <f t="shared" si="42"/>
        <v xml:space="preserve"> g </v>
      </c>
      <c r="AK110" s="6"/>
      <c r="AL110" s="8" t="str">
        <f t="shared" si="43"/>
        <v>{36</v>
      </c>
      <c r="AM110" s="27" t="str">
        <f t="shared" si="44"/>
        <v>ITM_SHIFTg</v>
      </c>
      <c r="AN110" s="27" t="str">
        <f t="shared" si="45"/>
        <v>ITM_USERMODE</v>
      </c>
      <c r="AO110" s="27" t="str">
        <f t="shared" si="46"/>
        <v>ITM_NULL</v>
      </c>
      <c r="AP110" s="46" t="str">
        <f>IF(NOT(ISNA(MATCH(AM110,Lookups!E:E,))),VLOOKUP(AM110,Lookups!E:F,2,0),
IF(NOT(ISNA(MATCH(AN110,Lookups!E:E,))),VLOOKUP(AN110,Lookups!E:F,2,0),
IF(NOT(ISNA(MATCH(AO110,Lookups!E:E,))),VLOOKUP(AO110,Lookups!E:F,2,0),"ITM_NULL")))</f>
        <v>ITM_SHIFTg</v>
      </c>
      <c r="AQ110" s="28" t="str">
        <f t="shared" si="47"/>
        <v>ITM_SHIFTg</v>
      </c>
      <c r="AR110" s="195" t="s">
        <v>342</v>
      </c>
      <c r="AS110" s="186" t="s">
        <v>81</v>
      </c>
      <c r="AT110" s="196" t="s">
        <v>343</v>
      </c>
      <c r="AW110" s="14" t="str">
        <f t="shared" si="49"/>
        <v>{36</v>
      </c>
      <c r="AX110" s="157" t="str" cm="1">
        <f t="array" ref="AX110">SUBSTITUTE(SUBSTITUTE(_xlfn.SWITCH(AM110, "ITM_T_HOME", "ITM_UP1", "ITM_T_END", "ITM_DOWN1", "DOCU_CHR_sub", "ITM_DOWN_ARROW", "DOCU_CHR_super", "ITM_UP_ARROW", "MNU_TAMALPHA", "ITM_alpha", "DOCU_CHR_caseFLIP", "ITM_NULL", "DOCU_CHR_numSET", "ITM_NULL", "DOCU_ITM_RADIX", "ITM_PERIOD", AM110), ".lo", ),"MNU_", "-MNU_")</f>
        <v>ITM_SHIFTg</v>
      </c>
      <c r="AY110" s="157" t="str" cm="1">
        <f t="array" ref="AY110">SUBSTITUTE(SUBSTITUTE(_xlfn.SWITCH(AN110, "ITM_T_HOME", "ITM_UP1", "ITM_T_END", "ITM_DOWN1", "DOCU_CHR_sub", "ITM_DOWN_ARROW", "DOCU_CHR_super", "ITM_UP_ARROW", "MNU_TAMALPHA", "ITM_alpha", "DOCU_CHR_caseFLIP", "ITM_NULL", "DOCU_CHR_numSET", "ITM_NULL", "DOCU_ITM_RADIX", "ITM_PERIOD", AN110), ".lo", ),"MNU_", "-MNU_")</f>
        <v>ITM_USERMODE</v>
      </c>
      <c r="AZ110" s="157" t="str" cm="1">
        <f t="array" ref="AZ110">SUBSTITUTE(SUBSTITUTE(_xlfn.SWITCH(AO110, "ITM_T_HOME", "ITM_UP1", "ITM_T_END", "ITM_DOWN1", "DOCU_CHR_sub", "ITM_DOWN_ARROW", "DOCU_CHR_super", "ITM_UP_ARROW", "MNU_TAMALPHA", "ITM_alpha", "DOCU_CHR_caseFLIP", "ITM_NULL", "DOCU_CHR_numSET", "ITM_NULL", "DOCU_ITM_RADIX", "ITM_PERIOD", AO110), ".lo", ),"MNU_", "-MNU_")</f>
        <v>ITM_NULL</v>
      </c>
      <c r="BA110" s="173" t="str" cm="1">
        <f t="array" ref="BA110">SUBSTITUTE(SUBSTITUTE(_xlfn.SWITCH(AP110, "ITM_T_HOME", "ITM_UP1", "ITM_T_END", "ITM_DOWN1", "DOCU_CHR_sub", "ITM_DOWN_ARROW", "DOCU_CHR_super", "ITM_UP_ARROW", "MNU_TAMALPHA", "ITM_alpha", "DOCU_CHR_caseFLIP", "ITM_NULL", "DOCU_CHR_numSET", "ITM_NULL", "DOCU_ITM_RADIX", "ITM_PERIOD", AP110), ".lo", ),"MNU_", "-MNU_")</f>
        <v>ITM_SHIFTg</v>
      </c>
      <c r="BB110" s="157" t="str" cm="1">
        <f t="array" ref="BB110">SUBSTITUTE(SUBSTITUTE(_xlfn.SWITCH(AQ110, "ITM_T_HOME", "ITM_UP1", "ITM_T_END", "ITM_DOWN1", "DOCU_CHR_sub", "ITM_DOWN_ARROW", "DOCU_CHR_super", "ITM_UP_ARROW", "MNU_TAMALPHA", "ITM_alpha", "DOCU_CHR_caseFLIP", "ITM_NULL", "DOCU_CHR_numSET", "ITM_NULL", "DOCU_ITM_RADIX", "ITM_PERIOD", AQ110), ".lo", ),"MNU_", "-MNU_")</f>
        <v>ITM_SHIFTg</v>
      </c>
      <c r="BC110" s="157" t="str" cm="1">
        <f t="array" ref="BC110">SUBSTITUTE(SUBSTITUTE(_xlfn.SWITCH(AR110, "ITM_T_HOME", "ITM_UP1", "ITM_T_END", "ITM_DOWN1", "DOCU_CHR_sub", "ITM_DOWN_ARROW", "DOCU_CHR_super", "ITM_UP_ARROW", "MNU_TAMALPHA", "ITM_alpha", "DOCU_CHR_caseFLIP", "ITM_NULL", "DOCU_CHR_numSET", "ITM_NULL", "DOCU_ITM_RADIX", "ITM_PERIOD", AR110), ".lo", ),"MNU_", "-MNU_")</f>
        <v>ITM_USERMODE</v>
      </c>
      <c r="BD110" s="157" t="str" cm="1">
        <f t="array" ref="BD110">SUBSTITUTE(SUBSTITUTE(_xlfn.SWITCH(AS110, "ITM_T_HOME", "ITM_UP1", "ITM_T_END", "ITM_DOWN1", "DOCU_CHR_sub", "ITM_DOWN_ARROW", "DOCU_CHR_super", "ITM_UP_ARROW", "MNU_TAMALPHA", "ITM_alpha", "DOCU_CHR_caseFLIP", "ITM_NULL", "DOCU_CHR_numSET", "ITM_NULL", "DOCU_ITM_RADIX", "ITM_PERIOD", AS110), ".lo", ),"MNU_", "-MNU_")</f>
        <v>ITM_NULL</v>
      </c>
      <c r="BE110" s="157" t="str" cm="1">
        <f t="array" ref="BE110">SUBSTITUTE(SUBSTITUTE(_xlfn.SWITCH(AT110, "ITM_T_HOME", "ITM_UP1", "ITM_T_END", "ITM_DOWN1", "DOCU_CHR_sub", "ITM_DOWN_ARROW", "DOCU_CHR_super", "ITM_UP_ARROW", "MNU_TAMALPHA", "ITM_alpha", "DOCU_CHR_caseFLIP", "ITM_NULL", "DOCU_CHR_numSET", "ITM_NULL", "DOCU_ITM_RADIX", "ITM_PERIOD", AT110), ".lo", ),"MNU_", "-MNU_")</f>
        <v>ITM_SHIFTg</v>
      </c>
      <c r="BG110" s="75"/>
      <c r="BR110" s="1" t="s">
        <v>343</v>
      </c>
      <c r="BS110" s="1" t="s">
        <v>342</v>
      </c>
      <c r="BT110" s="1" t="s">
        <v>81</v>
      </c>
      <c r="BU110" s="1" t="s">
        <v>343</v>
      </c>
      <c r="BV110" s="1" t="s">
        <v>343</v>
      </c>
      <c r="BW110" s="1" t="s">
        <v>342</v>
      </c>
      <c r="BX110" s="1" t="s">
        <v>81</v>
      </c>
      <c r="BY110" s="1" t="s">
        <v>343</v>
      </c>
    </row>
    <row r="111" spans="1:77" ht="21" x14ac:dyDescent="0.2">
      <c r="X111" s="129" t="str">
        <f t="shared" si="39"/>
        <v>WP43</v>
      </c>
      <c r="Y111" s="106">
        <v>4</v>
      </c>
      <c r="Z111" s="106">
        <v>1</v>
      </c>
      <c r="AA111" s="112" t="str">
        <f t="shared" si="15"/>
        <v>WP43.41</v>
      </c>
      <c r="AB111" s="117" t="s">
        <v>129</v>
      </c>
      <c r="AC111" s="118" t="s">
        <v>344</v>
      </c>
      <c r="AD111" s="119" t="s">
        <v>345</v>
      </c>
      <c r="AE111" s="3"/>
      <c r="AF111" s="49" t="s">
        <v>129</v>
      </c>
      <c r="AG111" s="77" t="b">
        <f t="shared" si="48"/>
        <v>0</v>
      </c>
      <c r="AH111" s="83" t="str">
        <f t="shared" si="40"/>
        <v xml:space="preserve"> </v>
      </c>
      <c r="AI111" s="84" t="str">
        <f t="shared" si="41"/>
        <v xml:space="preserve"> </v>
      </c>
      <c r="AJ111" s="85" t="str">
        <f t="shared" si="42"/>
        <v>ENTER</v>
      </c>
      <c r="AK111" s="6"/>
      <c r="AL111" s="8" t="str">
        <f t="shared" si="43"/>
        <v>{41</v>
      </c>
      <c r="AM111" s="27" t="str">
        <f t="shared" si="44"/>
        <v>ITM_ENTER</v>
      </c>
      <c r="AN111" s="27" t="str">
        <f t="shared" si="45"/>
        <v>ITM_FILL</v>
      </c>
      <c r="AO111" s="27" t="str">
        <f t="shared" si="46"/>
        <v>ITM_DROP</v>
      </c>
      <c r="AP111" s="46" t="str">
        <f>IF(NOT(ISNA(MATCH(AM111,Lookups!E:E,))),VLOOKUP(AM111,Lookups!E:F,2,0),
IF(NOT(ISNA(MATCH(AN111,Lookups!E:E,))),VLOOKUP(AN111,Lookups!E:F,2,0),
IF(NOT(ISNA(MATCH(AO111,Lookups!E:E,))),VLOOKUP(AO111,Lookups!E:F,2,0),"ITM_NULL")))</f>
        <v>ITM_ENTER</v>
      </c>
      <c r="AQ111" s="28" t="str">
        <f t="shared" si="47"/>
        <v>ITM_ENTER</v>
      </c>
      <c r="AR111" s="198" t="s">
        <v>81</v>
      </c>
      <c r="AS111" s="186" t="s">
        <v>81</v>
      </c>
      <c r="AT111" s="197" t="s">
        <v>134</v>
      </c>
      <c r="AW111" s="14" t="str">
        <f t="shared" si="49"/>
        <v>{41</v>
      </c>
      <c r="AX111" s="157" t="str" cm="1">
        <f t="array" ref="AX111">SUBSTITUTE(SUBSTITUTE(_xlfn.SWITCH(AM111, "ITM_T_HOME", "ITM_UP1", "ITM_T_END", "ITM_DOWN1", "DOCU_CHR_sub", "ITM_DOWN_ARROW", "DOCU_CHR_super", "ITM_UP_ARROW", "MNU_TAMALPHA", "ITM_alpha", "DOCU_CHR_caseFLIP", "ITM_NULL", "DOCU_CHR_numSET", "ITM_NULL", "DOCU_ITM_RADIX", "ITM_PERIOD", AM111), ".lo", ),"MNU_", "-MNU_")</f>
        <v>ITM_ENTER</v>
      </c>
      <c r="AY111" s="157" t="str" cm="1">
        <f t="array" ref="AY111">SUBSTITUTE(SUBSTITUTE(_xlfn.SWITCH(AN111, "ITM_T_HOME", "ITM_UP1", "ITM_T_END", "ITM_DOWN1", "DOCU_CHR_sub", "ITM_DOWN_ARROW", "DOCU_CHR_super", "ITM_UP_ARROW", "MNU_TAMALPHA", "ITM_alpha", "DOCU_CHR_caseFLIP", "ITM_NULL", "DOCU_CHR_numSET", "ITM_NULL", "DOCU_ITM_RADIX", "ITM_PERIOD", AN111), ".lo", ),"MNU_", "-MNU_")</f>
        <v>ITM_FILL</v>
      </c>
      <c r="AZ111" s="157" t="str" cm="1">
        <f t="array" ref="AZ111">SUBSTITUTE(SUBSTITUTE(_xlfn.SWITCH(AO111, "ITM_T_HOME", "ITM_UP1", "ITM_T_END", "ITM_DOWN1", "DOCU_CHR_sub", "ITM_DOWN_ARROW", "DOCU_CHR_super", "ITM_UP_ARROW", "MNU_TAMALPHA", "ITM_alpha", "DOCU_CHR_caseFLIP", "ITM_NULL", "DOCU_CHR_numSET", "ITM_NULL", "DOCU_ITM_RADIX", "ITM_PERIOD", AO111), ".lo", ),"MNU_", "-MNU_")</f>
        <v>ITM_DROP</v>
      </c>
      <c r="BA111" s="173" t="str" cm="1">
        <f t="array" ref="BA111">SUBSTITUTE(SUBSTITUTE(_xlfn.SWITCH(AP111, "ITM_T_HOME", "ITM_UP1", "ITM_T_END", "ITM_DOWN1", "DOCU_CHR_sub", "ITM_DOWN_ARROW", "DOCU_CHR_super", "ITM_UP_ARROW", "MNU_TAMALPHA", "ITM_alpha", "DOCU_CHR_caseFLIP", "ITM_NULL", "DOCU_CHR_numSET", "ITM_NULL", "DOCU_ITM_RADIX", "ITM_PERIOD", AP111), ".lo", ),"MNU_", "-MNU_")</f>
        <v>ITM_ENTER</v>
      </c>
      <c r="BB111" s="157" t="str" cm="1">
        <f t="array" ref="BB111">SUBSTITUTE(SUBSTITUTE(_xlfn.SWITCH(AQ111, "ITM_T_HOME", "ITM_UP1", "ITM_T_END", "ITM_DOWN1", "DOCU_CHR_sub", "ITM_DOWN_ARROW", "DOCU_CHR_super", "ITM_UP_ARROW", "MNU_TAMALPHA", "ITM_alpha", "DOCU_CHR_caseFLIP", "ITM_NULL", "DOCU_CHR_numSET", "ITM_NULL", "DOCU_ITM_RADIX", "ITM_PERIOD", AQ111), ".lo", ),"MNU_", "-MNU_")</f>
        <v>ITM_ENTER</v>
      </c>
      <c r="BC111" s="157" t="str" cm="1">
        <f t="array" ref="BC111">SUBSTITUTE(SUBSTITUTE(_xlfn.SWITCH(AR111, "ITM_T_HOME", "ITM_UP1", "ITM_T_END", "ITM_DOWN1", "DOCU_CHR_sub", "ITM_DOWN_ARROW", "DOCU_CHR_super", "ITM_UP_ARROW", "MNU_TAMALPHA", "ITM_alpha", "DOCU_CHR_caseFLIP", "ITM_NULL", "DOCU_CHR_numSET", "ITM_NULL", "DOCU_ITM_RADIX", "ITM_PERIOD", AR111), ".lo", ),"MNU_", "-MNU_")</f>
        <v>ITM_NULL</v>
      </c>
      <c r="BD111" s="157" t="str" cm="1">
        <f t="array" ref="BD111">SUBSTITUTE(SUBSTITUTE(_xlfn.SWITCH(AS111, "ITM_T_HOME", "ITM_UP1", "ITM_T_END", "ITM_DOWN1", "DOCU_CHR_sub", "ITM_DOWN_ARROW", "DOCU_CHR_super", "ITM_UP_ARROW", "MNU_TAMALPHA", "ITM_alpha", "DOCU_CHR_caseFLIP", "ITM_NULL", "DOCU_CHR_numSET", "ITM_NULL", "DOCU_ITM_RADIX", "ITM_PERIOD", AS111), ".lo", ),"MNU_", "-MNU_")</f>
        <v>ITM_NULL</v>
      </c>
      <c r="BE111" s="157" t="str" cm="1">
        <f t="array" ref="BE111">SUBSTITUTE(SUBSTITUTE(_xlfn.SWITCH(AT111, "ITM_T_HOME", "ITM_UP1", "ITM_T_END", "ITM_DOWN1", "DOCU_CHR_sub", "ITM_DOWN_ARROW", "DOCU_CHR_super", "ITM_UP_ARROW", "MNU_TAMALPHA", "ITM_alpha", "DOCU_CHR_caseFLIP", "ITM_NULL", "DOCU_CHR_numSET", "ITM_NULL", "DOCU_ITM_RADIX", "ITM_PERIOD", AT111), ".lo", ),"MNU_", "-MNU_")</f>
        <v>ITM_ENTER</v>
      </c>
      <c r="BG111" s="75"/>
      <c r="BR111" s="1" t="s">
        <v>134</v>
      </c>
      <c r="BS111" s="1" t="s">
        <v>346</v>
      </c>
      <c r="BT111" s="1" t="s">
        <v>347</v>
      </c>
      <c r="BU111" s="1" t="s">
        <v>134</v>
      </c>
      <c r="BV111" s="1" t="s">
        <v>134</v>
      </c>
      <c r="BW111" s="1" t="s">
        <v>81</v>
      </c>
      <c r="BX111" s="1" t="s">
        <v>81</v>
      </c>
      <c r="BY111" s="1" t="s">
        <v>134</v>
      </c>
    </row>
    <row r="112" spans="1:77" ht="21" x14ac:dyDescent="0.2">
      <c r="X112" s="129" t="str">
        <f t="shared" si="39"/>
        <v>WP43</v>
      </c>
      <c r="Y112" s="109">
        <v>4</v>
      </c>
      <c r="Z112" s="109">
        <v>2</v>
      </c>
      <c r="AA112" s="112" t="str">
        <f t="shared" si="15"/>
        <v>WP43.42</v>
      </c>
      <c r="AB112" s="117" t="s">
        <v>135</v>
      </c>
      <c r="AC112" s="118" t="s">
        <v>348</v>
      </c>
      <c r="AD112" s="119" t="s">
        <v>137</v>
      </c>
      <c r="AE112" s="3"/>
      <c r="AF112" s="52" t="s">
        <v>118</v>
      </c>
      <c r="AG112" s="77" t="b">
        <f t="shared" si="48"/>
        <v>0</v>
      </c>
      <c r="AH112" s="83" t="str">
        <f t="shared" si="40"/>
        <v>&lt;&gt;</v>
      </c>
      <c r="AI112" s="84" t="str">
        <f t="shared" si="41"/>
        <v>Kappa</v>
      </c>
      <c r="AJ112" s="85" t="str">
        <f t="shared" si="42"/>
        <v>Reg K</v>
      </c>
      <c r="AK112" s="6"/>
      <c r="AL112" s="8" t="str">
        <f t="shared" si="43"/>
        <v>{42</v>
      </c>
      <c r="AM112" s="27" t="str">
        <f t="shared" si="44"/>
        <v>ITM_XexY</v>
      </c>
      <c r="AN112" s="27" t="str">
        <f t="shared" si="45"/>
        <v>ITM_Xex</v>
      </c>
      <c r="AO112" s="27" t="str">
        <f t="shared" si="46"/>
        <v>MNU_STK</v>
      </c>
      <c r="AP112" s="46" t="str">
        <f>IF(NOT(ISNA(MATCH(AM112,Lookups!E:E,))),VLOOKUP(AM112,Lookups!E:F,2,0),
IF(NOT(ISNA(MATCH(AN112,Lookups!E:E,))),VLOOKUP(AN112,Lookups!E:F,2,0),
IF(NOT(ISNA(MATCH(AO112,Lookups!E:E,))),VLOOKUP(AO112,Lookups!E:F,2,0),"ITM_NULL")))</f>
        <v>ITM_ex</v>
      </c>
      <c r="AQ112" s="28" t="str">
        <f t="shared" si="47"/>
        <v>ITM_K</v>
      </c>
      <c r="AR112" s="195" t="s">
        <v>140</v>
      </c>
      <c r="AS112" s="186" t="s">
        <v>349</v>
      </c>
      <c r="AT112" s="197" t="s">
        <v>121</v>
      </c>
      <c r="AW112" s="14" t="str">
        <f t="shared" si="49"/>
        <v>{42</v>
      </c>
      <c r="AX112" s="157" t="str" cm="1">
        <f t="array" ref="AX112">SUBSTITUTE(SUBSTITUTE(_xlfn.SWITCH(AM112, "ITM_T_HOME", "ITM_UP1", "ITM_T_END", "ITM_DOWN1", "DOCU_CHR_sub", "ITM_DOWN_ARROW", "DOCU_CHR_super", "ITM_UP_ARROW", "MNU_TAMALPHA", "ITM_alpha", "DOCU_CHR_caseFLIP", "ITM_NULL", "DOCU_CHR_numSET", "ITM_NULL", "DOCU_ITM_RADIX", "ITM_PERIOD", AM112), ".lo", ),"MNU_", "-MNU_")</f>
        <v>ITM_XexY</v>
      </c>
      <c r="AY112" s="157" t="str" cm="1">
        <f t="array" ref="AY112">SUBSTITUTE(SUBSTITUTE(_xlfn.SWITCH(AN112, "ITM_T_HOME", "ITM_UP1", "ITM_T_END", "ITM_DOWN1", "DOCU_CHR_sub", "ITM_DOWN_ARROW", "DOCU_CHR_super", "ITM_UP_ARROW", "MNU_TAMALPHA", "ITM_alpha", "DOCU_CHR_caseFLIP", "ITM_NULL", "DOCU_CHR_numSET", "ITM_NULL", "DOCU_ITM_RADIX", "ITM_PERIOD", AN112), ".lo", ),"MNU_", "-MNU_")</f>
        <v>ITM_Xex</v>
      </c>
      <c r="AZ112" s="157" t="str" cm="1">
        <f t="array" ref="AZ112">SUBSTITUTE(SUBSTITUTE(_xlfn.SWITCH(AO112, "ITM_T_HOME", "ITM_UP1", "ITM_T_END", "ITM_DOWN1", "DOCU_CHR_sub", "ITM_DOWN_ARROW", "DOCU_CHR_super", "ITM_UP_ARROW", "MNU_TAMALPHA", "ITM_alpha", "DOCU_CHR_caseFLIP", "ITM_NULL", "DOCU_CHR_numSET", "ITM_NULL", "DOCU_ITM_RADIX", "ITM_PERIOD", AO112), ".lo", ),"MNU_", "-MNU_")</f>
        <v>-MNU_STK</v>
      </c>
      <c r="BA112" s="173" t="str" cm="1">
        <f t="array" ref="BA112">SUBSTITUTE(SUBSTITUTE(_xlfn.SWITCH(AP112, "ITM_T_HOME", "ITM_UP1", "ITM_T_END", "ITM_DOWN1", "DOCU_CHR_sub", "ITM_DOWN_ARROW", "DOCU_CHR_super", "ITM_UP_ARROW", "MNU_TAMALPHA", "ITM_alpha", "DOCU_CHR_caseFLIP", "ITM_NULL", "DOCU_CHR_numSET", "ITM_NULL", "DOCU_ITM_RADIX", "ITM_PERIOD", AP112), ".lo", ),"MNU_", "-MNU_")</f>
        <v>ITM_ex</v>
      </c>
      <c r="BB112" s="157" t="str" cm="1">
        <f t="array" ref="BB112">SUBSTITUTE(SUBSTITUTE(_xlfn.SWITCH(AQ112, "ITM_T_HOME", "ITM_UP1", "ITM_T_END", "ITM_DOWN1", "DOCU_CHR_sub", "ITM_DOWN_ARROW", "DOCU_CHR_super", "ITM_UP_ARROW", "MNU_TAMALPHA", "ITM_alpha", "DOCU_CHR_caseFLIP", "ITM_NULL", "DOCU_CHR_numSET", "ITM_NULL", "DOCU_ITM_RADIX", "ITM_PERIOD", AQ112), ".lo", ),"MNU_", "-MNU_")</f>
        <v>ITM_K</v>
      </c>
      <c r="BC112" s="157" t="str" cm="1">
        <f t="array" ref="BC112">SUBSTITUTE(SUBSTITUTE(_xlfn.SWITCH(AR112, "ITM_T_HOME", "ITM_UP1", "ITM_T_END", "ITM_DOWN1", "DOCU_CHR_sub", "ITM_DOWN_ARROW", "DOCU_CHR_super", "ITM_UP_ARROW", "MNU_TAMALPHA", "ITM_alpha", "DOCU_CHR_caseFLIP", "ITM_NULL", "DOCU_CHR_numSET", "ITM_NULL", "DOCU_ITM_RADIX", "ITM_PERIOD", AR112), ".lo", ),"MNU_", "-MNU_")</f>
        <v>ITM_ex</v>
      </c>
      <c r="BD112" s="157" t="str" cm="1">
        <f t="array" ref="BD112">SUBSTITUTE(SUBSTITUTE(_xlfn.SWITCH(AS112, "ITM_T_HOME", "ITM_UP1", "ITM_T_END", "ITM_DOWN1", "DOCU_CHR_sub", "ITM_DOWN_ARROW", "DOCU_CHR_super", "ITM_UP_ARROW", "MNU_TAMALPHA", "ITM_alpha", "DOCU_CHR_caseFLIP", "ITM_NULL", "DOCU_CHR_numSET", "ITM_NULL", "DOCU_ITM_RADIX", "ITM_PERIOD", AS112), ".lo", ),"MNU_", "-MNU_")</f>
        <v>ITM_KAPPA</v>
      </c>
      <c r="BE112" s="157" t="str" cm="1">
        <f t="array" ref="BE112">SUBSTITUTE(SUBSTITUTE(_xlfn.SWITCH(AT112, "ITM_T_HOME", "ITM_UP1", "ITM_T_END", "ITM_DOWN1", "DOCU_CHR_sub", "ITM_DOWN_ARROW", "DOCU_CHR_super", "ITM_UP_ARROW", "MNU_TAMALPHA", "ITM_alpha", "DOCU_CHR_caseFLIP", "ITM_NULL", "DOCU_CHR_numSET", "ITM_NULL", "DOCU_ITM_RADIX", "ITM_PERIOD", AT112), ".lo", ),"MNU_", "-MNU_")</f>
        <v>ITM_REG_K</v>
      </c>
      <c r="BG112" s="75"/>
      <c r="BR112" s="1" t="s">
        <v>350</v>
      </c>
      <c r="BS112" s="1" t="s">
        <v>351</v>
      </c>
      <c r="BT112" s="1" t="s">
        <v>352</v>
      </c>
      <c r="BU112" s="1" t="s">
        <v>140</v>
      </c>
      <c r="BV112" s="1" t="s">
        <v>353</v>
      </c>
      <c r="BW112" s="1" t="s">
        <v>140</v>
      </c>
      <c r="BX112" s="1" t="s">
        <v>349</v>
      </c>
      <c r="BY112" s="1" t="s">
        <v>121</v>
      </c>
    </row>
    <row r="113" spans="24:77" ht="21" x14ac:dyDescent="0.2">
      <c r="X113" s="129" t="str">
        <f t="shared" si="39"/>
        <v>WP43</v>
      </c>
      <c r="Y113" s="109">
        <v>4</v>
      </c>
      <c r="Z113" s="109">
        <v>3</v>
      </c>
      <c r="AA113" s="112" t="str">
        <f t="shared" si="15"/>
        <v>WP43.43</v>
      </c>
      <c r="AB113" s="117" t="s">
        <v>141</v>
      </c>
      <c r="AC113" s="118" t="s">
        <v>96</v>
      </c>
      <c r="AD113" s="119" t="s">
        <v>172</v>
      </c>
      <c r="AE113" s="3"/>
      <c r="AF113" s="52" t="s">
        <v>125</v>
      </c>
      <c r="AG113" s="77" t="b">
        <f t="shared" si="48"/>
        <v>0</v>
      </c>
      <c r="AH113" s="83" t="str">
        <f t="shared" si="40"/>
        <v>+/-</v>
      </c>
      <c r="AI113" s="84" t="str">
        <f t="shared" si="41"/>
        <v>Lambda</v>
      </c>
      <c r="AJ113" s="85" t="str">
        <f t="shared" si="42"/>
        <v>Reg L</v>
      </c>
      <c r="AK113" s="6"/>
      <c r="AL113" s="8" t="str">
        <f t="shared" si="43"/>
        <v>{43</v>
      </c>
      <c r="AM113" s="27" t="str">
        <f t="shared" si="44"/>
        <v>ITM_CHS</v>
      </c>
      <c r="AN113" s="27" t="str">
        <f t="shared" si="45"/>
        <v>ITM_DELTAPC</v>
      </c>
      <c r="AO113" s="27" t="str">
        <f t="shared" si="46"/>
        <v>MNU_FIN</v>
      </c>
      <c r="AP113" s="46" t="str">
        <f>IF(NOT(ISNA(MATCH(AM113,Lookups!E:E,))),VLOOKUP(AM113,Lookups!E:F,2,0),
IF(NOT(ISNA(MATCH(AN113,Lookups!E:E,))),VLOOKUP(AN113,Lookups!E:F,2,0),
IF(NOT(ISNA(MATCH(AO113,Lookups!E:E,))),VLOOKUP(AO113,Lookups!E:F,2,0),"ITM_NULL")))</f>
        <v>ITM_PLUS_MINUS</v>
      </c>
      <c r="AQ113" s="28" t="str">
        <f t="shared" si="47"/>
        <v>ITM_L</v>
      </c>
      <c r="AR113" s="195" t="s">
        <v>146</v>
      </c>
      <c r="AS113" s="186" t="s">
        <v>354</v>
      </c>
      <c r="AT113" s="197" t="s">
        <v>128</v>
      </c>
      <c r="AW113" s="14" t="str">
        <f t="shared" si="49"/>
        <v>{43</v>
      </c>
      <c r="AX113" s="157" t="str" cm="1">
        <f t="array" ref="AX113">SUBSTITUTE(SUBSTITUTE(_xlfn.SWITCH(AM113, "ITM_T_HOME", "ITM_UP1", "ITM_T_END", "ITM_DOWN1", "DOCU_CHR_sub", "ITM_DOWN_ARROW", "DOCU_CHR_super", "ITM_UP_ARROW", "MNU_TAMALPHA", "ITM_alpha", "DOCU_CHR_caseFLIP", "ITM_NULL", "DOCU_CHR_numSET", "ITM_NULL", "DOCU_ITM_RADIX", "ITM_PERIOD", AM113), ".lo", ),"MNU_", "-MNU_")</f>
        <v>ITM_CHS</v>
      </c>
      <c r="AY113" s="157" t="str" cm="1">
        <f t="array" ref="AY113">SUBSTITUTE(SUBSTITUTE(_xlfn.SWITCH(AN113, "ITM_T_HOME", "ITM_UP1", "ITM_T_END", "ITM_DOWN1", "DOCU_CHR_sub", "ITM_DOWN_ARROW", "DOCU_CHR_super", "ITM_UP_ARROW", "MNU_TAMALPHA", "ITM_alpha", "DOCU_CHR_caseFLIP", "ITM_NULL", "DOCU_CHR_numSET", "ITM_NULL", "DOCU_ITM_RADIX", "ITM_PERIOD", AN113), ".lo", ),"MNU_", "-MNU_")</f>
        <v>ITM_DELTAPC</v>
      </c>
      <c r="AZ113" s="157" t="str" cm="1">
        <f t="array" ref="AZ113">SUBSTITUTE(SUBSTITUTE(_xlfn.SWITCH(AO113, "ITM_T_HOME", "ITM_UP1", "ITM_T_END", "ITM_DOWN1", "DOCU_CHR_sub", "ITM_DOWN_ARROW", "DOCU_CHR_super", "ITM_UP_ARROW", "MNU_TAMALPHA", "ITM_alpha", "DOCU_CHR_caseFLIP", "ITM_NULL", "DOCU_CHR_numSET", "ITM_NULL", "DOCU_ITM_RADIX", "ITM_PERIOD", AO113), ".lo", ),"MNU_", "-MNU_")</f>
        <v>-MNU_FIN</v>
      </c>
      <c r="BA113" s="173" t="str" cm="1">
        <f t="array" ref="BA113">SUBSTITUTE(SUBSTITUTE(_xlfn.SWITCH(AP113, "ITM_T_HOME", "ITM_UP1", "ITM_T_END", "ITM_DOWN1", "DOCU_CHR_sub", "ITM_DOWN_ARROW", "DOCU_CHR_super", "ITM_UP_ARROW", "MNU_TAMALPHA", "ITM_alpha", "DOCU_CHR_caseFLIP", "ITM_NULL", "DOCU_CHR_numSET", "ITM_NULL", "DOCU_ITM_RADIX", "ITM_PERIOD", AP113), ".lo", ),"MNU_", "-MNU_")</f>
        <v>ITM_PLUS_MINUS</v>
      </c>
      <c r="BB113" s="157" t="str" cm="1">
        <f t="array" ref="BB113">SUBSTITUTE(SUBSTITUTE(_xlfn.SWITCH(AQ113, "ITM_T_HOME", "ITM_UP1", "ITM_T_END", "ITM_DOWN1", "DOCU_CHR_sub", "ITM_DOWN_ARROW", "DOCU_CHR_super", "ITM_UP_ARROW", "MNU_TAMALPHA", "ITM_alpha", "DOCU_CHR_caseFLIP", "ITM_NULL", "DOCU_CHR_numSET", "ITM_NULL", "DOCU_ITM_RADIX", "ITM_PERIOD", AQ113), ".lo", ),"MNU_", "-MNU_")</f>
        <v>ITM_L</v>
      </c>
      <c r="BC113" s="157" t="str" cm="1">
        <f t="array" ref="BC113">SUBSTITUTE(SUBSTITUTE(_xlfn.SWITCH(AR113, "ITM_T_HOME", "ITM_UP1", "ITM_T_END", "ITM_DOWN1", "DOCU_CHR_sub", "ITM_DOWN_ARROW", "DOCU_CHR_super", "ITM_UP_ARROW", "MNU_TAMALPHA", "ITM_alpha", "DOCU_CHR_caseFLIP", "ITM_NULL", "DOCU_CHR_numSET", "ITM_NULL", "DOCU_ITM_RADIX", "ITM_PERIOD", AR113), ".lo", ),"MNU_", "-MNU_")</f>
        <v>ITM_PLUS_MINUS</v>
      </c>
      <c r="BD113" s="157" t="str" cm="1">
        <f t="array" ref="BD113">SUBSTITUTE(SUBSTITUTE(_xlfn.SWITCH(AS113, "ITM_T_HOME", "ITM_UP1", "ITM_T_END", "ITM_DOWN1", "DOCU_CHR_sub", "ITM_DOWN_ARROW", "DOCU_CHR_super", "ITM_UP_ARROW", "MNU_TAMALPHA", "ITM_alpha", "DOCU_CHR_caseFLIP", "ITM_NULL", "DOCU_CHR_numSET", "ITM_NULL", "DOCU_ITM_RADIX", "ITM_PERIOD", AS113), ".lo", ),"MNU_", "-MNU_")</f>
        <v>ITM_LAMBDA</v>
      </c>
      <c r="BE113" s="157" t="str" cm="1">
        <f t="array" ref="BE113">SUBSTITUTE(SUBSTITUTE(_xlfn.SWITCH(AT113, "ITM_T_HOME", "ITM_UP1", "ITM_T_END", "ITM_DOWN1", "DOCU_CHR_sub", "ITM_DOWN_ARROW", "DOCU_CHR_super", "ITM_UP_ARROW", "MNU_TAMALPHA", "ITM_alpha", "DOCU_CHR_caseFLIP", "ITM_NULL", "DOCU_CHR_numSET", "ITM_NULL", "DOCU_ITM_RADIX", "ITM_PERIOD", AT113), ".lo", ),"MNU_", "-MNU_")</f>
        <v>ITM_REG_L</v>
      </c>
      <c r="BG113" s="75"/>
      <c r="BR113" s="1" t="s">
        <v>355</v>
      </c>
      <c r="BS113" s="1" t="s">
        <v>356</v>
      </c>
      <c r="BT113" s="1" t="s">
        <v>357</v>
      </c>
      <c r="BU113" s="1" t="s">
        <v>146</v>
      </c>
      <c r="BV113" s="1" t="s">
        <v>358</v>
      </c>
      <c r="BW113" s="1" t="s">
        <v>146</v>
      </c>
      <c r="BX113" s="1" t="s">
        <v>354</v>
      </c>
      <c r="BY113" s="1" t="s">
        <v>128</v>
      </c>
    </row>
    <row r="114" spans="24:77" ht="21" x14ac:dyDescent="0.2">
      <c r="X114" s="129" t="str">
        <f t="shared" si="39"/>
        <v>WP43</v>
      </c>
      <c r="Y114" s="109">
        <v>4</v>
      </c>
      <c r="Z114" s="109">
        <v>4</v>
      </c>
      <c r="AA114" s="112" t="str">
        <f t="shared" si="15"/>
        <v>WP43.44</v>
      </c>
      <c r="AB114" s="117" t="s">
        <v>147</v>
      </c>
      <c r="AC114" s="118" t="s">
        <v>359</v>
      </c>
      <c r="AD114" s="119" t="s">
        <v>148</v>
      </c>
      <c r="AE114" s="3"/>
      <c r="AF114" s="52" t="s">
        <v>138</v>
      </c>
      <c r="AG114" s="77" t="b">
        <f t="shared" si="48"/>
        <v>0</v>
      </c>
      <c r="AH114" s="83" t="str">
        <f t="shared" si="40"/>
        <v>^</v>
      </c>
      <c r="AI114" s="84" t="str">
        <f t="shared" si="41"/>
        <v>Mu</v>
      </c>
      <c r="AJ114" s="85" t="str">
        <f t="shared" si="42"/>
        <v xml:space="preserve"> </v>
      </c>
      <c r="AK114" s="6"/>
      <c r="AL114" s="8" t="str">
        <f t="shared" si="43"/>
        <v>{44</v>
      </c>
      <c r="AM114" s="27" t="str">
        <f t="shared" si="44"/>
        <v>ITM_EXPONENT</v>
      </c>
      <c r="AN114" s="27" t="str">
        <f t="shared" si="45"/>
        <v>ITM_DSP</v>
      </c>
      <c r="AO114" s="27" t="str">
        <f t="shared" si="46"/>
        <v>MNU_DISP</v>
      </c>
      <c r="AP114" s="46" t="str">
        <f>IF(NOT(ISNA(MATCH(AM114,Lookups!E:E,))),VLOOKUP(AM114,Lookups!E:F,2,0),
IF(NOT(ISNA(MATCH(AN114,Lookups!E:E,))),VLOOKUP(AN114,Lookups!E:F,2,0),
IF(NOT(ISNA(MATCH(AO114,Lookups!E:E,))),VLOOKUP(AO114,Lookups!E:F,2,0),"ITM_NULL")))</f>
        <v>ITM_NULL</v>
      </c>
      <c r="AQ114" s="28" t="str">
        <f t="shared" si="47"/>
        <v>ITM_M</v>
      </c>
      <c r="AR114" s="195" t="s">
        <v>360</v>
      </c>
      <c r="AS114" s="186" t="s">
        <v>361</v>
      </c>
      <c r="AT114" s="197" t="s">
        <v>81</v>
      </c>
      <c r="AW114" s="14" t="str">
        <f t="shared" si="49"/>
        <v>{44</v>
      </c>
      <c r="AX114" s="157" t="str" cm="1">
        <f t="array" ref="AX114">SUBSTITUTE(SUBSTITUTE(_xlfn.SWITCH(AM114, "ITM_T_HOME", "ITM_UP1", "ITM_T_END", "ITM_DOWN1", "DOCU_CHR_sub", "ITM_DOWN_ARROW", "DOCU_CHR_super", "ITM_UP_ARROW", "MNU_TAMALPHA", "ITM_alpha", "DOCU_CHR_caseFLIP", "ITM_NULL", "DOCU_CHR_numSET", "ITM_NULL", "DOCU_ITM_RADIX", "ITM_PERIOD", AM114), ".lo", ),"MNU_", "-MNU_")</f>
        <v>ITM_EXPONENT</v>
      </c>
      <c r="AY114" s="157" t="str" cm="1">
        <f t="array" ref="AY114">SUBSTITUTE(SUBSTITUTE(_xlfn.SWITCH(AN114, "ITM_T_HOME", "ITM_UP1", "ITM_T_END", "ITM_DOWN1", "DOCU_CHR_sub", "ITM_DOWN_ARROW", "DOCU_CHR_super", "ITM_UP_ARROW", "MNU_TAMALPHA", "ITM_alpha", "DOCU_CHR_caseFLIP", "ITM_NULL", "DOCU_CHR_numSET", "ITM_NULL", "DOCU_ITM_RADIX", "ITM_PERIOD", AN114), ".lo", ),"MNU_", "-MNU_")</f>
        <v>ITM_DSP</v>
      </c>
      <c r="AZ114" s="157" t="str" cm="1">
        <f t="array" ref="AZ114">SUBSTITUTE(SUBSTITUTE(_xlfn.SWITCH(AO114, "ITM_T_HOME", "ITM_UP1", "ITM_T_END", "ITM_DOWN1", "DOCU_CHR_sub", "ITM_DOWN_ARROW", "DOCU_CHR_super", "ITM_UP_ARROW", "MNU_TAMALPHA", "ITM_alpha", "DOCU_CHR_caseFLIP", "ITM_NULL", "DOCU_CHR_numSET", "ITM_NULL", "DOCU_ITM_RADIX", "ITM_PERIOD", AO114), ".lo", ),"MNU_", "-MNU_")</f>
        <v>-MNU_DISP</v>
      </c>
      <c r="BA114" s="173" t="str" cm="1">
        <f t="array" ref="BA114">SUBSTITUTE(SUBSTITUTE(_xlfn.SWITCH(AP114, "ITM_T_HOME", "ITM_UP1", "ITM_T_END", "ITM_DOWN1", "DOCU_CHR_sub", "ITM_DOWN_ARROW", "DOCU_CHR_super", "ITM_UP_ARROW", "MNU_TAMALPHA", "ITM_alpha", "DOCU_CHR_caseFLIP", "ITM_NULL", "DOCU_CHR_numSET", "ITM_NULL", "DOCU_ITM_RADIX", "ITM_PERIOD", AP114), ".lo", ),"MNU_", "-MNU_")</f>
        <v>ITM_NULL</v>
      </c>
      <c r="BB114" s="157" t="str" cm="1">
        <f t="array" ref="BB114">SUBSTITUTE(SUBSTITUTE(_xlfn.SWITCH(AQ114, "ITM_T_HOME", "ITM_UP1", "ITM_T_END", "ITM_DOWN1", "DOCU_CHR_sub", "ITM_DOWN_ARROW", "DOCU_CHR_super", "ITM_UP_ARROW", "MNU_TAMALPHA", "ITM_alpha", "DOCU_CHR_caseFLIP", "ITM_NULL", "DOCU_CHR_numSET", "ITM_NULL", "DOCU_ITM_RADIX", "ITM_PERIOD", AQ114), ".lo", ),"MNU_", "-MNU_")</f>
        <v>ITM_M</v>
      </c>
      <c r="BC114" s="157" t="str" cm="1">
        <f t="array" ref="BC114">SUBSTITUTE(SUBSTITUTE(_xlfn.SWITCH(AR114, "ITM_T_HOME", "ITM_UP1", "ITM_T_END", "ITM_DOWN1", "DOCU_CHR_sub", "ITM_DOWN_ARROW", "DOCU_CHR_super", "ITM_UP_ARROW", "MNU_TAMALPHA", "ITM_alpha", "DOCU_CHR_caseFLIP", "ITM_NULL", "DOCU_CHR_numSET", "ITM_NULL", "DOCU_ITM_RADIX", "ITM_PERIOD", AR114), ".lo", ),"MNU_", "-MNU_")</f>
        <v>ITM_UP_ARROW</v>
      </c>
      <c r="BD114" s="157" t="str" cm="1">
        <f t="array" ref="BD114">SUBSTITUTE(SUBSTITUTE(_xlfn.SWITCH(AS114, "ITM_T_HOME", "ITM_UP1", "ITM_T_END", "ITM_DOWN1", "DOCU_CHR_sub", "ITM_DOWN_ARROW", "DOCU_CHR_super", "ITM_UP_ARROW", "MNU_TAMALPHA", "ITM_alpha", "DOCU_CHR_caseFLIP", "ITM_NULL", "DOCU_CHR_numSET", "ITM_NULL", "DOCU_ITM_RADIX", "ITM_PERIOD", AS114), ".lo", ),"MNU_", "-MNU_")</f>
        <v>ITM_MU</v>
      </c>
      <c r="BE114" s="157" t="str" cm="1">
        <f t="array" ref="BE114">SUBSTITUTE(SUBSTITUTE(_xlfn.SWITCH(AT114, "ITM_T_HOME", "ITM_UP1", "ITM_T_END", "ITM_DOWN1", "DOCU_CHR_sub", "ITM_DOWN_ARROW", "DOCU_CHR_super", "ITM_UP_ARROW", "MNU_TAMALPHA", "ITM_alpha", "DOCU_CHR_caseFLIP", "ITM_NULL", "DOCU_CHR_numSET", "ITM_NULL", "DOCU_ITM_RADIX", "ITM_PERIOD", AT114), ".lo", ),"MNU_", "-MNU_")</f>
        <v>ITM_NULL</v>
      </c>
      <c r="BG114" s="75"/>
      <c r="BR114" s="1" t="s">
        <v>362</v>
      </c>
      <c r="BS114" s="1" t="s">
        <v>363</v>
      </c>
      <c r="BT114" s="1" t="s">
        <v>364</v>
      </c>
      <c r="BU114" s="1" t="s">
        <v>81</v>
      </c>
      <c r="BV114" s="1" t="s">
        <v>365</v>
      </c>
      <c r="BW114" s="1" t="s">
        <v>360</v>
      </c>
      <c r="BX114" s="1" t="s">
        <v>361</v>
      </c>
      <c r="BY114" s="1" t="s">
        <v>81</v>
      </c>
    </row>
    <row r="115" spans="24:77" ht="21" x14ac:dyDescent="0.2">
      <c r="X115" s="129" t="str">
        <f t="shared" si="39"/>
        <v>WP43</v>
      </c>
      <c r="Y115" s="109">
        <v>4</v>
      </c>
      <c r="Z115" s="109">
        <v>5</v>
      </c>
      <c r="AA115" s="112" t="str">
        <f t="shared" si="15"/>
        <v>WP43.45</v>
      </c>
      <c r="AB115" s="117" t="s">
        <v>154</v>
      </c>
      <c r="AC115" s="118" t="s">
        <v>155</v>
      </c>
      <c r="AD115" s="119" t="s">
        <v>156</v>
      </c>
      <c r="AE115" s="3"/>
      <c r="AF115" s="49" t="s">
        <v>154</v>
      </c>
      <c r="AG115" s="77" t="b">
        <f t="shared" si="48"/>
        <v>0</v>
      </c>
      <c r="AH115" s="83" t="str">
        <f t="shared" si="40"/>
        <v>Undo</v>
      </c>
      <c r="AI115" s="84" t="str">
        <f t="shared" si="41"/>
        <v>[ CLR ]</v>
      </c>
      <c r="AJ115" s="85" t="str">
        <f t="shared" si="42"/>
        <v>&lt;=</v>
      </c>
      <c r="AK115" s="6"/>
      <c r="AL115" s="8" t="str">
        <f t="shared" si="43"/>
        <v>{45</v>
      </c>
      <c r="AM115" s="27" t="str">
        <f t="shared" si="44"/>
        <v>ITM_BACKSPACE</v>
      </c>
      <c r="AN115" s="27" t="str">
        <f t="shared" si="45"/>
        <v>ITM_UNDO</v>
      </c>
      <c r="AO115" s="27" t="str">
        <f t="shared" si="46"/>
        <v>MNU_CLR</v>
      </c>
      <c r="AP115" s="46" t="str">
        <f>IF(NOT(ISNA(MATCH(AM115,Lookups!E:E,))),VLOOKUP(AM115,Lookups!E:F,2,0),
IF(NOT(ISNA(MATCH(AN115,Lookups!E:E,))),VLOOKUP(AN115,Lookups!E:F,2,0),
IF(NOT(ISNA(MATCH(AO115,Lookups!E:E,))),VLOOKUP(AO115,Lookups!E:F,2,0),"ITM_NULL")))</f>
        <v>ITM_BACKSPACE</v>
      </c>
      <c r="AQ115" s="28" t="str">
        <f t="shared" si="47"/>
        <v>ITM_BACKSPACE</v>
      </c>
      <c r="AR115" s="198" t="s">
        <v>366</v>
      </c>
      <c r="AS115" s="186" t="s">
        <v>367</v>
      </c>
      <c r="AT115" s="197" t="s">
        <v>158</v>
      </c>
      <c r="AW115" s="14" t="str">
        <f t="shared" si="49"/>
        <v>{45</v>
      </c>
      <c r="AX115" s="157" t="str" cm="1">
        <f t="array" ref="AX115">SUBSTITUTE(SUBSTITUTE(_xlfn.SWITCH(AM115, "ITM_T_HOME", "ITM_UP1", "ITM_T_END", "ITM_DOWN1", "DOCU_CHR_sub", "ITM_DOWN_ARROW", "DOCU_CHR_super", "ITM_UP_ARROW", "MNU_TAMALPHA", "ITM_alpha", "DOCU_CHR_caseFLIP", "ITM_NULL", "DOCU_CHR_numSET", "ITM_NULL", "DOCU_ITM_RADIX", "ITM_PERIOD", AM115), ".lo", ),"MNU_", "-MNU_")</f>
        <v>ITM_BACKSPACE</v>
      </c>
      <c r="AY115" s="157" t="str" cm="1">
        <f t="array" ref="AY115">SUBSTITUTE(SUBSTITUTE(_xlfn.SWITCH(AN115, "ITM_T_HOME", "ITM_UP1", "ITM_T_END", "ITM_DOWN1", "DOCU_CHR_sub", "ITM_DOWN_ARROW", "DOCU_CHR_super", "ITM_UP_ARROW", "MNU_TAMALPHA", "ITM_alpha", "DOCU_CHR_caseFLIP", "ITM_NULL", "DOCU_CHR_numSET", "ITM_NULL", "DOCU_ITM_RADIX", "ITM_PERIOD", AN115), ".lo", ),"MNU_", "-MNU_")</f>
        <v>ITM_UNDO</v>
      </c>
      <c r="AZ115" s="157" t="str" cm="1">
        <f t="array" ref="AZ115">SUBSTITUTE(SUBSTITUTE(_xlfn.SWITCH(AO115, "ITM_T_HOME", "ITM_UP1", "ITM_T_END", "ITM_DOWN1", "DOCU_CHR_sub", "ITM_DOWN_ARROW", "DOCU_CHR_super", "ITM_UP_ARROW", "MNU_TAMALPHA", "ITM_alpha", "DOCU_CHR_caseFLIP", "ITM_NULL", "DOCU_CHR_numSET", "ITM_NULL", "DOCU_ITM_RADIX", "ITM_PERIOD", AO115), ".lo", ),"MNU_", "-MNU_")</f>
        <v>-MNU_CLR</v>
      </c>
      <c r="BA115" s="173" t="str" cm="1">
        <f t="array" ref="BA115">SUBSTITUTE(SUBSTITUTE(_xlfn.SWITCH(AP115, "ITM_T_HOME", "ITM_UP1", "ITM_T_END", "ITM_DOWN1", "DOCU_CHR_sub", "ITM_DOWN_ARROW", "DOCU_CHR_super", "ITM_UP_ARROW", "MNU_TAMALPHA", "ITM_alpha", "DOCU_CHR_caseFLIP", "ITM_NULL", "DOCU_CHR_numSET", "ITM_NULL", "DOCU_ITM_RADIX", "ITM_PERIOD", AP115), ".lo", ),"MNU_", "-MNU_")</f>
        <v>ITM_BACKSPACE</v>
      </c>
      <c r="BB115" s="157" t="str" cm="1">
        <f t="array" ref="BB115">SUBSTITUTE(SUBSTITUTE(_xlfn.SWITCH(AQ115, "ITM_T_HOME", "ITM_UP1", "ITM_T_END", "ITM_DOWN1", "DOCU_CHR_sub", "ITM_DOWN_ARROW", "DOCU_CHR_super", "ITM_UP_ARROW", "MNU_TAMALPHA", "ITM_alpha", "DOCU_CHR_caseFLIP", "ITM_NULL", "DOCU_CHR_numSET", "ITM_NULL", "DOCU_ITM_RADIX", "ITM_PERIOD", AQ115), ".lo", ),"MNU_", "-MNU_")</f>
        <v>ITM_BACKSPACE</v>
      </c>
      <c r="BC115" s="157" t="str" cm="1">
        <f t="array" ref="BC115">SUBSTITUTE(SUBSTITUTE(_xlfn.SWITCH(AR115, "ITM_T_HOME", "ITM_UP1", "ITM_T_END", "ITM_DOWN1", "DOCU_CHR_sub", "ITM_DOWN_ARROW", "DOCU_CHR_super", "ITM_UP_ARROW", "MNU_TAMALPHA", "ITM_alpha", "DOCU_CHR_caseFLIP", "ITM_NULL", "DOCU_CHR_numSET", "ITM_NULL", "DOCU_ITM_RADIX", "ITM_PERIOD", AR115), ".lo", ),"MNU_", "-MNU_")</f>
        <v>ITM_UNDO</v>
      </c>
      <c r="BD115" s="157" t="str" cm="1">
        <f t="array" ref="BD115">SUBSTITUTE(SUBSTITUTE(_xlfn.SWITCH(AS115, "ITM_T_HOME", "ITM_UP1", "ITM_T_END", "ITM_DOWN1", "DOCU_CHR_sub", "ITM_DOWN_ARROW", "DOCU_CHR_super", "ITM_UP_ARROW", "MNU_TAMALPHA", "ITM_alpha", "DOCU_CHR_caseFLIP", "ITM_NULL", "DOCU_CHR_numSET", "ITM_NULL", "DOCU_ITM_RADIX", "ITM_PERIOD", AS115), ".lo", ),"MNU_", "-MNU_")</f>
        <v>-MNU_CLR</v>
      </c>
      <c r="BE115" s="157" t="str" cm="1">
        <f t="array" ref="BE115">SUBSTITUTE(SUBSTITUTE(_xlfn.SWITCH(AT115, "ITM_T_HOME", "ITM_UP1", "ITM_T_END", "ITM_DOWN1", "DOCU_CHR_sub", "ITM_DOWN_ARROW", "DOCU_CHR_super", "ITM_UP_ARROW", "MNU_TAMALPHA", "ITM_alpha", "DOCU_CHR_caseFLIP", "ITM_NULL", "DOCU_CHR_numSET", "ITM_NULL", "DOCU_ITM_RADIX", "ITM_PERIOD", AT115), ".lo", ),"MNU_", "-MNU_")</f>
        <v>ITM_BACKSPACE</v>
      </c>
      <c r="BG115" s="75"/>
      <c r="BR115" s="1" t="s">
        <v>158</v>
      </c>
      <c r="BS115" s="1" t="s">
        <v>366</v>
      </c>
      <c r="BT115" s="1" t="s">
        <v>367</v>
      </c>
      <c r="BU115" s="1" t="s">
        <v>158</v>
      </c>
      <c r="BV115" s="1" t="s">
        <v>158</v>
      </c>
      <c r="BW115" s="1" t="s">
        <v>366</v>
      </c>
      <c r="BX115" s="1" t="s">
        <v>367</v>
      </c>
      <c r="BY115" s="1" t="s">
        <v>158</v>
      </c>
    </row>
    <row r="116" spans="24:77" ht="21" x14ac:dyDescent="0.2">
      <c r="X116" s="129" t="str">
        <f t="shared" si="39"/>
        <v>WP43</v>
      </c>
      <c r="Y116" s="106">
        <v>5</v>
      </c>
      <c r="Z116" s="106">
        <v>1</v>
      </c>
      <c r="AA116" s="112" t="str">
        <f t="shared" si="15"/>
        <v>WP43.51</v>
      </c>
      <c r="AB116" s="121" t="s">
        <v>181</v>
      </c>
      <c r="AC116" s="118" t="s">
        <v>368</v>
      </c>
      <c r="AD116" s="119" t="s">
        <v>369</v>
      </c>
      <c r="AE116" s="3"/>
      <c r="AF116" s="52" t="s">
        <v>144</v>
      </c>
      <c r="AG116" s="77" t="b">
        <f t="shared" si="48"/>
        <v>0</v>
      </c>
      <c r="AH116" s="83" t="str">
        <f t="shared" si="40"/>
        <v>/</v>
      </c>
      <c r="AI116" s="84" t="str">
        <f t="shared" si="41"/>
        <v>Nu</v>
      </c>
      <c r="AJ116" s="85" t="str">
        <f t="shared" si="42"/>
        <v>÷</v>
      </c>
      <c r="AK116" s="6"/>
      <c r="AL116" s="8" t="str">
        <f t="shared" si="43"/>
        <v>{51</v>
      </c>
      <c r="AM116" s="27" t="str">
        <f t="shared" si="44"/>
        <v>ITM_DIV</v>
      </c>
      <c r="AN116" s="27" t="str">
        <f t="shared" si="45"/>
        <v>ITM_PARALLEL</v>
      </c>
      <c r="AO116" s="27" t="str">
        <f t="shared" si="46"/>
        <v>ITM_MOD</v>
      </c>
      <c r="AP116" s="101" t="str">
        <f>IF(NOT(ISNA(MATCH(AM116,Lookups!E:E,))),VLOOKUP(AM116,Lookups!E:F,2,0),
IF(NOT(ISNA(MATCH(AN116,Lookups!E:E,))),VLOOKUP(AN116,Lookups!E:F,2,0),
IF(NOT(ISNA(MATCH(AO116,Lookups!E:E,))),VLOOKUP(AO116,Lookups!E:F,2,0),"ITM_NULL")))</f>
        <v>ITM_OBELUS</v>
      </c>
      <c r="AQ116" s="28" t="str">
        <f t="shared" si="47"/>
        <v>ITM_N</v>
      </c>
      <c r="AR116" s="198" t="s">
        <v>262</v>
      </c>
      <c r="AS116" s="186" t="s">
        <v>370</v>
      </c>
      <c r="AT116" s="197" t="s">
        <v>187</v>
      </c>
      <c r="AW116" s="14" t="str">
        <f t="shared" si="49"/>
        <v>{51</v>
      </c>
      <c r="AX116" s="157" t="str" cm="1">
        <f t="array" ref="AX116">SUBSTITUTE(SUBSTITUTE(_xlfn.SWITCH(AM116, "ITM_T_HOME", "ITM_UP1", "ITM_T_END", "ITM_DOWN1", "DOCU_CHR_sub", "ITM_DOWN_ARROW", "DOCU_CHR_super", "ITM_UP_ARROW", "MNU_TAMALPHA", "ITM_alpha", "DOCU_CHR_caseFLIP", "ITM_NULL", "DOCU_CHR_numSET", "ITM_NULL", "DOCU_ITM_RADIX", "ITM_PERIOD", AM116), ".lo", ),"MNU_", "-MNU_")</f>
        <v>ITM_DIV</v>
      </c>
      <c r="AY116" s="157" t="str" cm="1">
        <f t="array" ref="AY116">SUBSTITUTE(SUBSTITUTE(_xlfn.SWITCH(AN116, "ITM_T_HOME", "ITM_UP1", "ITM_T_END", "ITM_DOWN1", "DOCU_CHR_sub", "ITM_DOWN_ARROW", "DOCU_CHR_super", "ITM_UP_ARROW", "MNU_TAMALPHA", "ITM_alpha", "DOCU_CHR_caseFLIP", "ITM_NULL", "DOCU_CHR_numSET", "ITM_NULL", "DOCU_ITM_RADIX", "ITM_PERIOD", AN116), ".lo", ),"MNU_", "-MNU_")</f>
        <v>ITM_PARALLEL</v>
      </c>
      <c r="AZ116" s="157" t="str" cm="1">
        <f t="array" ref="AZ116">SUBSTITUTE(SUBSTITUTE(_xlfn.SWITCH(AO116, "ITM_T_HOME", "ITM_UP1", "ITM_T_END", "ITM_DOWN1", "DOCU_CHR_sub", "ITM_DOWN_ARROW", "DOCU_CHR_super", "ITM_UP_ARROW", "MNU_TAMALPHA", "ITM_alpha", "DOCU_CHR_caseFLIP", "ITM_NULL", "DOCU_CHR_numSET", "ITM_NULL", "DOCU_ITM_RADIX", "ITM_PERIOD", AO116), ".lo", ),"MNU_", "-MNU_")</f>
        <v>ITM_MOD</v>
      </c>
      <c r="BA116" s="173" t="str" cm="1">
        <f t="array" ref="BA116">SUBSTITUTE(SUBSTITUTE(_xlfn.SWITCH(AP116, "ITM_T_HOME", "ITM_UP1", "ITM_T_END", "ITM_DOWN1", "DOCU_CHR_sub", "ITM_DOWN_ARROW", "DOCU_CHR_super", "ITM_UP_ARROW", "MNU_TAMALPHA", "ITM_alpha", "DOCU_CHR_caseFLIP", "ITM_NULL", "DOCU_CHR_numSET", "ITM_NULL", "DOCU_ITM_RADIX", "ITM_PERIOD", AP116), ".lo", ),"MNU_", "-MNU_")</f>
        <v>ITM_OBELUS</v>
      </c>
      <c r="BB116" s="157" t="str" cm="1">
        <f t="array" ref="BB116">SUBSTITUTE(SUBSTITUTE(_xlfn.SWITCH(AQ116, "ITM_T_HOME", "ITM_UP1", "ITM_T_END", "ITM_DOWN1", "DOCU_CHR_sub", "ITM_DOWN_ARROW", "DOCU_CHR_super", "ITM_UP_ARROW", "MNU_TAMALPHA", "ITM_alpha", "DOCU_CHR_caseFLIP", "ITM_NULL", "DOCU_CHR_numSET", "ITM_NULL", "DOCU_ITM_RADIX", "ITM_PERIOD", AQ116), ".lo", ),"MNU_", "-MNU_")</f>
        <v>ITM_N</v>
      </c>
      <c r="BC116" s="157" t="str" cm="1">
        <f t="array" ref="BC116">SUBSTITUTE(SUBSTITUTE(_xlfn.SWITCH(AR116, "ITM_T_HOME", "ITM_UP1", "ITM_T_END", "ITM_DOWN1", "DOCU_CHR_sub", "ITM_DOWN_ARROW", "DOCU_CHR_super", "ITM_UP_ARROW", "MNU_TAMALPHA", "ITM_alpha", "DOCU_CHR_caseFLIP", "ITM_NULL", "DOCU_CHR_numSET", "ITM_NULL", "DOCU_ITM_RADIX", "ITM_PERIOD", AR116), ".lo", ),"MNU_", "-MNU_")</f>
        <v>ITM_SLASH</v>
      </c>
      <c r="BD116" s="157" t="str" cm="1">
        <f t="array" ref="BD116">SUBSTITUTE(SUBSTITUTE(_xlfn.SWITCH(AS116, "ITM_T_HOME", "ITM_UP1", "ITM_T_END", "ITM_DOWN1", "DOCU_CHR_sub", "ITM_DOWN_ARROW", "DOCU_CHR_super", "ITM_UP_ARROW", "MNU_TAMALPHA", "ITM_alpha", "DOCU_CHR_caseFLIP", "ITM_NULL", "DOCU_CHR_numSET", "ITM_NULL", "DOCU_ITM_RADIX", "ITM_PERIOD", AS116), ".lo", ),"MNU_", "-MNU_")</f>
        <v>ITM_NU</v>
      </c>
      <c r="BE116" s="157" t="str" cm="1">
        <f t="array" ref="BE116">SUBSTITUTE(SUBSTITUTE(_xlfn.SWITCH(AT116, "ITM_T_HOME", "ITM_UP1", "ITM_T_END", "ITM_DOWN1", "DOCU_CHR_sub", "ITM_DOWN_ARROW", "DOCU_CHR_super", "ITM_UP_ARROW", "MNU_TAMALPHA", "ITM_alpha", "DOCU_CHR_caseFLIP", "ITM_NULL", "DOCU_CHR_numSET", "ITM_NULL", "DOCU_ITM_RADIX", "ITM_PERIOD", AT116), ".lo", ),"MNU_", "-MNU_")</f>
        <v>ITM_DIV</v>
      </c>
      <c r="BG116" s="75"/>
      <c r="BR116" s="1" t="s">
        <v>187</v>
      </c>
      <c r="BS116" s="1" t="s">
        <v>371</v>
      </c>
      <c r="BT116" s="1" t="s">
        <v>372</v>
      </c>
      <c r="BU116" s="1" t="s">
        <v>262</v>
      </c>
      <c r="BV116" s="1" t="s">
        <v>373</v>
      </c>
      <c r="BW116" s="1" t="s">
        <v>262</v>
      </c>
      <c r="BX116" s="1" t="s">
        <v>370</v>
      </c>
      <c r="BY116" s="1" t="s">
        <v>187</v>
      </c>
    </row>
    <row r="117" spans="24:77" ht="21" x14ac:dyDescent="0.2">
      <c r="X117" s="129" t="str">
        <f t="shared" si="39"/>
        <v>WP43</v>
      </c>
      <c r="Y117" s="109">
        <v>5</v>
      </c>
      <c r="Z117" s="109">
        <v>2</v>
      </c>
      <c r="AA117" s="112" t="str">
        <f t="shared" si="15"/>
        <v>WP43.52</v>
      </c>
      <c r="AB117" s="117">
        <v>7</v>
      </c>
      <c r="AC117" s="118" t="s">
        <v>218</v>
      </c>
      <c r="AD117" s="119" t="s">
        <v>218</v>
      </c>
      <c r="AE117" s="3"/>
      <c r="AF117" s="52" t="s">
        <v>150</v>
      </c>
      <c r="AG117" s="77" t="b">
        <f t="shared" si="48"/>
        <v>0</v>
      </c>
      <c r="AH117" s="83">
        <f t="shared" si="40"/>
        <v>7</v>
      </c>
      <c r="AI117" s="84" t="str">
        <f t="shared" si="41"/>
        <v>Omega</v>
      </c>
      <c r="AJ117" s="85">
        <f t="shared" si="42"/>
        <v>7</v>
      </c>
      <c r="AK117" s="6"/>
      <c r="AL117" s="8" t="str">
        <f t="shared" si="43"/>
        <v>{52</v>
      </c>
      <c r="AM117" s="27" t="str">
        <f t="shared" si="44"/>
        <v>ITM_7</v>
      </c>
      <c r="AN117" s="27" t="str">
        <f t="shared" si="45"/>
        <v>ITM_NULL</v>
      </c>
      <c r="AO117" s="27" t="str">
        <f t="shared" si="46"/>
        <v>ITM_NULL</v>
      </c>
      <c r="AP117" s="46" t="str">
        <f>IF(NOT(ISNA(MATCH(AM117,Lookups!E:E,))),VLOOKUP(AM117,Lookups!E:F,2,0),
IF(NOT(ISNA(MATCH(AN117,Lookups!E:E,))),VLOOKUP(AN117,Lookups!E:F,2,0),
IF(NOT(ISNA(MATCH(AO117,Lookups!E:E,))),VLOOKUP(AO117,Lookups!E:F,2,0),"ITM_NULL")))</f>
        <v>ITM_7</v>
      </c>
      <c r="AQ117" s="28" t="str">
        <f t="shared" si="47"/>
        <v>ITM_O</v>
      </c>
      <c r="AR117" s="195" t="s">
        <v>170</v>
      </c>
      <c r="AS117" s="186" t="s">
        <v>374</v>
      </c>
      <c r="AT117" s="197" t="s">
        <v>170</v>
      </c>
      <c r="AW117" s="14" t="str">
        <f t="shared" si="49"/>
        <v>{52</v>
      </c>
      <c r="AX117" s="157" t="str" cm="1">
        <f t="array" ref="AX117">SUBSTITUTE(SUBSTITUTE(_xlfn.SWITCH(AM117, "ITM_T_HOME", "ITM_UP1", "ITM_T_END", "ITM_DOWN1", "DOCU_CHR_sub", "ITM_DOWN_ARROW", "DOCU_CHR_super", "ITM_UP_ARROW", "MNU_TAMALPHA", "ITM_alpha", "DOCU_CHR_caseFLIP", "ITM_NULL", "DOCU_CHR_numSET", "ITM_NULL", "DOCU_ITM_RADIX", "ITM_PERIOD", AM117), ".lo", ),"MNU_", "-MNU_")</f>
        <v>ITM_7</v>
      </c>
      <c r="AY117" s="157" t="str" cm="1">
        <f t="array" ref="AY117">SUBSTITUTE(SUBSTITUTE(_xlfn.SWITCH(AN117, "ITM_T_HOME", "ITM_UP1", "ITM_T_END", "ITM_DOWN1", "DOCU_CHR_sub", "ITM_DOWN_ARROW", "DOCU_CHR_super", "ITM_UP_ARROW", "MNU_TAMALPHA", "ITM_alpha", "DOCU_CHR_caseFLIP", "ITM_NULL", "DOCU_CHR_numSET", "ITM_NULL", "DOCU_ITM_RADIX", "ITM_PERIOD", AN117), ".lo", ),"MNU_", "-MNU_")</f>
        <v>ITM_NULL</v>
      </c>
      <c r="AZ117" s="157" t="str" cm="1">
        <f t="array" ref="AZ117">SUBSTITUTE(SUBSTITUTE(_xlfn.SWITCH(AO117, "ITM_T_HOME", "ITM_UP1", "ITM_T_END", "ITM_DOWN1", "DOCU_CHR_sub", "ITM_DOWN_ARROW", "DOCU_CHR_super", "ITM_UP_ARROW", "MNU_TAMALPHA", "ITM_alpha", "DOCU_CHR_caseFLIP", "ITM_NULL", "DOCU_CHR_numSET", "ITM_NULL", "DOCU_ITM_RADIX", "ITM_PERIOD", AO117), ".lo", ),"MNU_", "-MNU_")</f>
        <v>ITM_NULL</v>
      </c>
      <c r="BA117" s="173" t="str" cm="1">
        <f t="array" ref="BA117">SUBSTITUTE(SUBSTITUTE(_xlfn.SWITCH(AP117, "ITM_T_HOME", "ITM_UP1", "ITM_T_END", "ITM_DOWN1", "DOCU_CHR_sub", "ITM_DOWN_ARROW", "DOCU_CHR_super", "ITM_UP_ARROW", "MNU_TAMALPHA", "ITM_alpha", "DOCU_CHR_caseFLIP", "ITM_NULL", "DOCU_CHR_numSET", "ITM_NULL", "DOCU_ITM_RADIX", "ITM_PERIOD", AP117), ".lo", ),"MNU_", "-MNU_")</f>
        <v>ITM_7</v>
      </c>
      <c r="BB117" s="157" t="str" cm="1">
        <f t="array" ref="BB117">SUBSTITUTE(SUBSTITUTE(_xlfn.SWITCH(AQ117, "ITM_T_HOME", "ITM_UP1", "ITM_T_END", "ITM_DOWN1", "DOCU_CHR_sub", "ITM_DOWN_ARROW", "DOCU_CHR_super", "ITM_UP_ARROW", "MNU_TAMALPHA", "ITM_alpha", "DOCU_CHR_caseFLIP", "ITM_NULL", "DOCU_CHR_numSET", "ITM_NULL", "DOCU_ITM_RADIX", "ITM_PERIOD", AQ117), ".lo", ),"MNU_", "-MNU_")</f>
        <v>ITM_O</v>
      </c>
      <c r="BC117" s="157" t="str" cm="1">
        <f t="array" ref="BC117">SUBSTITUTE(SUBSTITUTE(_xlfn.SWITCH(AR117, "ITM_T_HOME", "ITM_UP1", "ITM_T_END", "ITM_DOWN1", "DOCU_CHR_sub", "ITM_DOWN_ARROW", "DOCU_CHR_super", "ITM_UP_ARROW", "MNU_TAMALPHA", "ITM_alpha", "DOCU_CHR_caseFLIP", "ITM_NULL", "DOCU_CHR_numSET", "ITM_NULL", "DOCU_ITM_RADIX", "ITM_PERIOD", AR117), ".lo", ),"MNU_", "-MNU_")</f>
        <v>ITM_7</v>
      </c>
      <c r="BD117" s="157" t="str" cm="1">
        <f t="array" ref="BD117">SUBSTITUTE(SUBSTITUTE(_xlfn.SWITCH(AS117, "ITM_T_HOME", "ITM_UP1", "ITM_T_END", "ITM_DOWN1", "DOCU_CHR_sub", "ITM_DOWN_ARROW", "DOCU_CHR_super", "ITM_UP_ARROW", "MNU_TAMALPHA", "ITM_alpha", "DOCU_CHR_caseFLIP", "ITM_NULL", "DOCU_CHR_numSET", "ITM_NULL", "DOCU_ITM_RADIX", "ITM_PERIOD", AS117), ".lo", ),"MNU_", "-MNU_")</f>
        <v>ITM_OMEGA</v>
      </c>
      <c r="BE117" s="157" t="str" cm="1">
        <f t="array" ref="BE117">SUBSTITUTE(SUBSTITUTE(_xlfn.SWITCH(AT117, "ITM_T_HOME", "ITM_UP1", "ITM_T_END", "ITM_DOWN1", "DOCU_CHR_sub", "ITM_DOWN_ARROW", "DOCU_CHR_super", "ITM_UP_ARROW", "MNU_TAMALPHA", "ITM_alpha", "DOCU_CHR_caseFLIP", "ITM_NULL", "DOCU_CHR_numSET", "ITM_NULL", "DOCU_ITM_RADIX", "ITM_PERIOD", AT117), ".lo", ),"MNU_", "-MNU_")</f>
        <v>ITM_7</v>
      </c>
      <c r="BG117" s="75"/>
      <c r="BR117" s="1" t="s">
        <v>170</v>
      </c>
      <c r="BS117" s="1" t="s">
        <v>81</v>
      </c>
      <c r="BT117" s="1" t="s">
        <v>81</v>
      </c>
      <c r="BU117" s="1" t="s">
        <v>170</v>
      </c>
      <c r="BV117" s="1" t="s">
        <v>375</v>
      </c>
      <c r="BW117" s="1" t="s">
        <v>170</v>
      </c>
      <c r="BX117" s="1" t="s">
        <v>374</v>
      </c>
      <c r="BY117" s="1" t="s">
        <v>170</v>
      </c>
    </row>
    <row r="118" spans="24:77" ht="21" x14ac:dyDescent="0.2">
      <c r="X118" s="129" t="str">
        <f t="shared" si="39"/>
        <v>WP43</v>
      </c>
      <c r="Y118" s="109">
        <v>5</v>
      </c>
      <c r="Z118" s="109">
        <v>3</v>
      </c>
      <c r="AA118" s="112" t="str">
        <f t="shared" si="15"/>
        <v>WP43.53</v>
      </c>
      <c r="AB118" s="117">
        <v>8</v>
      </c>
      <c r="AC118" s="118" t="s">
        <v>218</v>
      </c>
      <c r="AD118" s="119" t="s">
        <v>142</v>
      </c>
      <c r="AE118" s="3"/>
      <c r="AF118" s="52" t="s">
        <v>168</v>
      </c>
      <c r="AG118" s="77" t="b">
        <f t="shared" si="48"/>
        <v>0</v>
      </c>
      <c r="AH118" s="83">
        <f t="shared" si="40"/>
        <v>8</v>
      </c>
      <c r="AI118" s="84" t="str">
        <f t="shared" si="41"/>
        <v>pi</v>
      </c>
      <c r="AJ118" s="85">
        <f t="shared" si="42"/>
        <v>8</v>
      </c>
      <c r="AK118" s="6"/>
      <c r="AL118" s="8" t="str">
        <f t="shared" si="43"/>
        <v>{53</v>
      </c>
      <c r="AM118" s="27" t="str">
        <f t="shared" si="44"/>
        <v>ITM_8</v>
      </c>
      <c r="AN118" s="27" t="str">
        <f t="shared" si="45"/>
        <v>ITM_NULL</v>
      </c>
      <c r="AO118" s="27" t="str">
        <f t="shared" si="46"/>
        <v>MNU_MODE</v>
      </c>
      <c r="AP118" s="46" t="str">
        <f>IF(NOT(ISNA(MATCH(AM118,Lookups!E:E,))),VLOOKUP(AM118,Lookups!E:F,2,0),
IF(NOT(ISNA(MATCH(AN118,Lookups!E:E,))),VLOOKUP(AN118,Lookups!E:F,2,0),
IF(NOT(ISNA(MATCH(AO118,Lookups!E:E,))),VLOOKUP(AO118,Lookups!E:F,2,0),"ITM_NULL")))</f>
        <v>ITM_8</v>
      </c>
      <c r="AQ118" s="28" t="str">
        <f t="shared" si="47"/>
        <v>ITM_P</v>
      </c>
      <c r="AR118" s="195" t="s">
        <v>175</v>
      </c>
      <c r="AS118" s="186" t="s">
        <v>106</v>
      </c>
      <c r="AT118" s="197" t="s">
        <v>175</v>
      </c>
      <c r="AW118" s="14" t="str">
        <f t="shared" si="49"/>
        <v>{53</v>
      </c>
      <c r="AX118" s="157" t="str" cm="1">
        <f t="array" ref="AX118">SUBSTITUTE(SUBSTITUTE(_xlfn.SWITCH(AM118, "ITM_T_HOME", "ITM_UP1", "ITM_T_END", "ITM_DOWN1", "DOCU_CHR_sub", "ITM_DOWN_ARROW", "DOCU_CHR_super", "ITM_UP_ARROW", "MNU_TAMALPHA", "ITM_alpha", "DOCU_CHR_caseFLIP", "ITM_NULL", "DOCU_CHR_numSET", "ITM_NULL", "DOCU_ITM_RADIX", "ITM_PERIOD", AM118), ".lo", ),"MNU_", "-MNU_")</f>
        <v>ITM_8</v>
      </c>
      <c r="AY118" s="157" t="str" cm="1">
        <f t="array" ref="AY118">SUBSTITUTE(SUBSTITUTE(_xlfn.SWITCH(AN118, "ITM_T_HOME", "ITM_UP1", "ITM_T_END", "ITM_DOWN1", "DOCU_CHR_sub", "ITM_DOWN_ARROW", "DOCU_CHR_super", "ITM_UP_ARROW", "MNU_TAMALPHA", "ITM_alpha", "DOCU_CHR_caseFLIP", "ITM_NULL", "DOCU_CHR_numSET", "ITM_NULL", "DOCU_ITM_RADIX", "ITM_PERIOD", AN118), ".lo", ),"MNU_", "-MNU_")</f>
        <v>ITM_NULL</v>
      </c>
      <c r="AZ118" s="157" t="str" cm="1">
        <f t="array" ref="AZ118">SUBSTITUTE(SUBSTITUTE(_xlfn.SWITCH(AO118, "ITM_T_HOME", "ITM_UP1", "ITM_T_END", "ITM_DOWN1", "DOCU_CHR_sub", "ITM_DOWN_ARROW", "DOCU_CHR_super", "ITM_UP_ARROW", "MNU_TAMALPHA", "ITM_alpha", "DOCU_CHR_caseFLIP", "ITM_NULL", "DOCU_CHR_numSET", "ITM_NULL", "DOCU_ITM_RADIX", "ITM_PERIOD", AO118), ".lo", ),"MNU_", "-MNU_")</f>
        <v>-MNU_MODE</v>
      </c>
      <c r="BA118" s="173" t="str" cm="1">
        <f t="array" ref="BA118">SUBSTITUTE(SUBSTITUTE(_xlfn.SWITCH(AP118, "ITM_T_HOME", "ITM_UP1", "ITM_T_END", "ITM_DOWN1", "DOCU_CHR_sub", "ITM_DOWN_ARROW", "DOCU_CHR_super", "ITM_UP_ARROW", "MNU_TAMALPHA", "ITM_alpha", "DOCU_CHR_caseFLIP", "ITM_NULL", "DOCU_CHR_numSET", "ITM_NULL", "DOCU_ITM_RADIX", "ITM_PERIOD", AP118), ".lo", ),"MNU_", "-MNU_")</f>
        <v>ITM_8</v>
      </c>
      <c r="BB118" s="157" t="str" cm="1">
        <f t="array" ref="BB118">SUBSTITUTE(SUBSTITUTE(_xlfn.SWITCH(AQ118, "ITM_T_HOME", "ITM_UP1", "ITM_T_END", "ITM_DOWN1", "DOCU_CHR_sub", "ITM_DOWN_ARROW", "DOCU_CHR_super", "ITM_UP_ARROW", "MNU_TAMALPHA", "ITM_alpha", "DOCU_CHR_caseFLIP", "ITM_NULL", "DOCU_CHR_numSET", "ITM_NULL", "DOCU_ITM_RADIX", "ITM_PERIOD", AQ118), ".lo", ),"MNU_", "-MNU_")</f>
        <v>ITM_P</v>
      </c>
      <c r="BC118" s="157" t="str" cm="1">
        <f t="array" ref="BC118">SUBSTITUTE(SUBSTITUTE(_xlfn.SWITCH(AR118, "ITM_T_HOME", "ITM_UP1", "ITM_T_END", "ITM_DOWN1", "DOCU_CHR_sub", "ITM_DOWN_ARROW", "DOCU_CHR_super", "ITM_UP_ARROW", "MNU_TAMALPHA", "ITM_alpha", "DOCU_CHR_caseFLIP", "ITM_NULL", "DOCU_CHR_numSET", "ITM_NULL", "DOCU_ITM_RADIX", "ITM_PERIOD", AR118), ".lo", ),"MNU_", "-MNU_")</f>
        <v>ITM_8</v>
      </c>
      <c r="BD118" s="157" t="str" cm="1">
        <f t="array" ref="BD118">SUBSTITUTE(SUBSTITUTE(_xlfn.SWITCH(AS118, "ITM_T_HOME", "ITM_UP1", "ITM_T_END", "ITM_DOWN1", "DOCU_CHR_sub", "ITM_DOWN_ARROW", "DOCU_CHR_super", "ITM_UP_ARROW", "MNU_TAMALPHA", "ITM_alpha", "DOCU_CHR_caseFLIP", "ITM_NULL", "DOCU_CHR_numSET", "ITM_NULL", "DOCU_ITM_RADIX", "ITM_PERIOD", AS118), ".lo", ),"MNU_", "-MNU_")</f>
        <v>ITM_pi</v>
      </c>
      <c r="BE118" s="157" t="str" cm="1">
        <f t="array" ref="BE118">SUBSTITUTE(SUBSTITUTE(_xlfn.SWITCH(AT118, "ITM_T_HOME", "ITM_UP1", "ITM_T_END", "ITM_DOWN1", "DOCU_CHR_sub", "ITM_DOWN_ARROW", "DOCU_CHR_super", "ITM_UP_ARROW", "MNU_TAMALPHA", "ITM_alpha", "DOCU_CHR_caseFLIP", "ITM_NULL", "DOCU_CHR_numSET", "ITM_NULL", "DOCU_ITM_RADIX", "ITM_PERIOD", AT118), ".lo", ),"MNU_", "-MNU_")</f>
        <v>ITM_8</v>
      </c>
      <c r="BG118" s="75"/>
      <c r="BR118" s="1" t="s">
        <v>175</v>
      </c>
      <c r="BS118" s="1" t="s">
        <v>81</v>
      </c>
      <c r="BT118" s="1" t="s">
        <v>376</v>
      </c>
      <c r="BU118" s="1" t="s">
        <v>175</v>
      </c>
      <c r="BV118" s="1" t="s">
        <v>377</v>
      </c>
      <c r="BW118" s="1" t="s">
        <v>175</v>
      </c>
      <c r="BX118" s="1" t="s">
        <v>378</v>
      </c>
      <c r="BY118" s="1" t="s">
        <v>175</v>
      </c>
    </row>
    <row r="119" spans="24:77" ht="21" x14ac:dyDescent="0.2">
      <c r="X119" s="129" t="str">
        <f t="shared" si="39"/>
        <v>WP43</v>
      </c>
      <c r="Y119" s="109">
        <v>5</v>
      </c>
      <c r="Z119" s="109">
        <v>4</v>
      </c>
      <c r="AA119" s="112" t="str">
        <f t="shared" si="15"/>
        <v>WP43.54</v>
      </c>
      <c r="AB119" s="117">
        <v>9</v>
      </c>
      <c r="AC119" s="118" t="s">
        <v>77</v>
      </c>
      <c r="AD119" s="119" t="s">
        <v>379</v>
      </c>
      <c r="AE119" s="3"/>
      <c r="AF119" s="52" t="s">
        <v>173</v>
      </c>
      <c r="AG119" s="77" t="b">
        <f t="shared" si="48"/>
        <v>0</v>
      </c>
      <c r="AH119" s="83">
        <f t="shared" si="40"/>
        <v>9</v>
      </c>
      <c r="AI119" s="84" t="str">
        <f t="shared" si="41"/>
        <v xml:space="preserve"> </v>
      </c>
      <c r="AJ119" s="85">
        <f t="shared" si="42"/>
        <v>9</v>
      </c>
      <c r="AK119" s="6"/>
      <c r="AL119" s="8" t="str">
        <f t="shared" si="43"/>
        <v>{54</v>
      </c>
      <c r="AM119" s="27" t="str">
        <f t="shared" si="44"/>
        <v>ITM_9</v>
      </c>
      <c r="AN119" s="27" t="str">
        <f t="shared" si="45"/>
        <v>ITM_LBL</v>
      </c>
      <c r="AO119" s="27" t="str">
        <f t="shared" si="46"/>
        <v>ITM_RTN</v>
      </c>
      <c r="AP119" s="46" t="str">
        <f>IF(NOT(ISNA(MATCH(AM119,Lookups!E:E,))),VLOOKUP(AM119,Lookups!E:F,2,0),
IF(NOT(ISNA(MATCH(AN119,Lookups!E:E,))),VLOOKUP(AN119,Lookups!E:F,2,0),
IF(NOT(ISNA(MATCH(AO119,Lookups!E:E,))),VLOOKUP(AO119,Lookups!E:F,2,0),"ITM_NULL")))</f>
        <v>ITM_9</v>
      </c>
      <c r="AQ119" s="28" t="str">
        <f t="shared" si="47"/>
        <v>ITM_Q</v>
      </c>
      <c r="AR119" s="195" t="s">
        <v>180</v>
      </c>
      <c r="AS119" s="186" t="s">
        <v>81</v>
      </c>
      <c r="AT119" s="197" t="s">
        <v>180</v>
      </c>
      <c r="AW119" s="14" t="str">
        <f t="shared" si="49"/>
        <v>{54</v>
      </c>
      <c r="AX119" s="157" t="str" cm="1">
        <f t="array" ref="AX119">SUBSTITUTE(SUBSTITUTE(_xlfn.SWITCH(AM119, "ITM_T_HOME", "ITM_UP1", "ITM_T_END", "ITM_DOWN1", "DOCU_CHR_sub", "ITM_DOWN_ARROW", "DOCU_CHR_super", "ITM_UP_ARROW", "MNU_TAMALPHA", "ITM_alpha", "DOCU_CHR_caseFLIP", "ITM_NULL", "DOCU_CHR_numSET", "ITM_NULL", "DOCU_ITM_RADIX", "ITM_PERIOD", AM119), ".lo", ),"MNU_", "-MNU_")</f>
        <v>ITM_9</v>
      </c>
      <c r="AY119" s="157" t="str" cm="1">
        <f t="array" ref="AY119">SUBSTITUTE(SUBSTITUTE(_xlfn.SWITCH(AN119, "ITM_T_HOME", "ITM_UP1", "ITM_T_END", "ITM_DOWN1", "DOCU_CHR_sub", "ITM_DOWN_ARROW", "DOCU_CHR_super", "ITM_UP_ARROW", "MNU_TAMALPHA", "ITM_alpha", "DOCU_CHR_caseFLIP", "ITM_NULL", "DOCU_CHR_numSET", "ITM_NULL", "DOCU_ITM_RADIX", "ITM_PERIOD", AN119), ".lo", ),"MNU_", "-MNU_")</f>
        <v>ITM_LBL</v>
      </c>
      <c r="AZ119" s="157" t="str" cm="1">
        <f t="array" ref="AZ119">SUBSTITUTE(SUBSTITUTE(_xlfn.SWITCH(AO119, "ITM_T_HOME", "ITM_UP1", "ITM_T_END", "ITM_DOWN1", "DOCU_CHR_sub", "ITM_DOWN_ARROW", "DOCU_CHR_super", "ITM_UP_ARROW", "MNU_TAMALPHA", "ITM_alpha", "DOCU_CHR_caseFLIP", "ITM_NULL", "DOCU_CHR_numSET", "ITM_NULL", "DOCU_ITM_RADIX", "ITM_PERIOD", AO119), ".lo", ),"MNU_", "-MNU_")</f>
        <v>ITM_RTN</v>
      </c>
      <c r="BA119" s="173" t="str" cm="1">
        <f t="array" ref="BA119">SUBSTITUTE(SUBSTITUTE(_xlfn.SWITCH(AP119, "ITM_T_HOME", "ITM_UP1", "ITM_T_END", "ITM_DOWN1", "DOCU_CHR_sub", "ITM_DOWN_ARROW", "DOCU_CHR_super", "ITM_UP_ARROW", "MNU_TAMALPHA", "ITM_alpha", "DOCU_CHR_caseFLIP", "ITM_NULL", "DOCU_CHR_numSET", "ITM_NULL", "DOCU_ITM_RADIX", "ITM_PERIOD", AP119), ".lo", ),"MNU_", "-MNU_")</f>
        <v>ITM_9</v>
      </c>
      <c r="BB119" s="157" t="str" cm="1">
        <f t="array" ref="BB119">SUBSTITUTE(SUBSTITUTE(_xlfn.SWITCH(AQ119, "ITM_T_HOME", "ITM_UP1", "ITM_T_END", "ITM_DOWN1", "DOCU_CHR_sub", "ITM_DOWN_ARROW", "DOCU_CHR_super", "ITM_UP_ARROW", "MNU_TAMALPHA", "ITM_alpha", "DOCU_CHR_caseFLIP", "ITM_NULL", "DOCU_CHR_numSET", "ITM_NULL", "DOCU_ITM_RADIX", "ITM_PERIOD", AQ119), ".lo", ),"MNU_", "-MNU_")</f>
        <v>ITM_Q</v>
      </c>
      <c r="BC119" s="157" t="str" cm="1">
        <f t="array" ref="BC119">SUBSTITUTE(SUBSTITUTE(_xlfn.SWITCH(AR119, "ITM_T_HOME", "ITM_UP1", "ITM_T_END", "ITM_DOWN1", "DOCU_CHR_sub", "ITM_DOWN_ARROW", "DOCU_CHR_super", "ITM_UP_ARROW", "MNU_TAMALPHA", "ITM_alpha", "DOCU_CHR_caseFLIP", "ITM_NULL", "DOCU_CHR_numSET", "ITM_NULL", "DOCU_ITM_RADIX", "ITM_PERIOD", AR119), ".lo", ),"MNU_", "-MNU_")</f>
        <v>ITM_9</v>
      </c>
      <c r="BD119" s="157" t="str" cm="1">
        <f t="array" ref="BD119">SUBSTITUTE(SUBSTITUTE(_xlfn.SWITCH(AS119, "ITM_T_HOME", "ITM_UP1", "ITM_T_END", "ITM_DOWN1", "DOCU_CHR_sub", "ITM_DOWN_ARROW", "DOCU_CHR_super", "ITM_UP_ARROW", "MNU_TAMALPHA", "ITM_alpha", "DOCU_CHR_caseFLIP", "ITM_NULL", "DOCU_CHR_numSET", "ITM_NULL", "DOCU_ITM_RADIX", "ITM_PERIOD", AS119), ".lo", ),"MNU_", "-MNU_")</f>
        <v>ITM_NULL</v>
      </c>
      <c r="BE119" s="157" t="str" cm="1">
        <f t="array" ref="BE119">SUBSTITUTE(SUBSTITUTE(_xlfn.SWITCH(AT119, "ITM_T_HOME", "ITM_UP1", "ITM_T_END", "ITM_DOWN1", "DOCU_CHR_sub", "ITM_DOWN_ARROW", "DOCU_CHR_super", "ITM_UP_ARROW", "MNU_TAMALPHA", "ITM_alpha", "DOCU_CHR_caseFLIP", "ITM_NULL", "DOCU_CHR_numSET", "ITM_NULL", "DOCU_ITM_RADIX", "ITM_PERIOD", AT119), ".lo", ),"MNU_", "-MNU_")</f>
        <v>ITM_9</v>
      </c>
      <c r="BG119" s="75"/>
      <c r="BR119" s="1" t="s">
        <v>180</v>
      </c>
      <c r="BS119" s="1" t="s">
        <v>380</v>
      </c>
      <c r="BT119" s="1" t="s">
        <v>381</v>
      </c>
      <c r="BU119" s="1" t="s">
        <v>180</v>
      </c>
      <c r="BV119" s="1" t="s">
        <v>382</v>
      </c>
      <c r="BW119" s="1" t="s">
        <v>180</v>
      </c>
      <c r="BX119" s="1" t="s">
        <v>81</v>
      </c>
      <c r="BY119" s="1" t="s">
        <v>180</v>
      </c>
    </row>
    <row r="120" spans="24:77" ht="21" x14ac:dyDescent="0.2">
      <c r="X120" s="129" t="str">
        <f t="shared" si="39"/>
        <v>WP43</v>
      </c>
      <c r="Y120" s="109">
        <v>5</v>
      </c>
      <c r="Z120" s="109">
        <v>5</v>
      </c>
      <c r="AA120" s="112" t="str">
        <f t="shared" si="15"/>
        <v>WP43.55</v>
      </c>
      <c r="AB120" s="117" t="s">
        <v>82</v>
      </c>
      <c r="AC120" s="118" t="s">
        <v>84</v>
      </c>
      <c r="AD120" s="119" t="s">
        <v>205</v>
      </c>
      <c r="AE120" s="3"/>
      <c r="AF120" s="52" t="s">
        <v>218</v>
      </c>
      <c r="AG120" s="77" t="b">
        <f t="shared" si="48"/>
        <v>1</v>
      </c>
      <c r="AH120" s="83" t="str">
        <f t="shared" si="40"/>
        <v xml:space="preserve"> </v>
      </c>
      <c r="AI120" s="84" t="str">
        <f t="shared" si="41"/>
        <v>[ FLAG ]</v>
      </c>
      <c r="AJ120" s="85" t="str">
        <f t="shared" si="42"/>
        <v xml:space="preserve"> </v>
      </c>
      <c r="AK120" s="6"/>
      <c r="AL120" s="8" t="str">
        <f t="shared" si="43"/>
        <v>{55</v>
      </c>
      <c r="AM120" s="27" t="str">
        <f t="shared" si="44"/>
        <v>ITM_XEQ</v>
      </c>
      <c r="AN120" s="27" t="str">
        <f t="shared" si="45"/>
        <v>ITM_GTO</v>
      </c>
      <c r="AO120" s="27" t="str">
        <f t="shared" si="46"/>
        <v>MNU_FLAGS</v>
      </c>
      <c r="AP120" s="46" t="str">
        <f>IF(NOT(ISNA(MATCH(AM120,Lookups!E:E,))),VLOOKUP(AM120,Lookups!E:F,2,0),
IF(NOT(ISNA(MATCH(AN120,Lookups!E:E,))),VLOOKUP(AN120,Lookups!E:F,2,0),
IF(NOT(ISNA(MATCH(AO120,Lookups!E:E,))),VLOOKUP(AO120,Lookups!E:F,2,0),"ITM_NULL")))</f>
        <v>ITM_NULL</v>
      </c>
      <c r="AQ120" s="28" t="str">
        <f t="shared" si="47"/>
        <v>ITM_NULL</v>
      </c>
      <c r="AR120" s="195" t="s">
        <v>81</v>
      </c>
      <c r="AS120" s="186" t="s">
        <v>383</v>
      </c>
      <c r="AT120" s="197" t="s">
        <v>81</v>
      </c>
      <c r="AW120" s="14" t="str">
        <f t="shared" si="49"/>
        <v>{55</v>
      </c>
      <c r="AX120" s="157" t="str" cm="1">
        <f t="array" ref="AX120">SUBSTITUTE(SUBSTITUTE(_xlfn.SWITCH(AM120, "ITM_T_HOME", "ITM_UP1", "ITM_T_END", "ITM_DOWN1", "DOCU_CHR_sub", "ITM_DOWN_ARROW", "DOCU_CHR_super", "ITM_UP_ARROW", "MNU_TAMALPHA", "ITM_alpha", "DOCU_CHR_caseFLIP", "ITM_NULL", "DOCU_CHR_numSET", "ITM_NULL", "DOCU_ITM_RADIX", "ITM_PERIOD", AM120), ".lo", ),"MNU_", "-MNU_")</f>
        <v>ITM_XEQ</v>
      </c>
      <c r="AY120" s="157" t="str" cm="1">
        <f t="array" ref="AY120">SUBSTITUTE(SUBSTITUTE(_xlfn.SWITCH(AN120, "ITM_T_HOME", "ITM_UP1", "ITM_T_END", "ITM_DOWN1", "DOCU_CHR_sub", "ITM_DOWN_ARROW", "DOCU_CHR_super", "ITM_UP_ARROW", "MNU_TAMALPHA", "ITM_alpha", "DOCU_CHR_caseFLIP", "ITM_NULL", "DOCU_CHR_numSET", "ITM_NULL", "DOCU_ITM_RADIX", "ITM_PERIOD", AN120), ".lo", ),"MNU_", "-MNU_")</f>
        <v>ITM_GTO</v>
      </c>
      <c r="AZ120" s="157" t="str" cm="1">
        <f t="array" ref="AZ120">SUBSTITUTE(SUBSTITUTE(_xlfn.SWITCH(AO120, "ITM_T_HOME", "ITM_UP1", "ITM_T_END", "ITM_DOWN1", "DOCU_CHR_sub", "ITM_DOWN_ARROW", "DOCU_CHR_super", "ITM_UP_ARROW", "MNU_TAMALPHA", "ITM_alpha", "DOCU_CHR_caseFLIP", "ITM_NULL", "DOCU_CHR_numSET", "ITM_NULL", "DOCU_ITM_RADIX", "ITM_PERIOD", AO120), ".lo", ),"MNU_", "-MNU_")</f>
        <v>-MNU_FLAGS</v>
      </c>
      <c r="BA120" s="173" t="str" cm="1">
        <f t="array" ref="BA120">SUBSTITUTE(SUBSTITUTE(_xlfn.SWITCH(AP120, "ITM_T_HOME", "ITM_UP1", "ITM_T_END", "ITM_DOWN1", "DOCU_CHR_sub", "ITM_DOWN_ARROW", "DOCU_CHR_super", "ITM_UP_ARROW", "MNU_TAMALPHA", "ITM_alpha", "DOCU_CHR_caseFLIP", "ITM_NULL", "DOCU_CHR_numSET", "ITM_NULL", "DOCU_ITM_RADIX", "ITM_PERIOD", AP120), ".lo", ),"MNU_", "-MNU_")</f>
        <v>ITM_NULL</v>
      </c>
      <c r="BB120" s="157" t="str" cm="1">
        <f t="array" ref="BB120">SUBSTITUTE(SUBSTITUTE(_xlfn.SWITCH(AQ120, "ITM_T_HOME", "ITM_UP1", "ITM_T_END", "ITM_DOWN1", "DOCU_CHR_sub", "ITM_DOWN_ARROW", "DOCU_CHR_super", "ITM_UP_ARROW", "MNU_TAMALPHA", "ITM_alpha", "DOCU_CHR_caseFLIP", "ITM_NULL", "DOCU_CHR_numSET", "ITM_NULL", "DOCU_ITM_RADIX", "ITM_PERIOD", AQ120), ".lo", ),"MNU_", "-MNU_")</f>
        <v>ITM_NULL</v>
      </c>
      <c r="BC120" s="157" t="str" cm="1">
        <f t="array" ref="BC120">SUBSTITUTE(SUBSTITUTE(_xlfn.SWITCH(AR120, "ITM_T_HOME", "ITM_UP1", "ITM_T_END", "ITM_DOWN1", "DOCU_CHR_sub", "ITM_DOWN_ARROW", "DOCU_CHR_super", "ITM_UP_ARROW", "MNU_TAMALPHA", "ITM_alpha", "DOCU_CHR_caseFLIP", "ITM_NULL", "DOCU_CHR_numSET", "ITM_NULL", "DOCU_ITM_RADIX", "ITM_PERIOD", AR120), ".lo", ),"MNU_", "-MNU_")</f>
        <v>ITM_NULL</v>
      </c>
      <c r="BD120" s="157" t="str" cm="1">
        <f t="array" ref="BD120">SUBSTITUTE(SUBSTITUTE(_xlfn.SWITCH(AS120, "ITM_T_HOME", "ITM_UP1", "ITM_T_END", "ITM_DOWN1", "DOCU_CHR_sub", "ITM_DOWN_ARROW", "DOCU_CHR_super", "ITM_UP_ARROW", "MNU_TAMALPHA", "ITM_alpha", "DOCU_CHR_caseFLIP", "ITM_NULL", "DOCU_CHR_numSET", "ITM_NULL", "DOCU_ITM_RADIX", "ITM_PERIOD", AS120), ".lo", ),"MNU_", "-MNU_")</f>
        <v>-MNU_FLAGS</v>
      </c>
      <c r="BE120" s="157" t="str" cm="1">
        <f t="array" ref="BE120">SUBSTITUTE(SUBSTITUTE(_xlfn.SWITCH(AT120, "ITM_T_HOME", "ITM_UP1", "ITM_T_END", "ITM_DOWN1", "DOCU_CHR_sub", "ITM_DOWN_ARROW", "DOCU_CHR_super", "ITM_UP_ARROW", "MNU_TAMALPHA", "ITM_alpha", "DOCU_CHR_caseFLIP", "ITM_NULL", "DOCU_CHR_numSET", "ITM_NULL", "DOCU_ITM_RADIX", "ITM_PERIOD", AT120), ".lo", ),"MNU_", "-MNU_")</f>
        <v>ITM_NULL</v>
      </c>
      <c r="BG120" s="75"/>
      <c r="BR120" s="1" t="s">
        <v>384</v>
      </c>
      <c r="BS120" s="1" t="s">
        <v>385</v>
      </c>
      <c r="BT120" s="1" t="s">
        <v>383</v>
      </c>
      <c r="BU120" s="1" t="s">
        <v>81</v>
      </c>
      <c r="BV120" s="1" t="s">
        <v>81</v>
      </c>
      <c r="BW120" s="1" t="s">
        <v>81</v>
      </c>
      <c r="BX120" s="1" t="s">
        <v>383</v>
      </c>
      <c r="BY120" s="1" t="s">
        <v>81</v>
      </c>
    </row>
    <row r="121" spans="24:77" ht="21" x14ac:dyDescent="0.2">
      <c r="X121" s="129" t="str">
        <f t="shared" si="39"/>
        <v>WP43</v>
      </c>
      <c r="Y121" s="106">
        <v>6</v>
      </c>
      <c r="Z121" s="106">
        <v>1</v>
      </c>
      <c r="AA121" s="112" t="str">
        <f t="shared" si="15"/>
        <v>WP43.61</v>
      </c>
      <c r="AB121" s="121" t="s">
        <v>210</v>
      </c>
      <c r="AC121" s="118" t="s">
        <v>386</v>
      </c>
      <c r="AD121" s="119" t="s">
        <v>211</v>
      </c>
      <c r="AE121" s="3"/>
      <c r="AF121" s="52" t="s">
        <v>178</v>
      </c>
      <c r="AG121" s="77" t="b">
        <f t="shared" si="48"/>
        <v>0</v>
      </c>
      <c r="AH121" s="83" t="str">
        <f t="shared" si="40"/>
        <v>✕</v>
      </c>
      <c r="AI121" s="84" t="str">
        <f t="shared" si="41"/>
        <v>Rho</v>
      </c>
      <c r="AJ121" s="85" t="str">
        <f t="shared" si="42"/>
        <v>✕</v>
      </c>
      <c r="AK121" s="6"/>
      <c r="AL121" s="8" t="str">
        <f t="shared" si="43"/>
        <v>{61</v>
      </c>
      <c r="AM121" s="27" t="str">
        <f t="shared" si="44"/>
        <v>ITM_MULT</v>
      </c>
      <c r="AN121" s="27" t="str">
        <f t="shared" si="45"/>
        <v>ITM_XFACT</v>
      </c>
      <c r="AO121" s="27" t="str">
        <f t="shared" si="46"/>
        <v>MNU_PROB</v>
      </c>
      <c r="AP121" s="46" t="str">
        <f>IF(NOT(ISNA(MATCH(AM121,Lookups!E:E,))),VLOOKUP(AM121,Lookups!E:F,2,0),
IF(NOT(ISNA(MATCH(AN121,Lookups!E:E,))),VLOOKUP(AN121,Lookups!E:F,2,0),
IF(NOT(ISNA(MATCH(AO121,Lookups!E:E,))),VLOOKUP(AO121,Lookups!E:F,2,0),"ITM_NULL")))</f>
        <v>ITM_CROSS</v>
      </c>
      <c r="AQ121" s="28" t="str">
        <f t="shared" si="47"/>
        <v>ITM_R</v>
      </c>
      <c r="AR121" s="198" t="s">
        <v>387</v>
      </c>
      <c r="AS121" s="186" t="s">
        <v>388</v>
      </c>
      <c r="AT121" s="197" t="s">
        <v>216</v>
      </c>
      <c r="AW121" s="14" t="str">
        <f t="shared" si="49"/>
        <v>{61</v>
      </c>
      <c r="AX121" s="157" t="str" cm="1">
        <f t="array" ref="AX121">SUBSTITUTE(SUBSTITUTE(_xlfn.SWITCH(AM121, "ITM_T_HOME", "ITM_UP1", "ITM_T_END", "ITM_DOWN1", "DOCU_CHR_sub", "ITM_DOWN_ARROW", "DOCU_CHR_super", "ITM_UP_ARROW", "MNU_TAMALPHA", "ITM_alpha", "DOCU_CHR_caseFLIP", "ITM_NULL", "DOCU_CHR_numSET", "ITM_NULL", "DOCU_ITM_RADIX", "ITM_PERIOD", AM121), ".lo", ),"MNU_", "-MNU_")</f>
        <v>ITM_MULT</v>
      </c>
      <c r="AY121" s="157" t="str" cm="1">
        <f t="array" ref="AY121">SUBSTITUTE(SUBSTITUTE(_xlfn.SWITCH(AN121, "ITM_T_HOME", "ITM_UP1", "ITM_T_END", "ITM_DOWN1", "DOCU_CHR_sub", "ITM_DOWN_ARROW", "DOCU_CHR_super", "ITM_UP_ARROW", "MNU_TAMALPHA", "ITM_alpha", "DOCU_CHR_caseFLIP", "ITM_NULL", "DOCU_CHR_numSET", "ITM_NULL", "DOCU_ITM_RADIX", "ITM_PERIOD", AN121), ".lo", ),"MNU_", "-MNU_")</f>
        <v>ITM_XFACT</v>
      </c>
      <c r="AZ121" s="157" t="str" cm="1">
        <f t="array" ref="AZ121">SUBSTITUTE(SUBSTITUTE(_xlfn.SWITCH(AO121, "ITM_T_HOME", "ITM_UP1", "ITM_T_END", "ITM_DOWN1", "DOCU_CHR_sub", "ITM_DOWN_ARROW", "DOCU_CHR_super", "ITM_UP_ARROW", "MNU_TAMALPHA", "ITM_alpha", "DOCU_CHR_caseFLIP", "ITM_NULL", "DOCU_CHR_numSET", "ITM_NULL", "DOCU_ITM_RADIX", "ITM_PERIOD", AO121), ".lo", ),"MNU_", "-MNU_")</f>
        <v>-MNU_PROB</v>
      </c>
      <c r="BA121" s="173" t="str" cm="1">
        <f t="array" ref="BA121">SUBSTITUTE(SUBSTITUTE(_xlfn.SWITCH(AP121, "ITM_T_HOME", "ITM_UP1", "ITM_T_END", "ITM_DOWN1", "DOCU_CHR_sub", "ITM_DOWN_ARROW", "DOCU_CHR_super", "ITM_UP_ARROW", "MNU_TAMALPHA", "ITM_alpha", "DOCU_CHR_caseFLIP", "ITM_NULL", "DOCU_CHR_numSET", "ITM_NULL", "DOCU_ITM_RADIX", "ITM_PERIOD", AP121), ".lo", ),"MNU_", "-MNU_")</f>
        <v>ITM_CROSS</v>
      </c>
      <c r="BB121" s="157" t="str" cm="1">
        <f t="array" ref="BB121">SUBSTITUTE(SUBSTITUTE(_xlfn.SWITCH(AQ121, "ITM_T_HOME", "ITM_UP1", "ITM_T_END", "ITM_DOWN1", "DOCU_CHR_sub", "ITM_DOWN_ARROW", "DOCU_CHR_super", "ITM_UP_ARROW", "MNU_TAMALPHA", "ITM_alpha", "DOCU_CHR_caseFLIP", "ITM_NULL", "DOCU_CHR_numSET", "ITM_NULL", "DOCU_ITM_RADIX", "ITM_PERIOD", AQ121), ".lo", ),"MNU_", "-MNU_")</f>
        <v>ITM_R</v>
      </c>
      <c r="BC121" s="157" t="str" cm="1">
        <f t="array" ref="BC121">SUBSTITUTE(SUBSTITUTE(_xlfn.SWITCH(AR121, "ITM_T_HOME", "ITM_UP1", "ITM_T_END", "ITM_DOWN1", "DOCU_CHR_sub", "ITM_DOWN_ARROW", "DOCU_CHR_super", "ITM_UP_ARROW", "MNU_TAMALPHA", "ITM_alpha", "DOCU_CHR_caseFLIP", "ITM_NULL", "DOCU_CHR_numSET", "ITM_NULL", "DOCU_ITM_RADIX", "ITM_PERIOD", AR121), ".lo", ),"MNU_", "-MNU_")</f>
        <v>ITM_PROD_SIGN</v>
      </c>
      <c r="BD121" s="157" t="str" cm="1">
        <f t="array" ref="BD121">SUBSTITUTE(SUBSTITUTE(_xlfn.SWITCH(AS121, "ITM_T_HOME", "ITM_UP1", "ITM_T_END", "ITM_DOWN1", "DOCU_CHR_sub", "ITM_DOWN_ARROW", "DOCU_CHR_super", "ITM_UP_ARROW", "MNU_TAMALPHA", "ITM_alpha", "DOCU_CHR_caseFLIP", "ITM_NULL", "DOCU_CHR_numSET", "ITM_NULL", "DOCU_ITM_RADIX", "ITM_PERIOD", AS121), ".lo", ),"MNU_", "-MNU_")</f>
        <v>ITM_RHO</v>
      </c>
      <c r="BE121" s="157" t="str" cm="1">
        <f t="array" ref="BE121">SUBSTITUTE(SUBSTITUTE(_xlfn.SWITCH(AT121, "ITM_T_HOME", "ITM_UP1", "ITM_T_END", "ITM_DOWN1", "DOCU_CHR_sub", "ITM_DOWN_ARROW", "DOCU_CHR_super", "ITM_UP_ARROW", "MNU_TAMALPHA", "ITM_alpha", "DOCU_CHR_caseFLIP", "ITM_NULL", "DOCU_CHR_numSET", "ITM_NULL", "DOCU_ITM_RADIX", "ITM_PERIOD", AT121), ".lo", ),"MNU_", "-MNU_")</f>
        <v>ITM_MULT</v>
      </c>
      <c r="BG121" s="75"/>
      <c r="BR121" s="1" t="s">
        <v>216</v>
      </c>
      <c r="BS121" s="1" t="s">
        <v>389</v>
      </c>
      <c r="BT121" s="1" t="s">
        <v>390</v>
      </c>
      <c r="BU121" s="1" t="s">
        <v>215</v>
      </c>
      <c r="BV121" s="1" t="s">
        <v>391</v>
      </c>
      <c r="BW121" s="1" t="s">
        <v>387</v>
      </c>
      <c r="BX121" s="1" t="s">
        <v>388</v>
      </c>
      <c r="BY121" s="1" t="s">
        <v>216</v>
      </c>
    </row>
    <row r="122" spans="24:77" ht="21" x14ac:dyDescent="0.2">
      <c r="X122" s="129" t="str">
        <f t="shared" si="39"/>
        <v>WP43</v>
      </c>
      <c r="Y122" s="109">
        <v>6</v>
      </c>
      <c r="Z122" s="109">
        <v>2</v>
      </c>
      <c r="AA122" s="112" t="str">
        <f t="shared" si="15"/>
        <v>WP43.62</v>
      </c>
      <c r="AB122" s="117">
        <v>4</v>
      </c>
      <c r="AC122" s="118" t="s">
        <v>392</v>
      </c>
      <c r="AD122" s="119" t="s">
        <v>182</v>
      </c>
      <c r="AE122" s="3"/>
      <c r="AF122" s="52" t="s">
        <v>184</v>
      </c>
      <c r="AG122" s="77" t="b">
        <f t="shared" si="48"/>
        <v>0</v>
      </c>
      <c r="AH122" s="83">
        <f t="shared" si="40"/>
        <v>4</v>
      </c>
      <c r="AI122" s="84" t="str">
        <f t="shared" si="41"/>
        <v>Sigma</v>
      </c>
      <c r="AJ122" s="85">
        <f t="shared" si="42"/>
        <v>4</v>
      </c>
      <c r="AK122" s="6"/>
      <c r="AL122" s="8" t="str">
        <f t="shared" si="43"/>
        <v>{62</v>
      </c>
      <c r="AM122" s="27" t="str">
        <f t="shared" si="44"/>
        <v>ITM_4</v>
      </c>
      <c r="AN122" s="167" t="str">
        <f t="shared" si="45"/>
        <v>MNU_PLOTTING</v>
      </c>
      <c r="AO122" s="27" t="str">
        <f t="shared" si="46"/>
        <v>MNU_STAT</v>
      </c>
      <c r="AP122" s="46" t="str">
        <f>IF(NOT(ISNA(MATCH(AM122,Lookups!E:E,))),VLOOKUP(AM122,Lookups!E:F,2,0),
IF(NOT(ISNA(MATCH(AN122,Lookups!E:E,))),VLOOKUP(AN122,Lookups!E:F,2,0),
IF(NOT(ISNA(MATCH(AO122,Lookups!E:E,))),VLOOKUP(AO122,Lookups!E:F,2,0),"ITM_NULL")))</f>
        <v>ITM_4</v>
      </c>
      <c r="AQ122" s="28" t="str">
        <f t="shared" si="47"/>
        <v>ITM_S</v>
      </c>
      <c r="AR122" s="195" t="s">
        <v>199</v>
      </c>
      <c r="AS122" s="186" t="s">
        <v>52</v>
      </c>
      <c r="AT122" s="197" t="s">
        <v>199</v>
      </c>
      <c r="AW122" s="14" t="str">
        <f t="shared" si="49"/>
        <v>{62</v>
      </c>
      <c r="AX122" s="157" t="str" cm="1">
        <f t="array" ref="AX122">SUBSTITUTE(SUBSTITUTE(_xlfn.SWITCH(AM122, "ITM_T_HOME", "ITM_UP1", "ITM_T_END", "ITM_DOWN1", "DOCU_CHR_sub", "ITM_DOWN_ARROW", "DOCU_CHR_super", "ITM_UP_ARROW", "MNU_TAMALPHA", "ITM_alpha", "DOCU_CHR_caseFLIP", "ITM_NULL", "DOCU_CHR_numSET", "ITM_NULL", "DOCU_ITM_RADIX", "ITM_PERIOD", AM122), ".lo", ),"MNU_", "-MNU_")</f>
        <v>ITM_4</v>
      </c>
      <c r="AY122" s="157" t="str" cm="1">
        <f t="array" ref="AY122">SUBSTITUTE(SUBSTITUTE(_xlfn.SWITCH(AN122, "ITM_T_HOME", "ITM_UP1", "ITM_T_END", "ITM_DOWN1", "DOCU_CHR_sub", "ITM_DOWN_ARROW", "DOCU_CHR_super", "ITM_UP_ARROW", "MNU_TAMALPHA", "ITM_alpha", "DOCU_CHR_caseFLIP", "ITM_NULL", "DOCU_CHR_numSET", "ITM_NULL", "DOCU_ITM_RADIX", "ITM_PERIOD", AN122), ".lo", ),"MNU_", "-MNU_")</f>
        <v>-MNU_PLOTTING</v>
      </c>
      <c r="AZ122" s="157" t="str" cm="1">
        <f t="array" ref="AZ122">SUBSTITUTE(SUBSTITUTE(_xlfn.SWITCH(AO122, "ITM_T_HOME", "ITM_UP1", "ITM_T_END", "ITM_DOWN1", "DOCU_CHR_sub", "ITM_DOWN_ARROW", "DOCU_CHR_super", "ITM_UP_ARROW", "MNU_TAMALPHA", "ITM_alpha", "DOCU_CHR_caseFLIP", "ITM_NULL", "DOCU_CHR_numSET", "ITM_NULL", "DOCU_ITM_RADIX", "ITM_PERIOD", AO122), ".lo", ),"MNU_", "-MNU_")</f>
        <v>-MNU_STAT</v>
      </c>
      <c r="BA122" s="173" t="str" cm="1">
        <f t="array" ref="BA122">SUBSTITUTE(SUBSTITUTE(_xlfn.SWITCH(AP122, "ITM_T_HOME", "ITM_UP1", "ITM_T_END", "ITM_DOWN1", "DOCU_CHR_sub", "ITM_DOWN_ARROW", "DOCU_CHR_super", "ITM_UP_ARROW", "MNU_TAMALPHA", "ITM_alpha", "DOCU_CHR_caseFLIP", "ITM_NULL", "DOCU_CHR_numSET", "ITM_NULL", "DOCU_ITM_RADIX", "ITM_PERIOD", AP122), ".lo", ),"MNU_", "-MNU_")</f>
        <v>ITM_4</v>
      </c>
      <c r="BB122" s="157" t="str" cm="1">
        <f t="array" ref="BB122">SUBSTITUTE(SUBSTITUTE(_xlfn.SWITCH(AQ122, "ITM_T_HOME", "ITM_UP1", "ITM_T_END", "ITM_DOWN1", "DOCU_CHR_sub", "ITM_DOWN_ARROW", "DOCU_CHR_super", "ITM_UP_ARROW", "MNU_TAMALPHA", "ITM_alpha", "DOCU_CHR_caseFLIP", "ITM_NULL", "DOCU_CHR_numSET", "ITM_NULL", "DOCU_ITM_RADIX", "ITM_PERIOD", AQ122), ".lo", ),"MNU_", "-MNU_")</f>
        <v>ITM_S</v>
      </c>
      <c r="BC122" s="157" t="str" cm="1">
        <f t="array" ref="BC122">SUBSTITUTE(SUBSTITUTE(_xlfn.SWITCH(AR122, "ITM_T_HOME", "ITM_UP1", "ITM_T_END", "ITM_DOWN1", "DOCU_CHR_sub", "ITM_DOWN_ARROW", "DOCU_CHR_super", "ITM_UP_ARROW", "MNU_TAMALPHA", "ITM_alpha", "DOCU_CHR_caseFLIP", "ITM_NULL", "DOCU_CHR_numSET", "ITM_NULL", "DOCU_ITM_RADIX", "ITM_PERIOD", AR122), ".lo", ),"MNU_", "-MNU_")</f>
        <v>ITM_4</v>
      </c>
      <c r="BD122" s="157" t="str" cm="1">
        <f t="array" ref="BD122">SUBSTITUTE(SUBSTITUTE(_xlfn.SWITCH(AS122, "ITM_T_HOME", "ITM_UP1", "ITM_T_END", "ITM_DOWN1", "DOCU_CHR_sub", "ITM_DOWN_ARROW", "DOCU_CHR_super", "ITM_UP_ARROW", "MNU_TAMALPHA", "ITM_alpha", "DOCU_CHR_caseFLIP", "ITM_NULL", "DOCU_CHR_numSET", "ITM_NULL", "DOCU_ITM_RADIX", "ITM_PERIOD", AS122), ".lo", ),"MNU_", "-MNU_")</f>
        <v>ITM_SIGMA</v>
      </c>
      <c r="BE122" s="157" t="str" cm="1">
        <f t="array" ref="BE122">SUBSTITUTE(SUBSTITUTE(_xlfn.SWITCH(AT122, "ITM_T_HOME", "ITM_UP1", "ITM_T_END", "ITM_DOWN1", "DOCU_CHR_sub", "ITM_DOWN_ARROW", "DOCU_CHR_super", "ITM_UP_ARROW", "MNU_TAMALPHA", "ITM_alpha", "DOCU_CHR_caseFLIP", "ITM_NULL", "DOCU_CHR_numSET", "ITM_NULL", "DOCU_ITM_RADIX", "ITM_PERIOD", AT122), ".lo", ),"MNU_", "-MNU_")</f>
        <v>ITM_4</v>
      </c>
      <c r="BG122" s="75"/>
      <c r="BR122" s="1" t="s">
        <v>199</v>
      </c>
      <c r="BS122" s="1" t="s">
        <v>393</v>
      </c>
      <c r="BT122" s="1" t="s">
        <v>394</v>
      </c>
      <c r="BU122" s="1" t="s">
        <v>199</v>
      </c>
      <c r="BV122" s="1" t="s">
        <v>395</v>
      </c>
      <c r="BW122" s="1" t="s">
        <v>199</v>
      </c>
      <c r="BX122" s="1" t="s">
        <v>52</v>
      </c>
      <c r="BY122" s="1" t="s">
        <v>199</v>
      </c>
    </row>
    <row r="123" spans="24:77" ht="21" x14ac:dyDescent="0.2">
      <c r="X123" s="129" t="str">
        <f t="shared" si="39"/>
        <v>WP43</v>
      </c>
      <c r="Y123" s="109">
        <v>6</v>
      </c>
      <c r="Z123" s="109">
        <v>3</v>
      </c>
      <c r="AA123" s="112" t="str">
        <f t="shared" si="15"/>
        <v>WP43.63</v>
      </c>
      <c r="AB123" s="117">
        <v>5</v>
      </c>
      <c r="AC123" s="118" t="str">
        <f>"-&gt;R"</f>
        <v>-&gt;R</v>
      </c>
      <c r="AD123" s="119" t="s">
        <v>124</v>
      </c>
      <c r="AE123" s="3"/>
      <c r="AF123" s="52" t="s">
        <v>197</v>
      </c>
      <c r="AG123" s="77" t="b">
        <f t="shared" si="48"/>
        <v>0</v>
      </c>
      <c r="AH123" s="83">
        <f t="shared" si="40"/>
        <v>5</v>
      </c>
      <c r="AI123" s="84" t="str">
        <f t="shared" si="41"/>
        <v>Tau</v>
      </c>
      <c r="AJ123" s="85">
        <f t="shared" si="42"/>
        <v>5</v>
      </c>
      <c r="AK123" s="6"/>
      <c r="AL123" s="8" t="str">
        <f t="shared" si="43"/>
        <v>{63</v>
      </c>
      <c r="AM123" s="27" t="str">
        <f t="shared" si="44"/>
        <v>ITM_5</v>
      </c>
      <c r="AN123" s="27" t="str">
        <f t="shared" si="45"/>
        <v>ITM_toREC2</v>
      </c>
      <c r="AO123" s="27" t="str">
        <f t="shared" si="46"/>
        <v>ITM_toPOL2</v>
      </c>
      <c r="AP123" s="46" t="str">
        <f>IF(NOT(ISNA(MATCH(AM123,Lookups!E:E,))),VLOOKUP(AM123,Lookups!E:F,2,0),
IF(NOT(ISNA(MATCH(AN123,Lookups!E:E,))),VLOOKUP(AN123,Lookups!E:F,2,0),
IF(NOT(ISNA(MATCH(AO123,Lookups!E:E,))),VLOOKUP(AO123,Lookups!E:F,2,0),"ITM_NULL")))</f>
        <v>ITM_5</v>
      </c>
      <c r="AQ123" s="28" t="str">
        <f t="shared" si="47"/>
        <v>ITM_T</v>
      </c>
      <c r="AR123" s="195" t="s">
        <v>204</v>
      </c>
      <c r="AS123" s="186" t="s">
        <v>396</v>
      </c>
      <c r="AT123" s="197" t="s">
        <v>204</v>
      </c>
      <c r="AW123" s="14" t="str">
        <f t="shared" si="49"/>
        <v>{63</v>
      </c>
      <c r="AX123" s="157" t="str" cm="1">
        <f t="array" ref="AX123">SUBSTITUTE(SUBSTITUTE(_xlfn.SWITCH(AM123, "ITM_T_HOME", "ITM_UP1", "ITM_T_END", "ITM_DOWN1", "DOCU_CHR_sub", "ITM_DOWN_ARROW", "DOCU_CHR_super", "ITM_UP_ARROW", "MNU_TAMALPHA", "ITM_alpha", "DOCU_CHR_caseFLIP", "ITM_NULL", "DOCU_CHR_numSET", "ITM_NULL", "DOCU_ITM_RADIX", "ITM_PERIOD", AM123), ".lo", ),"MNU_", "-MNU_")</f>
        <v>ITM_5</v>
      </c>
      <c r="AY123" s="157" t="str" cm="1">
        <f t="array" ref="AY123">SUBSTITUTE(SUBSTITUTE(_xlfn.SWITCH(AN123, "ITM_T_HOME", "ITM_UP1", "ITM_T_END", "ITM_DOWN1", "DOCU_CHR_sub", "ITM_DOWN_ARROW", "DOCU_CHR_super", "ITM_UP_ARROW", "MNU_TAMALPHA", "ITM_alpha", "DOCU_CHR_caseFLIP", "ITM_NULL", "DOCU_CHR_numSET", "ITM_NULL", "DOCU_ITM_RADIX", "ITM_PERIOD", AN123), ".lo", ),"MNU_", "-MNU_")</f>
        <v>ITM_toREC2</v>
      </c>
      <c r="AZ123" s="157" t="str" cm="1">
        <f t="array" ref="AZ123">SUBSTITUTE(SUBSTITUTE(_xlfn.SWITCH(AO123, "ITM_T_HOME", "ITM_UP1", "ITM_T_END", "ITM_DOWN1", "DOCU_CHR_sub", "ITM_DOWN_ARROW", "DOCU_CHR_super", "ITM_UP_ARROW", "MNU_TAMALPHA", "ITM_alpha", "DOCU_CHR_caseFLIP", "ITM_NULL", "DOCU_CHR_numSET", "ITM_NULL", "DOCU_ITM_RADIX", "ITM_PERIOD", AO123), ".lo", ),"MNU_", "-MNU_")</f>
        <v>ITM_toPOL2</v>
      </c>
      <c r="BA123" s="173" t="str" cm="1">
        <f t="array" ref="BA123">SUBSTITUTE(SUBSTITUTE(_xlfn.SWITCH(AP123, "ITM_T_HOME", "ITM_UP1", "ITM_T_END", "ITM_DOWN1", "DOCU_CHR_sub", "ITM_DOWN_ARROW", "DOCU_CHR_super", "ITM_UP_ARROW", "MNU_TAMALPHA", "ITM_alpha", "DOCU_CHR_caseFLIP", "ITM_NULL", "DOCU_CHR_numSET", "ITM_NULL", "DOCU_ITM_RADIX", "ITM_PERIOD", AP123), ".lo", ),"MNU_", "-MNU_")</f>
        <v>ITM_5</v>
      </c>
      <c r="BB123" s="157" t="str" cm="1">
        <f t="array" ref="BB123">SUBSTITUTE(SUBSTITUTE(_xlfn.SWITCH(AQ123, "ITM_T_HOME", "ITM_UP1", "ITM_T_END", "ITM_DOWN1", "DOCU_CHR_sub", "ITM_DOWN_ARROW", "DOCU_CHR_super", "ITM_UP_ARROW", "MNU_TAMALPHA", "ITM_alpha", "DOCU_CHR_caseFLIP", "ITM_NULL", "DOCU_CHR_numSET", "ITM_NULL", "DOCU_ITM_RADIX", "ITM_PERIOD", AQ123), ".lo", ),"MNU_", "-MNU_")</f>
        <v>ITM_T</v>
      </c>
      <c r="BC123" s="157" t="str" cm="1">
        <f t="array" ref="BC123">SUBSTITUTE(SUBSTITUTE(_xlfn.SWITCH(AR123, "ITM_T_HOME", "ITM_UP1", "ITM_T_END", "ITM_DOWN1", "DOCU_CHR_sub", "ITM_DOWN_ARROW", "DOCU_CHR_super", "ITM_UP_ARROW", "MNU_TAMALPHA", "ITM_alpha", "DOCU_CHR_caseFLIP", "ITM_NULL", "DOCU_CHR_numSET", "ITM_NULL", "DOCU_ITM_RADIX", "ITM_PERIOD", AR123), ".lo", ),"MNU_", "-MNU_")</f>
        <v>ITM_5</v>
      </c>
      <c r="BD123" s="157" t="str" cm="1">
        <f t="array" ref="BD123">SUBSTITUTE(SUBSTITUTE(_xlfn.SWITCH(AS123, "ITM_T_HOME", "ITM_UP1", "ITM_T_END", "ITM_DOWN1", "DOCU_CHR_sub", "ITM_DOWN_ARROW", "DOCU_CHR_super", "ITM_UP_ARROW", "MNU_TAMALPHA", "ITM_alpha", "DOCU_CHR_caseFLIP", "ITM_NULL", "DOCU_CHR_numSET", "ITM_NULL", "DOCU_ITM_RADIX", "ITM_PERIOD", AS123), ".lo", ),"MNU_", "-MNU_")</f>
        <v>ITM_TAU</v>
      </c>
      <c r="BE123" s="157" t="str" cm="1">
        <f t="array" ref="BE123">SUBSTITUTE(SUBSTITUTE(_xlfn.SWITCH(AT123, "ITM_T_HOME", "ITM_UP1", "ITM_T_END", "ITM_DOWN1", "DOCU_CHR_sub", "ITM_DOWN_ARROW", "DOCU_CHR_super", "ITM_UP_ARROW", "MNU_TAMALPHA", "ITM_alpha", "DOCU_CHR_caseFLIP", "ITM_NULL", "DOCU_CHR_numSET", "ITM_NULL", "DOCU_ITM_RADIX", "ITM_PERIOD", AT123), ".lo", ),"MNU_", "-MNU_")</f>
        <v>ITM_5</v>
      </c>
      <c r="BG123" s="75"/>
      <c r="BR123" s="1" t="s">
        <v>204</v>
      </c>
      <c r="BS123" s="1" t="s">
        <v>397</v>
      </c>
      <c r="BT123" s="1" t="s">
        <v>398</v>
      </c>
      <c r="BU123" s="1" t="s">
        <v>204</v>
      </c>
      <c r="BV123" s="1" t="s">
        <v>399</v>
      </c>
      <c r="BW123" s="1" t="s">
        <v>204</v>
      </c>
      <c r="BX123" s="1" t="s">
        <v>396</v>
      </c>
      <c r="BY123" s="1" t="s">
        <v>204</v>
      </c>
    </row>
    <row r="124" spans="24:77" ht="21" x14ac:dyDescent="0.2">
      <c r="X124" s="129" t="str">
        <f t="shared" si="39"/>
        <v>WP43</v>
      </c>
      <c r="Y124" s="109">
        <v>6</v>
      </c>
      <c r="Z124" s="109">
        <v>4</v>
      </c>
      <c r="AA124" s="112" t="str">
        <f t="shared" si="15"/>
        <v>WP43.64</v>
      </c>
      <c r="AB124" s="117">
        <v>6</v>
      </c>
      <c r="AC124" s="118" t="s">
        <v>249</v>
      </c>
      <c r="AD124" s="119" t="s">
        <v>201</v>
      </c>
      <c r="AE124" s="3"/>
      <c r="AF124" s="52" t="s">
        <v>202</v>
      </c>
      <c r="AG124" s="77" t="b">
        <f t="shared" si="48"/>
        <v>0</v>
      </c>
      <c r="AH124" s="83">
        <f t="shared" si="40"/>
        <v>6</v>
      </c>
      <c r="AI124" s="84" t="str">
        <f t="shared" si="41"/>
        <v>Theta</v>
      </c>
      <c r="AJ124" s="85">
        <f t="shared" si="42"/>
        <v>6</v>
      </c>
      <c r="AK124" s="6"/>
      <c r="AL124" s="8" t="str">
        <f t="shared" si="43"/>
        <v>{64</v>
      </c>
      <c r="AM124" s="27" t="str">
        <f t="shared" si="44"/>
        <v>ITM_6</v>
      </c>
      <c r="AN124" s="27" t="str">
        <f t="shared" si="45"/>
        <v>ITM_TIMER</v>
      </c>
      <c r="AO124" s="27" t="str">
        <f t="shared" si="46"/>
        <v>MNU_CLK</v>
      </c>
      <c r="AP124" s="46" t="str">
        <f>IF(NOT(ISNA(MATCH(AM124,Lookups!E:E,))),VLOOKUP(AM124,Lookups!E:F,2,0),
IF(NOT(ISNA(MATCH(AN124,Lookups!E:E,))),VLOOKUP(AN124,Lookups!E:F,2,0),
IF(NOT(ISNA(MATCH(AO124,Lookups!E:E,))),VLOOKUP(AO124,Lookups!E:F,2,0),"ITM_NULL")))</f>
        <v>ITM_6</v>
      </c>
      <c r="AQ124" s="28" t="str">
        <f t="shared" si="47"/>
        <v>ITM_U</v>
      </c>
      <c r="AR124" s="195" t="s">
        <v>209</v>
      </c>
      <c r="AS124" s="186" t="s">
        <v>400</v>
      </c>
      <c r="AT124" s="197" t="s">
        <v>209</v>
      </c>
      <c r="AW124" s="14" t="str">
        <f t="shared" si="49"/>
        <v>{64</v>
      </c>
      <c r="AX124" s="157" t="str" cm="1">
        <f t="array" ref="AX124">SUBSTITUTE(SUBSTITUTE(_xlfn.SWITCH(AM124, "ITM_T_HOME", "ITM_UP1", "ITM_T_END", "ITM_DOWN1", "DOCU_CHR_sub", "ITM_DOWN_ARROW", "DOCU_CHR_super", "ITM_UP_ARROW", "MNU_TAMALPHA", "ITM_alpha", "DOCU_CHR_caseFLIP", "ITM_NULL", "DOCU_CHR_numSET", "ITM_NULL", "DOCU_ITM_RADIX", "ITM_PERIOD", AM124), ".lo", ),"MNU_", "-MNU_")</f>
        <v>ITM_6</v>
      </c>
      <c r="AY124" s="157" t="str" cm="1">
        <f t="array" ref="AY124">SUBSTITUTE(SUBSTITUTE(_xlfn.SWITCH(AN124, "ITM_T_HOME", "ITM_UP1", "ITM_T_END", "ITM_DOWN1", "DOCU_CHR_sub", "ITM_DOWN_ARROW", "DOCU_CHR_super", "ITM_UP_ARROW", "MNU_TAMALPHA", "ITM_alpha", "DOCU_CHR_caseFLIP", "ITM_NULL", "DOCU_CHR_numSET", "ITM_NULL", "DOCU_ITM_RADIX", "ITM_PERIOD", AN124), ".lo", ),"MNU_", "-MNU_")</f>
        <v>ITM_TIMER</v>
      </c>
      <c r="AZ124" s="157" t="str" cm="1">
        <f t="array" ref="AZ124">SUBSTITUTE(SUBSTITUTE(_xlfn.SWITCH(AO124, "ITM_T_HOME", "ITM_UP1", "ITM_T_END", "ITM_DOWN1", "DOCU_CHR_sub", "ITM_DOWN_ARROW", "DOCU_CHR_super", "ITM_UP_ARROW", "MNU_TAMALPHA", "ITM_alpha", "DOCU_CHR_caseFLIP", "ITM_NULL", "DOCU_CHR_numSET", "ITM_NULL", "DOCU_ITM_RADIX", "ITM_PERIOD", AO124), ".lo", ),"MNU_", "-MNU_")</f>
        <v>-MNU_CLK</v>
      </c>
      <c r="BA124" s="173" t="str" cm="1">
        <f t="array" ref="BA124">SUBSTITUTE(SUBSTITUTE(_xlfn.SWITCH(AP124, "ITM_T_HOME", "ITM_UP1", "ITM_T_END", "ITM_DOWN1", "DOCU_CHR_sub", "ITM_DOWN_ARROW", "DOCU_CHR_super", "ITM_UP_ARROW", "MNU_TAMALPHA", "ITM_alpha", "DOCU_CHR_caseFLIP", "ITM_NULL", "DOCU_CHR_numSET", "ITM_NULL", "DOCU_ITM_RADIX", "ITM_PERIOD", AP124), ".lo", ),"MNU_", "-MNU_")</f>
        <v>ITM_6</v>
      </c>
      <c r="BB124" s="157" t="str" cm="1">
        <f t="array" ref="BB124">SUBSTITUTE(SUBSTITUTE(_xlfn.SWITCH(AQ124, "ITM_T_HOME", "ITM_UP1", "ITM_T_END", "ITM_DOWN1", "DOCU_CHR_sub", "ITM_DOWN_ARROW", "DOCU_CHR_super", "ITM_UP_ARROW", "MNU_TAMALPHA", "ITM_alpha", "DOCU_CHR_caseFLIP", "ITM_NULL", "DOCU_CHR_numSET", "ITM_NULL", "DOCU_ITM_RADIX", "ITM_PERIOD", AQ124), ".lo", ),"MNU_", "-MNU_")</f>
        <v>ITM_U</v>
      </c>
      <c r="BC124" s="157" t="str" cm="1">
        <f t="array" ref="BC124">SUBSTITUTE(SUBSTITUTE(_xlfn.SWITCH(AR124, "ITM_T_HOME", "ITM_UP1", "ITM_T_END", "ITM_DOWN1", "DOCU_CHR_sub", "ITM_DOWN_ARROW", "DOCU_CHR_super", "ITM_UP_ARROW", "MNU_TAMALPHA", "ITM_alpha", "DOCU_CHR_caseFLIP", "ITM_NULL", "DOCU_CHR_numSET", "ITM_NULL", "DOCU_ITM_RADIX", "ITM_PERIOD", AR124), ".lo", ),"MNU_", "-MNU_")</f>
        <v>ITM_6</v>
      </c>
      <c r="BD124" s="157" t="str" cm="1">
        <f t="array" ref="BD124">SUBSTITUTE(SUBSTITUTE(_xlfn.SWITCH(AS124, "ITM_T_HOME", "ITM_UP1", "ITM_T_END", "ITM_DOWN1", "DOCU_CHR_sub", "ITM_DOWN_ARROW", "DOCU_CHR_super", "ITM_UP_ARROW", "MNU_TAMALPHA", "ITM_alpha", "DOCU_CHR_caseFLIP", "ITM_NULL", "DOCU_CHR_numSET", "ITM_NULL", "DOCU_ITM_RADIX", "ITM_PERIOD", AS124), ".lo", ),"MNU_", "-MNU_")</f>
        <v>ITM_THETA</v>
      </c>
      <c r="BE124" s="157" t="str" cm="1">
        <f t="array" ref="BE124">SUBSTITUTE(SUBSTITUTE(_xlfn.SWITCH(AT124, "ITM_T_HOME", "ITM_UP1", "ITM_T_END", "ITM_DOWN1", "DOCU_CHR_sub", "ITM_DOWN_ARROW", "DOCU_CHR_super", "ITM_UP_ARROW", "MNU_TAMALPHA", "ITM_alpha", "DOCU_CHR_caseFLIP", "ITM_NULL", "DOCU_CHR_numSET", "ITM_NULL", "DOCU_ITM_RADIX", "ITM_PERIOD", AT124), ".lo", ),"MNU_", "-MNU_")</f>
        <v>ITM_6</v>
      </c>
      <c r="BG124" s="75"/>
      <c r="BR124" s="1" t="s">
        <v>209</v>
      </c>
      <c r="BS124" s="1" t="s">
        <v>401</v>
      </c>
      <c r="BT124" s="1" t="s">
        <v>402</v>
      </c>
      <c r="BU124" s="1" t="s">
        <v>209</v>
      </c>
      <c r="BV124" s="1" t="s">
        <v>403</v>
      </c>
      <c r="BW124" s="1" t="s">
        <v>209</v>
      </c>
      <c r="BX124" s="1" t="s">
        <v>400</v>
      </c>
      <c r="BY124" s="1" t="s">
        <v>209</v>
      </c>
    </row>
    <row r="125" spans="24:77" ht="21" x14ac:dyDescent="0.2">
      <c r="X125" s="129" t="str">
        <f t="shared" si="39"/>
        <v>WP43</v>
      </c>
      <c r="Y125" s="109">
        <v>6</v>
      </c>
      <c r="Z125" s="109">
        <v>5</v>
      </c>
      <c r="AA125" s="112" t="str">
        <f t="shared" si="15"/>
        <v>WP43.65</v>
      </c>
      <c r="AB125" s="117" t="s">
        <v>159</v>
      </c>
      <c r="AC125" s="118" t="s">
        <v>160</v>
      </c>
      <c r="AD125" s="119" t="s">
        <v>404</v>
      </c>
      <c r="AE125" s="3"/>
      <c r="AF125" s="49" t="s">
        <v>159</v>
      </c>
      <c r="AG125" s="77" t="b">
        <f t="shared" si="48"/>
        <v>0</v>
      </c>
      <c r="AH125" s="83" t="str">
        <f t="shared" si="40"/>
        <v>Scroll Up</v>
      </c>
      <c r="AI125" s="84" t="str">
        <f t="shared" si="41"/>
        <v>SF</v>
      </c>
      <c r="AJ125" s="85" t="str">
        <f t="shared" si="42"/>
        <v>Up</v>
      </c>
      <c r="AK125" s="6"/>
      <c r="AL125" s="8" t="str">
        <f t="shared" si="43"/>
        <v>{65</v>
      </c>
      <c r="AM125" s="27" t="str">
        <f t="shared" si="44"/>
        <v>ITM_UP1</v>
      </c>
      <c r="AN125" s="27" t="str">
        <f t="shared" si="45"/>
        <v>ITM_BST</v>
      </c>
      <c r="AO125" s="27" t="str">
        <f t="shared" si="46"/>
        <v>ITM_SF</v>
      </c>
      <c r="AP125" s="46" t="str">
        <f>IF(NOT(ISNA(MATCH(AM125,Lookups!E:E,))),VLOOKUP(AM125,Lookups!E:F,2,0),
IF(NOT(ISNA(MATCH(AN125,Lookups!E:E,))),VLOOKUP(AN125,Lookups!E:F,2,0),
IF(NOT(ISNA(MATCH(AO125,Lookups!E:E,))),VLOOKUP(AO125,Lookups!E:F,2,0),"ITM_NULL")))</f>
        <v>ITM_UP1</v>
      </c>
      <c r="AQ125" s="28" t="str">
        <f t="shared" si="47"/>
        <v>ITM_UP1</v>
      </c>
      <c r="AR125" s="195" t="s">
        <v>405</v>
      </c>
      <c r="AS125" s="186" t="s">
        <v>406</v>
      </c>
      <c r="AT125" s="197" t="s">
        <v>165</v>
      </c>
      <c r="AW125" s="14" t="str">
        <f t="shared" si="49"/>
        <v>{65</v>
      </c>
      <c r="AX125" s="157" t="str" cm="1">
        <f t="array" ref="AX125">SUBSTITUTE(SUBSTITUTE(_xlfn.SWITCH(AM125, "ITM_T_HOME", "ITM_UP1", "ITM_T_END", "ITM_DOWN1", "DOCU_CHR_sub", "ITM_DOWN_ARROW", "DOCU_CHR_super", "ITM_UP_ARROW", "MNU_TAMALPHA", "ITM_alpha", "DOCU_CHR_caseFLIP", "ITM_NULL", "DOCU_CHR_numSET", "ITM_NULL", "DOCU_ITM_RADIX", "ITM_PERIOD", AM125), ".lo", ),"MNU_", "-MNU_")</f>
        <v>ITM_UP1</v>
      </c>
      <c r="AY125" s="157" t="str" cm="1">
        <f t="array" ref="AY125">SUBSTITUTE(SUBSTITUTE(_xlfn.SWITCH(AN125, "ITM_T_HOME", "ITM_UP1", "ITM_T_END", "ITM_DOWN1", "DOCU_CHR_sub", "ITM_DOWN_ARROW", "DOCU_CHR_super", "ITM_UP_ARROW", "MNU_TAMALPHA", "ITM_alpha", "DOCU_CHR_caseFLIP", "ITM_NULL", "DOCU_CHR_numSET", "ITM_NULL", "DOCU_ITM_RADIX", "ITM_PERIOD", AN125), ".lo", ),"MNU_", "-MNU_")</f>
        <v>ITM_BST</v>
      </c>
      <c r="AZ125" s="157" t="str" cm="1">
        <f t="array" ref="AZ125">SUBSTITUTE(SUBSTITUTE(_xlfn.SWITCH(AO125, "ITM_T_HOME", "ITM_UP1", "ITM_T_END", "ITM_DOWN1", "DOCU_CHR_sub", "ITM_DOWN_ARROW", "DOCU_CHR_super", "ITM_UP_ARROW", "MNU_TAMALPHA", "ITM_alpha", "DOCU_CHR_caseFLIP", "ITM_NULL", "DOCU_CHR_numSET", "ITM_NULL", "DOCU_ITM_RADIX", "ITM_PERIOD", AO125), ".lo", ),"MNU_", "-MNU_")</f>
        <v>ITM_SF</v>
      </c>
      <c r="BA125" s="173" t="str" cm="1">
        <f t="array" ref="BA125">SUBSTITUTE(SUBSTITUTE(_xlfn.SWITCH(AP125, "ITM_T_HOME", "ITM_UP1", "ITM_T_END", "ITM_DOWN1", "DOCU_CHR_sub", "ITM_DOWN_ARROW", "DOCU_CHR_super", "ITM_UP_ARROW", "MNU_TAMALPHA", "ITM_alpha", "DOCU_CHR_caseFLIP", "ITM_NULL", "DOCU_CHR_numSET", "ITM_NULL", "DOCU_ITM_RADIX", "ITM_PERIOD", AP125), ".lo", ),"MNU_", "-MNU_")</f>
        <v>ITM_UP1</v>
      </c>
      <c r="BB125" s="157" t="str" cm="1">
        <f t="array" ref="BB125">SUBSTITUTE(SUBSTITUTE(_xlfn.SWITCH(AQ125, "ITM_T_HOME", "ITM_UP1", "ITM_T_END", "ITM_DOWN1", "DOCU_CHR_sub", "ITM_DOWN_ARROW", "DOCU_CHR_super", "ITM_UP_ARROW", "MNU_TAMALPHA", "ITM_alpha", "DOCU_CHR_caseFLIP", "ITM_NULL", "DOCU_CHR_numSET", "ITM_NULL", "DOCU_ITM_RADIX", "ITM_PERIOD", AQ125), ".lo", ),"MNU_", "-MNU_")</f>
        <v>ITM_UP1</v>
      </c>
      <c r="BC125" s="157" t="str" cm="1">
        <f t="array" ref="BC125">SUBSTITUTE(SUBSTITUTE(_xlfn.SWITCH(AR125, "ITM_T_HOME", "ITM_UP1", "ITM_T_END", "ITM_DOWN1", "DOCU_CHR_sub", "ITM_DOWN_ARROW", "DOCU_CHR_super", "ITM_UP_ARROW", "MNU_TAMALPHA", "ITM_alpha", "DOCU_CHR_caseFLIP", "ITM_NULL", "DOCU_CHR_numSET", "ITM_NULL", "DOCU_ITM_RADIX", "ITM_PERIOD", AR125), ".lo", ),"MNU_", "-MNU_")</f>
        <v>ITM_BST</v>
      </c>
      <c r="BD125" s="157" t="str" cm="1">
        <f t="array" ref="BD125">SUBSTITUTE(SUBSTITUTE(_xlfn.SWITCH(AS125, "ITM_T_HOME", "ITM_UP1", "ITM_T_END", "ITM_DOWN1", "DOCU_CHR_sub", "ITM_DOWN_ARROW", "DOCU_CHR_super", "ITM_UP_ARROW", "MNU_TAMALPHA", "ITM_alpha", "DOCU_CHR_caseFLIP", "ITM_NULL", "DOCU_CHR_numSET", "ITM_NULL", "DOCU_ITM_RADIX", "ITM_PERIOD", AS125), ".lo", ),"MNU_", "-MNU_")</f>
        <v>ITM_SF</v>
      </c>
      <c r="BE125" s="157" t="str" cm="1">
        <f t="array" ref="BE125">SUBSTITUTE(SUBSTITUTE(_xlfn.SWITCH(AT125, "ITM_T_HOME", "ITM_UP1", "ITM_T_END", "ITM_DOWN1", "DOCU_CHR_sub", "ITM_DOWN_ARROW", "DOCU_CHR_super", "ITM_UP_ARROW", "MNU_TAMALPHA", "ITM_alpha", "DOCU_CHR_caseFLIP", "ITM_NULL", "DOCU_CHR_numSET", "ITM_NULL", "DOCU_ITM_RADIX", "ITM_PERIOD", AT125), ".lo", ),"MNU_", "-MNU_")</f>
        <v>ITM_UP1</v>
      </c>
      <c r="BG125" s="75"/>
      <c r="BR125" s="1" t="s">
        <v>165</v>
      </c>
      <c r="BS125" s="1" t="s">
        <v>405</v>
      </c>
      <c r="BT125" s="1" t="s">
        <v>406</v>
      </c>
      <c r="BU125" s="1" t="s">
        <v>165</v>
      </c>
      <c r="BV125" s="1" t="s">
        <v>165</v>
      </c>
      <c r="BW125" s="1" t="s">
        <v>405</v>
      </c>
      <c r="BX125" s="1" t="s">
        <v>406</v>
      </c>
      <c r="BY125" s="1" t="s">
        <v>165</v>
      </c>
    </row>
    <row r="126" spans="24:77" ht="21" x14ac:dyDescent="0.2">
      <c r="X126" s="129" t="str">
        <f t="shared" si="39"/>
        <v>WP43</v>
      </c>
      <c r="Y126" s="106">
        <v>7</v>
      </c>
      <c r="Z126" s="106">
        <v>1</v>
      </c>
      <c r="AA126" s="112" t="str">
        <f t="shared" si="15"/>
        <v>WP43.71</v>
      </c>
      <c r="AB126" s="117" t="s">
        <v>236</v>
      </c>
      <c r="AC126" s="118" t="s">
        <v>212</v>
      </c>
      <c r="AD126" s="119" t="s">
        <v>407</v>
      </c>
      <c r="AE126" s="3"/>
      <c r="AF126" s="52" t="s">
        <v>207</v>
      </c>
      <c r="AG126" s="77" t="b">
        <f t="shared" si="48"/>
        <v>0</v>
      </c>
      <c r="AH126" s="83" t="str">
        <f t="shared" si="40"/>
        <v>-</v>
      </c>
      <c r="AI126" s="84" t="str">
        <f t="shared" si="41"/>
        <v>[ aMATH ]</v>
      </c>
      <c r="AJ126" s="85" t="str">
        <f t="shared" si="42"/>
        <v>-</v>
      </c>
      <c r="AK126" s="6"/>
      <c r="AL126" s="8" t="str">
        <f t="shared" si="43"/>
        <v>{71</v>
      </c>
      <c r="AM126" s="27" t="str">
        <f t="shared" si="44"/>
        <v>ITM_SUB</v>
      </c>
      <c r="AN126" s="27" t="str">
        <f t="shared" si="45"/>
        <v>MNU_INTS</v>
      </c>
      <c r="AO126" s="167" t="str">
        <f t="shared" si="46"/>
        <v>MNU_PARTS</v>
      </c>
      <c r="AP126" s="46" t="str">
        <f>IF(NOT(ISNA(MATCH(AM126,Lookups!E:E,))),VLOOKUP(AM126,Lookups!E:F,2,0),
IF(NOT(ISNA(MATCH(AN126,Lookups!E:E,))),VLOOKUP(AN126,Lookups!E:F,2,0),
IF(NOT(ISNA(MATCH(AO126,Lookups!E:E,))),VLOOKUP(AO126,Lookups!E:F,2,0),"ITM_NULL")))</f>
        <v>ITM_MINUS</v>
      </c>
      <c r="AQ126" s="28" t="str">
        <f t="shared" si="47"/>
        <v>ITM_V</v>
      </c>
      <c r="AR126" s="198" t="s">
        <v>240</v>
      </c>
      <c r="AS126" s="186" t="s">
        <v>408</v>
      </c>
      <c r="AT126" s="197" t="s">
        <v>241</v>
      </c>
      <c r="AW126" s="14" t="str">
        <f t="shared" si="49"/>
        <v>{71</v>
      </c>
      <c r="AX126" s="157" t="str" cm="1">
        <f t="array" ref="AX126">SUBSTITUTE(SUBSTITUTE(_xlfn.SWITCH(AM126, "ITM_T_HOME", "ITM_UP1", "ITM_T_END", "ITM_DOWN1", "DOCU_CHR_sub", "ITM_DOWN_ARROW", "DOCU_CHR_super", "ITM_UP_ARROW", "MNU_TAMALPHA", "ITM_alpha", "DOCU_CHR_caseFLIP", "ITM_NULL", "DOCU_CHR_numSET", "ITM_NULL", "DOCU_ITM_RADIX", "ITM_PERIOD", AM126), ".lo", ),"MNU_", "-MNU_")</f>
        <v>ITM_SUB</v>
      </c>
      <c r="AY126" s="157" t="str" cm="1">
        <f t="array" ref="AY126">SUBSTITUTE(SUBSTITUTE(_xlfn.SWITCH(AN126, "ITM_T_HOME", "ITM_UP1", "ITM_T_END", "ITM_DOWN1", "DOCU_CHR_sub", "ITM_DOWN_ARROW", "DOCU_CHR_super", "ITM_UP_ARROW", "MNU_TAMALPHA", "ITM_alpha", "DOCU_CHR_caseFLIP", "ITM_NULL", "DOCU_CHR_numSET", "ITM_NULL", "DOCU_ITM_RADIX", "ITM_PERIOD", AN126), ".lo", ),"MNU_", "-MNU_")</f>
        <v>-MNU_INTS</v>
      </c>
      <c r="AZ126" s="157" t="str" cm="1">
        <f t="array" ref="AZ126">SUBSTITUTE(SUBSTITUTE(_xlfn.SWITCH(AO126, "ITM_T_HOME", "ITM_UP1", "ITM_T_END", "ITM_DOWN1", "DOCU_CHR_sub", "ITM_DOWN_ARROW", "DOCU_CHR_super", "ITM_UP_ARROW", "MNU_TAMALPHA", "ITM_alpha", "DOCU_CHR_caseFLIP", "ITM_NULL", "DOCU_CHR_numSET", "ITM_NULL", "DOCU_ITM_RADIX", "ITM_PERIOD", AO126), ".lo", ),"MNU_", "-MNU_")</f>
        <v>-MNU_PARTS</v>
      </c>
      <c r="BA126" s="173" t="str" cm="1">
        <f t="array" ref="BA126">SUBSTITUTE(SUBSTITUTE(_xlfn.SWITCH(AP126, "ITM_T_HOME", "ITM_UP1", "ITM_T_END", "ITM_DOWN1", "DOCU_CHR_sub", "ITM_DOWN_ARROW", "DOCU_CHR_super", "ITM_UP_ARROW", "MNU_TAMALPHA", "ITM_alpha", "DOCU_CHR_caseFLIP", "ITM_NULL", "DOCU_CHR_numSET", "ITM_NULL", "DOCU_ITM_RADIX", "ITM_PERIOD", AP126), ".lo", ),"MNU_", "-MNU_")</f>
        <v>ITM_MINUS</v>
      </c>
      <c r="BB126" s="157" t="str" cm="1">
        <f t="array" ref="BB126">SUBSTITUTE(SUBSTITUTE(_xlfn.SWITCH(AQ126, "ITM_T_HOME", "ITM_UP1", "ITM_T_END", "ITM_DOWN1", "DOCU_CHR_sub", "ITM_DOWN_ARROW", "DOCU_CHR_super", "ITM_UP_ARROW", "MNU_TAMALPHA", "ITM_alpha", "DOCU_CHR_caseFLIP", "ITM_NULL", "DOCU_CHR_numSET", "ITM_NULL", "DOCU_ITM_RADIX", "ITM_PERIOD", AQ126), ".lo", ),"MNU_", "-MNU_")</f>
        <v>ITM_V</v>
      </c>
      <c r="BC126" s="157" t="str" cm="1">
        <f t="array" ref="BC126">SUBSTITUTE(SUBSTITUTE(_xlfn.SWITCH(AR126, "ITM_T_HOME", "ITM_UP1", "ITM_T_END", "ITM_DOWN1", "DOCU_CHR_sub", "ITM_DOWN_ARROW", "DOCU_CHR_super", "ITM_UP_ARROW", "MNU_TAMALPHA", "ITM_alpha", "DOCU_CHR_caseFLIP", "ITM_NULL", "DOCU_CHR_numSET", "ITM_NULL", "DOCU_ITM_RADIX", "ITM_PERIOD", AR126), ".lo", ),"MNU_", "-MNU_")</f>
        <v>ITM_MINUS</v>
      </c>
      <c r="BD126" s="157" t="str" cm="1">
        <f t="array" ref="BD126">SUBSTITUTE(SUBSTITUTE(_xlfn.SWITCH(AS126, "ITM_T_HOME", "ITM_UP1", "ITM_T_END", "ITM_DOWN1", "DOCU_CHR_sub", "ITM_DOWN_ARROW", "DOCU_CHR_super", "ITM_UP_ARROW", "MNU_TAMALPHA", "ITM_alpha", "DOCU_CHR_caseFLIP", "ITM_NULL", "DOCU_CHR_numSET", "ITM_NULL", "DOCU_ITM_RADIX", "ITM_PERIOD", AS126), ".lo", ),"MNU_", "-MNU_")</f>
        <v>-MNU_ALPHAMATH</v>
      </c>
      <c r="BE126" s="157" t="str" cm="1">
        <f t="array" ref="BE126">SUBSTITUTE(SUBSTITUTE(_xlfn.SWITCH(AT126, "ITM_T_HOME", "ITM_UP1", "ITM_T_END", "ITM_DOWN1", "DOCU_CHR_sub", "ITM_DOWN_ARROW", "DOCU_CHR_super", "ITM_UP_ARROW", "MNU_TAMALPHA", "ITM_alpha", "DOCU_CHR_caseFLIP", "ITM_NULL", "DOCU_CHR_numSET", "ITM_NULL", "DOCU_ITM_RADIX", "ITM_PERIOD", AT126), ".lo", ),"MNU_", "-MNU_")</f>
        <v>ITM_SUB</v>
      </c>
      <c r="BG126" s="75"/>
      <c r="BR126" s="1" t="s">
        <v>241</v>
      </c>
      <c r="BS126" s="1" t="s">
        <v>409</v>
      </c>
      <c r="BT126" s="1" t="s">
        <v>410</v>
      </c>
      <c r="BU126" s="1" t="s">
        <v>240</v>
      </c>
      <c r="BV126" s="1" t="s">
        <v>411</v>
      </c>
      <c r="BW126" s="1" t="s">
        <v>240</v>
      </c>
      <c r="BX126" s="1" t="s">
        <v>408</v>
      </c>
      <c r="BY126" s="1" t="s">
        <v>241</v>
      </c>
    </row>
    <row r="127" spans="24:77" ht="21" x14ac:dyDescent="0.2">
      <c r="X127" s="129" t="str">
        <f t="shared" si="39"/>
        <v>WP43</v>
      </c>
      <c r="Y127" s="109">
        <v>7</v>
      </c>
      <c r="Z127" s="109">
        <v>2</v>
      </c>
      <c r="AA127" s="112" t="str">
        <f t="shared" si="15"/>
        <v>WP43.72</v>
      </c>
      <c r="AB127" s="117">
        <v>1</v>
      </c>
      <c r="AC127" s="118" t="s">
        <v>171</v>
      </c>
      <c r="AD127" s="119" t="s">
        <v>166</v>
      </c>
      <c r="AE127" s="3"/>
      <c r="AF127" s="52" t="s">
        <v>213</v>
      </c>
      <c r="AG127" s="77" t="b">
        <f t="shared" si="48"/>
        <v>0</v>
      </c>
      <c r="AH127" s="83">
        <f t="shared" si="40"/>
        <v>1</v>
      </c>
      <c r="AI127" s="84" t="str">
        <f t="shared" si="41"/>
        <v>Psi</v>
      </c>
      <c r="AJ127" s="85">
        <f t="shared" si="42"/>
        <v>1</v>
      </c>
      <c r="AK127" s="6"/>
      <c r="AL127" s="8" t="str">
        <f t="shared" si="43"/>
        <v>{72</v>
      </c>
      <c r="AM127" s="27" t="str">
        <f t="shared" si="44"/>
        <v>ITM_1</v>
      </c>
      <c r="AN127" s="27" t="str">
        <f t="shared" si="45"/>
        <v>MNU_ADV</v>
      </c>
      <c r="AO127" s="27" t="str">
        <f t="shared" si="46"/>
        <v>MNU_EQN</v>
      </c>
      <c r="AP127" s="46" t="str">
        <f>IF(NOT(ISNA(MATCH(AM127,Lookups!E:E,))),VLOOKUP(AM127,Lookups!E:F,2,0),
IF(NOT(ISNA(MATCH(AN127,Lookups!E:E,))),VLOOKUP(AN127,Lookups!E:F,2,0),
IF(NOT(ISNA(MATCH(AO127,Lookups!E:E,))),VLOOKUP(AO127,Lookups!E:F,2,0),"ITM_NULL")))</f>
        <v>ITM_1</v>
      </c>
      <c r="AQ127" s="28" t="str">
        <f t="shared" si="47"/>
        <v>ITM_W</v>
      </c>
      <c r="AR127" s="195" t="s">
        <v>226</v>
      </c>
      <c r="AS127" s="186" t="s">
        <v>412</v>
      </c>
      <c r="AT127" s="197" t="s">
        <v>226</v>
      </c>
      <c r="AW127" s="14" t="str">
        <f t="shared" si="49"/>
        <v>{72</v>
      </c>
      <c r="AX127" s="157" t="str" cm="1">
        <f t="array" ref="AX127">SUBSTITUTE(SUBSTITUTE(_xlfn.SWITCH(AM127, "ITM_T_HOME", "ITM_UP1", "ITM_T_END", "ITM_DOWN1", "DOCU_CHR_sub", "ITM_DOWN_ARROW", "DOCU_CHR_super", "ITM_UP_ARROW", "MNU_TAMALPHA", "ITM_alpha", "DOCU_CHR_caseFLIP", "ITM_NULL", "DOCU_CHR_numSET", "ITM_NULL", "DOCU_ITM_RADIX", "ITM_PERIOD", AM127), ".lo", ),"MNU_", "-MNU_")</f>
        <v>ITM_1</v>
      </c>
      <c r="AY127" s="157" t="str" cm="1">
        <f t="array" ref="AY127">SUBSTITUTE(SUBSTITUTE(_xlfn.SWITCH(AN127, "ITM_T_HOME", "ITM_UP1", "ITM_T_END", "ITM_DOWN1", "DOCU_CHR_sub", "ITM_DOWN_ARROW", "DOCU_CHR_super", "ITM_UP_ARROW", "MNU_TAMALPHA", "ITM_alpha", "DOCU_CHR_caseFLIP", "ITM_NULL", "DOCU_CHR_numSET", "ITM_NULL", "DOCU_ITM_RADIX", "ITM_PERIOD", AN127), ".lo", ),"MNU_", "-MNU_")</f>
        <v>-MNU_ADV</v>
      </c>
      <c r="AZ127" s="157" t="str" cm="1">
        <f t="array" ref="AZ127">SUBSTITUTE(SUBSTITUTE(_xlfn.SWITCH(AO127, "ITM_T_HOME", "ITM_UP1", "ITM_T_END", "ITM_DOWN1", "DOCU_CHR_sub", "ITM_DOWN_ARROW", "DOCU_CHR_super", "ITM_UP_ARROW", "MNU_TAMALPHA", "ITM_alpha", "DOCU_CHR_caseFLIP", "ITM_NULL", "DOCU_CHR_numSET", "ITM_NULL", "DOCU_ITM_RADIX", "ITM_PERIOD", AO127), ".lo", ),"MNU_", "-MNU_")</f>
        <v>-MNU_EQN</v>
      </c>
      <c r="BA127" s="173" t="str" cm="1">
        <f t="array" ref="BA127">SUBSTITUTE(SUBSTITUTE(_xlfn.SWITCH(AP127, "ITM_T_HOME", "ITM_UP1", "ITM_T_END", "ITM_DOWN1", "DOCU_CHR_sub", "ITM_DOWN_ARROW", "DOCU_CHR_super", "ITM_UP_ARROW", "MNU_TAMALPHA", "ITM_alpha", "DOCU_CHR_caseFLIP", "ITM_NULL", "DOCU_CHR_numSET", "ITM_NULL", "DOCU_ITM_RADIX", "ITM_PERIOD", AP127), ".lo", ),"MNU_", "-MNU_")</f>
        <v>ITM_1</v>
      </c>
      <c r="BB127" s="157" t="str" cm="1">
        <f t="array" ref="BB127">SUBSTITUTE(SUBSTITUTE(_xlfn.SWITCH(AQ127, "ITM_T_HOME", "ITM_UP1", "ITM_T_END", "ITM_DOWN1", "DOCU_CHR_sub", "ITM_DOWN_ARROW", "DOCU_CHR_super", "ITM_UP_ARROW", "MNU_TAMALPHA", "ITM_alpha", "DOCU_CHR_caseFLIP", "ITM_NULL", "DOCU_CHR_numSET", "ITM_NULL", "DOCU_ITM_RADIX", "ITM_PERIOD", AQ127), ".lo", ),"MNU_", "-MNU_")</f>
        <v>ITM_W</v>
      </c>
      <c r="BC127" s="157" t="str" cm="1">
        <f t="array" ref="BC127">SUBSTITUTE(SUBSTITUTE(_xlfn.SWITCH(AR127, "ITM_T_HOME", "ITM_UP1", "ITM_T_END", "ITM_DOWN1", "DOCU_CHR_sub", "ITM_DOWN_ARROW", "DOCU_CHR_super", "ITM_UP_ARROW", "MNU_TAMALPHA", "ITM_alpha", "DOCU_CHR_caseFLIP", "ITM_NULL", "DOCU_CHR_numSET", "ITM_NULL", "DOCU_ITM_RADIX", "ITM_PERIOD", AR127), ".lo", ),"MNU_", "-MNU_")</f>
        <v>ITM_1</v>
      </c>
      <c r="BD127" s="157" t="str" cm="1">
        <f t="array" ref="BD127">SUBSTITUTE(SUBSTITUTE(_xlfn.SWITCH(AS127, "ITM_T_HOME", "ITM_UP1", "ITM_T_END", "ITM_DOWN1", "DOCU_CHR_sub", "ITM_DOWN_ARROW", "DOCU_CHR_super", "ITM_UP_ARROW", "MNU_TAMALPHA", "ITM_alpha", "DOCU_CHR_caseFLIP", "ITM_NULL", "DOCU_CHR_numSET", "ITM_NULL", "DOCU_ITM_RADIX", "ITM_PERIOD", AS127), ".lo", ),"MNU_", "-MNU_")</f>
        <v>ITM_PSI</v>
      </c>
      <c r="BE127" s="157" t="str" cm="1">
        <f t="array" ref="BE127">SUBSTITUTE(SUBSTITUTE(_xlfn.SWITCH(AT127, "ITM_T_HOME", "ITM_UP1", "ITM_T_END", "ITM_DOWN1", "DOCU_CHR_sub", "ITM_DOWN_ARROW", "DOCU_CHR_super", "ITM_UP_ARROW", "MNU_TAMALPHA", "ITM_alpha", "DOCU_CHR_caseFLIP", "ITM_NULL", "DOCU_CHR_numSET", "ITM_NULL", "DOCU_ITM_RADIX", "ITM_PERIOD", AT127), ".lo", ),"MNU_", "-MNU_")</f>
        <v>ITM_1</v>
      </c>
      <c r="BG127" s="75"/>
      <c r="BR127" s="1" t="s">
        <v>226</v>
      </c>
      <c r="BS127" s="1" t="s">
        <v>413</v>
      </c>
      <c r="BT127" s="1" t="s">
        <v>414</v>
      </c>
      <c r="BU127" s="1" t="s">
        <v>226</v>
      </c>
      <c r="BV127" s="1" t="s">
        <v>415</v>
      </c>
      <c r="BW127" s="1" t="s">
        <v>226</v>
      </c>
      <c r="BX127" s="1" t="s">
        <v>412</v>
      </c>
      <c r="BY127" s="1" t="s">
        <v>226</v>
      </c>
    </row>
    <row r="128" spans="24:77" ht="21" x14ac:dyDescent="0.2">
      <c r="X128" s="129" t="str">
        <f t="shared" si="39"/>
        <v>WP43</v>
      </c>
      <c r="Y128" s="109">
        <v>7</v>
      </c>
      <c r="Z128" s="109">
        <v>3</v>
      </c>
      <c r="AA128" s="112" t="str">
        <f t="shared" si="15"/>
        <v>WP43.73</v>
      </c>
      <c r="AB128" s="117">
        <v>2</v>
      </c>
      <c r="AC128" s="118" t="s">
        <v>176</v>
      </c>
      <c r="AD128" s="119" t="s">
        <v>177</v>
      </c>
      <c r="AE128" s="3"/>
      <c r="AF128" s="52" t="s">
        <v>224</v>
      </c>
      <c r="AG128" s="77" t="b">
        <f t="shared" si="48"/>
        <v>0</v>
      </c>
      <c r="AH128" s="83">
        <f t="shared" si="40"/>
        <v>2</v>
      </c>
      <c r="AI128" s="84" t="str">
        <f t="shared" si="41"/>
        <v>Xi</v>
      </c>
      <c r="AJ128" s="85">
        <f t="shared" si="42"/>
        <v>2</v>
      </c>
      <c r="AK128" s="6"/>
      <c r="AL128" s="8" t="str">
        <f t="shared" si="43"/>
        <v>{73</v>
      </c>
      <c r="AM128" s="27" t="str">
        <f t="shared" si="44"/>
        <v>ITM_2</v>
      </c>
      <c r="AN128" s="27" t="str">
        <f t="shared" si="45"/>
        <v>MNU_MATX</v>
      </c>
      <c r="AO128" s="27" t="str">
        <f t="shared" si="46"/>
        <v>MNU_XFN</v>
      </c>
      <c r="AP128" s="46" t="str">
        <f>IF(NOT(ISNA(MATCH(AM128,Lookups!E:E,))),VLOOKUP(AM128,Lookups!E:F,2,0),
IF(NOT(ISNA(MATCH(AN128,Lookups!E:E,))),VLOOKUP(AN128,Lookups!E:F,2,0),
IF(NOT(ISNA(MATCH(AO128,Lookups!E:E,))),VLOOKUP(AO128,Lookups!E:F,2,0),"ITM_NULL")))</f>
        <v>ITM_2</v>
      </c>
      <c r="AQ128" s="28" t="str">
        <f t="shared" si="47"/>
        <v>ITM_X</v>
      </c>
      <c r="AR128" s="195" t="s">
        <v>230</v>
      </c>
      <c r="AS128" s="186" t="s">
        <v>416</v>
      </c>
      <c r="AT128" s="197" t="s">
        <v>230</v>
      </c>
      <c r="AW128" s="14" t="str">
        <f t="shared" si="49"/>
        <v>{73</v>
      </c>
      <c r="AX128" s="157" t="str" cm="1">
        <f t="array" ref="AX128">SUBSTITUTE(SUBSTITUTE(_xlfn.SWITCH(AM128, "ITM_T_HOME", "ITM_UP1", "ITM_T_END", "ITM_DOWN1", "DOCU_CHR_sub", "ITM_DOWN_ARROW", "DOCU_CHR_super", "ITM_UP_ARROW", "MNU_TAMALPHA", "ITM_alpha", "DOCU_CHR_caseFLIP", "ITM_NULL", "DOCU_CHR_numSET", "ITM_NULL", "DOCU_ITM_RADIX", "ITM_PERIOD", AM128), ".lo", ),"MNU_", "-MNU_")</f>
        <v>ITM_2</v>
      </c>
      <c r="AY128" s="157" t="str" cm="1">
        <f t="array" ref="AY128">SUBSTITUTE(SUBSTITUTE(_xlfn.SWITCH(AN128, "ITM_T_HOME", "ITM_UP1", "ITM_T_END", "ITM_DOWN1", "DOCU_CHR_sub", "ITM_DOWN_ARROW", "DOCU_CHR_super", "ITM_UP_ARROW", "MNU_TAMALPHA", "ITM_alpha", "DOCU_CHR_caseFLIP", "ITM_NULL", "DOCU_CHR_numSET", "ITM_NULL", "DOCU_ITM_RADIX", "ITM_PERIOD", AN128), ".lo", ),"MNU_", "-MNU_")</f>
        <v>-MNU_MATX</v>
      </c>
      <c r="AZ128" s="157" t="str" cm="1">
        <f t="array" ref="AZ128">SUBSTITUTE(SUBSTITUTE(_xlfn.SWITCH(AO128, "ITM_T_HOME", "ITM_UP1", "ITM_T_END", "ITM_DOWN1", "DOCU_CHR_sub", "ITM_DOWN_ARROW", "DOCU_CHR_super", "ITM_UP_ARROW", "MNU_TAMALPHA", "ITM_alpha", "DOCU_CHR_caseFLIP", "ITM_NULL", "DOCU_CHR_numSET", "ITM_NULL", "DOCU_ITM_RADIX", "ITM_PERIOD", AO128), ".lo", ),"MNU_", "-MNU_")</f>
        <v>-MNU_XFN</v>
      </c>
      <c r="BA128" s="173" t="str" cm="1">
        <f t="array" ref="BA128">SUBSTITUTE(SUBSTITUTE(_xlfn.SWITCH(AP128, "ITM_T_HOME", "ITM_UP1", "ITM_T_END", "ITM_DOWN1", "DOCU_CHR_sub", "ITM_DOWN_ARROW", "DOCU_CHR_super", "ITM_UP_ARROW", "MNU_TAMALPHA", "ITM_alpha", "DOCU_CHR_caseFLIP", "ITM_NULL", "DOCU_CHR_numSET", "ITM_NULL", "DOCU_ITM_RADIX", "ITM_PERIOD", AP128), ".lo", ),"MNU_", "-MNU_")</f>
        <v>ITM_2</v>
      </c>
      <c r="BB128" s="157" t="str" cm="1">
        <f t="array" ref="BB128">SUBSTITUTE(SUBSTITUTE(_xlfn.SWITCH(AQ128, "ITM_T_HOME", "ITM_UP1", "ITM_T_END", "ITM_DOWN1", "DOCU_CHR_sub", "ITM_DOWN_ARROW", "DOCU_CHR_super", "ITM_UP_ARROW", "MNU_TAMALPHA", "ITM_alpha", "DOCU_CHR_caseFLIP", "ITM_NULL", "DOCU_CHR_numSET", "ITM_NULL", "DOCU_ITM_RADIX", "ITM_PERIOD", AQ128), ".lo", ),"MNU_", "-MNU_")</f>
        <v>ITM_X</v>
      </c>
      <c r="BC128" s="157" t="str" cm="1">
        <f t="array" ref="BC128">SUBSTITUTE(SUBSTITUTE(_xlfn.SWITCH(AR128, "ITM_T_HOME", "ITM_UP1", "ITM_T_END", "ITM_DOWN1", "DOCU_CHR_sub", "ITM_DOWN_ARROW", "DOCU_CHR_super", "ITM_UP_ARROW", "MNU_TAMALPHA", "ITM_alpha", "DOCU_CHR_caseFLIP", "ITM_NULL", "DOCU_CHR_numSET", "ITM_NULL", "DOCU_ITM_RADIX", "ITM_PERIOD", AR128), ".lo", ),"MNU_", "-MNU_")</f>
        <v>ITM_2</v>
      </c>
      <c r="BD128" s="157" t="str" cm="1">
        <f t="array" ref="BD128">SUBSTITUTE(SUBSTITUTE(_xlfn.SWITCH(AS128, "ITM_T_HOME", "ITM_UP1", "ITM_T_END", "ITM_DOWN1", "DOCU_CHR_sub", "ITM_DOWN_ARROW", "DOCU_CHR_super", "ITM_UP_ARROW", "MNU_TAMALPHA", "ITM_alpha", "DOCU_CHR_caseFLIP", "ITM_NULL", "DOCU_CHR_numSET", "ITM_NULL", "DOCU_ITM_RADIX", "ITM_PERIOD", AS128), ".lo", ),"MNU_", "-MNU_")</f>
        <v>ITM_XI</v>
      </c>
      <c r="BE128" s="157" t="str" cm="1">
        <f t="array" ref="BE128">SUBSTITUTE(SUBSTITUTE(_xlfn.SWITCH(AT128, "ITM_T_HOME", "ITM_UP1", "ITM_T_END", "ITM_DOWN1", "DOCU_CHR_sub", "ITM_DOWN_ARROW", "DOCU_CHR_super", "ITM_UP_ARROW", "MNU_TAMALPHA", "ITM_alpha", "DOCU_CHR_caseFLIP", "ITM_NULL", "DOCU_CHR_numSET", "ITM_NULL", "DOCU_ITM_RADIX", "ITM_PERIOD", AT128), ".lo", ),"MNU_", "-MNU_")</f>
        <v>ITM_2</v>
      </c>
      <c r="BG128" s="75"/>
      <c r="BR128" s="1" t="s">
        <v>230</v>
      </c>
      <c r="BS128" s="1" t="s">
        <v>417</v>
      </c>
      <c r="BT128" s="1" t="s">
        <v>418</v>
      </c>
      <c r="BU128" s="1" t="s">
        <v>230</v>
      </c>
      <c r="BV128" s="1" t="s">
        <v>419</v>
      </c>
      <c r="BW128" s="1" t="s">
        <v>230</v>
      </c>
      <c r="BX128" s="1" t="s">
        <v>416</v>
      </c>
      <c r="BY128" s="1" t="s">
        <v>230</v>
      </c>
    </row>
    <row r="129" spans="24:77" ht="21" x14ac:dyDescent="0.2">
      <c r="X129" s="129" t="str">
        <f t="shared" si="39"/>
        <v>WP43</v>
      </c>
      <c r="Y129" s="109">
        <v>7</v>
      </c>
      <c r="Z129" s="109">
        <v>4</v>
      </c>
      <c r="AA129" s="112" t="str">
        <f t="shared" si="15"/>
        <v>WP43.74</v>
      </c>
      <c r="AB129" s="117">
        <v>3</v>
      </c>
      <c r="AC129" s="118" t="s">
        <v>102</v>
      </c>
      <c r="AD129" s="119" t="s">
        <v>265</v>
      </c>
      <c r="AE129" s="3"/>
      <c r="AF129" s="52" t="s">
        <v>228</v>
      </c>
      <c r="AG129" s="77" t="b">
        <f t="shared" si="48"/>
        <v>0</v>
      </c>
      <c r="AH129" s="83">
        <f t="shared" si="40"/>
        <v>3</v>
      </c>
      <c r="AI129" s="84" t="str">
        <f t="shared" si="41"/>
        <v>Upsilon</v>
      </c>
      <c r="AJ129" s="85">
        <f t="shared" si="42"/>
        <v>3</v>
      </c>
      <c r="AK129" s="6"/>
      <c r="AL129" s="8" t="str">
        <f t="shared" si="43"/>
        <v>{74</v>
      </c>
      <c r="AM129" s="27" t="str">
        <f t="shared" si="44"/>
        <v>ITM_3</v>
      </c>
      <c r="AN129" s="27" t="str">
        <f t="shared" si="45"/>
        <v>ITM_CONSTpi</v>
      </c>
      <c r="AO129" s="27" t="str">
        <f t="shared" si="46"/>
        <v>MNU_CONST</v>
      </c>
      <c r="AP129" s="46" t="str">
        <f>IF(NOT(ISNA(MATCH(AM129,Lookups!E:E,))),VLOOKUP(AM129,Lookups!E:F,2,0),
IF(NOT(ISNA(MATCH(AN129,Lookups!E:E,))),VLOOKUP(AN129,Lookups!E:F,2,0),
IF(NOT(ISNA(MATCH(AO129,Lookups!E:E,))),VLOOKUP(AO129,Lookups!E:F,2,0),"ITM_NULL")))</f>
        <v>ITM_3</v>
      </c>
      <c r="AQ129" s="28" t="str">
        <f t="shared" si="47"/>
        <v>ITM_Y</v>
      </c>
      <c r="AR129" s="195" t="s">
        <v>235</v>
      </c>
      <c r="AS129" s="186" t="s">
        <v>420</v>
      </c>
      <c r="AT129" s="197" t="s">
        <v>235</v>
      </c>
      <c r="AW129" s="14" t="str">
        <f t="shared" si="49"/>
        <v>{74</v>
      </c>
      <c r="AX129" s="157" t="str" cm="1">
        <f t="array" ref="AX129">SUBSTITUTE(SUBSTITUTE(_xlfn.SWITCH(AM129, "ITM_T_HOME", "ITM_UP1", "ITM_T_END", "ITM_DOWN1", "DOCU_CHR_sub", "ITM_DOWN_ARROW", "DOCU_CHR_super", "ITM_UP_ARROW", "MNU_TAMALPHA", "ITM_alpha", "DOCU_CHR_caseFLIP", "ITM_NULL", "DOCU_CHR_numSET", "ITM_NULL", "DOCU_ITM_RADIX", "ITM_PERIOD", AM129), ".lo", ),"MNU_", "-MNU_")</f>
        <v>ITM_3</v>
      </c>
      <c r="AY129" s="157" t="str" cm="1">
        <f t="array" ref="AY129">SUBSTITUTE(SUBSTITUTE(_xlfn.SWITCH(AN129, "ITM_T_HOME", "ITM_UP1", "ITM_T_END", "ITM_DOWN1", "DOCU_CHR_sub", "ITM_DOWN_ARROW", "DOCU_CHR_super", "ITM_UP_ARROW", "MNU_TAMALPHA", "ITM_alpha", "DOCU_CHR_caseFLIP", "ITM_NULL", "DOCU_CHR_numSET", "ITM_NULL", "DOCU_ITM_RADIX", "ITM_PERIOD", AN129), ".lo", ),"MNU_", "-MNU_")</f>
        <v>ITM_CONSTpi</v>
      </c>
      <c r="AZ129" s="157" t="str" cm="1">
        <f t="array" ref="AZ129">SUBSTITUTE(SUBSTITUTE(_xlfn.SWITCH(AO129, "ITM_T_HOME", "ITM_UP1", "ITM_T_END", "ITM_DOWN1", "DOCU_CHR_sub", "ITM_DOWN_ARROW", "DOCU_CHR_super", "ITM_UP_ARROW", "MNU_TAMALPHA", "ITM_alpha", "DOCU_CHR_caseFLIP", "ITM_NULL", "DOCU_CHR_numSET", "ITM_NULL", "DOCU_ITM_RADIX", "ITM_PERIOD", AO129), ".lo", ),"MNU_", "-MNU_")</f>
        <v>-MNU_CONST</v>
      </c>
      <c r="BA129" s="173" t="str" cm="1">
        <f t="array" ref="BA129">SUBSTITUTE(SUBSTITUTE(_xlfn.SWITCH(AP129, "ITM_T_HOME", "ITM_UP1", "ITM_T_END", "ITM_DOWN1", "DOCU_CHR_sub", "ITM_DOWN_ARROW", "DOCU_CHR_super", "ITM_UP_ARROW", "MNU_TAMALPHA", "ITM_alpha", "DOCU_CHR_caseFLIP", "ITM_NULL", "DOCU_CHR_numSET", "ITM_NULL", "DOCU_ITM_RADIX", "ITM_PERIOD", AP129), ".lo", ),"MNU_", "-MNU_")</f>
        <v>ITM_3</v>
      </c>
      <c r="BB129" s="157" t="str" cm="1">
        <f t="array" ref="BB129">SUBSTITUTE(SUBSTITUTE(_xlfn.SWITCH(AQ129, "ITM_T_HOME", "ITM_UP1", "ITM_T_END", "ITM_DOWN1", "DOCU_CHR_sub", "ITM_DOWN_ARROW", "DOCU_CHR_super", "ITM_UP_ARROW", "MNU_TAMALPHA", "ITM_alpha", "DOCU_CHR_caseFLIP", "ITM_NULL", "DOCU_CHR_numSET", "ITM_NULL", "DOCU_ITM_RADIX", "ITM_PERIOD", AQ129), ".lo", ),"MNU_", "-MNU_")</f>
        <v>ITM_Y</v>
      </c>
      <c r="BC129" s="157" t="str" cm="1">
        <f t="array" ref="BC129">SUBSTITUTE(SUBSTITUTE(_xlfn.SWITCH(AR129, "ITM_T_HOME", "ITM_UP1", "ITM_T_END", "ITM_DOWN1", "DOCU_CHR_sub", "ITM_DOWN_ARROW", "DOCU_CHR_super", "ITM_UP_ARROW", "MNU_TAMALPHA", "ITM_alpha", "DOCU_CHR_caseFLIP", "ITM_NULL", "DOCU_CHR_numSET", "ITM_NULL", "DOCU_ITM_RADIX", "ITM_PERIOD", AR129), ".lo", ),"MNU_", "-MNU_")</f>
        <v>ITM_3</v>
      </c>
      <c r="BD129" s="157" t="str" cm="1">
        <f t="array" ref="BD129">SUBSTITUTE(SUBSTITUTE(_xlfn.SWITCH(AS129, "ITM_T_HOME", "ITM_UP1", "ITM_T_END", "ITM_DOWN1", "DOCU_CHR_sub", "ITM_DOWN_ARROW", "DOCU_CHR_super", "ITM_UP_ARROW", "MNU_TAMALPHA", "ITM_alpha", "DOCU_CHR_caseFLIP", "ITM_NULL", "DOCU_CHR_numSET", "ITM_NULL", "DOCU_ITM_RADIX", "ITM_PERIOD", AS129), ".lo", ),"MNU_", "-MNU_")</f>
        <v>ITM_UPSILON</v>
      </c>
      <c r="BE129" s="157" t="str" cm="1">
        <f t="array" ref="BE129">SUBSTITUTE(SUBSTITUTE(_xlfn.SWITCH(AT129, "ITM_T_HOME", "ITM_UP1", "ITM_T_END", "ITM_DOWN1", "DOCU_CHR_sub", "ITM_DOWN_ARROW", "DOCU_CHR_super", "ITM_UP_ARROW", "MNU_TAMALPHA", "ITM_alpha", "DOCU_CHR_caseFLIP", "ITM_NULL", "DOCU_CHR_numSET", "ITM_NULL", "DOCU_ITM_RADIX", "ITM_PERIOD", AT129), ".lo", ),"MNU_", "-MNU_")</f>
        <v>ITM_3</v>
      </c>
      <c r="BG129" s="75"/>
      <c r="BR129" s="1" t="s">
        <v>235</v>
      </c>
      <c r="BS129" s="1" t="s">
        <v>421</v>
      </c>
      <c r="BT129" s="1" t="s">
        <v>422</v>
      </c>
      <c r="BU129" s="1" t="s">
        <v>235</v>
      </c>
      <c r="BV129" s="1" t="s">
        <v>423</v>
      </c>
      <c r="BW129" s="1" t="s">
        <v>235</v>
      </c>
      <c r="BX129" s="1" t="s">
        <v>420</v>
      </c>
      <c r="BY129" s="1" t="s">
        <v>235</v>
      </c>
    </row>
    <row r="130" spans="24:77" ht="21" x14ac:dyDescent="0.2">
      <c r="X130" s="129" t="str">
        <f t="shared" si="39"/>
        <v>WP43</v>
      </c>
      <c r="Y130" s="109">
        <v>7</v>
      </c>
      <c r="Z130" s="109">
        <v>5</v>
      </c>
      <c r="AA130" s="112" t="str">
        <f t="shared" si="15"/>
        <v>WP43.75</v>
      </c>
      <c r="AB130" s="117" t="s">
        <v>188</v>
      </c>
      <c r="AC130" s="118" t="s">
        <v>189</v>
      </c>
      <c r="AD130" s="119" t="s">
        <v>424</v>
      </c>
      <c r="AE130" s="3"/>
      <c r="AF130" s="49" t="s">
        <v>188</v>
      </c>
      <c r="AG130" s="77" t="b">
        <f t="shared" si="48"/>
        <v>0</v>
      </c>
      <c r="AH130" s="83" t="str">
        <f t="shared" si="40"/>
        <v>Scroll Dn</v>
      </c>
      <c r="AI130" s="84" t="str">
        <f t="shared" si="41"/>
        <v>CF</v>
      </c>
      <c r="AJ130" s="85" t="str">
        <f t="shared" si="42"/>
        <v>Dn</v>
      </c>
      <c r="AK130" s="6"/>
      <c r="AL130" s="8" t="str">
        <f t="shared" si="43"/>
        <v>{75</v>
      </c>
      <c r="AM130" s="27" t="str">
        <f t="shared" si="44"/>
        <v>ITM_DOWN1</v>
      </c>
      <c r="AN130" s="27" t="str">
        <f t="shared" si="45"/>
        <v>ITM_SST</v>
      </c>
      <c r="AO130" s="27" t="str">
        <f t="shared" si="46"/>
        <v>ITM_CF</v>
      </c>
      <c r="AP130" s="46" t="str">
        <f>IF(NOT(ISNA(MATCH(AM130,Lookups!E:E,))),VLOOKUP(AM130,Lookups!E:F,2,0),
IF(NOT(ISNA(MATCH(AN130,Lookups!E:E,))),VLOOKUP(AN130,Lookups!E:F,2,0),
IF(NOT(ISNA(MATCH(AO130,Lookups!E:E,))),VLOOKUP(AO130,Lookups!E:F,2,0),"ITM_NULL")))</f>
        <v>ITM_DOWN1</v>
      </c>
      <c r="AQ130" s="28" t="str">
        <f t="shared" si="47"/>
        <v>ITM_DOWN1</v>
      </c>
      <c r="AR130" s="198" t="s">
        <v>425</v>
      </c>
      <c r="AS130" s="186" t="s">
        <v>426</v>
      </c>
      <c r="AT130" s="197" t="s">
        <v>194</v>
      </c>
      <c r="AW130" s="14" t="str">
        <f t="shared" si="49"/>
        <v>{75</v>
      </c>
      <c r="AX130" s="157" t="str" cm="1">
        <f t="array" ref="AX130">SUBSTITUTE(SUBSTITUTE(_xlfn.SWITCH(AM130, "ITM_T_HOME", "ITM_UP1", "ITM_T_END", "ITM_DOWN1", "DOCU_CHR_sub", "ITM_DOWN_ARROW", "DOCU_CHR_super", "ITM_UP_ARROW", "MNU_TAMALPHA", "ITM_alpha", "DOCU_CHR_caseFLIP", "ITM_NULL", "DOCU_CHR_numSET", "ITM_NULL", "DOCU_ITM_RADIX", "ITM_PERIOD", AM130), ".lo", ),"MNU_", "-MNU_")</f>
        <v>ITM_DOWN1</v>
      </c>
      <c r="AY130" s="157" t="str" cm="1">
        <f t="array" ref="AY130">SUBSTITUTE(SUBSTITUTE(_xlfn.SWITCH(AN130, "ITM_T_HOME", "ITM_UP1", "ITM_T_END", "ITM_DOWN1", "DOCU_CHR_sub", "ITM_DOWN_ARROW", "DOCU_CHR_super", "ITM_UP_ARROW", "MNU_TAMALPHA", "ITM_alpha", "DOCU_CHR_caseFLIP", "ITM_NULL", "DOCU_CHR_numSET", "ITM_NULL", "DOCU_ITM_RADIX", "ITM_PERIOD", AN130), ".lo", ),"MNU_", "-MNU_")</f>
        <v>ITM_SST</v>
      </c>
      <c r="AZ130" s="157" t="str" cm="1">
        <f t="array" ref="AZ130">SUBSTITUTE(SUBSTITUTE(_xlfn.SWITCH(AO130, "ITM_T_HOME", "ITM_UP1", "ITM_T_END", "ITM_DOWN1", "DOCU_CHR_sub", "ITM_DOWN_ARROW", "DOCU_CHR_super", "ITM_UP_ARROW", "MNU_TAMALPHA", "ITM_alpha", "DOCU_CHR_caseFLIP", "ITM_NULL", "DOCU_CHR_numSET", "ITM_NULL", "DOCU_ITM_RADIX", "ITM_PERIOD", AO130), ".lo", ),"MNU_", "-MNU_")</f>
        <v>ITM_CF</v>
      </c>
      <c r="BA130" s="173" t="str" cm="1">
        <f t="array" ref="BA130">SUBSTITUTE(SUBSTITUTE(_xlfn.SWITCH(AP130, "ITM_T_HOME", "ITM_UP1", "ITM_T_END", "ITM_DOWN1", "DOCU_CHR_sub", "ITM_DOWN_ARROW", "DOCU_CHR_super", "ITM_UP_ARROW", "MNU_TAMALPHA", "ITM_alpha", "DOCU_CHR_caseFLIP", "ITM_NULL", "DOCU_CHR_numSET", "ITM_NULL", "DOCU_ITM_RADIX", "ITM_PERIOD", AP130), ".lo", ),"MNU_", "-MNU_")</f>
        <v>ITM_DOWN1</v>
      </c>
      <c r="BB130" s="157" t="str" cm="1">
        <f t="array" ref="BB130">SUBSTITUTE(SUBSTITUTE(_xlfn.SWITCH(AQ130, "ITM_T_HOME", "ITM_UP1", "ITM_T_END", "ITM_DOWN1", "DOCU_CHR_sub", "ITM_DOWN_ARROW", "DOCU_CHR_super", "ITM_UP_ARROW", "MNU_TAMALPHA", "ITM_alpha", "DOCU_CHR_caseFLIP", "ITM_NULL", "DOCU_CHR_numSET", "ITM_NULL", "DOCU_ITM_RADIX", "ITM_PERIOD", AQ130), ".lo", ),"MNU_", "-MNU_")</f>
        <v>ITM_DOWN1</v>
      </c>
      <c r="BC130" s="157" t="str" cm="1">
        <f t="array" ref="BC130">SUBSTITUTE(SUBSTITUTE(_xlfn.SWITCH(AR130, "ITM_T_HOME", "ITM_UP1", "ITM_T_END", "ITM_DOWN1", "DOCU_CHR_sub", "ITM_DOWN_ARROW", "DOCU_CHR_super", "ITM_UP_ARROW", "MNU_TAMALPHA", "ITM_alpha", "DOCU_CHR_caseFLIP", "ITM_NULL", "DOCU_CHR_numSET", "ITM_NULL", "DOCU_ITM_RADIX", "ITM_PERIOD", AR130), ".lo", ),"MNU_", "-MNU_")</f>
        <v>ITM_SST</v>
      </c>
      <c r="BD130" s="157" t="str" cm="1">
        <f t="array" ref="BD130">SUBSTITUTE(SUBSTITUTE(_xlfn.SWITCH(AS130, "ITM_T_HOME", "ITM_UP1", "ITM_T_END", "ITM_DOWN1", "DOCU_CHR_sub", "ITM_DOWN_ARROW", "DOCU_CHR_super", "ITM_UP_ARROW", "MNU_TAMALPHA", "ITM_alpha", "DOCU_CHR_caseFLIP", "ITM_NULL", "DOCU_CHR_numSET", "ITM_NULL", "DOCU_ITM_RADIX", "ITM_PERIOD", AS130), ".lo", ),"MNU_", "-MNU_")</f>
        <v>ITM_CF</v>
      </c>
      <c r="BE130" s="157" t="str" cm="1">
        <f t="array" ref="BE130">SUBSTITUTE(SUBSTITUTE(_xlfn.SWITCH(AT130, "ITM_T_HOME", "ITM_UP1", "ITM_T_END", "ITM_DOWN1", "DOCU_CHR_sub", "ITM_DOWN_ARROW", "DOCU_CHR_super", "ITM_UP_ARROW", "MNU_TAMALPHA", "ITM_alpha", "DOCU_CHR_caseFLIP", "ITM_NULL", "DOCU_CHR_numSET", "ITM_NULL", "DOCU_ITM_RADIX", "ITM_PERIOD", AT130), ".lo", ),"MNU_", "-MNU_")</f>
        <v>ITM_DOWN1</v>
      </c>
      <c r="BG130" s="75"/>
      <c r="BR130" s="1" t="s">
        <v>194</v>
      </c>
      <c r="BS130" s="1" t="s">
        <v>425</v>
      </c>
      <c r="BT130" s="1" t="s">
        <v>426</v>
      </c>
      <c r="BU130" s="1" t="s">
        <v>194</v>
      </c>
      <c r="BV130" s="1" t="s">
        <v>194</v>
      </c>
      <c r="BW130" s="1" t="s">
        <v>425</v>
      </c>
      <c r="BX130" s="1" t="s">
        <v>426</v>
      </c>
      <c r="BY130" s="1" t="s">
        <v>194</v>
      </c>
    </row>
    <row r="131" spans="24:77" ht="21" x14ac:dyDescent="0.2">
      <c r="X131" s="129" t="str">
        <f t="shared" si="39"/>
        <v>WP43</v>
      </c>
      <c r="Y131" s="106">
        <v>8</v>
      </c>
      <c r="Z131" s="106">
        <v>1</v>
      </c>
      <c r="AA131" s="112" t="str">
        <f t="shared" si="15"/>
        <v>WP43.81</v>
      </c>
      <c r="AB131" s="117" t="s">
        <v>263</v>
      </c>
      <c r="AC131" s="118" t="s">
        <v>232</v>
      </c>
      <c r="AD131" s="119" t="s">
        <v>260</v>
      </c>
      <c r="AE131" s="3"/>
      <c r="AF131" s="52" t="s">
        <v>233</v>
      </c>
      <c r="AG131" s="77" t="b">
        <f t="shared" si="48"/>
        <v>0</v>
      </c>
      <c r="AH131" s="83" t="str">
        <f t="shared" si="40"/>
        <v>+</v>
      </c>
      <c r="AI131" s="84" t="str">
        <f t="shared" si="41"/>
        <v>Zeta</v>
      </c>
      <c r="AJ131" s="85" t="str">
        <f t="shared" si="42"/>
        <v>+</v>
      </c>
      <c r="AK131" s="6"/>
      <c r="AL131" s="8" t="str">
        <f t="shared" si="43"/>
        <v>{81</v>
      </c>
      <c r="AM131" s="27" t="str">
        <f t="shared" si="44"/>
        <v>ITM_ADD</v>
      </c>
      <c r="AN131" s="27" t="str">
        <f t="shared" si="45"/>
        <v>MNU_LOOP</v>
      </c>
      <c r="AO131" s="27" t="str">
        <f t="shared" si="46"/>
        <v>MNU_TEST</v>
      </c>
      <c r="AP131" s="46" t="str">
        <f>IF(NOT(ISNA(MATCH(AM131,Lookups!E:E,))),VLOOKUP(AM131,Lookups!E:F,2,0),
IF(NOT(ISNA(MATCH(AN131,Lookups!E:E,))),VLOOKUP(AN131,Lookups!E:F,2,0),
IF(NOT(ISNA(MATCH(AO131,Lookups!E:E,))),VLOOKUP(AO131,Lookups!E:F,2,0),"ITM_NULL")))</f>
        <v>ITM_PLUS</v>
      </c>
      <c r="AQ131" s="28" t="str">
        <f t="shared" si="47"/>
        <v>ITM_Z</v>
      </c>
      <c r="AR131" s="198" t="s">
        <v>267</v>
      </c>
      <c r="AS131" s="186" t="s">
        <v>427</v>
      </c>
      <c r="AT131" s="197" t="s">
        <v>268</v>
      </c>
      <c r="AW131" s="14" t="str">
        <f t="shared" si="49"/>
        <v>{81</v>
      </c>
      <c r="AX131" s="157" t="str" cm="1">
        <f t="array" ref="AX131">SUBSTITUTE(SUBSTITUTE(_xlfn.SWITCH(AM131, "ITM_T_HOME", "ITM_UP1", "ITM_T_END", "ITM_DOWN1", "DOCU_CHR_sub", "ITM_DOWN_ARROW", "DOCU_CHR_super", "ITM_UP_ARROW", "MNU_TAMALPHA", "ITM_alpha", "DOCU_CHR_caseFLIP", "ITM_NULL", "DOCU_CHR_numSET", "ITM_NULL", "DOCU_ITM_RADIX", "ITM_PERIOD", AM131), ".lo", ),"MNU_", "-MNU_")</f>
        <v>ITM_ADD</v>
      </c>
      <c r="AY131" s="157" t="str" cm="1">
        <f t="array" ref="AY131">SUBSTITUTE(SUBSTITUTE(_xlfn.SWITCH(AN131, "ITM_T_HOME", "ITM_UP1", "ITM_T_END", "ITM_DOWN1", "DOCU_CHR_sub", "ITM_DOWN_ARROW", "DOCU_CHR_super", "ITM_UP_ARROW", "MNU_TAMALPHA", "ITM_alpha", "DOCU_CHR_caseFLIP", "ITM_NULL", "DOCU_CHR_numSET", "ITM_NULL", "DOCU_ITM_RADIX", "ITM_PERIOD", AN131), ".lo", ),"MNU_", "-MNU_")</f>
        <v>-MNU_LOOP</v>
      </c>
      <c r="AZ131" s="157" t="str" cm="1">
        <f t="array" ref="AZ131">SUBSTITUTE(SUBSTITUTE(_xlfn.SWITCH(AO131, "ITM_T_HOME", "ITM_UP1", "ITM_T_END", "ITM_DOWN1", "DOCU_CHR_sub", "ITM_DOWN_ARROW", "DOCU_CHR_super", "ITM_UP_ARROW", "MNU_TAMALPHA", "ITM_alpha", "DOCU_CHR_caseFLIP", "ITM_NULL", "DOCU_CHR_numSET", "ITM_NULL", "DOCU_ITM_RADIX", "ITM_PERIOD", AO131), ".lo", ),"MNU_", "-MNU_")</f>
        <v>-MNU_TEST</v>
      </c>
      <c r="BA131" s="173" t="str" cm="1">
        <f t="array" ref="BA131">SUBSTITUTE(SUBSTITUTE(_xlfn.SWITCH(AP131, "ITM_T_HOME", "ITM_UP1", "ITM_T_END", "ITM_DOWN1", "DOCU_CHR_sub", "ITM_DOWN_ARROW", "DOCU_CHR_super", "ITM_UP_ARROW", "MNU_TAMALPHA", "ITM_alpha", "DOCU_CHR_caseFLIP", "ITM_NULL", "DOCU_CHR_numSET", "ITM_NULL", "DOCU_ITM_RADIX", "ITM_PERIOD", AP131), ".lo", ),"MNU_", "-MNU_")</f>
        <v>ITM_PLUS</v>
      </c>
      <c r="BB131" s="157" t="str" cm="1">
        <f t="array" ref="BB131">SUBSTITUTE(SUBSTITUTE(_xlfn.SWITCH(AQ131, "ITM_T_HOME", "ITM_UP1", "ITM_T_END", "ITM_DOWN1", "DOCU_CHR_sub", "ITM_DOWN_ARROW", "DOCU_CHR_super", "ITM_UP_ARROW", "MNU_TAMALPHA", "ITM_alpha", "DOCU_CHR_caseFLIP", "ITM_NULL", "DOCU_CHR_numSET", "ITM_NULL", "DOCU_ITM_RADIX", "ITM_PERIOD", AQ131), ".lo", ),"MNU_", "-MNU_")</f>
        <v>ITM_Z</v>
      </c>
      <c r="BC131" s="157" t="str" cm="1">
        <f t="array" ref="BC131">SUBSTITUTE(SUBSTITUTE(_xlfn.SWITCH(AR131, "ITM_T_HOME", "ITM_UP1", "ITM_T_END", "ITM_DOWN1", "DOCU_CHR_sub", "ITM_DOWN_ARROW", "DOCU_CHR_super", "ITM_UP_ARROW", "MNU_TAMALPHA", "ITM_alpha", "DOCU_CHR_caseFLIP", "ITM_NULL", "DOCU_CHR_numSET", "ITM_NULL", "DOCU_ITM_RADIX", "ITM_PERIOD", AR131), ".lo", ),"MNU_", "-MNU_")</f>
        <v>ITM_PLUS</v>
      </c>
      <c r="BD131" s="157" t="str" cm="1">
        <f t="array" ref="BD131">SUBSTITUTE(SUBSTITUTE(_xlfn.SWITCH(AS131, "ITM_T_HOME", "ITM_UP1", "ITM_T_END", "ITM_DOWN1", "DOCU_CHR_sub", "ITM_DOWN_ARROW", "DOCU_CHR_super", "ITM_UP_ARROW", "MNU_TAMALPHA", "ITM_alpha", "DOCU_CHR_caseFLIP", "ITM_NULL", "DOCU_CHR_numSET", "ITM_NULL", "DOCU_ITM_RADIX", "ITM_PERIOD", AS131), ".lo", ),"MNU_", "-MNU_")</f>
        <v>ITM_ZETA</v>
      </c>
      <c r="BE131" s="157" t="str" cm="1">
        <f t="array" ref="BE131">SUBSTITUTE(SUBSTITUTE(_xlfn.SWITCH(AT131, "ITM_T_HOME", "ITM_UP1", "ITM_T_END", "ITM_DOWN1", "DOCU_CHR_sub", "ITM_DOWN_ARROW", "DOCU_CHR_super", "ITM_UP_ARROW", "MNU_TAMALPHA", "ITM_alpha", "DOCU_CHR_caseFLIP", "ITM_NULL", "DOCU_CHR_numSET", "ITM_NULL", "DOCU_ITM_RADIX", "ITM_PERIOD", AT131), ".lo", ),"MNU_", "-MNU_")</f>
        <v>ITM_ADD</v>
      </c>
      <c r="BG131" s="75"/>
      <c r="BR131" s="1" t="s">
        <v>268</v>
      </c>
      <c r="BS131" s="1" t="s">
        <v>428</v>
      </c>
      <c r="BT131" s="1" t="s">
        <v>429</v>
      </c>
      <c r="BU131" s="1" t="s">
        <v>267</v>
      </c>
      <c r="BV131" s="1" t="s">
        <v>430</v>
      </c>
      <c r="BW131" s="1" t="s">
        <v>267</v>
      </c>
      <c r="BX131" s="1" t="s">
        <v>427</v>
      </c>
      <c r="BY131" s="1" t="s">
        <v>268</v>
      </c>
    </row>
    <row r="132" spans="24:77" ht="21" x14ac:dyDescent="0.2">
      <c r="X132" s="129" t="str">
        <f t="shared" si="39"/>
        <v>WP43</v>
      </c>
      <c r="Y132" s="109">
        <v>8</v>
      </c>
      <c r="Z132" s="109">
        <v>2</v>
      </c>
      <c r="AA132" s="112" t="str">
        <f t="shared" ref="AA132:AA150" si="50">X132&amp;"."&amp;Y132&amp;Z132</f>
        <v>WP43.82</v>
      </c>
      <c r="AB132" s="117">
        <v>0</v>
      </c>
      <c r="AC132" s="118" t="s">
        <v>238</v>
      </c>
      <c r="AD132" s="119" t="s">
        <v>237</v>
      </c>
      <c r="AE132" s="3"/>
      <c r="AF132" s="53" t="s">
        <v>261</v>
      </c>
      <c r="AG132" s="77" t="b">
        <f t="shared" si="48"/>
        <v>0</v>
      </c>
      <c r="AH132" s="83">
        <f t="shared" si="40"/>
        <v>0</v>
      </c>
      <c r="AI132" s="84" t="str">
        <f t="shared" si="41"/>
        <v>&lt;printer&gt;</v>
      </c>
      <c r="AJ132" s="85">
        <f t="shared" si="42"/>
        <v>0</v>
      </c>
      <c r="AK132" s="6"/>
      <c r="AL132" s="8" t="str">
        <f t="shared" si="43"/>
        <v>{82</v>
      </c>
      <c r="AM132" s="27" t="str">
        <f t="shared" si="44"/>
        <v>ITM_0</v>
      </c>
      <c r="AN132" s="27" t="str">
        <f t="shared" si="45"/>
        <v>MNU_IO</v>
      </c>
      <c r="AO132" s="27" t="str">
        <f t="shared" si="46"/>
        <v>MNU_PRINT</v>
      </c>
      <c r="AP132" s="46" t="str">
        <f>IF(NOT(ISNA(MATCH(AM132,Lookups!E:E,))),VLOOKUP(AM132,Lookups!E:F,2,0),
IF(NOT(ISNA(MATCH(AN132,Lookups!E:E,))),VLOOKUP(AN132,Lookups!E:F,2,0),
IF(NOT(ISNA(MATCH(AO132,Lookups!E:E,))),VLOOKUP(AO132,Lookups!E:F,2,0),"ITM_NULL")))</f>
        <v>ITM_0</v>
      </c>
      <c r="AQ132" s="28" t="str">
        <f t="shared" si="47"/>
        <v>ITM_QUESTION_MARK</v>
      </c>
      <c r="AR132" s="198" t="s">
        <v>252</v>
      </c>
      <c r="AS132" s="186" t="s">
        <v>431</v>
      </c>
      <c r="AT132" s="197" t="s">
        <v>252</v>
      </c>
      <c r="AW132" s="14" t="str">
        <f t="shared" si="49"/>
        <v>{82</v>
      </c>
      <c r="AX132" s="157" t="str" cm="1">
        <f t="array" ref="AX132">SUBSTITUTE(SUBSTITUTE(_xlfn.SWITCH(AM132, "ITM_T_HOME", "ITM_UP1", "ITM_T_END", "ITM_DOWN1", "DOCU_CHR_sub", "ITM_DOWN_ARROW", "DOCU_CHR_super", "ITM_UP_ARROW", "MNU_TAMALPHA", "ITM_alpha", "DOCU_CHR_caseFLIP", "ITM_NULL", "DOCU_CHR_numSET", "ITM_NULL", "DOCU_ITM_RADIX", "ITM_PERIOD", AM132), ".lo", ),"MNU_", "-MNU_")</f>
        <v>ITM_0</v>
      </c>
      <c r="AY132" s="157" t="str" cm="1">
        <f t="array" ref="AY132">SUBSTITUTE(SUBSTITUTE(_xlfn.SWITCH(AN132, "ITM_T_HOME", "ITM_UP1", "ITM_T_END", "ITM_DOWN1", "DOCU_CHR_sub", "ITM_DOWN_ARROW", "DOCU_CHR_super", "ITM_UP_ARROW", "MNU_TAMALPHA", "ITM_alpha", "DOCU_CHR_caseFLIP", "ITM_NULL", "DOCU_CHR_numSET", "ITM_NULL", "DOCU_ITM_RADIX", "ITM_PERIOD", AN132), ".lo", ),"MNU_", "-MNU_")</f>
        <v>-MNU_IO</v>
      </c>
      <c r="AZ132" s="157" t="str" cm="1">
        <f t="array" ref="AZ132">SUBSTITUTE(SUBSTITUTE(_xlfn.SWITCH(AO132, "ITM_T_HOME", "ITM_UP1", "ITM_T_END", "ITM_DOWN1", "DOCU_CHR_sub", "ITM_DOWN_ARROW", "DOCU_CHR_super", "ITM_UP_ARROW", "MNU_TAMALPHA", "ITM_alpha", "DOCU_CHR_caseFLIP", "ITM_NULL", "DOCU_CHR_numSET", "ITM_NULL", "DOCU_ITM_RADIX", "ITM_PERIOD", AO132), ".lo", ),"MNU_", "-MNU_")</f>
        <v>-MNU_PRINT</v>
      </c>
      <c r="BA132" s="173" t="str" cm="1">
        <f t="array" ref="BA132">SUBSTITUTE(SUBSTITUTE(_xlfn.SWITCH(AP132, "ITM_T_HOME", "ITM_UP1", "ITM_T_END", "ITM_DOWN1", "DOCU_CHR_sub", "ITM_DOWN_ARROW", "DOCU_CHR_super", "ITM_UP_ARROW", "MNU_TAMALPHA", "ITM_alpha", "DOCU_CHR_caseFLIP", "ITM_NULL", "DOCU_CHR_numSET", "ITM_NULL", "DOCU_ITM_RADIX", "ITM_PERIOD", AP132), ".lo", ),"MNU_", "-MNU_")</f>
        <v>ITM_0</v>
      </c>
      <c r="BB132" s="157" t="str" cm="1">
        <f t="array" ref="BB132">SUBSTITUTE(SUBSTITUTE(_xlfn.SWITCH(AQ132, "ITM_T_HOME", "ITM_UP1", "ITM_T_END", "ITM_DOWN1", "DOCU_CHR_sub", "ITM_DOWN_ARROW", "DOCU_CHR_super", "ITM_UP_ARROW", "MNU_TAMALPHA", "ITM_alpha", "DOCU_CHR_caseFLIP", "ITM_NULL", "DOCU_CHR_numSET", "ITM_NULL", "DOCU_ITM_RADIX", "ITM_PERIOD", AQ132), ".lo", ),"MNU_", "-MNU_")</f>
        <v>ITM_QUESTION_MARK</v>
      </c>
      <c r="BC132" s="157" t="str" cm="1">
        <f t="array" ref="BC132">SUBSTITUTE(SUBSTITUTE(_xlfn.SWITCH(AR132, "ITM_T_HOME", "ITM_UP1", "ITM_T_END", "ITM_DOWN1", "DOCU_CHR_sub", "ITM_DOWN_ARROW", "DOCU_CHR_super", "ITM_UP_ARROW", "MNU_TAMALPHA", "ITM_alpha", "DOCU_CHR_caseFLIP", "ITM_NULL", "DOCU_CHR_numSET", "ITM_NULL", "DOCU_ITM_RADIX", "ITM_PERIOD", AR132), ".lo", ),"MNU_", "-MNU_")</f>
        <v>ITM_0</v>
      </c>
      <c r="BD132" s="157" t="str" cm="1">
        <f t="array" ref="BD132">SUBSTITUTE(SUBSTITUTE(_xlfn.SWITCH(AS132, "ITM_T_HOME", "ITM_UP1", "ITM_T_END", "ITM_DOWN1", "DOCU_CHR_sub", "ITM_DOWN_ARROW", "DOCU_CHR_super", "ITM_UP_ARROW", "MNU_TAMALPHA", "ITM_alpha", "DOCU_CHR_caseFLIP", "ITM_NULL", "DOCU_CHR_numSET", "ITM_NULL", "DOCU_ITM_RADIX", "ITM_PERIOD", AS132), ".lo", ),"MNU_", "-MNU_")</f>
        <v>ITM_PRINTER</v>
      </c>
      <c r="BE132" s="157" t="str" cm="1">
        <f t="array" ref="BE132">SUBSTITUTE(SUBSTITUTE(_xlfn.SWITCH(AT132, "ITM_T_HOME", "ITM_UP1", "ITM_T_END", "ITM_DOWN1", "DOCU_CHR_sub", "ITM_DOWN_ARROW", "DOCU_CHR_super", "ITM_UP_ARROW", "MNU_TAMALPHA", "ITM_alpha", "DOCU_CHR_caseFLIP", "ITM_NULL", "DOCU_CHR_numSET", "ITM_NULL", "DOCU_ITM_RADIX", "ITM_PERIOD", AT132), ".lo", ),"MNU_", "-MNU_")</f>
        <v>ITM_0</v>
      </c>
      <c r="BG132" s="75"/>
      <c r="BR132" s="1" t="s">
        <v>252</v>
      </c>
      <c r="BS132" s="1" t="s">
        <v>432</v>
      </c>
      <c r="BT132" s="1" t="s">
        <v>433</v>
      </c>
      <c r="BU132" s="1" t="s">
        <v>252</v>
      </c>
      <c r="BV132" s="1" t="s">
        <v>434</v>
      </c>
      <c r="BW132" s="1" t="s">
        <v>252</v>
      </c>
      <c r="BX132" s="1" t="s">
        <v>431</v>
      </c>
      <c r="BY132" s="1" t="s">
        <v>252</v>
      </c>
    </row>
    <row r="133" spans="24:77" ht="21" x14ac:dyDescent="0.2">
      <c r="X133" s="129" t="str">
        <f t="shared" si="39"/>
        <v>WP43</v>
      </c>
      <c r="Y133" s="109">
        <v>8</v>
      </c>
      <c r="Z133" s="109">
        <v>3</v>
      </c>
      <c r="AA133" s="112" t="str">
        <f t="shared" si="50"/>
        <v>WP43.83</v>
      </c>
      <c r="AB133" s="117" t="s">
        <v>253</v>
      </c>
      <c r="AC133" s="118" t="s">
        <v>254</v>
      </c>
      <c r="AD133" s="119" t="s">
        <v>255</v>
      </c>
      <c r="AE133" s="3"/>
      <c r="AF133" s="52" t="s">
        <v>256</v>
      </c>
      <c r="AG133" s="77" t="b">
        <f t="shared" si="48"/>
        <v>0</v>
      </c>
      <c r="AH133" s="83" t="str">
        <f t="shared" si="40"/>
        <v>.</v>
      </c>
      <c r="AI133" s="84" t="str">
        <f t="shared" si="41"/>
        <v>[ aDOT ]</v>
      </c>
      <c r="AJ133" s="85" t="str">
        <f t="shared" si="42"/>
        <v>.</v>
      </c>
      <c r="AK133" s="6"/>
      <c r="AL133" s="8" t="str">
        <f t="shared" si="43"/>
        <v>{83</v>
      </c>
      <c r="AM133" s="27" t="str">
        <f t="shared" si="44"/>
        <v>DOCU_ITM_RADIX</v>
      </c>
      <c r="AN133" s="27" t="str">
        <f t="shared" si="45"/>
        <v>ITM_SHOW</v>
      </c>
      <c r="AO133" s="27" t="str">
        <f t="shared" si="46"/>
        <v>MNU_INFO</v>
      </c>
      <c r="AP133" s="46" t="str">
        <f>IF(NOT(ISNA(MATCH(AM133,Lookups!E:E,))),VLOOKUP(AM133,Lookups!E:F,2,0),
IF(NOT(ISNA(MATCH(AN133,Lookups!E:E,))),VLOOKUP(AN133,Lookups!E:F,2,0),
IF(NOT(ISNA(MATCH(AO133,Lookups!E:E,))),VLOOKUP(AO133,Lookups!E:F,2,0),"ITM_NULL")))</f>
        <v>ITM_PERIOD</v>
      </c>
      <c r="AQ133" s="28" t="str">
        <f t="shared" si="47"/>
        <v>ITM_COMMA</v>
      </c>
      <c r="AR133" s="198" t="s">
        <v>257</v>
      </c>
      <c r="AS133" s="186" t="s">
        <v>435</v>
      </c>
      <c r="AT133" s="197" t="s">
        <v>257</v>
      </c>
      <c r="AW133" s="14" t="str">
        <f t="shared" si="49"/>
        <v>{83</v>
      </c>
      <c r="AX133" s="157" t="str" cm="1">
        <f t="array" ref="AX133">SUBSTITUTE(SUBSTITUTE(_xlfn.SWITCH(AM133, "ITM_T_HOME", "ITM_UP1", "ITM_T_END", "ITM_DOWN1", "DOCU_CHR_sub", "ITM_DOWN_ARROW", "DOCU_CHR_super", "ITM_UP_ARROW", "MNU_TAMALPHA", "ITM_alpha", "DOCU_CHR_caseFLIP", "ITM_NULL", "DOCU_CHR_numSET", "ITM_NULL", "DOCU_ITM_RADIX", "ITM_PERIOD", AM133), ".lo", ),"MNU_", "-MNU_")</f>
        <v>ITM_PERIOD</v>
      </c>
      <c r="AY133" s="157" t="str" cm="1">
        <f t="array" ref="AY133">SUBSTITUTE(SUBSTITUTE(_xlfn.SWITCH(AN133, "ITM_T_HOME", "ITM_UP1", "ITM_T_END", "ITM_DOWN1", "DOCU_CHR_sub", "ITM_DOWN_ARROW", "DOCU_CHR_super", "ITM_UP_ARROW", "MNU_TAMALPHA", "ITM_alpha", "DOCU_CHR_caseFLIP", "ITM_NULL", "DOCU_CHR_numSET", "ITM_NULL", "DOCU_ITM_RADIX", "ITM_PERIOD", AN133), ".lo", ),"MNU_", "-MNU_")</f>
        <v>ITM_SHOW</v>
      </c>
      <c r="AZ133" s="157" t="str" cm="1">
        <f t="array" ref="AZ133">SUBSTITUTE(SUBSTITUTE(_xlfn.SWITCH(AO133, "ITM_T_HOME", "ITM_UP1", "ITM_T_END", "ITM_DOWN1", "DOCU_CHR_sub", "ITM_DOWN_ARROW", "DOCU_CHR_super", "ITM_UP_ARROW", "MNU_TAMALPHA", "ITM_alpha", "DOCU_CHR_caseFLIP", "ITM_NULL", "DOCU_CHR_numSET", "ITM_NULL", "DOCU_ITM_RADIX", "ITM_PERIOD", AO133), ".lo", ),"MNU_", "-MNU_")</f>
        <v>-MNU_INFO</v>
      </c>
      <c r="BA133" s="173" t="str" cm="1">
        <f t="array" ref="BA133">SUBSTITUTE(SUBSTITUTE(_xlfn.SWITCH(AP133, "ITM_T_HOME", "ITM_UP1", "ITM_T_END", "ITM_DOWN1", "DOCU_CHR_sub", "ITM_DOWN_ARROW", "DOCU_CHR_super", "ITM_UP_ARROW", "MNU_TAMALPHA", "ITM_alpha", "DOCU_CHR_caseFLIP", "ITM_NULL", "DOCU_CHR_numSET", "ITM_NULL", "DOCU_ITM_RADIX", "ITM_PERIOD", AP133), ".lo", ),"MNU_", "-MNU_")</f>
        <v>ITM_PERIOD</v>
      </c>
      <c r="BB133" s="157" t="str" cm="1">
        <f t="array" ref="BB133">SUBSTITUTE(SUBSTITUTE(_xlfn.SWITCH(AQ133, "ITM_T_HOME", "ITM_UP1", "ITM_T_END", "ITM_DOWN1", "DOCU_CHR_sub", "ITM_DOWN_ARROW", "DOCU_CHR_super", "ITM_UP_ARROW", "MNU_TAMALPHA", "ITM_alpha", "DOCU_CHR_caseFLIP", "ITM_NULL", "DOCU_CHR_numSET", "ITM_NULL", "DOCU_ITM_RADIX", "ITM_PERIOD", AQ133), ".lo", ),"MNU_", "-MNU_")</f>
        <v>ITM_COMMA</v>
      </c>
      <c r="BC133" s="157" t="str" cm="1">
        <f t="array" ref="BC133">SUBSTITUTE(SUBSTITUTE(_xlfn.SWITCH(AR133, "ITM_T_HOME", "ITM_UP1", "ITM_T_END", "ITM_DOWN1", "DOCU_CHR_sub", "ITM_DOWN_ARROW", "DOCU_CHR_super", "ITM_UP_ARROW", "MNU_TAMALPHA", "ITM_alpha", "DOCU_CHR_caseFLIP", "ITM_NULL", "DOCU_CHR_numSET", "ITM_NULL", "DOCU_ITM_RADIX", "ITM_PERIOD", AR133), ".lo", ),"MNU_", "-MNU_")</f>
        <v>ITM_PERIOD</v>
      </c>
      <c r="BD133" s="157" t="str" cm="1">
        <f t="array" ref="BD133">SUBSTITUTE(SUBSTITUTE(_xlfn.SWITCH(AS133, "ITM_T_HOME", "ITM_UP1", "ITM_T_END", "ITM_DOWN1", "DOCU_CHR_sub", "ITM_DOWN_ARROW", "DOCU_CHR_super", "ITM_UP_ARROW", "MNU_TAMALPHA", "ITM_alpha", "DOCU_CHR_caseFLIP", "ITM_NULL", "DOCU_CHR_numSET", "ITM_NULL", "DOCU_ITM_RADIX", "ITM_PERIOD", AS133), ".lo", ),"MNU_", "-MNU_")</f>
        <v>-MNU_ALPHADOT</v>
      </c>
      <c r="BE133" s="157" t="str" cm="1">
        <f t="array" ref="BE133">SUBSTITUTE(SUBSTITUTE(_xlfn.SWITCH(AT133, "ITM_T_HOME", "ITM_UP1", "ITM_T_END", "ITM_DOWN1", "DOCU_CHR_sub", "ITM_DOWN_ARROW", "DOCU_CHR_super", "ITM_UP_ARROW", "MNU_TAMALPHA", "ITM_alpha", "DOCU_CHR_caseFLIP", "ITM_NULL", "DOCU_CHR_numSET", "ITM_NULL", "DOCU_ITM_RADIX", "ITM_PERIOD", AT133), ".lo", ),"MNU_", "-MNU_")</f>
        <v>ITM_PERIOD</v>
      </c>
      <c r="BG133" s="75"/>
      <c r="BR133" s="1" t="s">
        <v>257</v>
      </c>
      <c r="BS133" s="1" t="s">
        <v>436</v>
      </c>
      <c r="BT133" s="1" t="s">
        <v>437</v>
      </c>
      <c r="BU133" s="1" t="s">
        <v>257</v>
      </c>
      <c r="BV133" s="1" t="s">
        <v>438</v>
      </c>
      <c r="BW133" s="1" t="s">
        <v>257</v>
      </c>
      <c r="BX133" s="1" t="s">
        <v>435</v>
      </c>
      <c r="BY133" s="1" t="s">
        <v>257</v>
      </c>
    </row>
    <row r="134" spans="24:77" ht="21" x14ac:dyDescent="0.2">
      <c r="X134" s="129" t="str">
        <f t="shared" si="39"/>
        <v>WP43</v>
      </c>
      <c r="Y134" s="109">
        <v>8</v>
      </c>
      <c r="Z134" s="109">
        <v>4</v>
      </c>
      <c r="AA134" s="112" t="str">
        <f t="shared" si="50"/>
        <v>WP43.84</v>
      </c>
      <c r="AB134" s="117" t="s">
        <v>258</v>
      </c>
      <c r="AC134" s="118" t="s">
        <v>259</v>
      </c>
      <c r="AD134" s="119" t="s">
        <v>231</v>
      </c>
      <c r="AE134" s="3"/>
      <c r="AF134" s="52" t="s">
        <v>266</v>
      </c>
      <c r="AG134" s="77" t="b">
        <f t="shared" si="48"/>
        <v>0</v>
      </c>
      <c r="AH134" s="83" t="str">
        <f t="shared" si="40"/>
        <v xml:space="preserve"> </v>
      </c>
      <c r="AI134" s="84" t="str">
        <f t="shared" si="41"/>
        <v xml:space="preserve"> </v>
      </c>
      <c r="AJ134" s="85" t="str">
        <f t="shared" si="42"/>
        <v xml:space="preserve"> </v>
      </c>
      <c r="AK134" s="6"/>
      <c r="AL134" s="8" t="str">
        <f t="shared" si="43"/>
        <v>{84</v>
      </c>
      <c r="AM134" s="27" t="str">
        <f t="shared" si="44"/>
        <v>ITM_RS</v>
      </c>
      <c r="AN134" s="27" t="str">
        <f t="shared" si="45"/>
        <v>ITM_PR</v>
      </c>
      <c r="AO134" s="27" t="str">
        <f t="shared" si="46"/>
        <v>MNU_PFN</v>
      </c>
      <c r="AP134" s="46" t="str">
        <f>IF(NOT(ISNA(MATCH(AM134,Lookups!E:E,))),VLOOKUP(AM134,Lookups!E:F,2,0),
IF(NOT(ISNA(MATCH(AN134,Lookups!E:E,))),VLOOKUP(AN134,Lookups!E:F,2,0),
IF(NOT(ISNA(MATCH(AO134,Lookups!E:E,))),VLOOKUP(AO134,Lookups!E:F,2,0),"ITM_NULL")))</f>
        <v>ITM_NULL</v>
      </c>
      <c r="AQ134" s="28" t="str">
        <f t="shared" si="47"/>
        <v>ITM_SPACE</v>
      </c>
      <c r="AR134" s="198" t="s">
        <v>81</v>
      </c>
      <c r="AS134" s="186" t="s">
        <v>81</v>
      </c>
      <c r="AT134" s="197" t="s">
        <v>81</v>
      </c>
      <c r="AW134" s="14" t="str">
        <f t="shared" si="49"/>
        <v>{84</v>
      </c>
      <c r="AX134" s="157" t="str" cm="1">
        <f t="array" ref="AX134">SUBSTITUTE(SUBSTITUTE(_xlfn.SWITCH(AM134, "ITM_T_HOME", "ITM_UP1", "ITM_T_END", "ITM_DOWN1", "DOCU_CHR_sub", "ITM_DOWN_ARROW", "DOCU_CHR_super", "ITM_UP_ARROW", "MNU_TAMALPHA", "ITM_alpha", "DOCU_CHR_caseFLIP", "ITM_NULL", "DOCU_CHR_numSET", "ITM_NULL", "DOCU_ITM_RADIX", "ITM_PERIOD", AM134), ".lo", ),"MNU_", "-MNU_")</f>
        <v>ITM_RS</v>
      </c>
      <c r="AY134" s="157" t="str" cm="1">
        <f t="array" ref="AY134">SUBSTITUTE(SUBSTITUTE(_xlfn.SWITCH(AN134, "ITM_T_HOME", "ITM_UP1", "ITM_T_END", "ITM_DOWN1", "DOCU_CHR_sub", "ITM_DOWN_ARROW", "DOCU_CHR_super", "ITM_UP_ARROW", "MNU_TAMALPHA", "ITM_alpha", "DOCU_CHR_caseFLIP", "ITM_NULL", "DOCU_CHR_numSET", "ITM_NULL", "DOCU_ITM_RADIX", "ITM_PERIOD", AN134), ".lo", ),"MNU_", "-MNU_")</f>
        <v>ITM_PR</v>
      </c>
      <c r="AZ134" s="157" t="str" cm="1">
        <f t="array" ref="AZ134">SUBSTITUTE(SUBSTITUTE(_xlfn.SWITCH(AO134, "ITM_T_HOME", "ITM_UP1", "ITM_T_END", "ITM_DOWN1", "DOCU_CHR_sub", "ITM_DOWN_ARROW", "DOCU_CHR_super", "ITM_UP_ARROW", "MNU_TAMALPHA", "ITM_alpha", "DOCU_CHR_caseFLIP", "ITM_NULL", "DOCU_CHR_numSET", "ITM_NULL", "DOCU_ITM_RADIX", "ITM_PERIOD", AO134), ".lo", ),"MNU_", "-MNU_")</f>
        <v>-MNU_PFN</v>
      </c>
      <c r="BA134" s="173" t="str" cm="1">
        <f t="array" ref="BA134">SUBSTITUTE(SUBSTITUTE(_xlfn.SWITCH(AP134, "ITM_T_HOME", "ITM_UP1", "ITM_T_END", "ITM_DOWN1", "DOCU_CHR_sub", "ITM_DOWN_ARROW", "DOCU_CHR_super", "ITM_UP_ARROW", "MNU_TAMALPHA", "ITM_alpha", "DOCU_CHR_caseFLIP", "ITM_NULL", "DOCU_CHR_numSET", "ITM_NULL", "DOCU_ITM_RADIX", "ITM_PERIOD", AP134), ".lo", ),"MNU_", "-MNU_")</f>
        <v>ITM_NULL</v>
      </c>
      <c r="BB134" s="157" t="str" cm="1">
        <f t="array" ref="BB134">SUBSTITUTE(SUBSTITUTE(_xlfn.SWITCH(AQ134, "ITM_T_HOME", "ITM_UP1", "ITM_T_END", "ITM_DOWN1", "DOCU_CHR_sub", "ITM_DOWN_ARROW", "DOCU_CHR_super", "ITM_UP_ARROW", "MNU_TAMALPHA", "ITM_alpha", "DOCU_CHR_caseFLIP", "ITM_NULL", "DOCU_CHR_numSET", "ITM_NULL", "DOCU_ITM_RADIX", "ITM_PERIOD", AQ134), ".lo", ),"MNU_", "-MNU_")</f>
        <v>ITM_SPACE</v>
      </c>
      <c r="BC134" s="157" t="str" cm="1">
        <f t="array" ref="BC134">SUBSTITUTE(SUBSTITUTE(_xlfn.SWITCH(AR134, "ITM_T_HOME", "ITM_UP1", "ITM_T_END", "ITM_DOWN1", "DOCU_CHR_sub", "ITM_DOWN_ARROW", "DOCU_CHR_super", "ITM_UP_ARROW", "MNU_TAMALPHA", "ITM_alpha", "DOCU_CHR_caseFLIP", "ITM_NULL", "DOCU_CHR_numSET", "ITM_NULL", "DOCU_ITM_RADIX", "ITM_PERIOD", AR134), ".lo", ),"MNU_", "-MNU_")</f>
        <v>ITM_NULL</v>
      </c>
      <c r="BD134" s="157" t="str" cm="1">
        <f t="array" ref="BD134">SUBSTITUTE(SUBSTITUTE(_xlfn.SWITCH(AS134, "ITM_T_HOME", "ITM_UP1", "ITM_T_END", "ITM_DOWN1", "DOCU_CHR_sub", "ITM_DOWN_ARROW", "DOCU_CHR_super", "ITM_UP_ARROW", "MNU_TAMALPHA", "ITM_alpha", "DOCU_CHR_caseFLIP", "ITM_NULL", "DOCU_CHR_numSET", "ITM_NULL", "DOCU_ITM_RADIX", "ITM_PERIOD", AS134), ".lo", ),"MNU_", "-MNU_")</f>
        <v>ITM_NULL</v>
      </c>
      <c r="BE134" s="157" t="str" cm="1">
        <f t="array" ref="BE134">SUBSTITUTE(SUBSTITUTE(_xlfn.SWITCH(AT134, "ITM_T_HOME", "ITM_UP1", "ITM_T_END", "ITM_DOWN1", "DOCU_CHR_sub", "ITM_DOWN_ARROW", "DOCU_CHR_super", "ITM_UP_ARROW", "MNU_TAMALPHA", "ITM_alpha", "DOCU_CHR_caseFLIP", "ITM_NULL", "DOCU_CHR_numSET", "ITM_NULL", "DOCU_ITM_RADIX", "ITM_PERIOD", AT134), ".lo", ),"MNU_", "-MNU_")</f>
        <v>ITM_NULL</v>
      </c>
      <c r="BG134" s="75"/>
      <c r="BR134" s="1" t="s">
        <v>439</v>
      </c>
      <c r="BS134" s="1" t="s">
        <v>440</v>
      </c>
      <c r="BT134" s="1" t="s">
        <v>441</v>
      </c>
      <c r="BU134" s="1" t="s">
        <v>81</v>
      </c>
      <c r="BV134" s="1" t="s">
        <v>442</v>
      </c>
      <c r="BW134" s="1" t="s">
        <v>81</v>
      </c>
      <c r="BX134" s="1" t="s">
        <v>81</v>
      </c>
      <c r="BY134" s="1" t="s">
        <v>81</v>
      </c>
    </row>
    <row r="135" spans="24:77" ht="22" thickBot="1" x14ac:dyDescent="0.25">
      <c r="X135" s="129" t="str">
        <f t="shared" si="39"/>
        <v>WP43</v>
      </c>
      <c r="Y135" s="109">
        <v>8</v>
      </c>
      <c r="Z135" s="109">
        <v>5</v>
      </c>
      <c r="AA135" s="112" t="str">
        <f t="shared" si="50"/>
        <v>WP43.85</v>
      </c>
      <c r="AB135" s="122" t="s">
        <v>242</v>
      </c>
      <c r="AC135" s="123" t="s">
        <v>264</v>
      </c>
      <c r="AD135" s="124" t="s">
        <v>243</v>
      </c>
      <c r="AE135" s="125"/>
      <c r="AF135" s="54" t="s">
        <v>242</v>
      </c>
      <c r="AG135" s="77" t="b">
        <f t="shared" si="48"/>
        <v>0</v>
      </c>
      <c r="AH135" s="86" t="str">
        <f t="shared" si="40"/>
        <v>[ CAT ]</v>
      </c>
      <c r="AI135" s="87" t="str">
        <f t="shared" si="41"/>
        <v>OFF</v>
      </c>
      <c r="AJ135" s="88" t="str">
        <f t="shared" si="42"/>
        <v>EXIT</v>
      </c>
      <c r="AK135" s="6"/>
      <c r="AL135" s="8" t="str">
        <f t="shared" si="43"/>
        <v>{85</v>
      </c>
      <c r="AM135" s="27" t="str">
        <f t="shared" si="44"/>
        <v>ITM_EXIT1</v>
      </c>
      <c r="AN135" s="27" t="str">
        <f t="shared" si="45"/>
        <v>MNU_CATALOG</v>
      </c>
      <c r="AO135" s="27" t="str">
        <f t="shared" si="46"/>
        <v>ITM_OFF</v>
      </c>
      <c r="AP135" s="46" t="str">
        <f>IF(NOT(ISNA(MATCH(AM135,Lookups!E:E,))),VLOOKUP(AM135,Lookups!E:F,2,0),
IF(NOT(ISNA(MATCH(AN135,Lookups!E:E,))),VLOOKUP(AN135,Lookups!E:F,2,0),
IF(NOT(ISNA(MATCH(AO135,Lookups!E:E,))),VLOOKUP(AO135,Lookups!E:F,2,0),"ITM_NULL")))</f>
        <v>ITM_EXIT1</v>
      </c>
      <c r="AQ135" s="28" t="str">
        <f t="shared" si="47"/>
        <v>ITM_EXIT1</v>
      </c>
      <c r="AR135" s="199" t="s">
        <v>443</v>
      </c>
      <c r="AS135" s="200" t="s">
        <v>245</v>
      </c>
      <c r="AT135" s="201" t="s">
        <v>247</v>
      </c>
      <c r="AW135" s="14" t="str">
        <f t="shared" si="49"/>
        <v>{85</v>
      </c>
      <c r="AX135" s="157" t="str" cm="1">
        <f t="array" ref="AX135">SUBSTITUTE(SUBSTITUTE(_xlfn.SWITCH(AM135, "ITM_T_HOME", "ITM_UP1", "ITM_T_END", "ITM_DOWN1", "DOCU_CHR_sub", "ITM_DOWN_ARROW", "DOCU_CHR_super", "ITM_UP_ARROW", "MNU_TAMALPHA", "ITM_alpha", "DOCU_CHR_caseFLIP", "ITM_NULL", "DOCU_CHR_numSET", "ITM_NULL", "DOCU_ITM_RADIX", "ITM_PERIOD", AM135), ".lo", ),"MNU_", "-MNU_")</f>
        <v>ITM_EXIT1</v>
      </c>
      <c r="AY135" s="157" t="str" cm="1">
        <f t="array" ref="AY135">SUBSTITUTE(SUBSTITUTE(_xlfn.SWITCH(AN135, "ITM_T_HOME", "ITM_UP1", "ITM_T_END", "ITM_DOWN1", "DOCU_CHR_sub", "ITM_DOWN_ARROW", "DOCU_CHR_super", "ITM_UP_ARROW", "MNU_TAMALPHA", "ITM_alpha", "DOCU_CHR_caseFLIP", "ITM_NULL", "DOCU_CHR_numSET", "ITM_NULL", "DOCU_ITM_RADIX", "ITM_PERIOD", AN135), ".lo", ),"MNU_", "-MNU_")</f>
        <v>-MNU_CATALOG</v>
      </c>
      <c r="AZ135" s="157" t="str" cm="1">
        <f t="array" ref="AZ135">SUBSTITUTE(SUBSTITUTE(_xlfn.SWITCH(AO135, "ITM_T_HOME", "ITM_UP1", "ITM_T_END", "ITM_DOWN1", "DOCU_CHR_sub", "ITM_DOWN_ARROW", "DOCU_CHR_super", "ITM_UP_ARROW", "MNU_TAMALPHA", "ITM_alpha", "DOCU_CHR_caseFLIP", "ITM_NULL", "DOCU_CHR_numSET", "ITM_NULL", "DOCU_ITM_RADIX", "ITM_PERIOD", AO135), ".lo", ),"MNU_", "-MNU_")</f>
        <v>ITM_OFF</v>
      </c>
      <c r="BA135" s="173" t="str" cm="1">
        <f t="array" ref="BA135">SUBSTITUTE(SUBSTITUTE(_xlfn.SWITCH(AP135, "ITM_T_HOME", "ITM_UP1", "ITM_T_END", "ITM_DOWN1", "DOCU_CHR_sub", "ITM_DOWN_ARROW", "DOCU_CHR_super", "ITM_UP_ARROW", "MNU_TAMALPHA", "ITM_alpha", "DOCU_CHR_caseFLIP", "ITM_NULL", "DOCU_CHR_numSET", "ITM_NULL", "DOCU_ITM_RADIX", "ITM_PERIOD", AP135), ".lo", ),"MNU_", "-MNU_")</f>
        <v>ITM_EXIT1</v>
      </c>
      <c r="BB135" s="157" t="str" cm="1">
        <f t="array" ref="BB135">SUBSTITUTE(SUBSTITUTE(_xlfn.SWITCH(AQ135, "ITM_T_HOME", "ITM_UP1", "ITM_T_END", "ITM_DOWN1", "DOCU_CHR_sub", "ITM_DOWN_ARROW", "DOCU_CHR_super", "ITM_UP_ARROW", "MNU_TAMALPHA", "ITM_alpha", "DOCU_CHR_caseFLIP", "ITM_NULL", "DOCU_CHR_numSET", "ITM_NULL", "DOCU_ITM_RADIX", "ITM_PERIOD", AQ135), ".lo", ),"MNU_", "-MNU_")</f>
        <v>ITM_EXIT1</v>
      </c>
      <c r="BC135" s="157" t="str" cm="1">
        <f t="array" ref="BC135">SUBSTITUTE(SUBSTITUTE(_xlfn.SWITCH(AR135, "ITM_T_HOME", "ITM_UP1", "ITM_T_END", "ITM_DOWN1", "DOCU_CHR_sub", "ITM_DOWN_ARROW", "DOCU_CHR_super", "ITM_UP_ARROW", "MNU_TAMALPHA", "ITM_alpha", "DOCU_CHR_caseFLIP", "ITM_NULL", "DOCU_CHR_numSET", "ITM_NULL", "DOCU_ITM_RADIX", "ITM_PERIOD", AR135), ".lo", ),"MNU_", "-MNU_")</f>
        <v>-MNU_CATALOG</v>
      </c>
      <c r="BD135" s="157" t="str" cm="1">
        <f t="array" ref="BD135">SUBSTITUTE(SUBSTITUTE(_xlfn.SWITCH(AS135, "ITM_T_HOME", "ITM_UP1", "ITM_T_END", "ITM_DOWN1", "DOCU_CHR_sub", "ITM_DOWN_ARROW", "DOCU_CHR_super", "ITM_UP_ARROW", "MNU_TAMALPHA", "ITM_alpha", "DOCU_CHR_caseFLIP", "ITM_NULL", "DOCU_CHR_numSET", "ITM_NULL", "DOCU_ITM_RADIX", "ITM_PERIOD", AS135), ".lo", ),"MNU_", "-MNU_")</f>
        <v>ITM_OFF</v>
      </c>
      <c r="BE135" s="157" t="str" cm="1">
        <f t="array" ref="BE135">SUBSTITUTE(SUBSTITUTE(_xlfn.SWITCH(AT135, "ITM_T_HOME", "ITM_UP1", "ITM_T_END", "ITM_DOWN1", "DOCU_CHR_sub", "ITM_DOWN_ARROW", "DOCU_CHR_super", "ITM_UP_ARROW", "MNU_TAMALPHA", "ITM_alpha", "DOCU_CHR_caseFLIP", "ITM_NULL", "DOCU_CHR_numSET", "ITM_NULL", "DOCU_ITM_RADIX", "ITM_PERIOD", AT135), ".lo", ),"MNU_", "-MNU_")</f>
        <v>ITM_EXIT1</v>
      </c>
      <c r="BG135" s="75"/>
      <c r="BR135" s="1" t="s">
        <v>247</v>
      </c>
      <c r="BS135" s="1" t="s">
        <v>443</v>
      </c>
      <c r="BT135" s="1" t="s">
        <v>245</v>
      </c>
      <c r="BU135" s="1" t="s">
        <v>247</v>
      </c>
      <c r="BV135" s="1" t="s">
        <v>247</v>
      </c>
      <c r="BW135" s="1" t="s">
        <v>443</v>
      </c>
      <c r="BX135" s="1" t="s">
        <v>245</v>
      </c>
      <c r="BY135" s="1" t="s">
        <v>247</v>
      </c>
    </row>
    <row r="136" spans="24:77" ht="21" x14ac:dyDescent="0.2">
      <c r="Y136" s="1"/>
      <c r="Z136" s="1"/>
      <c r="AL136" s="111"/>
      <c r="AM136" s="29"/>
      <c r="AN136" s="29"/>
      <c r="AO136" s="29"/>
      <c r="AP136" s="47"/>
      <c r="AQ136" s="29"/>
      <c r="AR136" s="202"/>
      <c r="AS136" s="202"/>
      <c r="AT136" s="202"/>
      <c r="BG136" s="75"/>
      <c r="BH136" s="6"/>
      <c r="BJ136" s="6"/>
    </row>
    <row r="137" spans="24:77" ht="21" x14ac:dyDescent="0.2">
      <c r="Y137" s="1"/>
      <c r="Z137" s="1"/>
      <c r="AL137" s="111"/>
      <c r="AM137" s="29"/>
      <c r="AN137" s="29"/>
      <c r="AO137" s="29"/>
      <c r="AP137" s="47"/>
      <c r="AQ137" s="29"/>
      <c r="AR137" s="202"/>
      <c r="AS137" s="202"/>
      <c r="AT137" s="202"/>
      <c r="BH137" s="6"/>
      <c r="BI137" s="13"/>
      <c r="BJ137" s="6"/>
    </row>
    <row r="138" spans="24:77" ht="21" x14ac:dyDescent="0.2">
      <c r="X138" s="128" t="s">
        <v>444</v>
      </c>
      <c r="Y138" s="106">
        <v>1</v>
      </c>
      <c r="Z138" s="106">
        <v>1</v>
      </c>
      <c r="AA138" s="107" t="str">
        <f t="shared" si="50"/>
        <v>E47.11</v>
      </c>
      <c r="AB138" s="108" t="s">
        <v>31</v>
      </c>
      <c r="AC138" s="15"/>
      <c r="AD138" s="15"/>
      <c r="AE138" s="102"/>
      <c r="AF138" s="15"/>
      <c r="AH138" s="90"/>
      <c r="AI138" s="90"/>
      <c r="AJ138" s="90"/>
      <c r="AK138" s="6"/>
      <c r="BI138" s="13"/>
    </row>
    <row r="139" spans="24:77" ht="21" x14ac:dyDescent="0.2">
      <c r="X139" s="129" t="str">
        <f>X138</f>
        <v>E47</v>
      </c>
      <c r="Y139" s="109">
        <v>1</v>
      </c>
      <c r="Z139" s="109">
        <v>2</v>
      </c>
      <c r="AA139" s="107" t="str">
        <f t="shared" si="50"/>
        <v>E47.12</v>
      </c>
      <c r="AB139" s="108" t="s">
        <v>32</v>
      </c>
      <c r="AC139" s="15"/>
      <c r="AD139" s="15"/>
      <c r="AE139" s="102"/>
      <c r="AF139" s="15"/>
      <c r="AH139" s="90"/>
      <c r="AI139" s="90"/>
      <c r="AJ139" s="90"/>
      <c r="AK139" s="6"/>
      <c r="BI139" s="13" t="s">
        <v>652</v>
      </c>
    </row>
    <row r="140" spans="24:77" ht="21" x14ac:dyDescent="0.2">
      <c r="X140" s="129" t="str">
        <f t="shared" ref="X140:X180" si="51">X139</f>
        <v>E47</v>
      </c>
      <c r="Y140" s="109">
        <v>1</v>
      </c>
      <c r="Z140" s="109">
        <v>3</v>
      </c>
      <c r="AA140" s="107" t="str">
        <f t="shared" si="50"/>
        <v>E47.13</v>
      </c>
      <c r="AB140" s="108" t="s">
        <v>33</v>
      </c>
      <c r="AC140" s="15"/>
      <c r="AD140" s="15"/>
      <c r="AE140" s="102"/>
      <c r="AF140" s="15"/>
      <c r="AH140" s="90"/>
      <c r="AI140" s="90"/>
      <c r="AJ140" s="90"/>
      <c r="AK140" s="6"/>
      <c r="AM140" s="72" t="s">
        <v>34</v>
      </c>
      <c r="AX140" s="72" t="s">
        <v>35</v>
      </c>
      <c r="AY140" s="27" t="s">
        <v>36</v>
      </c>
      <c r="BG140" s="75"/>
      <c r="BI140" s="17" t="str">
        <f>"// "&amp;X140&amp;" Layout from Layout_template_automation template: Do not change manually"</f>
        <v>// E47 Layout from Layout_template_automation template: Do not change manually</v>
      </c>
    </row>
    <row r="141" spans="24:77" ht="22" thickBot="1" x14ac:dyDescent="0.25">
      <c r="X141" s="129" t="str">
        <f t="shared" si="51"/>
        <v>E47</v>
      </c>
      <c r="Y141" s="109">
        <v>1</v>
      </c>
      <c r="Z141" s="109">
        <v>4</v>
      </c>
      <c r="AA141" s="107" t="str">
        <f t="shared" si="50"/>
        <v>E47.14</v>
      </c>
      <c r="AB141" s="108" t="s">
        <v>37</v>
      </c>
      <c r="AC141" s="15"/>
      <c r="AD141" s="15"/>
      <c r="AE141" s="102"/>
      <c r="AF141" s="15"/>
      <c r="AH141" s="90"/>
      <c r="AI141" s="90"/>
      <c r="AJ141" s="90"/>
      <c r="AK141" s="6"/>
      <c r="BG141" s="75"/>
      <c r="BI141" s="16" t="s">
        <v>38</v>
      </c>
    </row>
    <row r="142" spans="24:77" ht="22" thickBot="1" x14ac:dyDescent="0.25">
      <c r="X142" s="129" t="str">
        <f t="shared" si="51"/>
        <v>E47</v>
      </c>
      <c r="Y142" s="109">
        <v>1</v>
      </c>
      <c r="Z142" s="109">
        <v>5</v>
      </c>
      <c r="AA142" s="107" t="str">
        <f t="shared" si="50"/>
        <v>E47.15</v>
      </c>
      <c r="AB142" s="108" t="s">
        <v>37</v>
      </c>
      <c r="AC142" s="15"/>
      <c r="AD142" s="15"/>
      <c r="AE142" s="102"/>
      <c r="AF142" s="15"/>
      <c r="AH142" s="90"/>
      <c r="AI142" s="90"/>
      <c r="AJ142" s="90"/>
      <c r="AK142" s="6"/>
      <c r="AL142" s="185" t="str">
        <f>X142</f>
        <v>E47</v>
      </c>
      <c r="AM142" s="224" t="s">
        <v>39</v>
      </c>
      <c r="AN142" s="224"/>
      <c r="AO142" s="224"/>
      <c r="AP142" s="71" t="s">
        <v>40</v>
      </c>
      <c r="AQ142" s="31" t="s">
        <v>41</v>
      </c>
      <c r="AR142" s="189" t="s">
        <v>42</v>
      </c>
      <c r="AS142" s="190" t="s">
        <v>42</v>
      </c>
      <c r="AT142" s="191" t="s">
        <v>42</v>
      </c>
      <c r="BG142" s="75"/>
      <c r="BI142" s="16" t="str">
        <f>"TO_QSPI const calcKey_t kbd_std_"&amp;X143&amp;"[37] = {"</f>
        <v>TO_QSPI const calcKey_t kbd_std_E47[37] = {</v>
      </c>
    </row>
    <row r="143" spans="24:77" ht="22" thickBot="1" x14ac:dyDescent="0.25">
      <c r="X143" s="129" t="str">
        <f t="shared" si="51"/>
        <v>E47</v>
      </c>
      <c r="Y143" s="109">
        <v>1</v>
      </c>
      <c r="Z143" s="109">
        <v>6</v>
      </c>
      <c r="AA143" s="107" t="str">
        <f t="shared" si="50"/>
        <v>E47.16</v>
      </c>
      <c r="AB143" s="110" t="s">
        <v>43</v>
      </c>
      <c r="AC143" s="30"/>
      <c r="AD143" s="30"/>
      <c r="AE143" s="102"/>
      <c r="AF143" s="30"/>
      <c r="AH143" s="90"/>
      <c r="AI143" s="90"/>
      <c r="AJ143" s="90"/>
      <c r="AK143" s="6"/>
      <c r="BG143" s="75"/>
      <c r="BI143" s="16" t="s">
        <v>44</v>
      </c>
      <c r="BL143" s="45" t="s">
        <v>45</v>
      </c>
      <c r="BM143" s="45" t="s">
        <v>46</v>
      </c>
    </row>
    <row r="144" spans="24:77" ht="21" x14ac:dyDescent="0.2">
      <c r="X144" s="129" t="str">
        <f t="shared" si="51"/>
        <v>E47</v>
      </c>
      <c r="Y144" s="106">
        <v>2</v>
      </c>
      <c r="Z144" s="106">
        <v>1</v>
      </c>
      <c r="AA144" s="112" t="str">
        <f t="shared" si="50"/>
        <v>E47.21</v>
      </c>
      <c r="AB144" s="113" t="s">
        <v>88</v>
      </c>
      <c r="AC144" s="114" t="s">
        <v>48</v>
      </c>
      <c r="AD144" s="115" t="s">
        <v>49</v>
      </c>
      <c r="AE144" s="116"/>
      <c r="AF144" s="48" t="s">
        <v>50</v>
      </c>
      <c r="AG144" s="77" t="b">
        <f>AF144=AH144</f>
        <v>1</v>
      </c>
      <c r="AH144" s="80" t="str">
        <f t="shared" ref="AH144:AH180" si="52">INDEX(labelitem,MATCH(AR144,items,0),1)</f>
        <v>a</v>
      </c>
      <c r="AI144" s="81" t="str">
        <f t="shared" ref="AI144:AI180" si="53">INDEX(labelitem,MATCH(AS144,items,0),1)</f>
        <v xml:space="preserve"> </v>
      </c>
      <c r="AJ144" s="82" t="str">
        <f t="shared" ref="AJ144:AJ180" si="54">INDEX(labelitem,MATCH(AT144,items,0),1)</f>
        <v>Reg A</v>
      </c>
      <c r="AK144" s="6"/>
      <c r="AL144" s="8" t="str">
        <f t="shared" ref="AL144:AL180" si="55">"{"&amp;Y144*10+Z144</f>
        <v>{21</v>
      </c>
      <c r="AM144" s="27" t="str">
        <f t="shared" ref="AM144:AM180" si="56">VLOOKUP(AB144,labelitem,2,0)</f>
        <v>ITM_STO</v>
      </c>
      <c r="AN144" s="27" t="str">
        <f t="shared" ref="AN144:AN180" si="57">VLOOKUP(AC144,labelitem,2,0)</f>
        <v>ITM_RI</v>
      </c>
      <c r="AO144" s="27" t="str">
        <f t="shared" ref="AO144:AO180" si="58">VLOOKUP(AD144,labelitem,2,0)</f>
        <v>ITM_TGLFRT</v>
      </c>
      <c r="AP144" s="46" t="str">
        <f>IF(NOT(ISNA(MATCH(AM144,Lookups!E:E,))),VLOOKUP(AM144,Lookups!E:F,2,0),
IF(NOT(ISNA(MATCH(AN144,Lookups!E:E,))),VLOOKUP(AN144,Lookups!E:F,2,0),
IF(NOT(ISNA(MATCH(AO144,Lookups!E:E,))),VLOOKUP(AO144,Lookups!E:F,2,0),"ITM_NULL")))</f>
        <v>ITM_NULL</v>
      </c>
      <c r="AQ144" s="28" t="str">
        <f t="shared" ref="AQ144:AQ166" si="59">VLOOKUP(AF144,labelitem,2,0)</f>
        <v>ITM_A</v>
      </c>
      <c r="AR144" s="192" t="s">
        <v>51</v>
      </c>
      <c r="AS144" s="193" t="s">
        <v>81</v>
      </c>
      <c r="AT144" s="194" t="s">
        <v>53</v>
      </c>
      <c r="AW144" s="14" t="str">
        <f>AL144</f>
        <v>{21</v>
      </c>
      <c r="AX144" s="157" t="str" cm="1">
        <f t="array" ref="AX144">SUBSTITUTE(SUBSTITUTE(_xlfn.SWITCH(AM144, "ITM_T_HOME", "ITM_UP1", "ITM_T_END", "ITM_DOWN1", "DOCU_CHR_sub", "ITM_DOWN_ARROW", "DOCU_CHR_super", "ITM_UP_ARROW", "MNU_TAMALPHA", "ITM_alpha", "DOCU_CHR_caseFLIP", "ITM_NULL", "DOCU_CHR_numSET", "ITM_NULL", "DOCU_ITM_RADIX", "ITM_PERIOD", AM144), ".lo", ),"MNU_", "-MNU_")</f>
        <v>ITM_STO</v>
      </c>
      <c r="AY144" s="157" t="str" cm="1">
        <f t="array" ref="AY144">SUBSTITUTE(SUBSTITUTE(_xlfn.SWITCH(AN144, "ITM_T_HOME", "ITM_UP1", "ITM_T_END", "ITM_DOWN1", "DOCU_CHR_sub", "ITM_DOWN_ARROW", "DOCU_CHR_super", "ITM_UP_ARROW", "MNU_TAMALPHA", "ITM_alpha", "DOCU_CHR_caseFLIP", "ITM_NULL", "DOCU_CHR_numSET", "ITM_NULL", "DOCU_ITM_RADIX", "ITM_PERIOD", AN144), ".lo", ),"MNU_", "-MNU_")</f>
        <v>ITM_RI</v>
      </c>
      <c r="AZ144" s="157" t="str" cm="1">
        <f t="array" ref="AZ144">SUBSTITUTE(SUBSTITUTE(_xlfn.SWITCH(AO144, "ITM_T_HOME", "ITM_UP1", "ITM_T_END", "ITM_DOWN1", "DOCU_CHR_sub", "ITM_DOWN_ARROW", "DOCU_CHR_super", "ITM_UP_ARROW", "MNU_TAMALPHA", "ITM_alpha", "DOCU_CHR_caseFLIP", "ITM_NULL", "DOCU_CHR_numSET", "ITM_NULL", "DOCU_ITM_RADIX", "ITM_PERIOD", AO144), ".lo", ),"MNU_", "-MNU_")</f>
        <v>ITM_TGLFRT</v>
      </c>
      <c r="BA144" s="173" t="str" cm="1">
        <f t="array" ref="BA144">SUBSTITUTE(SUBSTITUTE(_xlfn.SWITCH(AP144, "ITM_T_HOME", "ITM_UP1", "ITM_T_END", "ITM_DOWN1", "DOCU_CHR_sub", "ITM_DOWN_ARROW", "DOCU_CHR_super", "ITM_UP_ARROW", "MNU_TAMALPHA", "ITM_alpha", "DOCU_CHR_caseFLIP", "ITM_NULL", "DOCU_CHR_numSET", "ITM_NULL", "DOCU_ITM_RADIX", "ITM_PERIOD", AP144), ".lo", ),"MNU_", "-MNU_")</f>
        <v>ITM_NULL</v>
      </c>
      <c r="BB144" s="157" t="str" cm="1">
        <f t="array" ref="BB144">SUBSTITUTE(SUBSTITUTE(_xlfn.SWITCH(AQ144, "ITM_T_HOME", "ITM_UP1", "ITM_T_END", "ITM_DOWN1", "DOCU_CHR_sub", "ITM_DOWN_ARROW", "DOCU_CHR_super", "ITM_UP_ARROW", "MNU_TAMALPHA", "ITM_alpha", "DOCU_CHR_caseFLIP", "ITM_NULL", "DOCU_CHR_numSET", "ITM_NULL", "DOCU_ITM_RADIX", "ITM_PERIOD", AQ144), ".lo", ),"MNU_", "-MNU_")</f>
        <v>ITM_A</v>
      </c>
      <c r="BC144" s="157" t="str" cm="1">
        <f t="array" ref="BC144">SUBSTITUTE(SUBSTITUTE(_xlfn.SWITCH(AR144, "ITM_T_HOME", "ITM_UP1", "ITM_T_END", "ITM_DOWN1", "DOCU_CHR_sub", "ITM_DOWN_ARROW", "DOCU_CHR_super", "ITM_UP_ARROW", "MNU_TAMALPHA", "ITM_alpha", "DOCU_CHR_caseFLIP", "ITM_NULL", "DOCU_CHR_numSET", "ITM_NULL", "DOCU_ITM_RADIX", "ITM_PERIOD", AR144), ".lo", ),"MNU_", "-MNU_")</f>
        <v>ITM_a</v>
      </c>
      <c r="BD144" s="157" t="str" cm="1">
        <f t="array" ref="BD144">SUBSTITUTE(SUBSTITUTE(_xlfn.SWITCH(AS144, "ITM_T_HOME", "ITM_UP1", "ITM_T_END", "ITM_DOWN1", "DOCU_CHR_sub", "ITM_DOWN_ARROW", "DOCU_CHR_super", "ITM_UP_ARROW", "MNU_TAMALPHA", "ITM_alpha", "DOCU_CHR_caseFLIP", "ITM_NULL", "DOCU_CHR_numSET", "ITM_NULL", "DOCU_ITM_RADIX", "ITM_PERIOD", AS144), ".lo", ),"MNU_", "-MNU_")</f>
        <v>ITM_NULL</v>
      </c>
      <c r="BE144" s="157" t="str" cm="1">
        <f t="array" ref="BE144">SUBSTITUTE(SUBSTITUTE(_xlfn.SWITCH(AT144, "ITM_T_HOME", "ITM_UP1", "ITM_T_END", "ITM_DOWN1", "DOCU_CHR_sub", "ITM_DOWN_ARROW", "DOCU_CHR_super", "ITM_UP_ARROW", "MNU_TAMALPHA", "ITM_alpha", "DOCU_CHR_caseFLIP", "ITM_NULL", "DOCU_CHR_numSET", "ITM_NULL", "DOCU_ITM_RADIX", "ITM_PERIOD", AT144), ".lo", ),"MNU_", "-MNU_")</f>
        <v>ITM_REG_A</v>
      </c>
      <c r="BG144" s="75"/>
      <c r="BI144" s="13" t="str">
        <f t="shared" ref="BI144:BI179" si="60">"  "&amp;AW144&amp;", "&amp;REPT(" ",$BH$54-LEN(AW144))&amp;
AX144&amp;", "&amp;REPT(" ",$BH$54-LEN(AX144))&amp;
AY144&amp;", "&amp;REPT(" ",$BH$54-LEN(AY144))&amp;
AZ144&amp;", "&amp;REPT(" ",$BH$54-LEN(AZ144))&amp;
BA144&amp;", "&amp;REPT(" ",$BH$54-LEN(BA144))&amp;
BB144&amp;", "&amp;REPT(" ",$BH$54-LEN(BB144))&amp;
BC144&amp;", "&amp;REPT(" ",$BH$54-LEN(BC144))&amp;
BD144&amp;", "&amp;REPT(" ",$BH$54-LEN(BD144))&amp;
BE144&amp;REPT(" ",$BH$54-LEN(BE144))&amp;
"},"</f>
        <v xml:space="preserve">  {21,                  ITM_STO,              ITM_RI,               ITM_TGLFRT,           ITM_NULL,             ITM_A,                ITM_a,                ITM_NULL,             ITM_REG_A           },</v>
      </c>
    </row>
    <row r="145" spans="24:61" ht="21" x14ac:dyDescent="0.2">
      <c r="X145" s="129" t="str">
        <f t="shared" si="51"/>
        <v>E47</v>
      </c>
      <c r="Y145" s="109">
        <v>2</v>
      </c>
      <c r="Z145" s="109">
        <v>2</v>
      </c>
      <c r="AA145" s="112" t="str">
        <f t="shared" si="50"/>
        <v>E47.22</v>
      </c>
      <c r="AB145" s="117" t="s">
        <v>94</v>
      </c>
      <c r="AC145" s="118" t="s">
        <v>103</v>
      </c>
      <c r="AD145" s="119" t="s">
        <v>56</v>
      </c>
      <c r="AE145" s="3"/>
      <c r="AF145" s="49" t="s">
        <v>57</v>
      </c>
      <c r="AG145" s="77" t="b">
        <f t="shared" ref="AG145:AG180" si="61">AF145=AH145</f>
        <v>1</v>
      </c>
      <c r="AH145" s="83" t="str">
        <f t="shared" si="52"/>
        <v>b</v>
      </c>
      <c r="AI145" s="84" t="str">
        <f t="shared" si="53"/>
        <v xml:space="preserve"> </v>
      </c>
      <c r="AJ145" s="85" t="str">
        <f t="shared" si="54"/>
        <v>Reg B</v>
      </c>
      <c r="AK145" s="6"/>
      <c r="AL145" s="8" t="str">
        <f t="shared" si="55"/>
        <v>{22</v>
      </c>
      <c r="AM145" s="27" t="str">
        <f t="shared" si="56"/>
        <v>ITM_RCL</v>
      </c>
      <c r="AN145" s="27" t="str">
        <f t="shared" si="57"/>
        <v>ITM_XTHROOT</v>
      </c>
      <c r="AO145" s="27" t="str">
        <f t="shared" si="58"/>
        <v>ITM_HASH_JM</v>
      </c>
      <c r="AP145" s="46" t="str">
        <f>IF(NOT(ISNA(MATCH(AM145,Lookups!E:E,))),VLOOKUP(AM145,Lookups!E:F,2,0),
IF(NOT(ISNA(MATCH(AN145,Lookups!E:E,))),VLOOKUP(AN145,Lookups!E:F,2,0),
IF(NOT(ISNA(MATCH(AO145,Lookups!E:E,))),VLOOKUP(AO145,Lookups!E:F,2,0),"ITM_NULL")))</f>
        <v>ITM_NUMBER_SIGN</v>
      </c>
      <c r="AQ145" s="28" t="str">
        <f t="shared" si="59"/>
        <v>ITM_B</v>
      </c>
      <c r="AR145" s="195" t="s">
        <v>58</v>
      </c>
      <c r="AS145" s="186" t="s">
        <v>81</v>
      </c>
      <c r="AT145" s="196" t="s">
        <v>60</v>
      </c>
      <c r="AW145" s="14" t="str">
        <f t="shared" ref="AW145:AW180" si="62">AL145</f>
        <v>{22</v>
      </c>
      <c r="AX145" s="157" t="str" cm="1">
        <f t="array" ref="AX145">SUBSTITUTE(SUBSTITUTE(_xlfn.SWITCH(AM145, "ITM_T_HOME", "ITM_UP1", "ITM_T_END", "ITM_DOWN1", "DOCU_CHR_sub", "ITM_DOWN_ARROW", "DOCU_CHR_super", "ITM_UP_ARROW", "MNU_TAMALPHA", "ITM_alpha", "DOCU_CHR_caseFLIP", "ITM_NULL", "DOCU_CHR_numSET", "ITM_NULL", "DOCU_ITM_RADIX", "ITM_PERIOD", AM145), ".lo", ),"MNU_", "-MNU_")</f>
        <v>ITM_RCL</v>
      </c>
      <c r="AY145" s="157" t="str" cm="1">
        <f t="array" ref="AY145">SUBSTITUTE(SUBSTITUTE(_xlfn.SWITCH(AN145, "ITM_T_HOME", "ITM_UP1", "ITM_T_END", "ITM_DOWN1", "DOCU_CHR_sub", "ITM_DOWN_ARROW", "DOCU_CHR_super", "ITM_UP_ARROW", "MNU_TAMALPHA", "ITM_alpha", "DOCU_CHR_caseFLIP", "ITM_NULL", "DOCU_CHR_numSET", "ITM_NULL", "DOCU_ITM_RADIX", "ITM_PERIOD", AN145), ".lo", ),"MNU_", "-MNU_")</f>
        <v>ITM_XTHROOT</v>
      </c>
      <c r="AZ145" s="157" t="str" cm="1">
        <f t="array" ref="AZ145">SUBSTITUTE(SUBSTITUTE(_xlfn.SWITCH(AO145, "ITM_T_HOME", "ITM_UP1", "ITM_T_END", "ITM_DOWN1", "DOCU_CHR_sub", "ITM_DOWN_ARROW", "DOCU_CHR_super", "ITM_UP_ARROW", "MNU_TAMALPHA", "ITM_alpha", "DOCU_CHR_caseFLIP", "ITM_NULL", "DOCU_CHR_numSET", "ITM_NULL", "DOCU_ITM_RADIX", "ITM_PERIOD", AO145), ".lo", ),"MNU_", "-MNU_")</f>
        <v>ITM_HASH_JM</v>
      </c>
      <c r="BA145" s="173" t="str" cm="1">
        <f t="array" ref="BA145">SUBSTITUTE(SUBSTITUTE(_xlfn.SWITCH(AP145, "ITM_T_HOME", "ITM_UP1", "ITM_T_END", "ITM_DOWN1", "DOCU_CHR_sub", "ITM_DOWN_ARROW", "DOCU_CHR_super", "ITM_UP_ARROW", "MNU_TAMALPHA", "ITM_alpha", "DOCU_CHR_caseFLIP", "ITM_NULL", "DOCU_CHR_numSET", "ITM_NULL", "DOCU_ITM_RADIX", "ITM_PERIOD", AP145), ".lo", ),"MNU_", "-MNU_")</f>
        <v>ITM_NUMBER_SIGN</v>
      </c>
      <c r="BB145" s="157" t="str" cm="1">
        <f t="array" ref="BB145">SUBSTITUTE(SUBSTITUTE(_xlfn.SWITCH(AQ145, "ITM_T_HOME", "ITM_UP1", "ITM_T_END", "ITM_DOWN1", "DOCU_CHR_sub", "ITM_DOWN_ARROW", "DOCU_CHR_super", "ITM_UP_ARROW", "MNU_TAMALPHA", "ITM_alpha", "DOCU_CHR_caseFLIP", "ITM_NULL", "DOCU_CHR_numSET", "ITM_NULL", "DOCU_ITM_RADIX", "ITM_PERIOD", AQ145), ".lo", ),"MNU_", "-MNU_")</f>
        <v>ITM_B</v>
      </c>
      <c r="BC145" s="157" t="str" cm="1">
        <f t="array" ref="BC145">SUBSTITUTE(SUBSTITUTE(_xlfn.SWITCH(AR145, "ITM_T_HOME", "ITM_UP1", "ITM_T_END", "ITM_DOWN1", "DOCU_CHR_sub", "ITM_DOWN_ARROW", "DOCU_CHR_super", "ITM_UP_ARROW", "MNU_TAMALPHA", "ITM_alpha", "DOCU_CHR_caseFLIP", "ITM_NULL", "DOCU_CHR_numSET", "ITM_NULL", "DOCU_ITM_RADIX", "ITM_PERIOD", AR145), ".lo", ),"MNU_", "-MNU_")</f>
        <v>ITM_b</v>
      </c>
      <c r="BD145" s="157" t="str" cm="1">
        <f t="array" ref="BD145">SUBSTITUTE(SUBSTITUTE(_xlfn.SWITCH(AS145, "ITM_T_HOME", "ITM_UP1", "ITM_T_END", "ITM_DOWN1", "DOCU_CHR_sub", "ITM_DOWN_ARROW", "DOCU_CHR_super", "ITM_UP_ARROW", "MNU_TAMALPHA", "ITM_alpha", "DOCU_CHR_caseFLIP", "ITM_NULL", "DOCU_CHR_numSET", "ITM_NULL", "DOCU_ITM_RADIX", "ITM_PERIOD", AS145), ".lo", ),"MNU_", "-MNU_")</f>
        <v>ITM_NULL</v>
      </c>
      <c r="BE145" s="157" t="str" cm="1">
        <f t="array" ref="BE145">SUBSTITUTE(SUBSTITUTE(_xlfn.SWITCH(AT145, "ITM_T_HOME", "ITM_UP1", "ITM_T_END", "ITM_DOWN1", "DOCU_CHR_sub", "ITM_DOWN_ARROW", "DOCU_CHR_super", "ITM_UP_ARROW", "MNU_TAMALPHA", "ITM_alpha", "DOCU_CHR_caseFLIP", "ITM_NULL", "DOCU_CHR_numSET", "ITM_NULL", "DOCU_ITM_RADIX", "ITM_PERIOD", AT145), ".lo", ),"MNU_", "-MNU_")</f>
        <v>ITM_REG_B</v>
      </c>
      <c r="BG145" s="75"/>
      <c r="BI145" s="13" t="str">
        <f t="shared" si="60"/>
        <v xml:space="preserve">  {22,                  ITM_RCL,              ITM_XTHROOT,          ITM_HASH_JM,          ITM_NUMBER_SIGN,      ITM_B,                ITM_b,                ITM_NULL,             ITM_REG_B           },</v>
      </c>
    </row>
    <row r="146" spans="24:61" ht="21" x14ac:dyDescent="0.2">
      <c r="X146" s="129" t="str">
        <f t="shared" si="51"/>
        <v>E47</v>
      </c>
      <c r="Y146" s="109">
        <v>2</v>
      </c>
      <c r="Z146" s="109">
        <v>3</v>
      </c>
      <c r="AA146" s="112" t="str">
        <f t="shared" si="50"/>
        <v>E47.23</v>
      </c>
      <c r="AB146" s="117" t="s">
        <v>54</v>
      </c>
      <c r="AC146" s="118" t="s">
        <v>55</v>
      </c>
      <c r="AD146" s="119" t="s">
        <v>63</v>
      </c>
      <c r="AE146" s="3"/>
      <c r="AF146" s="49" t="s">
        <v>64</v>
      </c>
      <c r="AG146" s="77" t="b">
        <f t="shared" si="61"/>
        <v>1</v>
      </c>
      <c r="AH146" s="83" t="str">
        <f t="shared" si="52"/>
        <v>c</v>
      </c>
      <c r="AI146" s="84" t="str">
        <f t="shared" si="53"/>
        <v xml:space="preserve"> </v>
      </c>
      <c r="AJ146" s="85" t="str">
        <f t="shared" si="54"/>
        <v>Reg C</v>
      </c>
      <c r="AK146" s="6"/>
      <c r="AL146" s="8" t="str">
        <f t="shared" si="55"/>
        <v>{23</v>
      </c>
      <c r="AM146" s="27" t="str">
        <f t="shared" si="56"/>
        <v>ITM_1ONX</v>
      </c>
      <c r="AN146" s="27" t="str">
        <f t="shared" si="57"/>
        <v>ITM_YX</v>
      </c>
      <c r="AO146" s="27" t="str">
        <f t="shared" si="58"/>
        <v>ITM_ms</v>
      </c>
      <c r="AP146" s="46" t="str">
        <f>IF(NOT(ISNA(MATCH(AM146,Lookups!E:E,))),VLOOKUP(AM146,Lookups!E:F,2,0),
IF(NOT(ISNA(MATCH(AN146,Lookups!E:E,))),VLOOKUP(AN146,Lookups!E:F,2,0),
IF(NOT(ISNA(MATCH(AO146,Lookups!E:E,))),VLOOKUP(AO146,Lookups!E:F,2,0),"ITM_NULL")))</f>
        <v>ITM_NULL</v>
      </c>
      <c r="AQ146" s="28" t="str">
        <f t="shared" si="59"/>
        <v>ITM_C</v>
      </c>
      <c r="AR146" s="195" t="s">
        <v>65</v>
      </c>
      <c r="AS146" s="186" t="s">
        <v>81</v>
      </c>
      <c r="AT146" s="196" t="s">
        <v>67</v>
      </c>
      <c r="AW146" s="14" t="str">
        <f t="shared" si="62"/>
        <v>{23</v>
      </c>
      <c r="AX146" s="157" t="str" cm="1">
        <f t="array" ref="AX146">SUBSTITUTE(SUBSTITUTE(_xlfn.SWITCH(AM146, "ITM_T_HOME", "ITM_UP1", "ITM_T_END", "ITM_DOWN1", "DOCU_CHR_sub", "ITM_DOWN_ARROW", "DOCU_CHR_super", "ITM_UP_ARROW", "MNU_TAMALPHA", "ITM_alpha", "DOCU_CHR_caseFLIP", "ITM_NULL", "DOCU_CHR_numSET", "ITM_NULL", "DOCU_ITM_RADIX", "ITM_PERIOD", AM146), ".lo", ),"MNU_", "-MNU_")</f>
        <v>ITM_1ONX</v>
      </c>
      <c r="AY146" s="157" t="str" cm="1">
        <f t="array" ref="AY146">SUBSTITUTE(SUBSTITUTE(_xlfn.SWITCH(AN146, "ITM_T_HOME", "ITM_UP1", "ITM_T_END", "ITM_DOWN1", "DOCU_CHR_sub", "ITM_DOWN_ARROW", "DOCU_CHR_super", "ITM_UP_ARROW", "MNU_TAMALPHA", "ITM_alpha", "DOCU_CHR_caseFLIP", "ITM_NULL", "DOCU_CHR_numSET", "ITM_NULL", "DOCU_ITM_RADIX", "ITM_PERIOD", AN146), ".lo", ),"MNU_", "-MNU_")</f>
        <v>ITM_YX</v>
      </c>
      <c r="AZ146" s="157" t="str" cm="1">
        <f t="array" ref="AZ146">SUBSTITUTE(SUBSTITUTE(_xlfn.SWITCH(AO146, "ITM_T_HOME", "ITM_UP1", "ITM_T_END", "ITM_DOWN1", "DOCU_CHR_sub", "ITM_DOWN_ARROW", "DOCU_CHR_super", "ITM_UP_ARROW", "MNU_TAMALPHA", "ITM_alpha", "DOCU_CHR_caseFLIP", "ITM_NULL", "DOCU_CHR_numSET", "ITM_NULL", "DOCU_ITM_RADIX", "ITM_PERIOD", AO146), ".lo", ),"MNU_", "-MNU_")</f>
        <v>ITM_ms</v>
      </c>
      <c r="BA146" s="173" t="str" cm="1">
        <f t="array" ref="BA146">SUBSTITUTE(SUBSTITUTE(_xlfn.SWITCH(AP146, "ITM_T_HOME", "ITM_UP1", "ITM_T_END", "ITM_DOWN1", "DOCU_CHR_sub", "ITM_DOWN_ARROW", "DOCU_CHR_super", "ITM_UP_ARROW", "MNU_TAMALPHA", "ITM_alpha", "DOCU_CHR_caseFLIP", "ITM_NULL", "DOCU_CHR_numSET", "ITM_NULL", "DOCU_ITM_RADIX", "ITM_PERIOD", AP146), ".lo", ),"MNU_", "-MNU_")</f>
        <v>ITM_NULL</v>
      </c>
      <c r="BB146" s="157" t="str" cm="1">
        <f t="array" ref="BB146">SUBSTITUTE(SUBSTITUTE(_xlfn.SWITCH(AQ146, "ITM_T_HOME", "ITM_UP1", "ITM_T_END", "ITM_DOWN1", "DOCU_CHR_sub", "ITM_DOWN_ARROW", "DOCU_CHR_super", "ITM_UP_ARROW", "MNU_TAMALPHA", "ITM_alpha", "DOCU_CHR_caseFLIP", "ITM_NULL", "DOCU_CHR_numSET", "ITM_NULL", "DOCU_ITM_RADIX", "ITM_PERIOD", AQ146), ".lo", ),"MNU_", "-MNU_")</f>
        <v>ITM_C</v>
      </c>
      <c r="BC146" s="157" t="str" cm="1">
        <f t="array" ref="BC146">SUBSTITUTE(SUBSTITUTE(_xlfn.SWITCH(AR146, "ITM_T_HOME", "ITM_UP1", "ITM_T_END", "ITM_DOWN1", "DOCU_CHR_sub", "ITM_DOWN_ARROW", "DOCU_CHR_super", "ITM_UP_ARROW", "MNU_TAMALPHA", "ITM_alpha", "DOCU_CHR_caseFLIP", "ITM_NULL", "DOCU_CHR_numSET", "ITM_NULL", "DOCU_ITM_RADIX", "ITM_PERIOD", AR146), ".lo", ),"MNU_", "-MNU_")</f>
        <v>ITM_c</v>
      </c>
      <c r="BD146" s="157" t="str" cm="1">
        <f t="array" ref="BD146">SUBSTITUTE(SUBSTITUTE(_xlfn.SWITCH(AS146, "ITM_T_HOME", "ITM_UP1", "ITM_T_END", "ITM_DOWN1", "DOCU_CHR_sub", "ITM_DOWN_ARROW", "DOCU_CHR_super", "ITM_UP_ARROW", "MNU_TAMALPHA", "ITM_alpha", "DOCU_CHR_caseFLIP", "ITM_NULL", "DOCU_CHR_numSET", "ITM_NULL", "DOCU_ITM_RADIX", "ITM_PERIOD", AS146), ".lo", ),"MNU_", "-MNU_")</f>
        <v>ITM_NULL</v>
      </c>
      <c r="BE146" s="157" t="str" cm="1">
        <f t="array" ref="BE146">SUBSTITUTE(SUBSTITUTE(_xlfn.SWITCH(AT146, "ITM_T_HOME", "ITM_UP1", "ITM_T_END", "ITM_DOWN1", "DOCU_CHR_sub", "ITM_DOWN_ARROW", "DOCU_CHR_super", "ITM_UP_ARROW", "MNU_TAMALPHA", "ITM_alpha", "DOCU_CHR_caseFLIP", "ITM_NULL", "DOCU_CHR_numSET", "ITM_NULL", "DOCU_ITM_RADIX", "ITM_PERIOD", AT146), ".lo", ),"MNU_", "-MNU_")</f>
        <v>ITM_REG_C</v>
      </c>
      <c r="BG146" s="75"/>
      <c r="BI146" s="13" t="str">
        <f t="shared" si="60"/>
        <v xml:space="preserve">  {23,                  ITM_1ONX,             ITM_YX,               ITM_ms,               ITM_NULL,             ITM_C,                ITM_c,                ITM_NULL,             ITM_REG_C           },</v>
      </c>
    </row>
    <row r="147" spans="24:61" ht="21" x14ac:dyDescent="0.2">
      <c r="X147" s="129" t="str">
        <f t="shared" si="51"/>
        <v>E47</v>
      </c>
      <c r="Y147" s="109">
        <v>2</v>
      </c>
      <c r="Z147" s="109">
        <v>4</v>
      </c>
      <c r="AA147" s="112" t="str">
        <f t="shared" si="50"/>
        <v>E47.24</v>
      </c>
      <c r="AB147" s="117" t="s">
        <v>61</v>
      </c>
      <c r="AC147" s="118" t="s">
        <v>62</v>
      </c>
      <c r="AD147" s="119" t="s">
        <v>70</v>
      </c>
      <c r="AE147" s="3"/>
      <c r="AF147" s="49" t="s">
        <v>71</v>
      </c>
      <c r="AG147" s="77" t="b">
        <f t="shared" si="61"/>
        <v>1</v>
      </c>
      <c r="AH147" s="83" t="str">
        <f t="shared" si="52"/>
        <v>d</v>
      </c>
      <c r="AI147" s="84" t="str">
        <f t="shared" si="53"/>
        <v>√</v>
      </c>
      <c r="AJ147" s="85" t="str">
        <f t="shared" si="54"/>
        <v>Reg D</v>
      </c>
      <c r="AK147" s="6"/>
      <c r="AL147" s="8" t="str">
        <f t="shared" si="55"/>
        <v>{24</v>
      </c>
      <c r="AM147" s="27" t="str">
        <f t="shared" si="56"/>
        <v>ITM_SQUAREROOTX</v>
      </c>
      <c r="AN147" s="27" t="str">
        <f t="shared" si="57"/>
        <v>ITM_SQUARE</v>
      </c>
      <c r="AO147" s="27" t="str">
        <f t="shared" si="58"/>
        <v>ITM_dotD</v>
      </c>
      <c r="AP147" s="46" t="str">
        <f>IF(NOT(ISNA(MATCH(AM147,Lookups!E:E,))),VLOOKUP(AM147,Lookups!E:F,2,0),
IF(NOT(ISNA(MATCH(AN147,Lookups!E:E,))),VLOOKUP(AN147,Lookups!E:F,2,0),
IF(NOT(ISNA(MATCH(AO147,Lookups!E:E,))),VLOOKUP(AO147,Lookups!E:F,2,0),"ITM_NULL")))</f>
        <v>ITM_ROOT_SIGN</v>
      </c>
      <c r="AQ147" s="28" t="str">
        <f t="shared" si="59"/>
        <v>ITM_D</v>
      </c>
      <c r="AR147" s="195" t="s">
        <v>72</v>
      </c>
      <c r="AS147" s="186" t="s">
        <v>66</v>
      </c>
      <c r="AT147" s="196" t="s">
        <v>74</v>
      </c>
      <c r="AW147" s="14" t="str">
        <f t="shared" si="62"/>
        <v>{24</v>
      </c>
      <c r="AX147" s="157" t="str" cm="1">
        <f t="array" ref="AX147">SUBSTITUTE(SUBSTITUTE(_xlfn.SWITCH(AM147, "ITM_T_HOME", "ITM_UP1", "ITM_T_END", "ITM_DOWN1", "DOCU_CHR_sub", "ITM_DOWN_ARROW", "DOCU_CHR_super", "ITM_UP_ARROW", "MNU_TAMALPHA", "ITM_alpha", "DOCU_CHR_caseFLIP", "ITM_NULL", "DOCU_CHR_numSET", "ITM_NULL", "DOCU_ITM_RADIX", "ITM_PERIOD", AM147), ".lo", ),"MNU_", "-MNU_")</f>
        <v>ITM_SQUAREROOTX</v>
      </c>
      <c r="AY147" s="157" t="str" cm="1">
        <f t="array" ref="AY147">SUBSTITUTE(SUBSTITUTE(_xlfn.SWITCH(AN147, "ITM_T_HOME", "ITM_UP1", "ITM_T_END", "ITM_DOWN1", "DOCU_CHR_sub", "ITM_DOWN_ARROW", "DOCU_CHR_super", "ITM_UP_ARROW", "MNU_TAMALPHA", "ITM_alpha", "DOCU_CHR_caseFLIP", "ITM_NULL", "DOCU_CHR_numSET", "ITM_NULL", "DOCU_ITM_RADIX", "ITM_PERIOD", AN147), ".lo", ),"MNU_", "-MNU_")</f>
        <v>ITM_SQUARE</v>
      </c>
      <c r="AZ147" s="157" t="str" cm="1">
        <f t="array" ref="AZ147">SUBSTITUTE(SUBSTITUTE(_xlfn.SWITCH(AO147, "ITM_T_HOME", "ITM_UP1", "ITM_T_END", "ITM_DOWN1", "DOCU_CHR_sub", "ITM_DOWN_ARROW", "DOCU_CHR_super", "ITM_UP_ARROW", "MNU_TAMALPHA", "ITM_alpha", "DOCU_CHR_caseFLIP", "ITM_NULL", "DOCU_CHR_numSET", "ITM_NULL", "DOCU_ITM_RADIX", "ITM_PERIOD", AO147), ".lo", ),"MNU_", "-MNU_")</f>
        <v>ITM_dotD</v>
      </c>
      <c r="BA147" s="173" t="str" cm="1">
        <f t="array" ref="BA147">SUBSTITUTE(SUBSTITUTE(_xlfn.SWITCH(AP147, "ITM_T_HOME", "ITM_UP1", "ITM_T_END", "ITM_DOWN1", "DOCU_CHR_sub", "ITM_DOWN_ARROW", "DOCU_CHR_super", "ITM_UP_ARROW", "MNU_TAMALPHA", "ITM_alpha", "DOCU_CHR_caseFLIP", "ITM_NULL", "DOCU_CHR_numSET", "ITM_NULL", "DOCU_ITM_RADIX", "ITM_PERIOD", AP147), ".lo", ),"MNU_", "-MNU_")</f>
        <v>ITM_ROOT_SIGN</v>
      </c>
      <c r="BB147" s="157" t="str" cm="1">
        <f t="array" ref="BB147">SUBSTITUTE(SUBSTITUTE(_xlfn.SWITCH(AQ147, "ITM_T_HOME", "ITM_UP1", "ITM_T_END", "ITM_DOWN1", "DOCU_CHR_sub", "ITM_DOWN_ARROW", "DOCU_CHR_super", "ITM_UP_ARROW", "MNU_TAMALPHA", "ITM_alpha", "DOCU_CHR_caseFLIP", "ITM_NULL", "DOCU_CHR_numSET", "ITM_NULL", "DOCU_ITM_RADIX", "ITM_PERIOD", AQ147), ".lo", ),"MNU_", "-MNU_")</f>
        <v>ITM_D</v>
      </c>
      <c r="BC147" s="157" t="str" cm="1">
        <f t="array" ref="BC147">SUBSTITUTE(SUBSTITUTE(_xlfn.SWITCH(AR147, "ITM_T_HOME", "ITM_UP1", "ITM_T_END", "ITM_DOWN1", "DOCU_CHR_sub", "ITM_DOWN_ARROW", "DOCU_CHR_super", "ITM_UP_ARROW", "MNU_TAMALPHA", "ITM_alpha", "DOCU_CHR_caseFLIP", "ITM_NULL", "DOCU_CHR_numSET", "ITM_NULL", "DOCU_ITM_RADIX", "ITM_PERIOD", AR147), ".lo", ),"MNU_", "-MNU_")</f>
        <v>ITM_d</v>
      </c>
      <c r="BD147" s="157" t="str" cm="1">
        <f t="array" ref="BD147">SUBSTITUTE(SUBSTITUTE(_xlfn.SWITCH(AS147, "ITM_T_HOME", "ITM_UP1", "ITM_T_END", "ITM_DOWN1", "DOCU_CHR_sub", "ITM_DOWN_ARROW", "DOCU_CHR_super", "ITM_UP_ARROW", "MNU_TAMALPHA", "ITM_alpha", "DOCU_CHR_caseFLIP", "ITM_NULL", "DOCU_CHR_numSET", "ITM_NULL", "DOCU_ITM_RADIX", "ITM_PERIOD", AS147), ".lo", ),"MNU_", "-MNU_")</f>
        <v>ITM_ROOT_SIGN</v>
      </c>
      <c r="BE147" s="157" t="str" cm="1">
        <f t="array" ref="BE147">SUBSTITUTE(SUBSTITUTE(_xlfn.SWITCH(AT147, "ITM_T_HOME", "ITM_UP1", "ITM_T_END", "ITM_DOWN1", "DOCU_CHR_sub", "ITM_DOWN_ARROW", "DOCU_CHR_super", "ITM_UP_ARROW", "MNU_TAMALPHA", "ITM_alpha", "DOCU_CHR_caseFLIP", "ITM_NULL", "DOCU_CHR_numSET", "ITM_NULL", "DOCU_ITM_RADIX", "ITM_PERIOD", AT147), ".lo", ),"MNU_", "-MNU_")</f>
        <v>ITM_REG_D</v>
      </c>
      <c r="BG147" s="75"/>
      <c r="BI147" s="13" t="str">
        <f t="shared" si="60"/>
        <v xml:space="preserve">  {24,                  ITM_SQUAREROOTX,      ITM_SQUARE,           ITM_dotD,             ITM_ROOT_SIGN,        ITM_D,                ITM_d,                ITM_ROOT_SIGN,        ITM_REG_D           },</v>
      </c>
    </row>
    <row r="148" spans="24:61" ht="21" x14ac:dyDescent="0.2">
      <c r="X148" s="129" t="str">
        <f t="shared" si="51"/>
        <v>E47</v>
      </c>
      <c r="Y148" s="109">
        <v>2</v>
      </c>
      <c r="Z148" s="109">
        <v>5</v>
      </c>
      <c r="AA148" s="112" t="str">
        <f t="shared" si="50"/>
        <v>E47.25</v>
      </c>
      <c r="AB148" s="117" t="s">
        <v>68</v>
      </c>
      <c r="AC148" s="118" t="s">
        <v>69</v>
      </c>
      <c r="AD148" s="119" t="s">
        <v>117</v>
      </c>
      <c r="AE148" s="3"/>
      <c r="AF148" s="49" t="s">
        <v>78</v>
      </c>
      <c r="AG148" s="77" t="b">
        <f t="shared" si="61"/>
        <v>1</v>
      </c>
      <c r="AH148" s="83" t="str">
        <f t="shared" si="52"/>
        <v>e</v>
      </c>
      <c r="AI148" s="84" t="str">
        <f t="shared" si="53"/>
        <v>LOG</v>
      </c>
      <c r="AJ148" s="85" t="str">
        <f t="shared" si="54"/>
        <v xml:space="preserve"> </v>
      </c>
      <c r="AK148" s="6"/>
      <c r="AL148" s="8" t="str">
        <f t="shared" si="55"/>
        <v>{25</v>
      </c>
      <c r="AM148" s="27" t="str">
        <f t="shared" si="56"/>
        <v>ITM_LOG10</v>
      </c>
      <c r="AN148" s="27" t="str">
        <f t="shared" si="57"/>
        <v>ITM_10x</v>
      </c>
      <c r="AO148" s="27" t="str">
        <f t="shared" si="58"/>
        <v>ITM_toREC2</v>
      </c>
      <c r="AP148" s="46" t="str">
        <f>IF(NOT(ISNA(MATCH(AM148,Lookups!E:E,))),VLOOKUP(AM148,Lookups!E:F,2,0),
IF(NOT(ISNA(MATCH(AN148,Lookups!E:E,))),VLOOKUP(AN148,Lookups!E:F,2,0),
IF(NOT(ISNA(MATCH(AO148,Lookups!E:E,))),VLOOKUP(AO148,Lookups!E:F,2,0),"ITM_NULL")))</f>
        <v>ITM_NULL</v>
      </c>
      <c r="AQ148" s="28" t="str">
        <f t="shared" si="59"/>
        <v>ITM_E</v>
      </c>
      <c r="AR148" s="195" t="s">
        <v>79</v>
      </c>
      <c r="AS148" s="186" t="s">
        <v>73</v>
      </c>
      <c r="AT148" s="197" t="s">
        <v>81</v>
      </c>
      <c r="AW148" s="14" t="str">
        <f t="shared" si="62"/>
        <v>{25</v>
      </c>
      <c r="AX148" s="157" t="str" cm="1">
        <f t="array" ref="AX148">SUBSTITUTE(SUBSTITUTE(_xlfn.SWITCH(AM148, "ITM_T_HOME", "ITM_UP1", "ITM_T_END", "ITM_DOWN1", "DOCU_CHR_sub", "ITM_DOWN_ARROW", "DOCU_CHR_super", "ITM_UP_ARROW", "MNU_TAMALPHA", "ITM_alpha", "DOCU_CHR_caseFLIP", "ITM_NULL", "DOCU_CHR_numSET", "ITM_NULL", "DOCU_ITM_RADIX", "ITM_PERIOD", AM148), ".lo", ),"MNU_", "-MNU_")</f>
        <v>ITM_LOG10</v>
      </c>
      <c r="AY148" s="157" t="str" cm="1">
        <f t="array" ref="AY148">SUBSTITUTE(SUBSTITUTE(_xlfn.SWITCH(AN148, "ITM_T_HOME", "ITM_UP1", "ITM_T_END", "ITM_DOWN1", "DOCU_CHR_sub", "ITM_DOWN_ARROW", "DOCU_CHR_super", "ITM_UP_ARROW", "MNU_TAMALPHA", "ITM_alpha", "DOCU_CHR_caseFLIP", "ITM_NULL", "DOCU_CHR_numSET", "ITM_NULL", "DOCU_ITM_RADIX", "ITM_PERIOD", AN148), ".lo", ),"MNU_", "-MNU_")</f>
        <v>ITM_10x</v>
      </c>
      <c r="AZ148" s="157" t="str" cm="1">
        <f t="array" ref="AZ148">SUBSTITUTE(SUBSTITUTE(_xlfn.SWITCH(AO148, "ITM_T_HOME", "ITM_UP1", "ITM_T_END", "ITM_DOWN1", "DOCU_CHR_sub", "ITM_DOWN_ARROW", "DOCU_CHR_super", "ITM_UP_ARROW", "MNU_TAMALPHA", "ITM_alpha", "DOCU_CHR_caseFLIP", "ITM_NULL", "DOCU_CHR_numSET", "ITM_NULL", "DOCU_ITM_RADIX", "ITM_PERIOD", AO148), ".lo", ),"MNU_", "-MNU_")</f>
        <v>ITM_toREC2</v>
      </c>
      <c r="BA148" s="173" t="str" cm="1">
        <f t="array" ref="BA148">SUBSTITUTE(SUBSTITUTE(_xlfn.SWITCH(AP148, "ITM_T_HOME", "ITM_UP1", "ITM_T_END", "ITM_DOWN1", "DOCU_CHR_sub", "ITM_DOWN_ARROW", "DOCU_CHR_super", "ITM_UP_ARROW", "MNU_TAMALPHA", "ITM_alpha", "DOCU_CHR_caseFLIP", "ITM_NULL", "DOCU_CHR_numSET", "ITM_NULL", "DOCU_ITM_RADIX", "ITM_PERIOD", AP148), ".lo", ),"MNU_", "-MNU_")</f>
        <v>ITM_NULL</v>
      </c>
      <c r="BB148" s="157" t="str" cm="1">
        <f t="array" ref="BB148">SUBSTITUTE(SUBSTITUTE(_xlfn.SWITCH(AQ148, "ITM_T_HOME", "ITM_UP1", "ITM_T_END", "ITM_DOWN1", "DOCU_CHR_sub", "ITM_DOWN_ARROW", "DOCU_CHR_super", "ITM_UP_ARROW", "MNU_TAMALPHA", "ITM_alpha", "DOCU_CHR_caseFLIP", "ITM_NULL", "DOCU_CHR_numSET", "ITM_NULL", "DOCU_ITM_RADIX", "ITM_PERIOD", AQ148), ".lo", ),"MNU_", "-MNU_")</f>
        <v>ITM_E</v>
      </c>
      <c r="BC148" s="157" t="str" cm="1">
        <f t="array" ref="BC148">SUBSTITUTE(SUBSTITUTE(_xlfn.SWITCH(AR148, "ITM_T_HOME", "ITM_UP1", "ITM_T_END", "ITM_DOWN1", "DOCU_CHR_sub", "ITM_DOWN_ARROW", "DOCU_CHR_super", "ITM_UP_ARROW", "MNU_TAMALPHA", "ITM_alpha", "DOCU_CHR_caseFLIP", "ITM_NULL", "DOCU_CHR_numSET", "ITM_NULL", "DOCU_ITM_RADIX", "ITM_PERIOD", AR148), ".lo", ),"MNU_", "-MNU_")</f>
        <v>ITM_e</v>
      </c>
      <c r="BD148" s="157" t="str" cm="1">
        <f t="array" ref="BD148">SUBSTITUTE(SUBSTITUTE(_xlfn.SWITCH(AS148, "ITM_T_HOME", "ITM_UP1", "ITM_T_END", "ITM_DOWN1", "DOCU_CHR_sub", "ITM_DOWN_ARROW", "DOCU_CHR_super", "ITM_UP_ARROW", "MNU_TAMALPHA", "ITM_alpha", "DOCU_CHR_caseFLIP", "ITM_NULL", "DOCU_CHR_numSET", "ITM_NULL", "DOCU_ITM_RADIX", "ITM_PERIOD", AS148), ".lo", ),"MNU_", "-MNU_")</f>
        <v>ITM_LG_SIGN</v>
      </c>
      <c r="BE148" s="157" t="str" cm="1">
        <f t="array" ref="BE148">SUBSTITUTE(SUBSTITUTE(_xlfn.SWITCH(AT148, "ITM_T_HOME", "ITM_UP1", "ITM_T_END", "ITM_DOWN1", "DOCU_CHR_sub", "ITM_DOWN_ARROW", "DOCU_CHR_super", "ITM_UP_ARROW", "MNU_TAMALPHA", "ITM_alpha", "DOCU_CHR_caseFLIP", "ITM_NULL", "DOCU_CHR_numSET", "ITM_NULL", "DOCU_ITM_RADIX", "ITM_PERIOD", AT148), ".lo", ),"MNU_", "-MNU_")</f>
        <v>ITM_NULL</v>
      </c>
      <c r="BG148" s="75"/>
      <c r="BI148" s="13" t="str">
        <f t="shared" si="60"/>
        <v xml:space="preserve">  {25,                  ITM_LOG10,            ITM_10x,              ITM_toREC2,           ITM_NULL,             ITM_E,                ITM_e,                ITM_LG_SIGN,          ITM_NULL            },</v>
      </c>
    </row>
    <row r="149" spans="24:61" ht="21" x14ac:dyDescent="0.2">
      <c r="X149" s="129" t="str">
        <f t="shared" si="51"/>
        <v>E47</v>
      </c>
      <c r="Y149" s="109">
        <v>2</v>
      </c>
      <c r="Z149" s="109">
        <v>6</v>
      </c>
      <c r="AA149" s="112" t="str">
        <f t="shared" si="50"/>
        <v>E47.26</v>
      </c>
      <c r="AB149" s="117" t="s">
        <v>75</v>
      </c>
      <c r="AC149" s="118" t="s">
        <v>76</v>
      </c>
      <c r="AD149" s="119" t="s">
        <v>124</v>
      </c>
      <c r="AE149" s="3"/>
      <c r="AF149" s="49" t="s">
        <v>85</v>
      </c>
      <c r="AG149" s="77" t="b">
        <f t="shared" si="61"/>
        <v>1</v>
      </c>
      <c r="AH149" s="83" t="str">
        <f t="shared" si="52"/>
        <v>f</v>
      </c>
      <c r="AI149" s="84" t="str">
        <f t="shared" si="53"/>
        <v>LN</v>
      </c>
      <c r="AJ149" s="85" t="str">
        <f t="shared" si="54"/>
        <v xml:space="preserve"> </v>
      </c>
      <c r="AK149" s="6"/>
      <c r="AL149" s="8" t="str">
        <f t="shared" si="55"/>
        <v>{26</v>
      </c>
      <c r="AM149" s="27" t="str">
        <f t="shared" si="56"/>
        <v>ITM_LN</v>
      </c>
      <c r="AN149" s="27" t="str">
        <f t="shared" si="57"/>
        <v>ITM_EXP</v>
      </c>
      <c r="AO149" s="27" t="str">
        <f t="shared" si="58"/>
        <v>ITM_toPOL2</v>
      </c>
      <c r="AP149" s="46" t="str">
        <f>IF(NOT(ISNA(MATCH(AM149,Lookups!E:E,))),VLOOKUP(AM149,Lookups!E:F,2,0),
IF(NOT(ISNA(MATCH(AN149,Lookups!E:E,))),VLOOKUP(AN149,Lookups!E:F,2,0),
IF(NOT(ISNA(MATCH(AO149,Lookups!E:E,))),VLOOKUP(AO149,Lookups!E:F,2,0),"ITM_NULL")))</f>
        <v>ITM_NULL</v>
      </c>
      <c r="AQ149" s="28" t="str">
        <f t="shared" si="59"/>
        <v>ITM_F</v>
      </c>
      <c r="AR149" s="195" t="s">
        <v>86</v>
      </c>
      <c r="AS149" s="186" t="s">
        <v>80</v>
      </c>
      <c r="AT149" s="197" t="s">
        <v>81</v>
      </c>
      <c r="AW149" s="14" t="str">
        <f t="shared" si="62"/>
        <v>{26</v>
      </c>
      <c r="AX149" s="157" t="str" cm="1">
        <f t="array" ref="AX149">SUBSTITUTE(SUBSTITUTE(_xlfn.SWITCH(AM149, "ITM_T_HOME", "ITM_UP1", "ITM_T_END", "ITM_DOWN1", "DOCU_CHR_sub", "ITM_DOWN_ARROW", "DOCU_CHR_super", "ITM_UP_ARROW", "MNU_TAMALPHA", "ITM_alpha", "DOCU_CHR_caseFLIP", "ITM_NULL", "DOCU_CHR_numSET", "ITM_NULL", "DOCU_ITM_RADIX", "ITM_PERIOD", AM149), ".lo", ),"MNU_", "-MNU_")</f>
        <v>ITM_LN</v>
      </c>
      <c r="AY149" s="157" t="str" cm="1">
        <f t="array" ref="AY149">SUBSTITUTE(SUBSTITUTE(_xlfn.SWITCH(AN149, "ITM_T_HOME", "ITM_UP1", "ITM_T_END", "ITM_DOWN1", "DOCU_CHR_sub", "ITM_DOWN_ARROW", "DOCU_CHR_super", "ITM_UP_ARROW", "MNU_TAMALPHA", "ITM_alpha", "DOCU_CHR_caseFLIP", "ITM_NULL", "DOCU_CHR_numSET", "ITM_NULL", "DOCU_ITM_RADIX", "ITM_PERIOD", AN149), ".lo", ),"MNU_", "-MNU_")</f>
        <v>ITM_EXP</v>
      </c>
      <c r="AZ149" s="157" t="str" cm="1">
        <f t="array" ref="AZ149">SUBSTITUTE(SUBSTITUTE(_xlfn.SWITCH(AO149, "ITM_T_HOME", "ITM_UP1", "ITM_T_END", "ITM_DOWN1", "DOCU_CHR_sub", "ITM_DOWN_ARROW", "DOCU_CHR_super", "ITM_UP_ARROW", "MNU_TAMALPHA", "ITM_alpha", "DOCU_CHR_caseFLIP", "ITM_NULL", "DOCU_CHR_numSET", "ITM_NULL", "DOCU_ITM_RADIX", "ITM_PERIOD", AO149), ".lo", ),"MNU_", "-MNU_")</f>
        <v>ITM_toPOL2</v>
      </c>
      <c r="BA149" s="173" t="str" cm="1">
        <f t="array" ref="BA149">SUBSTITUTE(SUBSTITUTE(_xlfn.SWITCH(AP149, "ITM_T_HOME", "ITM_UP1", "ITM_T_END", "ITM_DOWN1", "DOCU_CHR_sub", "ITM_DOWN_ARROW", "DOCU_CHR_super", "ITM_UP_ARROW", "MNU_TAMALPHA", "ITM_alpha", "DOCU_CHR_caseFLIP", "ITM_NULL", "DOCU_CHR_numSET", "ITM_NULL", "DOCU_ITM_RADIX", "ITM_PERIOD", AP149), ".lo", ),"MNU_", "-MNU_")</f>
        <v>ITM_NULL</v>
      </c>
      <c r="BB149" s="157" t="str" cm="1">
        <f t="array" ref="BB149">SUBSTITUTE(SUBSTITUTE(_xlfn.SWITCH(AQ149, "ITM_T_HOME", "ITM_UP1", "ITM_T_END", "ITM_DOWN1", "DOCU_CHR_sub", "ITM_DOWN_ARROW", "DOCU_CHR_super", "ITM_UP_ARROW", "MNU_TAMALPHA", "ITM_alpha", "DOCU_CHR_caseFLIP", "ITM_NULL", "DOCU_CHR_numSET", "ITM_NULL", "DOCU_ITM_RADIX", "ITM_PERIOD", AQ149), ".lo", ),"MNU_", "-MNU_")</f>
        <v>ITM_F</v>
      </c>
      <c r="BC149" s="157" t="str" cm="1">
        <f t="array" ref="BC149">SUBSTITUTE(SUBSTITUTE(_xlfn.SWITCH(AR149, "ITM_T_HOME", "ITM_UP1", "ITM_T_END", "ITM_DOWN1", "DOCU_CHR_sub", "ITM_DOWN_ARROW", "DOCU_CHR_super", "ITM_UP_ARROW", "MNU_TAMALPHA", "ITM_alpha", "DOCU_CHR_caseFLIP", "ITM_NULL", "DOCU_CHR_numSET", "ITM_NULL", "DOCU_ITM_RADIX", "ITM_PERIOD", AR149), ".lo", ),"MNU_", "-MNU_")</f>
        <v>ITM_f</v>
      </c>
      <c r="BD149" s="157" t="str" cm="1">
        <f t="array" ref="BD149">SUBSTITUTE(SUBSTITUTE(_xlfn.SWITCH(AS149, "ITM_T_HOME", "ITM_UP1", "ITM_T_END", "ITM_DOWN1", "DOCU_CHR_sub", "ITM_DOWN_ARROW", "DOCU_CHR_super", "ITM_UP_ARROW", "MNU_TAMALPHA", "ITM_alpha", "DOCU_CHR_caseFLIP", "ITM_NULL", "DOCU_CHR_numSET", "ITM_NULL", "DOCU_ITM_RADIX", "ITM_PERIOD", AS149), ".lo", ),"MNU_", "-MNU_")</f>
        <v>ITM_LN_SIGN</v>
      </c>
      <c r="BE149" s="157" t="str" cm="1">
        <f t="array" ref="BE149">SUBSTITUTE(SUBSTITUTE(_xlfn.SWITCH(AT149, "ITM_T_HOME", "ITM_UP1", "ITM_T_END", "ITM_DOWN1", "DOCU_CHR_sub", "ITM_DOWN_ARROW", "DOCU_CHR_super", "ITM_UP_ARROW", "MNU_TAMALPHA", "ITM_alpha", "DOCU_CHR_caseFLIP", "ITM_NULL", "DOCU_CHR_numSET", "ITM_NULL", "DOCU_ITM_RADIX", "ITM_PERIOD", AT149), ".lo", ),"MNU_", "-MNU_")</f>
        <v>ITM_NULL</v>
      </c>
      <c r="BG149" s="75"/>
      <c r="BI149" s="13" t="str">
        <f t="shared" si="60"/>
        <v xml:space="preserve">  {26,                  ITM_LN,               ITM_EXP,              ITM_toPOL2,           ITM_NULL,             ITM_F,                ITM_f,                ITM_LN_SIGN,          ITM_NULL            },</v>
      </c>
    </row>
    <row r="150" spans="24:61" ht="21" x14ac:dyDescent="0.2">
      <c r="X150" s="129" t="str">
        <f t="shared" si="51"/>
        <v>E47</v>
      </c>
      <c r="Y150" s="106">
        <v>3</v>
      </c>
      <c r="Z150" s="106">
        <v>1</v>
      </c>
      <c r="AA150" s="112" t="str">
        <f t="shared" si="50"/>
        <v>E47.31</v>
      </c>
      <c r="AB150" s="121" t="s">
        <v>339</v>
      </c>
      <c r="AC150" s="118" t="str">
        <f>" "</f>
        <v xml:space="preserve"> </v>
      </c>
      <c r="AD150" s="119" t="s">
        <v>218</v>
      </c>
      <c r="AE150" s="3"/>
      <c r="AF150" s="130" t="s">
        <v>339</v>
      </c>
      <c r="AG150" s="77" t="b">
        <f t="shared" si="61"/>
        <v>0</v>
      </c>
      <c r="AH150" s="83" t="str">
        <f t="shared" si="52"/>
        <v xml:space="preserve"> </v>
      </c>
      <c r="AI150" s="84" t="str">
        <f t="shared" si="53"/>
        <v xml:space="preserve"> </v>
      </c>
      <c r="AJ150" s="85" t="str">
        <f t="shared" si="54"/>
        <v xml:space="preserve"> f </v>
      </c>
      <c r="AK150" s="6"/>
      <c r="AL150" s="8" t="str">
        <f t="shared" si="55"/>
        <v>{31</v>
      </c>
      <c r="AM150" s="27" t="str">
        <f t="shared" si="56"/>
        <v>ITM_SHIFTf</v>
      </c>
      <c r="AN150" s="27" t="str">
        <f t="shared" si="57"/>
        <v>ITM_NULL</v>
      </c>
      <c r="AO150" s="27" t="str">
        <f t="shared" si="58"/>
        <v>ITM_NULL</v>
      </c>
      <c r="AP150" s="46" t="str">
        <f>IF(NOT(ISNA(MATCH(AM150,Lookups!E:E,))),VLOOKUP(AM150,Lookups!E:F,2,0),
IF(NOT(ISNA(MATCH(AN150,Lookups!E:E,))),VLOOKUP(AN150,Lookups!E:F,2,0),
IF(NOT(ISNA(MATCH(AO150,Lookups!E:E,))),VLOOKUP(AO150,Lookups!E:F,2,0),"ITM_NULL")))</f>
        <v>ITM_SHIFTf</v>
      </c>
      <c r="AQ150" s="28" t="str">
        <f t="shared" si="59"/>
        <v>ITM_SHIFTf</v>
      </c>
      <c r="AR150" s="198" t="s">
        <v>81</v>
      </c>
      <c r="AS150" s="186" t="s">
        <v>81</v>
      </c>
      <c r="AT150" s="197" t="s">
        <v>340</v>
      </c>
      <c r="AW150" s="14" t="str">
        <f t="shared" si="62"/>
        <v>{31</v>
      </c>
      <c r="AX150" s="157" t="str" cm="1">
        <f t="array" ref="AX150">SUBSTITUTE(SUBSTITUTE(_xlfn.SWITCH(AM150, "ITM_T_HOME", "ITM_UP1", "ITM_T_END", "ITM_DOWN1", "DOCU_CHR_sub", "ITM_DOWN_ARROW", "DOCU_CHR_super", "ITM_UP_ARROW", "MNU_TAMALPHA", "ITM_alpha", "DOCU_CHR_caseFLIP", "ITM_NULL", "DOCU_CHR_numSET", "ITM_NULL", "DOCU_ITM_RADIX", "ITM_PERIOD", AM150), ".lo", ),"MNU_", "-MNU_")</f>
        <v>ITM_SHIFTf</v>
      </c>
      <c r="AY150" s="157" t="str" cm="1">
        <f t="array" ref="AY150">SUBSTITUTE(SUBSTITUTE(_xlfn.SWITCH(AN150, "ITM_T_HOME", "ITM_UP1", "ITM_T_END", "ITM_DOWN1", "DOCU_CHR_sub", "ITM_DOWN_ARROW", "DOCU_CHR_super", "ITM_UP_ARROW", "MNU_TAMALPHA", "ITM_alpha", "DOCU_CHR_caseFLIP", "ITM_NULL", "DOCU_CHR_numSET", "ITM_NULL", "DOCU_ITM_RADIX", "ITM_PERIOD", AN150), ".lo", ),"MNU_", "-MNU_")</f>
        <v>ITM_NULL</v>
      </c>
      <c r="AZ150" s="157" t="str" cm="1">
        <f t="array" ref="AZ150">SUBSTITUTE(SUBSTITUTE(_xlfn.SWITCH(AO150, "ITM_T_HOME", "ITM_UP1", "ITM_T_END", "ITM_DOWN1", "DOCU_CHR_sub", "ITM_DOWN_ARROW", "DOCU_CHR_super", "ITM_UP_ARROW", "MNU_TAMALPHA", "ITM_alpha", "DOCU_CHR_caseFLIP", "ITM_NULL", "DOCU_CHR_numSET", "ITM_NULL", "DOCU_ITM_RADIX", "ITM_PERIOD", AO150), ".lo", ),"MNU_", "-MNU_")</f>
        <v>ITM_NULL</v>
      </c>
      <c r="BA150" s="173" t="str" cm="1">
        <f t="array" ref="BA150">SUBSTITUTE(SUBSTITUTE(_xlfn.SWITCH(AP150, "ITM_T_HOME", "ITM_UP1", "ITM_T_END", "ITM_DOWN1", "DOCU_CHR_sub", "ITM_DOWN_ARROW", "DOCU_CHR_super", "ITM_UP_ARROW", "MNU_TAMALPHA", "ITM_alpha", "DOCU_CHR_caseFLIP", "ITM_NULL", "DOCU_CHR_numSET", "ITM_NULL", "DOCU_ITM_RADIX", "ITM_PERIOD", AP150), ".lo", ),"MNU_", "-MNU_")</f>
        <v>ITM_SHIFTf</v>
      </c>
      <c r="BB150" s="157" t="str" cm="1">
        <f t="array" ref="BB150">SUBSTITUTE(SUBSTITUTE(_xlfn.SWITCH(AQ150, "ITM_T_HOME", "ITM_UP1", "ITM_T_END", "ITM_DOWN1", "DOCU_CHR_sub", "ITM_DOWN_ARROW", "DOCU_CHR_super", "ITM_UP_ARROW", "MNU_TAMALPHA", "ITM_alpha", "DOCU_CHR_caseFLIP", "ITM_NULL", "DOCU_CHR_numSET", "ITM_NULL", "DOCU_ITM_RADIX", "ITM_PERIOD", AQ150), ".lo", ),"MNU_", "-MNU_")</f>
        <v>ITM_SHIFTf</v>
      </c>
      <c r="BC150" s="157" t="str" cm="1">
        <f t="array" ref="BC150">SUBSTITUTE(SUBSTITUTE(_xlfn.SWITCH(AR150, "ITM_T_HOME", "ITM_UP1", "ITM_T_END", "ITM_DOWN1", "DOCU_CHR_sub", "ITM_DOWN_ARROW", "DOCU_CHR_super", "ITM_UP_ARROW", "MNU_TAMALPHA", "ITM_alpha", "DOCU_CHR_caseFLIP", "ITM_NULL", "DOCU_CHR_numSET", "ITM_NULL", "DOCU_ITM_RADIX", "ITM_PERIOD", AR150), ".lo", ),"MNU_", "-MNU_")</f>
        <v>ITM_NULL</v>
      </c>
      <c r="BD150" s="157" t="str" cm="1">
        <f t="array" ref="BD150">SUBSTITUTE(SUBSTITUTE(_xlfn.SWITCH(AS150, "ITM_T_HOME", "ITM_UP1", "ITM_T_END", "ITM_DOWN1", "DOCU_CHR_sub", "ITM_DOWN_ARROW", "DOCU_CHR_super", "ITM_UP_ARROW", "MNU_TAMALPHA", "ITM_alpha", "DOCU_CHR_caseFLIP", "ITM_NULL", "DOCU_CHR_numSET", "ITM_NULL", "DOCU_ITM_RADIX", "ITM_PERIOD", AS150), ".lo", ),"MNU_", "-MNU_")</f>
        <v>ITM_NULL</v>
      </c>
      <c r="BE150" s="157" t="str" cm="1">
        <f t="array" ref="BE150">SUBSTITUTE(SUBSTITUTE(_xlfn.SWITCH(AT150, "ITM_T_HOME", "ITM_UP1", "ITM_T_END", "ITM_DOWN1", "DOCU_CHR_sub", "ITM_DOWN_ARROW", "DOCU_CHR_super", "ITM_UP_ARROW", "MNU_TAMALPHA", "ITM_alpha", "DOCU_CHR_caseFLIP", "ITM_NULL", "DOCU_CHR_numSET", "ITM_NULL", "DOCU_ITM_RADIX", "ITM_PERIOD", AT150), ".lo", ),"MNU_", "-MNU_")</f>
        <v>ITM_SHIFTf</v>
      </c>
      <c r="BG150" s="75"/>
      <c r="BI150" s="13" t="str">
        <f t="shared" si="60"/>
        <v xml:space="preserve">  {31,                  ITM_SHIFTf,           ITM_NULL,             ITM_NULL,             ITM_SHIFTf,           ITM_SHIFTf,           ITM_NULL,             ITM_NULL,             ITM_SHIFTf          },</v>
      </c>
    </row>
    <row r="151" spans="24:61" ht="21" x14ac:dyDescent="0.2">
      <c r="X151" s="129" t="str">
        <f t="shared" si="51"/>
        <v>E47</v>
      </c>
      <c r="Y151" s="109">
        <v>3</v>
      </c>
      <c r="Z151" s="109">
        <v>2</v>
      </c>
      <c r="AA151" s="112" t="str">
        <f t="shared" ref="AA151:AA180" si="63">X151&amp;"."&amp;Y151&amp;Z151</f>
        <v>E47.32</v>
      </c>
      <c r="AB151" s="121" t="s">
        <v>341</v>
      </c>
      <c r="AC151" s="118" t="s">
        <v>218</v>
      </c>
      <c r="AD151" s="119" t="s">
        <v>218</v>
      </c>
      <c r="AE151" s="3"/>
      <c r="AF151" s="121" t="s">
        <v>341</v>
      </c>
      <c r="AG151" s="77" t="b">
        <f t="shared" si="61"/>
        <v>0</v>
      </c>
      <c r="AH151" s="83" t="str">
        <f t="shared" si="52"/>
        <v xml:space="preserve"> </v>
      </c>
      <c r="AI151" s="84" t="str">
        <f t="shared" si="53"/>
        <v xml:space="preserve"> </v>
      </c>
      <c r="AJ151" s="85" t="str">
        <f t="shared" si="54"/>
        <v xml:space="preserve"> g </v>
      </c>
      <c r="AK151" s="6"/>
      <c r="AL151" s="8" t="str">
        <f t="shared" si="55"/>
        <v>{32</v>
      </c>
      <c r="AM151" s="27" t="str">
        <f t="shared" si="56"/>
        <v>ITM_SHIFTg</v>
      </c>
      <c r="AN151" s="27" t="str">
        <f t="shared" si="57"/>
        <v>ITM_NULL</v>
      </c>
      <c r="AO151" s="27" t="str">
        <f t="shared" si="58"/>
        <v>ITM_NULL</v>
      </c>
      <c r="AP151" s="46" t="str">
        <f>IF(NOT(ISNA(MATCH(AM151,Lookups!E:E,))),VLOOKUP(AM151,Lookups!E:F,2,0),
IF(NOT(ISNA(MATCH(AN151,Lookups!E:E,))),VLOOKUP(AN151,Lookups!E:F,2,0),
IF(NOT(ISNA(MATCH(AO151,Lookups!E:E,))),VLOOKUP(AO151,Lookups!E:F,2,0),"ITM_NULL")))</f>
        <v>ITM_SHIFTg</v>
      </c>
      <c r="AQ151" s="28" t="str">
        <f t="shared" si="59"/>
        <v>ITM_SHIFTg</v>
      </c>
      <c r="AR151" s="198" t="s">
        <v>81</v>
      </c>
      <c r="AS151" s="186" t="s">
        <v>81</v>
      </c>
      <c r="AT151" s="197" t="s">
        <v>343</v>
      </c>
      <c r="AW151" s="14" t="str">
        <f t="shared" si="62"/>
        <v>{32</v>
      </c>
      <c r="AX151" s="157" t="str" cm="1">
        <f t="array" ref="AX151">SUBSTITUTE(SUBSTITUTE(_xlfn.SWITCH(AM151, "ITM_T_HOME", "ITM_UP1", "ITM_T_END", "ITM_DOWN1", "DOCU_CHR_sub", "ITM_DOWN_ARROW", "DOCU_CHR_super", "ITM_UP_ARROW", "MNU_TAMALPHA", "ITM_alpha", "DOCU_CHR_caseFLIP", "ITM_NULL", "DOCU_CHR_numSET", "ITM_NULL", "DOCU_ITM_RADIX", "ITM_PERIOD", AM151), ".lo", ),"MNU_", "-MNU_")</f>
        <v>ITM_SHIFTg</v>
      </c>
      <c r="AY151" s="157" t="str" cm="1">
        <f t="array" ref="AY151">SUBSTITUTE(SUBSTITUTE(_xlfn.SWITCH(AN151, "ITM_T_HOME", "ITM_UP1", "ITM_T_END", "ITM_DOWN1", "DOCU_CHR_sub", "ITM_DOWN_ARROW", "DOCU_CHR_super", "ITM_UP_ARROW", "MNU_TAMALPHA", "ITM_alpha", "DOCU_CHR_caseFLIP", "ITM_NULL", "DOCU_CHR_numSET", "ITM_NULL", "DOCU_ITM_RADIX", "ITM_PERIOD", AN151), ".lo", ),"MNU_", "-MNU_")</f>
        <v>ITM_NULL</v>
      </c>
      <c r="AZ151" s="157" t="str" cm="1">
        <f t="array" ref="AZ151">SUBSTITUTE(SUBSTITUTE(_xlfn.SWITCH(AO151, "ITM_T_HOME", "ITM_UP1", "ITM_T_END", "ITM_DOWN1", "DOCU_CHR_sub", "ITM_DOWN_ARROW", "DOCU_CHR_super", "ITM_UP_ARROW", "MNU_TAMALPHA", "ITM_alpha", "DOCU_CHR_caseFLIP", "ITM_NULL", "DOCU_CHR_numSET", "ITM_NULL", "DOCU_ITM_RADIX", "ITM_PERIOD", AO151), ".lo", ),"MNU_", "-MNU_")</f>
        <v>ITM_NULL</v>
      </c>
      <c r="BA151" s="173" t="str" cm="1">
        <f t="array" ref="BA151">SUBSTITUTE(SUBSTITUTE(_xlfn.SWITCH(AP151, "ITM_T_HOME", "ITM_UP1", "ITM_T_END", "ITM_DOWN1", "DOCU_CHR_sub", "ITM_DOWN_ARROW", "DOCU_CHR_super", "ITM_UP_ARROW", "MNU_TAMALPHA", "ITM_alpha", "DOCU_CHR_caseFLIP", "ITM_NULL", "DOCU_CHR_numSET", "ITM_NULL", "DOCU_ITM_RADIX", "ITM_PERIOD", AP151), ".lo", ),"MNU_", "-MNU_")</f>
        <v>ITM_SHIFTg</v>
      </c>
      <c r="BB151" s="157" t="str" cm="1">
        <f t="array" ref="BB151">SUBSTITUTE(SUBSTITUTE(_xlfn.SWITCH(AQ151, "ITM_T_HOME", "ITM_UP1", "ITM_T_END", "ITM_DOWN1", "DOCU_CHR_sub", "ITM_DOWN_ARROW", "DOCU_CHR_super", "ITM_UP_ARROW", "MNU_TAMALPHA", "ITM_alpha", "DOCU_CHR_caseFLIP", "ITM_NULL", "DOCU_CHR_numSET", "ITM_NULL", "DOCU_ITM_RADIX", "ITM_PERIOD", AQ151), ".lo", ),"MNU_", "-MNU_")</f>
        <v>ITM_SHIFTg</v>
      </c>
      <c r="BC151" s="157" t="str" cm="1">
        <f t="array" ref="BC151">SUBSTITUTE(SUBSTITUTE(_xlfn.SWITCH(AR151, "ITM_T_HOME", "ITM_UP1", "ITM_T_END", "ITM_DOWN1", "DOCU_CHR_sub", "ITM_DOWN_ARROW", "DOCU_CHR_super", "ITM_UP_ARROW", "MNU_TAMALPHA", "ITM_alpha", "DOCU_CHR_caseFLIP", "ITM_NULL", "DOCU_CHR_numSET", "ITM_NULL", "DOCU_ITM_RADIX", "ITM_PERIOD", AR151), ".lo", ),"MNU_", "-MNU_")</f>
        <v>ITM_NULL</v>
      </c>
      <c r="BD151" s="157" t="str" cm="1">
        <f t="array" ref="BD151">SUBSTITUTE(SUBSTITUTE(_xlfn.SWITCH(AS151, "ITM_T_HOME", "ITM_UP1", "ITM_T_END", "ITM_DOWN1", "DOCU_CHR_sub", "ITM_DOWN_ARROW", "DOCU_CHR_super", "ITM_UP_ARROW", "MNU_TAMALPHA", "ITM_alpha", "DOCU_CHR_caseFLIP", "ITM_NULL", "DOCU_CHR_numSET", "ITM_NULL", "DOCU_ITM_RADIX", "ITM_PERIOD", AS151), ".lo", ),"MNU_", "-MNU_")</f>
        <v>ITM_NULL</v>
      </c>
      <c r="BE151" s="157" t="str" cm="1">
        <f t="array" ref="BE151">SUBSTITUTE(SUBSTITUTE(_xlfn.SWITCH(AT151, "ITM_T_HOME", "ITM_UP1", "ITM_T_END", "ITM_DOWN1", "DOCU_CHR_sub", "ITM_DOWN_ARROW", "DOCU_CHR_super", "ITM_UP_ARROW", "MNU_TAMALPHA", "ITM_alpha", "DOCU_CHR_caseFLIP", "ITM_NULL", "DOCU_CHR_numSET", "ITM_NULL", "DOCU_ITM_RADIX", "ITM_PERIOD", AT151), ".lo", ),"MNU_", "-MNU_")</f>
        <v>ITM_SHIFTg</v>
      </c>
      <c r="BG151" s="75"/>
      <c r="BI151" s="13" t="str">
        <f t="shared" si="60"/>
        <v xml:space="preserve">  {32,                  ITM_SHIFTg,           ITM_NULL,             ITM_NULL,             ITM_SHIFTg,           ITM_SHIFTg,           ITM_NULL,             ITM_NULL,             ITM_SHIFTg          },</v>
      </c>
    </row>
    <row r="152" spans="24:61" ht="21" x14ac:dyDescent="0.2">
      <c r="X152" s="129" t="str">
        <f t="shared" si="51"/>
        <v>E47</v>
      </c>
      <c r="Y152" s="109">
        <v>3</v>
      </c>
      <c r="Z152" s="109">
        <v>3</v>
      </c>
      <c r="AA152" s="112" t="str">
        <f t="shared" si="63"/>
        <v>E47.33</v>
      </c>
      <c r="AB152" s="117" t="s">
        <v>101</v>
      </c>
      <c r="AC152" s="118" t="s">
        <v>445</v>
      </c>
      <c r="AD152" s="119" t="s">
        <v>102</v>
      </c>
      <c r="AE152" s="3"/>
      <c r="AF152" s="49" t="s">
        <v>91</v>
      </c>
      <c r="AG152" s="77" t="b">
        <f t="shared" si="61"/>
        <v>1</v>
      </c>
      <c r="AH152" s="83" t="str">
        <f t="shared" si="52"/>
        <v>g</v>
      </c>
      <c r="AI152" s="84" t="str">
        <f t="shared" si="53"/>
        <v>pi</v>
      </c>
      <c r="AJ152" s="85" t="str">
        <f t="shared" si="54"/>
        <v xml:space="preserve"> </v>
      </c>
      <c r="AK152" s="6"/>
      <c r="AL152" s="8" t="str">
        <f t="shared" si="55"/>
        <v>{33</v>
      </c>
      <c r="AM152" s="27" t="str">
        <f t="shared" si="56"/>
        <v>ITM_Rdown</v>
      </c>
      <c r="AN152" s="27" t="str">
        <f t="shared" si="57"/>
        <v>ITM_Rup</v>
      </c>
      <c r="AO152" s="64" t="str">
        <f t="shared" si="58"/>
        <v>ITM_CONSTpi</v>
      </c>
      <c r="AP152" s="46" t="str">
        <f>IF(NOT(ISNA(MATCH(AM152,Lookups!E:E,))),VLOOKUP(AM152,Lookups!E:F,2,0),
IF(NOT(ISNA(MATCH(AN152,Lookups!E:E,))),VLOOKUP(AN152,Lookups!E:F,2,0),
IF(NOT(ISNA(MATCH(AO152,Lookups!E:E,))),VLOOKUP(AO152,Lookups!E:F,2,0),"ITM_NULL")))</f>
        <v>ITM_NULL</v>
      </c>
      <c r="AQ152" s="28" t="str">
        <f t="shared" si="59"/>
        <v>ITM_G</v>
      </c>
      <c r="AR152" s="195" t="s">
        <v>92</v>
      </c>
      <c r="AS152" s="186" t="s">
        <v>106</v>
      </c>
      <c r="AT152" s="197" t="s">
        <v>81</v>
      </c>
      <c r="AW152" s="14" t="str">
        <f t="shared" si="62"/>
        <v>{33</v>
      </c>
      <c r="AX152" s="157" t="str" cm="1">
        <f t="array" ref="AX152">SUBSTITUTE(SUBSTITUTE(_xlfn.SWITCH(AM152, "ITM_T_HOME", "ITM_UP1", "ITM_T_END", "ITM_DOWN1", "DOCU_CHR_sub", "ITM_DOWN_ARROW", "DOCU_CHR_super", "ITM_UP_ARROW", "MNU_TAMALPHA", "ITM_alpha", "DOCU_CHR_caseFLIP", "ITM_NULL", "DOCU_CHR_numSET", "ITM_NULL", "DOCU_ITM_RADIX", "ITM_PERIOD", AM152), ".lo", ),"MNU_", "-MNU_")</f>
        <v>ITM_Rdown</v>
      </c>
      <c r="AY152" s="157" t="str" cm="1">
        <f t="array" ref="AY152">SUBSTITUTE(SUBSTITUTE(_xlfn.SWITCH(AN152, "ITM_T_HOME", "ITM_UP1", "ITM_T_END", "ITM_DOWN1", "DOCU_CHR_sub", "ITM_DOWN_ARROW", "DOCU_CHR_super", "ITM_UP_ARROW", "MNU_TAMALPHA", "ITM_alpha", "DOCU_CHR_caseFLIP", "ITM_NULL", "DOCU_CHR_numSET", "ITM_NULL", "DOCU_ITM_RADIX", "ITM_PERIOD", AN152), ".lo", ),"MNU_", "-MNU_")</f>
        <v>ITM_Rup</v>
      </c>
      <c r="AZ152" s="157" t="str" cm="1">
        <f t="array" ref="AZ152">SUBSTITUTE(SUBSTITUTE(_xlfn.SWITCH(AO152, "ITM_T_HOME", "ITM_UP1", "ITM_T_END", "ITM_DOWN1", "DOCU_CHR_sub", "ITM_DOWN_ARROW", "DOCU_CHR_super", "ITM_UP_ARROW", "MNU_TAMALPHA", "ITM_alpha", "DOCU_CHR_caseFLIP", "ITM_NULL", "DOCU_CHR_numSET", "ITM_NULL", "DOCU_ITM_RADIX", "ITM_PERIOD", AO152), ".lo", ),"MNU_", "-MNU_")</f>
        <v>ITM_CONSTpi</v>
      </c>
      <c r="BA152" s="173" t="str" cm="1">
        <f t="array" ref="BA152">SUBSTITUTE(SUBSTITUTE(_xlfn.SWITCH(AP152, "ITM_T_HOME", "ITM_UP1", "ITM_T_END", "ITM_DOWN1", "DOCU_CHR_sub", "ITM_DOWN_ARROW", "DOCU_CHR_super", "ITM_UP_ARROW", "MNU_TAMALPHA", "ITM_alpha", "DOCU_CHR_caseFLIP", "ITM_NULL", "DOCU_CHR_numSET", "ITM_NULL", "DOCU_ITM_RADIX", "ITM_PERIOD", AP152), ".lo", ),"MNU_", "-MNU_")</f>
        <v>ITM_NULL</v>
      </c>
      <c r="BB152" s="157" t="str" cm="1">
        <f t="array" ref="BB152">SUBSTITUTE(SUBSTITUTE(_xlfn.SWITCH(AQ152, "ITM_T_HOME", "ITM_UP1", "ITM_T_END", "ITM_DOWN1", "DOCU_CHR_sub", "ITM_DOWN_ARROW", "DOCU_CHR_super", "ITM_UP_ARROW", "MNU_TAMALPHA", "ITM_alpha", "DOCU_CHR_caseFLIP", "ITM_NULL", "DOCU_CHR_numSET", "ITM_NULL", "DOCU_ITM_RADIX", "ITM_PERIOD", AQ152), ".lo", ),"MNU_", "-MNU_")</f>
        <v>ITM_G</v>
      </c>
      <c r="BC152" s="157" t="str" cm="1">
        <f t="array" ref="BC152">SUBSTITUTE(SUBSTITUTE(_xlfn.SWITCH(AR152, "ITM_T_HOME", "ITM_UP1", "ITM_T_END", "ITM_DOWN1", "DOCU_CHR_sub", "ITM_DOWN_ARROW", "DOCU_CHR_super", "ITM_UP_ARROW", "MNU_TAMALPHA", "ITM_alpha", "DOCU_CHR_caseFLIP", "ITM_NULL", "DOCU_CHR_numSET", "ITM_NULL", "DOCU_ITM_RADIX", "ITM_PERIOD", AR152), ".lo", ),"MNU_", "-MNU_")</f>
        <v>ITM_g</v>
      </c>
      <c r="BD152" s="157" t="str" cm="1">
        <f t="array" ref="BD152">SUBSTITUTE(SUBSTITUTE(_xlfn.SWITCH(AS152, "ITM_T_HOME", "ITM_UP1", "ITM_T_END", "ITM_DOWN1", "DOCU_CHR_sub", "ITM_DOWN_ARROW", "DOCU_CHR_super", "ITM_UP_ARROW", "MNU_TAMALPHA", "ITM_alpha", "DOCU_CHR_caseFLIP", "ITM_NULL", "DOCU_CHR_numSET", "ITM_NULL", "DOCU_ITM_RADIX", "ITM_PERIOD", AS152), ".lo", ),"MNU_", "-MNU_")</f>
        <v>ITM_pi</v>
      </c>
      <c r="BE152" s="157" t="str" cm="1">
        <f t="array" ref="BE152">SUBSTITUTE(SUBSTITUTE(_xlfn.SWITCH(AT152, "ITM_T_HOME", "ITM_UP1", "ITM_T_END", "ITM_DOWN1", "DOCU_CHR_sub", "ITM_DOWN_ARROW", "DOCU_CHR_super", "ITM_UP_ARROW", "MNU_TAMALPHA", "ITM_alpha", "DOCU_CHR_caseFLIP", "ITM_NULL", "DOCU_CHR_numSET", "ITM_NULL", "DOCU_ITM_RADIX", "ITM_PERIOD", AT152), ".lo", ),"MNU_", "-MNU_")</f>
        <v>ITM_NULL</v>
      </c>
      <c r="BG152" s="75"/>
      <c r="BI152" s="13" t="str">
        <f t="shared" si="60"/>
        <v xml:space="preserve">  {33,                  ITM_Rdown,            ITM_Rup,              ITM_CONSTpi,          ITM_NULL,             ITM_G,                ITM_g,                ITM_pi,               ITM_NULL            },</v>
      </c>
    </row>
    <row r="153" spans="24:61" ht="21" x14ac:dyDescent="0.2">
      <c r="X153" s="129" t="str">
        <f t="shared" si="51"/>
        <v>E47</v>
      </c>
      <c r="Y153" s="109">
        <v>3</v>
      </c>
      <c r="Z153" s="109">
        <v>4</v>
      </c>
      <c r="AA153" s="112" t="str">
        <f t="shared" si="63"/>
        <v>E47.34</v>
      </c>
      <c r="AB153" s="117" t="s">
        <v>108</v>
      </c>
      <c r="AC153" s="118" t="s">
        <v>109</v>
      </c>
      <c r="AD153" s="119" t="s">
        <v>110</v>
      </c>
      <c r="AE153" s="3"/>
      <c r="AF153" s="49" t="s">
        <v>97</v>
      </c>
      <c r="AG153" s="77" t="b">
        <f t="shared" si="61"/>
        <v>1</v>
      </c>
      <c r="AH153" s="83" t="str">
        <f t="shared" si="52"/>
        <v>h</v>
      </c>
      <c r="AI153" s="84" t="str">
        <f t="shared" si="53"/>
        <v>SIN</v>
      </c>
      <c r="AJ153" s="85" t="str">
        <f t="shared" si="54"/>
        <v xml:space="preserve"> </v>
      </c>
      <c r="AK153" s="6"/>
      <c r="AL153" s="8" t="str">
        <f t="shared" si="55"/>
        <v>{34</v>
      </c>
      <c r="AM153" s="27" t="str">
        <f t="shared" si="56"/>
        <v>ITM_sin</v>
      </c>
      <c r="AN153" s="27" t="str">
        <f t="shared" si="57"/>
        <v>ITM_arcsin</v>
      </c>
      <c r="AO153" s="27" t="str">
        <f t="shared" si="58"/>
        <v>ITM_op_j</v>
      </c>
      <c r="AP153" s="46" t="str">
        <f>IF(NOT(ISNA(MATCH(AM153,Lookups!E:E,))),VLOOKUP(AM153,Lookups!E:F,2,0),
IF(NOT(ISNA(MATCH(AN153,Lookups!E:E,))),VLOOKUP(AN153,Lookups!E:F,2,0),
IF(NOT(ISNA(MATCH(AO153,Lookups!E:E,))),VLOOKUP(AO153,Lookups!E:F,2,0),"ITM_NULL")))</f>
        <v>ITM_NULL</v>
      </c>
      <c r="AQ153" s="28" t="str">
        <f t="shared" si="59"/>
        <v>ITM_H</v>
      </c>
      <c r="AR153" s="195" t="s">
        <v>98</v>
      </c>
      <c r="AS153" s="186" t="s">
        <v>113</v>
      </c>
      <c r="AT153" s="197" t="s">
        <v>81</v>
      </c>
      <c r="AW153" s="14" t="str">
        <f t="shared" si="62"/>
        <v>{34</v>
      </c>
      <c r="AX153" s="157" t="str" cm="1">
        <f t="array" ref="AX153">SUBSTITUTE(SUBSTITUTE(_xlfn.SWITCH(AM153, "ITM_T_HOME", "ITM_UP1", "ITM_T_END", "ITM_DOWN1", "DOCU_CHR_sub", "ITM_DOWN_ARROW", "DOCU_CHR_super", "ITM_UP_ARROW", "MNU_TAMALPHA", "ITM_alpha", "DOCU_CHR_caseFLIP", "ITM_NULL", "DOCU_CHR_numSET", "ITM_NULL", "DOCU_ITM_RADIX", "ITM_PERIOD", AM153), ".lo", ),"MNU_", "-MNU_")</f>
        <v>ITM_sin</v>
      </c>
      <c r="AY153" s="157" t="str" cm="1">
        <f t="array" ref="AY153">SUBSTITUTE(SUBSTITUTE(_xlfn.SWITCH(AN153, "ITM_T_HOME", "ITM_UP1", "ITM_T_END", "ITM_DOWN1", "DOCU_CHR_sub", "ITM_DOWN_ARROW", "DOCU_CHR_super", "ITM_UP_ARROW", "MNU_TAMALPHA", "ITM_alpha", "DOCU_CHR_caseFLIP", "ITM_NULL", "DOCU_CHR_numSET", "ITM_NULL", "DOCU_ITM_RADIX", "ITM_PERIOD", AN153), ".lo", ),"MNU_", "-MNU_")</f>
        <v>ITM_arcsin</v>
      </c>
      <c r="AZ153" s="157" t="str" cm="1">
        <f t="array" ref="AZ153">SUBSTITUTE(SUBSTITUTE(_xlfn.SWITCH(AO153, "ITM_T_HOME", "ITM_UP1", "ITM_T_END", "ITM_DOWN1", "DOCU_CHR_sub", "ITM_DOWN_ARROW", "DOCU_CHR_super", "ITM_UP_ARROW", "MNU_TAMALPHA", "ITM_alpha", "DOCU_CHR_caseFLIP", "ITM_NULL", "DOCU_CHR_numSET", "ITM_NULL", "DOCU_ITM_RADIX", "ITM_PERIOD", AO153), ".lo", ),"MNU_", "-MNU_")</f>
        <v>ITM_op_j</v>
      </c>
      <c r="BA153" s="173" t="str" cm="1">
        <f t="array" ref="BA153">SUBSTITUTE(SUBSTITUTE(_xlfn.SWITCH(AP153, "ITM_T_HOME", "ITM_UP1", "ITM_T_END", "ITM_DOWN1", "DOCU_CHR_sub", "ITM_DOWN_ARROW", "DOCU_CHR_super", "ITM_UP_ARROW", "MNU_TAMALPHA", "ITM_alpha", "DOCU_CHR_caseFLIP", "ITM_NULL", "DOCU_CHR_numSET", "ITM_NULL", "DOCU_ITM_RADIX", "ITM_PERIOD", AP153), ".lo", ),"MNU_", "-MNU_")</f>
        <v>ITM_NULL</v>
      </c>
      <c r="BB153" s="157" t="str" cm="1">
        <f t="array" ref="BB153">SUBSTITUTE(SUBSTITUTE(_xlfn.SWITCH(AQ153, "ITM_T_HOME", "ITM_UP1", "ITM_T_END", "ITM_DOWN1", "DOCU_CHR_sub", "ITM_DOWN_ARROW", "DOCU_CHR_super", "ITM_UP_ARROW", "MNU_TAMALPHA", "ITM_alpha", "DOCU_CHR_caseFLIP", "ITM_NULL", "DOCU_CHR_numSET", "ITM_NULL", "DOCU_ITM_RADIX", "ITM_PERIOD", AQ153), ".lo", ),"MNU_", "-MNU_")</f>
        <v>ITM_H</v>
      </c>
      <c r="BC153" s="157" t="str" cm="1">
        <f t="array" ref="BC153">SUBSTITUTE(SUBSTITUTE(_xlfn.SWITCH(AR153, "ITM_T_HOME", "ITM_UP1", "ITM_T_END", "ITM_DOWN1", "DOCU_CHR_sub", "ITM_DOWN_ARROW", "DOCU_CHR_super", "ITM_UP_ARROW", "MNU_TAMALPHA", "ITM_alpha", "DOCU_CHR_caseFLIP", "ITM_NULL", "DOCU_CHR_numSET", "ITM_NULL", "DOCU_ITM_RADIX", "ITM_PERIOD", AR153), ".lo", ),"MNU_", "-MNU_")</f>
        <v>ITM_h</v>
      </c>
      <c r="BD153" s="157" t="str" cm="1">
        <f t="array" ref="BD153">SUBSTITUTE(SUBSTITUTE(_xlfn.SWITCH(AS153, "ITM_T_HOME", "ITM_UP1", "ITM_T_END", "ITM_DOWN1", "DOCU_CHR_sub", "ITM_DOWN_ARROW", "DOCU_CHR_super", "ITM_UP_ARROW", "MNU_TAMALPHA", "ITM_alpha", "DOCU_CHR_caseFLIP", "ITM_NULL", "DOCU_CHR_numSET", "ITM_NULL", "DOCU_ITM_RADIX", "ITM_PERIOD", AS153), ".lo", ),"MNU_", "-MNU_")</f>
        <v>ITM_SIN_SIGN</v>
      </c>
      <c r="BE153" s="157" t="str" cm="1">
        <f t="array" ref="BE153">SUBSTITUTE(SUBSTITUTE(_xlfn.SWITCH(AT153, "ITM_T_HOME", "ITM_UP1", "ITM_T_END", "ITM_DOWN1", "DOCU_CHR_sub", "ITM_DOWN_ARROW", "DOCU_CHR_super", "ITM_UP_ARROW", "MNU_TAMALPHA", "ITM_alpha", "DOCU_CHR_caseFLIP", "ITM_NULL", "DOCU_CHR_numSET", "ITM_NULL", "DOCU_ITM_RADIX", "ITM_PERIOD", AT153), ".lo", ),"MNU_", "-MNU_")</f>
        <v>ITM_NULL</v>
      </c>
      <c r="BG153" s="75"/>
      <c r="BI153" s="13" t="str">
        <f t="shared" si="60"/>
        <v xml:space="preserve">  {34,                  ITM_sin,              ITM_arcsin,           ITM_op_j,             ITM_NULL,             ITM_H,                ITM_h,                ITM_SIN_SIGN,         ITM_NULL            },</v>
      </c>
    </row>
    <row r="154" spans="24:61" ht="21" x14ac:dyDescent="0.2">
      <c r="X154" s="129" t="str">
        <f t="shared" si="51"/>
        <v>E47</v>
      </c>
      <c r="Y154" s="109">
        <v>3</v>
      </c>
      <c r="Z154" s="109">
        <v>5</v>
      </c>
      <c r="AA154" s="112" t="str">
        <f t="shared" si="63"/>
        <v>E47.35</v>
      </c>
      <c r="AB154" s="117" t="s">
        <v>115</v>
      </c>
      <c r="AC154" s="118" t="s">
        <v>116</v>
      </c>
      <c r="AD154" s="131" t="s">
        <v>89</v>
      </c>
      <c r="AE154" s="3"/>
      <c r="AF154" s="49" t="s">
        <v>104</v>
      </c>
      <c r="AG154" s="77" t="b">
        <f t="shared" si="61"/>
        <v>1</v>
      </c>
      <c r="AH154" s="83" t="str">
        <f t="shared" si="52"/>
        <v>i</v>
      </c>
      <c r="AI154" s="84" t="str">
        <f t="shared" si="53"/>
        <v>COS</v>
      </c>
      <c r="AJ154" s="85" t="str">
        <f t="shared" si="54"/>
        <v>Reg I</v>
      </c>
      <c r="AK154" s="6"/>
      <c r="AL154" s="8" t="str">
        <f t="shared" si="55"/>
        <v>{35</v>
      </c>
      <c r="AM154" s="27" t="str">
        <f t="shared" si="56"/>
        <v>ITM_cos</v>
      </c>
      <c r="AN154" s="27" t="str">
        <f t="shared" si="57"/>
        <v>ITM_arccos</v>
      </c>
      <c r="AO154" s="27" t="str">
        <f t="shared" si="58"/>
        <v>ITM_MAGNITUDE</v>
      </c>
      <c r="AP154" s="46" t="str">
        <f>IF(NOT(ISNA(MATCH(AM154,Lookups!E:E,))),VLOOKUP(AM154,Lookups!E:F,2,0),
IF(NOT(ISNA(MATCH(AN154,Lookups!E:E,))),VLOOKUP(AN154,Lookups!E:F,2,0),
IF(NOT(ISNA(MATCH(AO154,Lookups!E:E,))),VLOOKUP(AO154,Lookups!E:F,2,0),"ITM_NULL")))</f>
        <v>ITM_NULL</v>
      </c>
      <c r="AQ154" s="28" t="str">
        <f t="shared" si="59"/>
        <v>ITM_I</v>
      </c>
      <c r="AR154" s="195" t="s">
        <v>105</v>
      </c>
      <c r="AS154" s="186" t="s">
        <v>120</v>
      </c>
      <c r="AT154" s="196" t="s">
        <v>107</v>
      </c>
      <c r="AW154" s="14" t="str">
        <f t="shared" si="62"/>
        <v>{35</v>
      </c>
      <c r="AX154" s="157" t="str" cm="1">
        <f t="array" ref="AX154">SUBSTITUTE(SUBSTITUTE(_xlfn.SWITCH(AM154, "ITM_T_HOME", "ITM_UP1", "ITM_T_END", "ITM_DOWN1", "DOCU_CHR_sub", "ITM_DOWN_ARROW", "DOCU_CHR_super", "ITM_UP_ARROW", "MNU_TAMALPHA", "ITM_alpha", "DOCU_CHR_caseFLIP", "ITM_NULL", "DOCU_CHR_numSET", "ITM_NULL", "DOCU_ITM_RADIX", "ITM_PERIOD", AM154), ".lo", ),"MNU_", "-MNU_")</f>
        <v>ITM_cos</v>
      </c>
      <c r="AY154" s="157" t="str" cm="1">
        <f t="array" ref="AY154">SUBSTITUTE(SUBSTITUTE(_xlfn.SWITCH(AN154, "ITM_T_HOME", "ITM_UP1", "ITM_T_END", "ITM_DOWN1", "DOCU_CHR_sub", "ITM_DOWN_ARROW", "DOCU_CHR_super", "ITM_UP_ARROW", "MNU_TAMALPHA", "ITM_alpha", "DOCU_CHR_caseFLIP", "ITM_NULL", "DOCU_CHR_numSET", "ITM_NULL", "DOCU_ITM_RADIX", "ITM_PERIOD", AN154), ".lo", ),"MNU_", "-MNU_")</f>
        <v>ITM_arccos</v>
      </c>
      <c r="AZ154" s="157" t="str" cm="1">
        <f t="array" ref="AZ154">SUBSTITUTE(SUBSTITUTE(_xlfn.SWITCH(AO154, "ITM_T_HOME", "ITM_UP1", "ITM_T_END", "ITM_DOWN1", "DOCU_CHR_sub", "ITM_DOWN_ARROW", "DOCU_CHR_super", "ITM_UP_ARROW", "MNU_TAMALPHA", "ITM_alpha", "DOCU_CHR_caseFLIP", "ITM_NULL", "DOCU_CHR_numSET", "ITM_NULL", "DOCU_ITM_RADIX", "ITM_PERIOD", AO154), ".lo", ),"MNU_", "-MNU_")</f>
        <v>ITM_MAGNITUDE</v>
      </c>
      <c r="BA154" s="173" t="str" cm="1">
        <f t="array" ref="BA154">SUBSTITUTE(SUBSTITUTE(_xlfn.SWITCH(AP154, "ITM_T_HOME", "ITM_UP1", "ITM_T_END", "ITM_DOWN1", "DOCU_CHR_sub", "ITM_DOWN_ARROW", "DOCU_CHR_super", "ITM_UP_ARROW", "MNU_TAMALPHA", "ITM_alpha", "DOCU_CHR_caseFLIP", "ITM_NULL", "DOCU_CHR_numSET", "ITM_NULL", "DOCU_ITM_RADIX", "ITM_PERIOD", AP154), ".lo", ),"MNU_", "-MNU_")</f>
        <v>ITM_NULL</v>
      </c>
      <c r="BB154" s="157" t="str" cm="1">
        <f t="array" ref="BB154">SUBSTITUTE(SUBSTITUTE(_xlfn.SWITCH(AQ154, "ITM_T_HOME", "ITM_UP1", "ITM_T_END", "ITM_DOWN1", "DOCU_CHR_sub", "ITM_DOWN_ARROW", "DOCU_CHR_super", "ITM_UP_ARROW", "MNU_TAMALPHA", "ITM_alpha", "DOCU_CHR_caseFLIP", "ITM_NULL", "DOCU_CHR_numSET", "ITM_NULL", "DOCU_ITM_RADIX", "ITM_PERIOD", AQ154), ".lo", ),"MNU_", "-MNU_")</f>
        <v>ITM_I</v>
      </c>
      <c r="BC154" s="157" t="str" cm="1">
        <f t="array" ref="BC154">SUBSTITUTE(SUBSTITUTE(_xlfn.SWITCH(AR154, "ITM_T_HOME", "ITM_UP1", "ITM_T_END", "ITM_DOWN1", "DOCU_CHR_sub", "ITM_DOWN_ARROW", "DOCU_CHR_super", "ITM_UP_ARROW", "MNU_TAMALPHA", "ITM_alpha", "DOCU_CHR_caseFLIP", "ITM_NULL", "DOCU_CHR_numSET", "ITM_NULL", "DOCU_ITM_RADIX", "ITM_PERIOD", AR154), ".lo", ),"MNU_", "-MNU_")</f>
        <v>ITM_i</v>
      </c>
      <c r="BD154" s="157" t="str" cm="1">
        <f t="array" ref="BD154">SUBSTITUTE(SUBSTITUTE(_xlfn.SWITCH(AS154, "ITM_T_HOME", "ITM_UP1", "ITM_T_END", "ITM_DOWN1", "DOCU_CHR_sub", "ITM_DOWN_ARROW", "DOCU_CHR_super", "ITM_UP_ARROW", "MNU_TAMALPHA", "ITM_alpha", "DOCU_CHR_caseFLIP", "ITM_NULL", "DOCU_CHR_numSET", "ITM_NULL", "DOCU_ITM_RADIX", "ITM_PERIOD", AS154), ".lo", ),"MNU_", "-MNU_")</f>
        <v>ITM_COS_SIGN</v>
      </c>
      <c r="BE154" s="157" t="str" cm="1">
        <f t="array" ref="BE154">SUBSTITUTE(SUBSTITUTE(_xlfn.SWITCH(AT154, "ITM_T_HOME", "ITM_UP1", "ITM_T_END", "ITM_DOWN1", "DOCU_CHR_sub", "ITM_DOWN_ARROW", "DOCU_CHR_super", "ITM_UP_ARROW", "MNU_TAMALPHA", "ITM_alpha", "DOCU_CHR_caseFLIP", "ITM_NULL", "DOCU_CHR_numSET", "ITM_NULL", "DOCU_ITM_RADIX", "ITM_PERIOD", AT154), ".lo", ),"MNU_", "-MNU_")</f>
        <v>ITM_REG_I</v>
      </c>
      <c r="BG154" s="75"/>
      <c r="BI154" s="13" t="str">
        <f t="shared" si="60"/>
        <v xml:space="preserve">  {35,                  ITM_cos,              ITM_arccos,           ITM_MAGNITUDE,        ITM_NULL,             ITM_I,                ITM_i,                ITM_COS_SIGN,         ITM_REG_I           },</v>
      </c>
    </row>
    <row r="155" spans="24:61" ht="21" x14ac:dyDescent="0.2">
      <c r="X155" s="129" t="str">
        <f t="shared" si="51"/>
        <v>E47</v>
      </c>
      <c r="Y155" s="109">
        <v>3</v>
      </c>
      <c r="Z155" s="109">
        <v>6</v>
      </c>
      <c r="AA155" s="112" t="str">
        <f t="shared" si="63"/>
        <v>E47.36</v>
      </c>
      <c r="AB155" s="117" t="s">
        <v>122</v>
      </c>
      <c r="AC155" s="118" t="s">
        <v>123</v>
      </c>
      <c r="AD155" s="131" t="s">
        <v>90</v>
      </c>
      <c r="AE155" s="3"/>
      <c r="AF155" s="49" t="s">
        <v>111</v>
      </c>
      <c r="AG155" s="77" t="b">
        <f t="shared" si="61"/>
        <v>1</v>
      </c>
      <c r="AH155" s="83" t="str">
        <f t="shared" si="52"/>
        <v>j</v>
      </c>
      <c r="AI155" s="84" t="str">
        <f t="shared" si="53"/>
        <v>TAN</v>
      </c>
      <c r="AJ155" s="85" t="str">
        <f t="shared" si="54"/>
        <v>Reg J</v>
      </c>
      <c r="AK155" s="6"/>
      <c r="AL155" s="8" t="str">
        <f t="shared" si="55"/>
        <v>{36</v>
      </c>
      <c r="AM155" s="27" t="str">
        <f t="shared" si="56"/>
        <v>ITM_tan</v>
      </c>
      <c r="AN155" s="27" t="str">
        <f t="shared" si="57"/>
        <v>ITM_arctan</v>
      </c>
      <c r="AO155" s="27" t="str">
        <f t="shared" si="58"/>
        <v>ITM_ARG</v>
      </c>
      <c r="AP155" s="46" t="str">
        <f>IF(NOT(ISNA(MATCH(AM155,Lookups!E:E,))),VLOOKUP(AM155,Lookups!E:F,2,0),
IF(NOT(ISNA(MATCH(AN155,Lookups!E:E,))),VLOOKUP(AN155,Lookups!E:F,2,0),
IF(NOT(ISNA(MATCH(AO155,Lookups!E:E,))),VLOOKUP(AO155,Lookups!E:F,2,0),"ITM_NULL")))</f>
        <v>ITM_NULL</v>
      </c>
      <c r="AQ155" s="28" t="str">
        <f t="shared" si="59"/>
        <v>ITM_J</v>
      </c>
      <c r="AR155" s="195" t="s">
        <v>112</v>
      </c>
      <c r="AS155" s="186" t="s">
        <v>127</v>
      </c>
      <c r="AT155" s="196" t="s">
        <v>114</v>
      </c>
      <c r="AW155" s="14" t="str">
        <f t="shared" si="62"/>
        <v>{36</v>
      </c>
      <c r="AX155" s="157" t="str" cm="1">
        <f t="array" ref="AX155">SUBSTITUTE(SUBSTITUTE(_xlfn.SWITCH(AM155, "ITM_T_HOME", "ITM_UP1", "ITM_T_END", "ITM_DOWN1", "DOCU_CHR_sub", "ITM_DOWN_ARROW", "DOCU_CHR_super", "ITM_UP_ARROW", "MNU_TAMALPHA", "ITM_alpha", "DOCU_CHR_caseFLIP", "ITM_NULL", "DOCU_CHR_numSET", "ITM_NULL", "DOCU_ITM_RADIX", "ITM_PERIOD", AM155), ".lo", ),"MNU_", "-MNU_")</f>
        <v>ITM_tan</v>
      </c>
      <c r="AY155" s="157" t="str" cm="1">
        <f t="array" ref="AY155">SUBSTITUTE(SUBSTITUTE(_xlfn.SWITCH(AN155, "ITM_T_HOME", "ITM_UP1", "ITM_T_END", "ITM_DOWN1", "DOCU_CHR_sub", "ITM_DOWN_ARROW", "DOCU_CHR_super", "ITM_UP_ARROW", "MNU_TAMALPHA", "ITM_alpha", "DOCU_CHR_caseFLIP", "ITM_NULL", "DOCU_CHR_numSET", "ITM_NULL", "DOCU_ITM_RADIX", "ITM_PERIOD", AN155), ".lo", ),"MNU_", "-MNU_")</f>
        <v>ITM_arctan</v>
      </c>
      <c r="AZ155" s="157" t="str" cm="1">
        <f t="array" ref="AZ155">SUBSTITUTE(SUBSTITUTE(_xlfn.SWITCH(AO155, "ITM_T_HOME", "ITM_UP1", "ITM_T_END", "ITM_DOWN1", "DOCU_CHR_sub", "ITM_DOWN_ARROW", "DOCU_CHR_super", "ITM_UP_ARROW", "MNU_TAMALPHA", "ITM_alpha", "DOCU_CHR_caseFLIP", "ITM_NULL", "DOCU_CHR_numSET", "ITM_NULL", "DOCU_ITM_RADIX", "ITM_PERIOD", AO155), ".lo", ),"MNU_", "-MNU_")</f>
        <v>ITM_ARG</v>
      </c>
      <c r="BA155" s="173" t="str" cm="1">
        <f t="array" ref="BA155">SUBSTITUTE(SUBSTITUTE(_xlfn.SWITCH(AP155, "ITM_T_HOME", "ITM_UP1", "ITM_T_END", "ITM_DOWN1", "DOCU_CHR_sub", "ITM_DOWN_ARROW", "DOCU_CHR_super", "ITM_UP_ARROW", "MNU_TAMALPHA", "ITM_alpha", "DOCU_CHR_caseFLIP", "ITM_NULL", "DOCU_CHR_numSET", "ITM_NULL", "DOCU_ITM_RADIX", "ITM_PERIOD", AP155), ".lo", ),"MNU_", "-MNU_")</f>
        <v>ITM_NULL</v>
      </c>
      <c r="BB155" s="157" t="str" cm="1">
        <f t="array" ref="BB155">SUBSTITUTE(SUBSTITUTE(_xlfn.SWITCH(AQ155, "ITM_T_HOME", "ITM_UP1", "ITM_T_END", "ITM_DOWN1", "DOCU_CHR_sub", "ITM_DOWN_ARROW", "DOCU_CHR_super", "ITM_UP_ARROW", "MNU_TAMALPHA", "ITM_alpha", "DOCU_CHR_caseFLIP", "ITM_NULL", "DOCU_CHR_numSET", "ITM_NULL", "DOCU_ITM_RADIX", "ITM_PERIOD", AQ155), ".lo", ),"MNU_", "-MNU_")</f>
        <v>ITM_J</v>
      </c>
      <c r="BC155" s="157" t="str" cm="1">
        <f t="array" ref="BC155">SUBSTITUTE(SUBSTITUTE(_xlfn.SWITCH(AR155, "ITM_T_HOME", "ITM_UP1", "ITM_T_END", "ITM_DOWN1", "DOCU_CHR_sub", "ITM_DOWN_ARROW", "DOCU_CHR_super", "ITM_UP_ARROW", "MNU_TAMALPHA", "ITM_alpha", "DOCU_CHR_caseFLIP", "ITM_NULL", "DOCU_CHR_numSET", "ITM_NULL", "DOCU_ITM_RADIX", "ITM_PERIOD", AR155), ".lo", ),"MNU_", "-MNU_")</f>
        <v>ITM_j</v>
      </c>
      <c r="BD155" s="157" t="str" cm="1">
        <f t="array" ref="BD155">SUBSTITUTE(SUBSTITUTE(_xlfn.SWITCH(AS155, "ITM_T_HOME", "ITM_UP1", "ITM_T_END", "ITM_DOWN1", "DOCU_CHR_sub", "ITM_DOWN_ARROW", "DOCU_CHR_super", "ITM_UP_ARROW", "MNU_TAMALPHA", "ITM_alpha", "DOCU_CHR_caseFLIP", "ITM_NULL", "DOCU_CHR_numSET", "ITM_NULL", "DOCU_ITM_RADIX", "ITM_PERIOD", AS155), ".lo", ),"MNU_", "-MNU_")</f>
        <v>ITM_TAN_SIGN</v>
      </c>
      <c r="BE155" s="157" t="str" cm="1">
        <f t="array" ref="BE155">SUBSTITUTE(SUBSTITUTE(_xlfn.SWITCH(AT155, "ITM_T_HOME", "ITM_UP1", "ITM_T_END", "ITM_DOWN1", "DOCU_CHR_sub", "ITM_DOWN_ARROW", "DOCU_CHR_super", "ITM_UP_ARROW", "MNU_TAMALPHA", "ITM_alpha", "DOCU_CHR_caseFLIP", "ITM_NULL", "DOCU_CHR_numSET", "ITM_NULL", "DOCU_ITM_RADIX", "ITM_PERIOD", AT155), ".lo", ),"MNU_", "-MNU_")</f>
        <v>ITM_REG_J</v>
      </c>
      <c r="BG155" s="75"/>
      <c r="BI155" s="13" t="str">
        <f t="shared" si="60"/>
        <v xml:space="preserve">  {36,                  ITM_tan,              ITM_arctan,           ITM_ARG,              ITM_NULL,             ITM_J,                ITM_j,                ITM_TAN_SIGN,         ITM_REG_J           },</v>
      </c>
    </row>
    <row r="156" spans="24:61" ht="21" x14ac:dyDescent="0.2">
      <c r="X156" s="129" t="str">
        <f t="shared" si="51"/>
        <v>E47</v>
      </c>
      <c r="Y156" s="106">
        <v>4</v>
      </c>
      <c r="Z156" s="106">
        <v>1</v>
      </c>
      <c r="AA156" s="112" t="str">
        <f t="shared" si="63"/>
        <v>E47.41</v>
      </c>
      <c r="AB156" s="117" t="s">
        <v>129</v>
      </c>
      <c r="AC156" s="118" t="s">
        <v>130</v>
      </c>
      <c r="AD156" s="119" t="s">
        <v>131</v>
      </c>
      <c r="AE156" s="3"/>
      <c r="AF156" s="49" t="s">
        <v>129</v>
      </c>
      <c r="AG156" s="77" t="b">
        <f t="shared" si="61"/>
        <v>0</v>
      </c>
      <c r="AH156" s="83" t="str">
        <f t="shared" si="52"/>
        <v>X.SWAP</v>
      </c>
      <c r="AI156" s="84" t="str">
        <f t="shared" si="53"/>
        <v>a.PARSE</v>
      </c>
      <c r="AJ156" s="85" t="str">
        <f t="shared" si="54"/>
        <v>ENTER</v>
      </c>
      <c r="AK156" s="6"/>
      <c r="AL156" s="8" t="str">
        <f t="shared" si="55"/>
        <v>{41</v>
      </c>
      <c r="AM156" s="27" t="str">
        <f t="shared" si="56"/>
        <v>ITM_ENTER</v>
      </c>
      <c r="AN156" s="27" t="str">
        <f t="shared" si="57"/>
        <v>KEY_COMPLEX</v>
      </c>
      <c r="AO156" s="27" t="str">
        <f t="shared" si="58"/>
        <v>MNU_CPX</v>
      </c>
      <c r="AP156" s="46" t="str">
        <f>IF(NOT(ISNA(MATCH(AM156,Lookups!E:E,))),VLOOKUP(AM156,Lookups!E:F,2,0),
IF(NOT(ISNA(MATCH(AN156,Lookups!E:E,))),VLOOKUP(AN156,Lookups!E:F,2,0),
IF(NOT(ISNA(MATCH(AO156,Lookups!E:E,))),VLOOKUP(AO156,Lookups!E:F,2,0),"ITM_NULL")))</f>
        <v>ITM_ENTER</v>
      </c>
      <c r="AQ156" s="28" t="str">
        <f t="shared" si="59"/>
        <v>ITM_ENTER</v>
      </c>
      <c r="AR156" s="198" t="s">
        <v>132</v>
      </c>
      <c r="AS156" s="186" t="s">
        <v>133</v>
      </c>
      <c r="AT156" s="197" t="s">
        <v>134</v>
      </c>
      <c r="AW156" s="14" t="str">
        <f t="shared" si="62"/>
        <v>{41</v>
      </c>
      <c r="AX156" s="157" t="str" cm="1">
        <f t="array" ref="AX156">SUBSTITUTE(SUBSTITUTE(_xlfn.SWITCH(AM156, "ITM_T_HOME", "ITM_UP1", "ITM_T_END", "ITM_DOWN1", "DOCU_CHR_sub", "ITM_DOWN_ARROW", "DOCU_CHR_super", "ITM_UP_ARROW", "MNU_TAMALPHA", "ITM_alpha", "DOCU_CHR_caseFLIP", "ITM_NULL", "DOCU_CHR_numSET", "ITM_NULL", "DOCU_ITM_RADIX", "ITM_PERIOD", AM156), ".lo", ),"MNU_", "-MNU_")</f>
        <v>ITM_ENTER</v>
      </c>
      <c r="AY156" s="157" t="str" cm="1">
        <f t="array" ref="AY156">SUBSTITUTE(SUBSTITUTE(_xlfn.SWITCH(AN156, "ITM_T_HOME", "ITM_UP1", "ITM_T_END", "ITM_DOWN1", "DOCU_CHR_sub", "ITM_DOWN_ARROW", "DOCU_CHR_super", "ITM_UP_ARROW", "MNU_TAMALPHA", "ITM_alpha", "DOCU_CHR_caseFLIP", "ITM_NULL", "DOCU_CHR_numSET", "ITM_NULL", "DOCU_ITM_RADIX", "ITM_PERIOD", AN156), ".lo", ),"MNU_", "-MNU_")</f>
        <v>KEY_COMPLEX</v>
      </c>
      <c r="AZ156" s="157" t="str" cm="1">
        <f t="array" ref="AZ156">SUBSTITUTE(SUBSTITUTE(_xlfn.SWITCH(AO156, "ITM_T_HOME", "ITM_UP1", "ITM_T_END", "ITM_DOWN1", "DOCU_CHR_sub", "ITM_DOWN_ARROW", "DOCU_CHR_super", "ITM_UP_ARROW", "MNU_TAMALPHA", "ITM_alpha", "DOCU_CHR_caseFLIP", "ITM_NULL", "DOCU_CHR_numSET", "ITM_NULL", "DOCU_ITM_RADIX", "ITM_PERIOD", AO156), ".lo", ),"MNU_", "-MNU_")</f>
        <v>-MNU_CPX</v>
      </c>
      <c r="BA156" s="173" t="str" cm="1">
        <f t="array" ref="BA156">SUBSTITUTE(SUBSTITUTE(_xlfn.SWITCH(AP156, "ITM_T_HOME", "ITM_UP1", "ITM_T_END", "ITM_DOWN1", "DOCU_CHR_sub", "ITM_DOWN_ARROW", "DOCU_CHR_super", "ITM_UP_ARROW", "MNU_TAMALPHA", "ITM_alpha", "DOCU_CHR_caseFLIP", "ITM_NULL", "DOCU_CHR_numSET", "ITM_NULL", "DOCU_ITM_RADIX", "ITM_PERIOD", AP156), ".lo", ),"MNU_", "-MNU_")</f>
        <v>ITM_ENTER</v>
      </c>
      <c r="BB156" s="157" t="str" cm="1">
        <f t="array" ref="BB156">SUBSTITUTE(SUBSTITUTE(_xlfn.SWITCH(AQ156, "ITM_T_HOME", "ITM_UP1", "ITM_T_END", "ITM_DOWN1", "DOCU_CHR_sub", "ITM_DOWN_ARROW", "DOCU_CHR_super", "ITM_UP_ARROW", "MNU_TAMALPHA", "ITM_alpha", "DOCU_CHR_caseFLIP", "ITM_NULL", "DOCU_CHR_numSET", "ITM_NULL", "DOCU_ITM_RADIX", "ITM_PERIOD", AQ156), ".lo", ),"MNU_", "-MNU_")</f>
        <v>ITM_ENTER</v>
      </c>
      <c r="BC156" s="157" t="str" cm="1">
        <f t="array" ref="BC156">SUBSTITUTE(SUBSTITUTE(_xlfn.SWITCH(AR156, "ITM_T_HOME", "ITM_UP1", "ITM_T_END", "ITM_DOWN1", "DOCU_CHR_sub", "ITM_DOWN_ARROW", "DOCU_CHR_super", "ITM_UP_ARROW", "MNU_TAMALPHA", "ITM_alpha", "DOCU_CHR_caseFLIP", "ITM_NULL", "DOCU_CHR_numSET", "ITM_NULL", "DOCU_ITM_RADIX", "ITM_PERIOD", AR156), ".lo", ),"MNU_", "-MNU_")</f>
        <v>ITM_XSWAP</v>
      </c>
      <c r="BD156" s="157" t="str" cm="1">
        <f t="array" ref="BD156">SUBSTITUTE(SUBSTITUTE(_xlfn.SWITCH(AS156, "ITM_T_HOME", "ITM_UP1", "ITM_T_END", "ITM_DOWN1", "DOCU_CHR_sub", "ITM_DOWN_ARROW", "DOCU_CHR_super", "ITM_UP_ARROW", "MNU_TAMALPHA", "ITM_alpha", "DOCU_CHR_caseFLIP", "ITM_NULL", "DOCU_CHR_numSET", "ITM_NULL", "DOCU_ITM_RADIX", "ITM_PERIOD", AS156), ".lo", ),"MNU_", "-MNU_")</f>
        <v>ITM_XPARSE</v>
      </c>
      <c r="BE156" s="157" t="str" cm="1">
        <f t="array" ref="BE156">SUBSTITUTE(SUBSTITUTE(_xlfn.SWITCH(AT156, "ITM_T_HOME", "ITM_UP1", "ITM_T_END", "ITM_DOWN1", "DOCU_CHR_sub", "ITM_DOWN_ARROW", "DOCU_CHR_super", "ITM_UP_ARROW", "MNU_TAMALPHA", "ITM_alpha", "DOCU_CHR_caseFLIP", "ITM_NULL", "DOCU_CHR_numSET", "ITM_NULL", "DOCU_ITM_RADIX", "ITM_PERIOD", AT156), ".lo", ),"MNU_", "-MNU_")</f>
        <v>ITM_ENTER</v>
      </c>
      <c r="BG156" s="75"/>
      <c r="BI156" s="13" t="str">
        <f t="shared" si="60"/>
        <v xml:space="preserve">  {41,                  ITM_ENTER,            KEY_COMPLEX,          -MNU_CPX,             ITM_ENTER,            ITM_ENTER,            ITM_XSWAP,            ITM_XPARSE,           ITM_ENTER           },</v>
      </c>
    </row>
    <row r="157" spans="24:61" ht="21" x14ac:dyDescent="0.2">
      <c r="X157" s="129" t="str">
        <f t="shared" si="51"/>
        <v>E47</v>
      </c>
      <c r="Y157" s="109">
        <v>4</v>
      </c>
      <c r="Z157" s="109">
        <v>2</v>
      </c>
      <c r="AA157" s="112" t="str">
        <f t="shared" si="63"/>
        <v>E47.42</v>
      </c>
      <c r="AB157" s="117" t="s">
        <v>135</v>
      </c>
      <c r="AC157" s="118" t="s">
        <v>136</v>
      </c>
      <c r="AD157" s="119" t="s">
        <v>137</v>
      </c>
      <c r="AE157" s="3"/>
      <c r="AF157" s="49" t="s">
        <v>118</v>
      </c>
      <c r="AG157" s="77" t="b">
        <f t="shared" si="61"/>
        <v>1</v>
      </c>
      <c r="AH157" s="83" t="str">
        <f t="shared" si="52"/>
        <v>k</v>
      </c>
      <c r="AI157" s="84" t="str">
        <f t="shared" si="53"/>
        <v>&lt;&gt;</v>
      </c>
      <c r="AJ157" s="85" t="str">
        <f t="shared" si="54"/>
        <v>Reg K</v>
      </c>
      <c r="AK157" s="6"/>
      <c r="AL157" s="8" t="str">
        <f t="shared" si="55"/>
        <v>{42</v>
      </c>
      <c r="AM157" s="27" t="str">
        <f t="shared" si="56"/>
        <v>ITM_XexY</v>
      </c>
      <c r="AN157" s="27" t="str">
        <f t="shared" si="57"/>
        <v>ITM_LASTX</v>
      </c>
      <c r="AO157" s="27" t="str">
        <f t="shared" si="58"/>
        <v>MNU_STK</v>
      </c>
      <c r="AP157" s="46" t="str">
        <f>IF(NOT(ISNA(MATCH(AM157,Lookups!E:E,))),VLOOKUP(AM157,Lookups!E:F,2,0),
IF(NOT(ISNA(MATCH(AN157,Lookups!E:E,))),VLOOKUP(AN157,Lookups!E:F,2,0),
IF(NOT(ISNA(MATCH(AO157,Lookups!E:E,))),VLOOKUP(AO157,Lookups!E:F,2,0),"ITM_NULL")))</f>
        <v>ITM_ex</v>
      </c>
      <c r="AQ157" s="28" t="str">
        <f t="shared" si="59"/>
        <v>ITM_K</v>
      </c>
      <c r="AR157" s="195" t="s">
        <v>119</v>
      </c>
      <c r="AS157" s="186" t="s">
        <v>140</v>
      </c>
      <c r="AT157" s="196" t="s">
        <v>121</v>
      </c>
      <c r="AW157" s="14" t="str">
        <f t="shared" si="62"/>
        <v>{42</v>
      </c>
      <c r="AX157" s="157" t="str" cm="1">
        <f t="array" ref="AX157">SUBSTITUTE(SUBSTITUTE(_xlfn.SWITCH(AM157, "ITM_T_HOME", "ITM_UP1", "ITM_T_END", "ITM_DOWN1", "DOCU_CHR_sub", "ITM_DOWN_ARROW", "DOCU_CHR_super", "ITM_UP_ARROW", "MNU_TAMALPHA", "ITM_alpha", "DOCU_CHR_caseFLIP", "ITM_NULL", "DOCU_CHR_numSET", "ITM_NULL", "DOCU_ITM_RADIX", "ITM_PERIOD", AM157), ".lo", ),"MNU_", "-MNU_")</f>
        <v>ITM_XexY</v>
      </c>
      <c r="AY157" s="157" t="str" cm="1">
        <f t="array" ref="AY157">SUBSTITUTE(SUBSTITUTE(_xlfn.SWITCH(AN157, "ITM_T_HOME", "ITM_UP1", "ITM_T_END", "ITM_DOWN1", "DOCU_CHR_sub", "ITM_DOWN_ARROW", "DOCU_CHR_super", "ITM_UP_ARROW", "MNU_TAMALPHA", "ITM_alpha", "DOCU_CHR_caseFLIP", "ITM_NULL", "DOCU_CHR_numSET", "ITM_NULL", "DOCU_ITM_RADIX", "ITM_PERIOD", AN157), ".lo", ),"MNU_", "-MNU_")</f>
        <v>ITM_LASTX</v>
      </c>
      <c r="AZ157" s="157" t="str" cm="1">
        <f t="array" ref="AZ157">SUBSTITUTE(SUBSTITUTE(_xlfn.SWITCH(AO157, "ITM_T_HOME", "ITM_UP1", "ITM_T_END", "ITM_DOWN1", "DOCU_CHR_sub", "ITM_DOWN_ARROW", "DOCU_CHR_super", "ITM_UP_ARROW", "MNU_TAMALPHA", "ITM_alpha", "DOCU_CHR_caseFLIP", "ITM_NULL", "DOCU_CHR_numSET", "ITM_NULL", "DOCU_ITM_RADIX", "ITM_PERIOD", AO157), ".lo", ),"MNU_", "-MNU_")</f>
        <v>-MNU_STK</v>
      </c>
      <c r="BA157" s="173" t="str" cm="1">
        <f t="array" ref="BA157">SUBSTITUTE(SUBSTITUTE(_xlfn.SWITCH(AP157, "ITM_T_HOME", "ITM_UP1", "ITM_T_END", "ITM_DOWN1", "DOCU_CHR_sub", "ITM_DOWN_ARROW", "DOCU_CHR_super", "ITM_UP_ARROW", "MNU_TAMALPHA", "ITM_alpha", "DOCU_CHR_caseFLIP", "ITM_NULL", "DOCU_CHR_numSET", "ITM_NULL", "DOCU_ITM_RADIX", "ITM_PERIOD", AP157), ".lo", ),"MNU_", "-MNU_")</f>
        <v>ITM_ex</v>
      </c>
      <c r="BB157" s="157" t="str" cm="1">
        <f t="array" ref="BB157">SUBSTITUTE(SUBSTITUTE(_xlfn.SWITCH(AQ157, "ITM_T_HOME", "ITM_UP1", "ITM_T_END", "ITM_DOWN1", "DOCU_CHR_sub", "ITM_DOWN_ARROW", "DOCU_CHR_super", "ITM_UP_ARROW", "MNU_TAMALPHA", "ITM_alpha", "DOCU_CHR_caseFLIP", "ITM_NULL", "DOCU_CHR_numSET", "ITM_NULL", "DOCU_ITM_RADIX", "ITM_PERIOD", AQ157), ".lo", ),"MNU_", "-MNU_")</f>
        <v>ITM_K</v>
      </c>
      <c r="BC157" s="157" t="str" cm="1">
        <f t="array" ref="BC157">SUBSTITUTE(SUBSTITUTE(_xlfn.SWITCH(AR157, "ITM_T_HOME", "ITM_UP1", "ITM_T_END", "ITM_DOWN1", "DOCU_CHR_sub", "ITM_DOWN_ARROW", "DOCU_CHR_super", "ITM_UP_ARROW", "MNU_TAMALPHA", "ITM_alpha", "DOCU_CHR_caseFLIP", "ITM_NULL", "DOCU_CHR_numSET", "ITM_NULL", "DOCU_ITM_RADIX", "ITM_PERIOD", AR157), ".lo", ),"MNU_", "-MNU_")</f>
        <v>ITM_k</v>
      </c>
      <c r="BD157" s="157" t="str" cm="1">
        <f t="array" ref="BD157">SUBSTITUTE(SUBSTITUTE(_xlfn.SWITCH(AS157, "ITM_T_HOME", "ITM_UP1", "ITM_T_END", "ITM_DOWN1", "DOCU_CHR_sub", "ITM_DOWN_ARROW", "DOCU_CHR_super", "ITM_UP_ARROW", "MNU_TAMALPHA", "ITM_alpha", "DOCU_CHR_caseFLIP", "ITM_NULL", "DOCU_CHR_numSET", "ITM_NULL", "DOCU_ITM_RADIX", "ITM_PERIOD", AS157), ".lo", ),"MNU_", "-MNU_")</f>
        <v>ITM_ex</v>
      </c>
      <c r="BE157" s="157" t="str" cm="1">
        <f t="array" ref="BE157">SUBSTITUTE(SUBSTITUTE(_xlfn.SWITCH(AT157, "ITM_T_HOME", "ITM_UP1", "ITM_T_END", "ITM_DOWN1", "DOCU_CHR_sub", "ITM_DOWN_ARROW", "DOCU_CHR_super", "ITM_UP_ARROW", "MNU_TAMALPHA", "ITM_alpha", "DOCU_CHR_caseFLIP", "ITM_NULL", "DOCU_CHR_numSET", "ITM_NULL", "DOCU_ITM_RADIX", "ITM_PERIOD", AT157), ".lo", ),"MNU_", "-MNU_")</f>
        <v>ITM_REG_K</v>
      </c>
      <c r="BG157" s="75"/>
      <c r="BI157" s="13" t="str">
        <f t="shared" si="60"/>
        <v xml:space="preserve">  {42,                  ITM_XexY,             ITM_LASTX,            -MNU_STK,             ITM_ex,               ITM_K,                ITM_k,                ITM_ex,               ITM_REG_K           },</v>
      </c>
    </row>
    <row r="158" spans="24:61" ht="21" x14ac:dyDescent="0.2">
      <c r="X158" s="129" t="str">
        <f t="shared" si="51"/>
        <v>E47</v>
      </c>
      <c r="Y158" s="109">
        <v>4</v>
      </c>
      <c r="Z158" s="109">
        <v>3</v>
      </c>
      <c r="AA158" s="112" t="str">
        <f t="shared" si="63"/>
        <v>E47.43</v>
      </c>
      <c r="AB158" s="117" t="s">
        <v>141</v>
      </c>
      <c r="AC158" s="118" t="s">
        <v>446</v>
      </c>
      <c r="AD158" s="119" t="s">
        <v>143</v>
      </c>
      <c r="AE158" s="3"/>
      <c r="AF158" s="49" t="s">
        <v>125</v>
      </c>
      <c r="AG158" s="77" t="b">
        <f t="shared" si="61"/>
        <v>1</v>
      </c>
      <c r="AH158" s="83" t="str">
        <f t="shared" si="52"/>
        <v>l</v>
      </c>
      <c r="AI158" s="84" t="str">
        <f t="shared" si="53"/>
        <v>+/-</v>
      </c>
      <c r="AJ158" s="85" t="str">
        <f t="shared" si="54"/>
        <v>Reg L</v>
      </c>
      <c r="AK158" s="6"/>
      <c r="AL158" s="8" t="str">
        <f t="shared" si="55"/>
        <v>{43</v>
      </c>
      <c r="AM158" s="27" t="str">
        <f t="shared" si="56"/>
        <v>ITM_CHS</v>
      </c>
      <c r="AN158" s="27" t="str">
        <f t="shared" si="57"/>
        <v>ITM_DRG</v>
      </c>
      <c r="AO158" s="27" t="str">
        <f t="shared" si="58"/>
        <v>MNU_TRG_C47</v>
      </c>
      <c r="AP158" s="46" t="str">
        <f>IF(NOT(ISNA(MATCH(AM158,Lookups!E:E,))),VLOOKUP(AM158,Lookups!E:F,2,0),
IF(NOT(ISNA(MATCH(AN158,Lookups!E:E,))),VLOOKUP(AN158,Lookups!E:F,2,0),
IF(NOT(ISNA(MATCH(AO158,Lookups!E:E,))),VLOOKUP(AO158,Lookups!E:F,2,0),"ITM_NULL")))</f>
        <v>ITM_PLUS_MINUS</v>
      </c>
      <c r="AQ158" s="28" t="str">
        <f t="shared" si="59"/>
        <v>ITM_L</v>
      </c>
      <c r="AR158" s="195" t="s">
        <v>126</v>
      </c>
      <c r="AS158" s="186" t="s">
        <v>146</v>
      </c>
      <c r="AT158" s="196" t="s">
        <v>128</v>
      </c>
      <c r="AW158" s="14" t="str">
        <f t="shared" si="62"/>
        <v>{43</v>
      </c>
      <c r="AX158" s="157" t="str" cm="1">
        <f t="array" ref="AX158">SUBSTITUTE(SUBSTITUTE(_xlfn.SWITCH(AM158, "ITM_T_HOME", "ITM_UP1", "ITM_T_END", "ITM_DOWN1", "DOCU_CHR_sub", "ITM_DOWN_ARROW", "DOCU_CHR_super", "ITM_UP_ARROW", "MNU_TAMALPHA", "ITM_alpha", "DOCU_CHR_caseFLIP", "ITM_NULL", "DOCU_CHR_numSET", "ITM_NULL", "DOCU_ITM_RADIX", "ITM_PERIOD", AM158), ".lo", ),"MNU_", "-MNU_")</f>
        <v>ITM_CHS</v>
      </c>
      <c r="AY158" s="157" t="str" cm="1">
        <f t="array" ref="AY158">SUBSTITUTE(SUBSTITUTE(_xlfn.SWITCH(AN158, "ITM_T_HOME", "ITM_UP1", "ITM_T_END", "ITM_DOWN1", "DOCU_CHR_sub", "ITM_DOWN_ARROW", "DOCU_CHR_super", "ITM_UP_ARROW", "MNU_TAMALPHA", "ITM_alpha", "DOCU_CHR_caseFLIP", "ITM_NULL", "DOCU_CHR_numSET", "ITM_NULL", "DOCU_ITM_RADIX", "ITM_PERIOD", AN158), ".lo", ),"MNU_", "-MNU_")</f>
        <v>ITM_DRG</v>
      </c>
      <c r="AZ158" s="157" t="str" cm="1">
        <f t="array" ref="AZ158">SUBSTITUTE(SUBSTITUTE(_xlfn.SWITCH(AO158, "ITM_T_HOME", "ITM_UP1", "ITM_T_END", "ITM_DOWN1", "DOCU_CHR_sub", "ITM_DOWN_ARROW", "DOCU_CHR_super", "ITM_UP_ARROW", "MNU_TAMALPHA", "ITM_alpha", "DOCU_CHR_caseFLIP", "ITM_NULL", "DOCU_CHR_numSET", "ITM_NULL", "DOCU_ITM_RADIX", "ITM_PERIOD", AO158), ".lo", ),"MNU_", "-MNU_")</f>
        <v>-MNU_TRG_C47</v>
      </c>
      <c r="BA158" s="173" t="str" cm="1">
        <f t="array" ref="BA158">SUBSTITUTE(SUBSTITUTE(_xlfn.SWITCH(AP158, "ITM_T_HOME", "ITM_UP1", "ITM_T_END", "ITM_DOWN1", "DOCU_CHR_sub", "ITM_DOWN_ARROW", "DOCU_CHR_super", "ITM_UP_ARROW", "MNU_TAMALPHA", "ITM_alpha", "DOCU_CHR_caseFLIP", "ITM_NULL", "DOCU_CHR_numSET", "ITM_NULL", "DOCU_ITM_RADIX", "ITM_PERIOD", AP158), ".lo", ),"MNU_", "-MNU_")</f>
        <v>ITM_PLUS_MINUS</v>
      </c>
      <c r="BB158" s="157" t="str" cm="1">
        <f t="array" ref="BB158">SUBSTITUTE(SUBSTITUTE(_xlfn.SWITCH(AQ158, "ITM_T_HOME", "ITM_UP1", "ITM_T_END", "ITM_DOWN1", "DOCU_CHR_sub", "ITM_DOWN_ARROW", "DOCU_CHR_super", "ITM_UP_ARROW", "MNU_TAMALPHA", "ITM_alpha", "DOCU_CHR_caseFLIP", "ITM_NULL", "DOCU_CHR_numSET", "ITM_NULL", "DOCU_ITM_RADIX", "ITM_PERIOD", AQ158), ".lo", ),"MNU_", "-MNU_")</f>
        <v>ITM_L</v>
      </c>
      <c r="BC158" s="157" t="str" cm="1">
        <f t="array" ref="BC158">SUBSTITUTE(SUBSTITUTE(_xlfn.SWITCH(AR158, "ITM_T_HOME", "ITM_UP1", "ITM_T_END", "ITM_DOWN1", "DOCU_CHR_sub", "ITM_DOWN_ARROW", "DOCU_CHR_super", "ITM_UP_ARROW", "MNU_TAMALPHA", "ITM_alpha", "DOCU_CHR_caseFLIP", "ITM_NULL", "DOCU_CHR_numSET", "ITM_NULL", "DOCU_ITM_RADIX", "ITM_PERIOD", AR158), ".lo", ),"MNU_", "-MNU_")</f>
        <v>ITM_l</v>
      </c>
      <c r="BD158" s="157" t="str" cm="1">
        <f t="array" ref="BD158">SUBSTITUTE(SUBSTITUTE(_xlfn.SWITCH(AS158, "ITM_T_HOME", "ITM_UP1", "ITM_T_END", "ITM_DOWN1", "DOCU_CHR_sub", "ITM_DOWN_ARROW", "DOCU_CHR_super", "ITM_UP_ARROW", "MNU_TAMALPHA", "ITM_alpha", "DOCU_CHR_caseFLIP", "ITM_NULL", "DOCU_CHR_numSET", "ITM_NULL", "DOCU_ITM_RADIX", "ITM_PERIOD", AS158), ".lo", ),"MNU_", "-MNU_")</f>
        <v>ITM_PLUS_MINUS</v>
      </c>
      <c r="BE158" s="157" t="str" cm="1">
        <f t="array" ref="BE158">SUBSTITUTE(SUBSTITUTE(_xlfn.SWITCH(AT158, "ITM_T_HOME", "ITM_UP1", "ITM_T_END", "ITM_DOWN1", "DOCU_CHR_sub", "ITM_DOWN_ARROW", "DOCU_CHR_super", "ITM_UP_ARROW", "MNU_TAMALPHA", "ITM_alpha", "DOCU_CHR_caseFLIP", "ITM_NULL", "DOCU_CHR_numSET", "ITM_NULL", "DOCU_ITM_RADIX", "ITM_PERIOD", AT158), ".lo", ),"MNU_", "-MNU_")</f>
        <v>ITM_REG_L</v>
      </c>
      <c r="BG158" s="75"/>
      <c r="BI158" s="13" t="str">
        <f t="shared" si="60"/>
        <v xml:space="preserve">  {43,                  ITM_CHS,              ITM_DRG,              -MNU_TRG_C47,         ITM_PLUS_MINUS,       ITM_L,                ITM_l,                ITM_PLUS_MINUS,       ITM_REG_L           },</v>
      </c>
    </row>
    <row r="159" spans="24:61" ht="21" x14ac:dyDescent="0.2">
      <c r="X159" s="129" t="str">
        <f t="shared" si="51"/>
        <v>E47</v>
      </c>
      <c r="Y159" s="109">
        <v>4</v>
      </c>
      <c r="Z159" s="109">
        <v>4</v>
      </c>
      <c r="AA159" s="112" t="str">
        <f t="shared" si="63"/>
        <v>E47.44</v>
      </c>
      <c r="AB159" s="117" t="s">
        <v>147</v>
      </c>
      <c r="AC159" s="118" t="s">
        <v>149</v>
      </c>
      <c r="AD159" s="119" t="s">
        <v>148</v>
      </c>
      <c r="AE159" s="3"/>
      <c r="AF159" s="49" t="s">
        <v>138</v>
      </c>
      <c r="AG159" s="77" t="b">
        <f t="shared" si="61"/>
        <v>1</v>
      </c>
      <c r="AH159" s="83" t="str">
        <f t="shared" si="52"/>
        <v>m</v>
      </c>
      <c r="AI159" s="84" t="str">
        <f t="shared" si="53"/>
        <v>&lt;E&gt;</v>
      </c>
      <c r="AJ159" s="85" t="str">
        <f t="shared" si="54"/>
        <v xml:space="preserve"> </v>
      </c>
      <c r="AK159" s="6"/>
      <c r="AL159" s="8" t="str">
        <f t="shared" si="55"/>
        <v>{44</v>
      </c>
      <c r="AM159" s="27" t="str">
        <f t="shared" si="56"/>
        <v>ITM_EXPONENT</v>
      </c>
      <c r="AN159" s="27" t="str">
        <f t="shared" si="57"/>
        <v>MNU_EXP</v>
      </c>
      <c r="AO159" s="27" t="str">
        <f t="shared" si="58"/>
        <v>MNU_DISP</v>
      </c>
      <c r="AP159" s="46" t="str">
        <f>IF(NOT(ISNA(MATCH(AM159,Lookups!E:E,))),VLOOKUP(AM159,Lookups!E:F,2,0),
IF(NOT(ISNA(MATCH(AN159,Lookups!E:E,))),VLOOKUP(AN159,Lookups!E:F,2,0),
IF(NOT(ISNA(MATCH(AO159,Lookups!E:E,))),VLOOKUP(AO159,Lookups!E:F,2,0),"ITM_NULL")))</f>
        <v>ITM_NULL</v>
      </c>
      <c r="AQ159" s="28" t="str">
        <f t="shared" si="59"/>
        <v>ITM_M</v>
      </c>
      <c r="AR159" s="195" t="s">
        <v>139</v>
      </c>
      <c r="AS159" s="186" t="s">
        <v>152</v>
      </c>
      <c r="AT159" s="197" t="s">
        <v>81</v>
      </c>
      <c r="AW159" s="14" t="str">
        <f t="shared" si="62"/>
        <v>{44</v>
      </c>
      <c r="AX159" s="157" t="str" cm="1">
        <f t="array" ref="AX159">SUBSTITUTE(SUBSTITUTE(_xlfn.SWITCH(AM159, "ITM_T_HOME", "ITM_UP1", "ITM_T_END", "ITM_DOWN1", "DOCU_CHR_sub", "ITM_DOWN_ARROW", "DOCU_CHR_super", "ITM_UP_ARROW", "MNU_TAMALPHA", "ITM_alpha", "DOCU_CHR_caseFLIP", "ITM_NULL", "DOCU_CHR_numSET", "ITM_NULL", "DOCU_ITM_RADIX", "ITM_PERIOD", AM159), ".lo", ),"MNU_", "-MNU_")</f>
        <v>ITM_EXPONENT</v>
      </c>
      <c r="AY159" s="157" t="str" cm="1">
        <f t="array" ref="AY159">SUBSTITUTE(SUBSTITUTE(_xlfn.SWITCH(AN159, "ITM_T_HOME", "ITM_UP1", "ITM_T_END", "ITM_DOWN1", "DOCU_CHR_sub", "ITM_DOWN_ARROW", "DOCU_CHR_super", "ITM_UP_ARROW", "MNU_TAMALPHA", "ITM_alpha", "DOCU_CHR_caseFLIP", "ITM_NULL", "DOCU_CHR_numSET", "ITM_NULL", "DOCU_ITM_RADIX", "ITM_PERIOD", AN159), ".lo", ),"MNU_", "-MNU_")</f>
        <v>-MNU_EXP</v>
      </c>
      <c r="AZ159" s="157" t="str" cm="1">
        <f t="array" ref="AZ159">SUBSTITUTE(SUBSTITUTE(_xlfn.SWITCH(AO159, "ITM_T_HOME", "ITM_UP1", "ITM_T_END", "ITM_DOWN1", "DOCU_CHR_sub", "ITM_DOWN_ARROW", "DOCU_CHR_super", "ITM_UP_ARROW", "MNU_TAMALPHA", "ITM_alpha", "DOCU_CHR_caseFLIP", "ITM_NULL", "DOCU_CHR_numSET", "ITM_NULL", "DOCU_ITM_RADIX", "ITM_PERIOD", AO159), ".lo", ),"MNU_", "-MNU_")</f>
        <v>-MNU_DISP</v>
      </c>
      <c r="BA159" s="173" t="str" cm="1">
        <f t="array" ref="BA159">SUBSTITUTE(SUBSTITUTE(_xlfn.SWITCH(AP159, "ITM_T_HOME", "ITM_UP1", "ITM_T_END", "ITM_DOWN1", "DOCU_CHR_sub", "ITM_DOWN_ARROW", "DOCU_CHR_super", "ITM_UP_ARROW", "MNU_TAMALPHA", "ITM_alpha", "DOCU_CHR_caseFLIP", "ITM_NULL", "DOCU_CHR_numSET", "ITM_NULL", "DOCU_ITM_RADIX", "ITM_PERIOD", AP159), ".lo", ),"MNU_", "-MNU_")</f>
        <v>ITM_NULL</v>
      </c>
      <c r="BB159" s="157" t="str" cm="1">
        <f t="array" ref="BB159">SUBSTITUTE(SUBSTITUTE(_xlfn.SWITCH(AQ159, "ITM_T_HOME", "ITM_UP1", "ITM_T_END", "ITM_DOWN1", "DOCU_CHR_sub", "ITM_DOWN_ARROW", "DOCU_CHR_super", "ITM_UP_ARROW", "MNU_TAMALPHA", "ITM_alpha", "DOCU_CHR_caseFLIP", "ITM_NULL", "DOCU_CHR_numSET", "ITM_NULL", "DOCU_ITM_RADIX", "ITM_PERIOD", AQ159), ".lo", ),"MNU_", "-MNU_")</f>
        <v>ITM_M</v>
      </c>
      <c r="BC159" s="157" t="str" cm="1">
        <f t="array" ref="BC159">SUBSTITUTE(SUBSTITUTE(_xlfn.SWITCH(AR159, "ITM_T_HOME", "ITM_UP1", "ITM_T_END", "ITM_DOWN1", "DOCU_CHR_sub", "ITM_DOWN_ARROW", "DOCU_CHR_super", "ITM_UP_ARROW", "MNU_TAMALPHA", "ITM_alpha", "DOCU_CHR_caseFLIP", "ITM_NULL", "DOCU_CHR_numSET", "ITM_NULL", "DOCU_ITM_RADIX", "ITM_PERIOD", AR159), ".lo", ),"MNU_", "-MNU_")</f>
        <v>ITM_m</v>
      </c>
      <c r="BD159" s="157" t="str" cm="1">
        <f t="array" ref="BD159">SUBSTITUTE(SUBSTITUTE(_xlfn.SWITCH(AS159, "ITM_T_HOME", "ITM_UP1", "ITM_T_END", "ITM_DOWN1", "DOCU_CHR_sub", "ITM_DOWN_ARROW", "DOCU_CHR_super", "ITM_UP_ARROW", "MNU_TAMALPHA", "ITM_alpha", "DOCU_CHR_caseFLIP", "ITM_NULL", "DOCU_CHR_numSET", "ITM_NULL", "DOCU_ITM_RADIX", "ITM_PERIOD", AS159), ".lo", ),"MNU_", "-MNU_")</f>
        <v>ITM_EEXCHR</v>
      </c>
      <c r="BE159" s="157" t="str" cm="1">
        <f t="array" ref="BE159">SUBSTITUTE(SUBSTITUTE(_xlfn.SWITCH(AT159, "ITM_T_HOME", "ITM_UP1", "ITM_T_END", "ITM_DOWN1", "DOCU_CHR_sub", "ITM_DOWN_ARROW", "DOCU_CHR_super", "ITM_UP_ARROW", "MNU_TAMALPHA", "ITM_alpha", "DOCU_CHR_caseFLIP", "ITM_NULL", "DOCU_CHR_numSET", "ITM_NULL", "DOCU_ITM_RADIX", "ITM_PERIOD", AT159), ".lo", ),"MNU_", "-MNU_")</f>
        <v>ITM_NULL</v>
      </c>
      <c r="BG159" s="75"/>
      <c r="BI159" s="13" t="str">
        <f t="shared" si="60"/>
        <v xml:space="preserve">  {44,                  ITM_EXPONENT,         -MNU_EXP,             -MNU_DISP,            ITM_NULL,             ITM_M,                ITM_m,                ITM_EEXCHR,           ITM_NULL            },</v>
      </c>
    </row>
    <row r="160" spans="24:61" ht="21" x14ac:dyDescent="0.2">
      <c r="X160" s="129" t="str">
        <f t="shared" si="51"/>
        <v>E47</v>
      </c>
      <c r="Y160" s="109">
        <v>4</v>
      </c>
      <c r="Z160" s="109">
        <v>5</v>
      </c>
      <c r="AA160" s="112" t="str">
        <f t="shared" si="63"/>
        <v>E47.45</v>
      </c>
      <c r="AB160" s="117" t="s">
        <v>154</v>
      </c>
      <c r="AC160" s="118" t="s">
        <v>155</v>
      </c>
      <c r="AD160" s="119" t="s">
        <v>156</v>
      </c>
      <c r="AE160" s="3"/>
      <c r="AF160" s="49" t="s">
        <v>154</v>
      </c>
      <c r="AG160" s="77" t="b">
        <f t="shared" si="61"/>
        <v>0</v>
      </c>
      <c r="AH160" s="83" t="str">
        <f t="shared" si="52"/>
        <v>CLA</v>
      </c>
      <c r="AI160" s="84" t="str">
        <f t="shared" si="53"/>
        <v>CLA</v>
      </c>
      <c r="AJ160" s="85" t="str">
        <f t="shared" si="54"/>
        <v>&lt;=</v>
      </c>
      <c r="AK160" s="6"/>
      <c r="AL160" s="8" t="str">
        <f t="shared" si="55"/>
        <v>{45</v>
      </c>
      <c r="AM160" s="27" t="str">
        <f t="shared" si="56"/>
        <v>ITM_BACKSPACE</v>
      </c>
      <c r="AN160" s="27" t="str">
        <f t="shared" si="57"/>
        <v>ITM_UNDO</v>
      </c>
      <c r="AO160" s="27" t="str">
        <f t="shared" si="58"/>
        <v>MNU_CLR</v>
      </c>
      <c r="AP160" s="46" t="str">
        <f>IF(NOT(ISNA(MATCH(AM160,Lookups!E:E,))),VLOOKUP(AM160,Lookups!E:F,2,0),
IF(NOT(ISNA(MATCH(AN160,Lookups!E:E,))),VLOOKUP(AN160,Lookups!E:F,2,0),
IF(NOT(ISNA(MATCH(AO160,Lookups!E:E,))),VLOOKUP(AO160,Lookups!E:F,2,0),"ITM_NULL")))</f>
        <v>ITM_BACKSPACE</v>
      </c>
      <c r="AQ160" s="28" t="str">
        <f t="shared" si="59"/>
        <v>ITM_BACKSPACE</v>
      </c>
      <c r="AR160" s="198" t="s">
        <v>157</v>
      </c>
      <c r="AS160" s="186" t="s">
        <v>157</v>
      </c>
      <c r="AT160" s="197" t="s">
        <v>158</v>
      </c>
      <c r="AW160" s="14" t="str">
        <f t="shared" si="62"/>
        <v>{45</v>
      </c>
      <c r="AX160" s="157" t="str" cm="1">
        <f t="array" ref="AX160">SUBSTITUTE(SUBSTITUTE(_xlfn.SWITCH(AM160, "ITM_T_HOME", "ITM_UP1", "ITM_T_END", "ITM_DOWN1", "DOCU_CHR_sub", "ITM_DOWN_ARROW", "DOCU_CHR_super", "ITM_UP_ARROW", "MNU_TAMALPHA", "ITM_alpha", "DOCU_CHR_caseFLIP", "ITM_NULL", "DOCU_CHR_numSET", "ITM_NULL", "DOCU_ITM_RADIX", "ITM_PERIOD", AM160), ".lo", ),"MNU_", "-MNU_")</f>
        <v>ITM_BACKSPACE</v>
      </c>
      <c r="AY160" s="157" t="str" cm="1">
        <f t="array" ref="AY160">SUBSTITUTE(SUBSTITUTE(_xlfn.SWITCH(AN160, "ITM_T_HOME", "ITM_UP1", "ITM_T_END", "ITM_DOWN1", "DOCU_CHR_sub", "ITM_DOWN_ARROW", "DOCU_CHR_super", "ITM_UP_ARROW", "MNU_TAMALPHA", "ITM_alpha", "DOCU_CHR_caseFLIP", "ITM_NULL", "DOCU_CHR_numSET", "ITM_NULL", "DOCU_ITM_RADIX", "ITM_PERIOD", AN160), ".lo", ),"MNU_", "-MNU_")</f>
        <v>ITM_UNDO</v>
      </c>
      <c r="AZ160" s="157" t="str" cm="1">
        <f t="array" ref="AZ160">SUBSTITUTE(SUBSTITUTE(_xlfn.SWITCH(AO160, "ITM_T_HOME", "ITM_UP1", "ITM_T_END", "ITM_DOWN1", "DOCU_CHR_sub", "ITM_DOWN_ARROW", "DOCU_CHR_super", "ITM_UP_ARROW", "MNU_TAMALPHA", "ITM_alpha", "DOCU_CHR_caseFLIP", "ITM_NULL", "DOCU_CHR_numSET", "ITM_NULL", "DOCU_ITM_RADIX", "ITM_PERIOD", AO160), ".lo", ),"MNU_", "-MNU_")</f>
        <v>-MNU_CLR</v>
      </c>
      <c r="BA160" s="173" t="str" cm="1">
        <f t="array" ref="BA160">SUBSTITUTE(SUBSTITUTE(_xlfn.SWITCH(AP160, "ITM_T_HOME", "ITM_UP1", "ITM_T_END", "ITM_DOWN1", "DOCU_CHR_sub", "ITM_DOWN_ARROW", "DOCU_CHR_super", "ITM_UP_ARROW", "MNU_TAMALPHA", "ITM_alpha", "DOCU_CHR_caseFLIP", "ITM_NULL", "DOCU_CHR_numSET", "ITM_NULL", "DOCU_ITM_RADIX", "ITM_PERIOD", AP160), ".lo", ),"MNU_", "-MNU_")</f>
        <v>ITM_BACKSPACE</v>
      </c>
      <c r="BB160" s="157" t="str" cm="1">
        <f t="array" ref="BB160">SUBSTITUTE(SUBSTITUTE(_xlfn.SWITCH(AQ160, "ITM_T_HOME", "ITM_UP1", "ITM_T_END", "ITM_DOWN1", "DOCU_CHR_sub", "ITM_DOWN_ARROW", "DOCU_CHR_super", "ITM_UP_ARROW", "MNU_TAMALPHA", "ITM_alpha", "DOCU_CHR_caseFLIP", "ITM_NULL", "DOCU_CHR_numSET", "ITM_NULL", "DOCU_ITM_RADIX", "ITM_PERIOD", AQ160), ".lo", ),"MNU_", "-MNU_")</f>
        <v>ITM_BACKSPACE</v>
      </c>
      <c r="BC160" s="157" t="str" cm="1">
        <f t="array" ref="BC160">SUBSTITUTE(SUBSTITUTE(_xlfn.SWITCH(AR160, "ITM_T_HOME", "ITM_UP1", "ITM_T_END", "ITM_DOWN1", "DOCU_CHR_sub", "ITM_DOWN_ARROW", "DOCU_CHR_super", "ITM_UP_ARROW", "MNU_TAMALPHA", "ITM_alpha", "DOCU_CHR_caseFLIP", "ITM_NULL", "DOCU_CHR_numSET", "ITM_NULL", "DOCU_ITM_RADIX", "ITM_PERIOD", AR160), ".lo", ),"MNU_", "-MNU_")</f>
        <v>ITM_CLA</v>
      </c>
      <c r="BD160" s="157" t="str" cm="1">
        <f t="array" ref="BD160">SUBSTITUTE(SUBSTITUTE(_xlfn.SWITCH(AS160, "ITM_T_HOME", "ITM_UP1", "ITM_T_END", "ITM_DOWN1", "DOCU_CHR_sub", "ITM_DOWN_ARROW", "DOCU_CHR_super", "ITM_UP_ARROW", "MNU_TAMALPHA", "ITM_alpha", "DOCU_CHR_caseFLIP", "ITM_NULL", "DOCU_CHR_numSET", "ITM_NULL", "DOCU_ITM_RADIX", "ITM_PERIOD", AS160), ".lo", ),"MNU_", "-MNU_")</f>
        <v>ITM_CLA</v>
      </c>
      <c r="BE160" s="157" t="str" cm="1">
        <f t="array" ref="BE160">SUBSTITUTE(SUBSTITUTE(_xlfn.SWITCH(AT160, "ITM_T_HOME", "ITM_UP1", "ITM_T_END", "ITM_DOWN1", "DOCU_CHR_sub", "ITM_DOWN_ARROW", "DOCU_CHR_super", "ITM_UP_ARROW", "MNU_TAMALPHA", "ITM_alpha", "DOCU_CHR_caseFLIP", "ITM_NULL", "DOCU_CHR_numSET", "ITM_NULL", "DOCU_ITM_RADIX", "ITM_PERIOD", AT160), ".lo", ),"MNU_", "-MNU_")</f>
        <v>ITM_BACKSPACE</v>
      </c>
      <c r="BG160" s="75"/>
      <c r="BI160" s="13" t="str">
        <f t="shared" si="60"/>
        <v xml:space="preserve">  {45,                  ITM_BACKSPACE,        ITM_UNDO,             -MNU_CLR,             ITM_BACKSPACE,        ITM_BACKSPACE,        ITM_CLA,              ITM_CLA,              ITM_BACKSPACE       },</v>
      </c>
    </row>
    <row r="161" spans="24:61" ht="21" x14ac:dyDescent="0.2">
      <c r="X161" s="129" t="str">
        <f t="shared" si="51"/>
        <v>E47</v>
      </c>
      <c r="Y161" s="106">
        <v>5</v>
      </c>
      <c r="Z161" s="106">
        <v>1</v>
      </c>
      <c r="AA161" s="112" t="str">
        <f t="shared" si="63"/>
        <v>E47.51</v>
      </c>
      <c r="AB161" s="117" t="s">
        <v>82</v>
      </c>
      <c r="AC161" s="118" t="s">
        <v>83</v>
      </c>
      <c r="AD161" s="119" t="s">
        <v>227</v>
      </c>
      <c r="AE161" s="3"/>
      <c r="AF161" s="49" t="str">
        <f>" "</f>
        <v xml:space="preserve"> </v>
      </c>
      <c r="AG161" s="77" t="b">
        <f t="shared" si="61"/>
        <v>1</v>
      </c>
      <c r="AH161" s="83" t="str">
        <f t="shared" si="52"/>
        <v xml:space="preserve"> </v>
      </c>
      <c r="AI161" s="84" t="str">
        <f t="shared" si="53"/>
        <v>alpha</v>
      </c>
      <c r="AJ161" s="85" t="str">
        <f t="shared" si="54"/>
        <v>[TAMALPHA]</v>
      </c>
      <c r="AK161" s="6"/>
      <c r="AL161" s="8" t="str">
        <f t="shared" si="55"/>
        <v>{51</v>
      </c>
      <c r="AM161" s="27" t="str">
        <f t="shared" si="56"/>
        <v>ITM_XEQ</v>
      </c>
      <c r="AN161" s="27" t="str">
        <f t="shared" si="57"/>
        <v>ITM_AIM</v>
      </c>
      <c r="AO161" s="27" t="str">
        <f t="shared" si="58"/>
        <v>ITM_USERMODE</v>
      </c>
      <c r="AP161" s="46" t="str">
        <f>IF(NOT(ISNA(MATCH(AM161,Lookups!E:E,))),VLOOKUP(AM161,Lookups!E:F,2,0),
IF(NOT(ISNA(MATCH(AN161,Lookups!E:E,))),VLOOKUP(AN161,Lookups!E:F,2,0),
IF(NOT(ISNA(MATCH(AO161,Lookups!E:E,))),VLOOKUP(AO161,Lookups!E:F,2,0),"ITM_NULL")))</f>
        <v>ITM_NULL</v>
      </c>
      <c r="AQ161" s="28" t="str">
        <f t="shared" si="59"/>
        <v>ITM_NULL</v>
      </c>
      <c r="AR161" s="198" t="s">
        <v>81</v>
      </c>
      <c r="AS161" s="186" t="s">
        <v>87</v>
      </c>
      <c r="AT161" s="197" t="s">
        <v>622</v>
      </c>
      <c r="AW161" s="14" t="str">
        <f t="shared" si="62"/>
        <v>{51</v>
      </c>
      <c r="AX161" s="157" t="str" cm="1">
        <f t="array" ref="AX161">SUBSTITUTE(SUBSTITUTE(_xlfn.SWITCH(AM161, "ITM_T_HOME", "ITM_UP1", "ITM_T_END", "ITM_DOWN1", "DOCU_CHR_sub", "ITM_DOWN_ARROW", "DOCU_CHR_super", "ITM_UP_ARROW", "MNU_TAMALPHA", "ITM_alpha", "DOCU_CHR_caseFLIP", "ITM_NULL", "DOCU_CHR_numSET", "ITM_NULL", "DOCU_ITM_RADIX", "ITM_PERIOD", AM161), ".lo", ),"MNU_", "-MNU_")</f>
        <v>ITM_XEQ</v>
      </c>
      <c r="AY161" s="157" t="str" cm="1">
        <f t="array" ref="AY161">SUBSTITUTE(SUBSTITUTE(_xlfn.SWITCH(AN161, "ITM_T_HOME", "ITM_UP1", "ITM_T_END", "ITM_DOWN1", "DOCU_CHR_sub", "ITM_DOWN_ARROW", "DOCU_CHR_super", "ITM_UP_ARROW", "MNU_TAMALPHA", "ITM_alpha", "DOCU_CHR_caseFLIP", "ITM_NULL", "DOCU_CHR_numSET", "ITM_NULL", "DOCU_ITM_RADIX", "ITM_PERIOD", AN161), ".lo", ),"MNU_", "-MNU_")</f>
        <v>ITM_AIM</v>
      </c>
      <c r="AZ161" s="157" t="str" cm="1">
        <f t="array" ref="AZ161">SUBSTITUTE(SUBSTITUTE(_xlfn.SWITCH(AO161, "ITM_T_HOME", "ITM_UP1", "ITM_T_END", "ITM_DOWN1", "DOCU_CHR_sub", "ITM_DOWN_ARROW", "DOCU_CHR_super", "ITM_UP_ARROW", "MNU_TAMALPHA", "ITM_alpha", "DOCU_CHR_caseFLIP", "ITM_NULL", "DOCU_CHR_numSET", "ITM_NULL", "DOCU_ITM_RADIX", "ITM_PERIOD", AO161), ".lo", ),"MNU_", "-MNU_")</f>
        <v>ITM_USERMODE</v>
      </c>
      <c r="BA161" s="173" t="str" cm="1">
        <f t="array" ref="BA161">SUBSTITUTE(SUBSTITUTE(_xlfn.SWITCH(AP161, "ITM_T_HOME", "ITM_UP1", "ITM_T_END", "ITM_DOWN1", "DOCU_CHR_sub", "ITM_DOWN_ARROW", "DOCU_CHR_super", "ITM_UP_ARROW", "MNU_TAMALPHA", "ITM_alpha", "DOCU_CHR_caseFLIP", "ITM_NULL", "DOCU_CHR_numSET", "ITM_NULL", "DOCU_ITM_RADIX", "ITM_PERIOD", AP161), ".lo", ),"MNU_", "-MNU_")</f>
        <v>ITM_NULL</v>
      </c>
      <c r="BB161" s="157" t="str" cm="1">
        <f t="array" ref="BB161">SUBSTITUTE(SUBSTITUTE(_xlfn.SWITCH(AQ161, "ITM_T_HOME", "ITM_UP1", "ITM_T_END", "ITM_DOWN1", "DOCU_CHR_sub", "ITM_DOWN_ARROW", "DOCU_CHR_super", "ITM_UP_ARROW", "MNU_TAMALPHA", "ITM_alpha", "DOCU_CHR_caseFLIP", "ITM_NULL", "DOCU_CHR_numSET", "ITM_NULL", "DOCU_ITM_RADIX", "ITM_PERIOD", AQ161), ".lo", ),"MNU_", "-MNU_")</f>
        <v>ITM_NULL</v>
      </c>
      <c r="BC161" s="157" t="str" cm="1">
        <f t="array" ref="BC161">SUBSTITUTE(SUBSTITUTE(_xlfn.SWITCH(AR161, "ITM_T_HOME", "ITM_UP1", "ITM_T_END", "ITM_DOWN1", "DOCU_CHR_sub", "ITM_DOWN_ARROW", "DOCU_CHR_super", "ITM_UP_ARROW", "MNU_TAMALPHA", "ITM_alpha", "DOCU_CHR_caseFLIP", "ITM_NULL", "DOCU_CHR_numSET", "ITM_NULL", "DOCU_ITM_RADIX", "ITM_PERIOD", AR161), ".lo", ),"MNU_", "-MNU_")</f>
        <v>ITM_NULL</v>
      </c>
      <c r="BD161" s="157" t="str" cm="1">
        <f t="array" ref="BD161">SUBSTITUTE(SUBSTITUTE(_xlfn.SWITCH(AS161, "ITM_T_HOME", "ITM_UP1", "ITM_T_END", "ITM_DOWN1", "DOCU_CHR_sub", "ITM_DOWN_ARROW", "DOCU_CHR_super", "ITM_UP_ARROW", "MNU_TAMALPHA", "ITM_alpha", "DOCU_CHR_caseFLIP", "ITM_NULL", "DOCU_CHR_numSET", "ITM_NULL", "DOCU_ITM_RADIX", "ITM_PERIOD", AS161), ".lo", ),"MNU_", "-MNU_")</f>
        <v>ITM_alpha</v>
      </c>
      <c r="BE161" s="157" t="str" cm="1">
        <f t="array" ref="BE161">SUBSTITUTE(SUBSTITUTE(_xlfn.SWITCH(AT161, "ITM_T_HOME", "ITM_UP1", "ITM_T_END", "ITM_DOWN1", "DOCU_CHR_sub", "ITM_DOWN_ARROW", "DOCU_CHR_super", "ITM_UP_ARROW", "MNU_TAMALPHA", "ITM_alpha", "DOCU_CHR_caseFLIP", "ITM_NULL", "DOCU_CHR_numSET", "ITM_NULL", "DOCU_ITM_RADIX", "ITM_PERIOD", AT161), ".lo", ),"MNU_", "-MNU_")</f>
        <v>ITM_alpha</v>
      </c>
      <c r="BG161" s="75"/>
      <c r="BI161" s="13" t="str">
        <f t="shared" si="60"/>
        <v xml:space="preserve">  {51,                  ITM_XEQ,              ITM_AIM,              ITM_USERMODE,         ITM_NULL,             ITM_NULL,             ITM_NULL,             ITM_alpha,            ITM_alpha           },</v>
      </c>
    </row>
    <row r="162" spans="24:61" ht="21" x14ac:dyDescent="0.2">
      <c r="X162" s="129" t="str">
        <f t="shared" si="51"/>
        <v>E47</v>
      </c>
      <c r="Y162" s="109">
        <v>5</v>
      </c>
      <c r="Z162" s="109">
        <v>2</v>
      </c>
      <c r="AA162" s="112" t="str">
        <f t="shared" si="63"/>
        <v>E47.52</v>
      </c>
      <c r="AB162" s="117">
        <v>7</v>
      </c>
      <c r="AC162" s="118" t="s">
        <v>84</v>
      </c>
      <c r="AD162" s="119" t="s">
        <v>167</v>
      </c>
      <c r="AE162" s="3"/>
      <c r="AF162" s="49" t="s">
        <v>144</v>
      </c>
      <c r="AG162" s="77" t="b">
        <f t="shared" si="61"/>
        <v>1</v>
      </c>
      <c r="AH162" s="83" t="str">
        <f t="shared" si="52"/>
        <v>n</v>
      </c>
      <c r="AI162" s="84">
        <f t="shared" si="53"/>
        <v>7</v>
      </c>
      <c r="AJ162" s="85">
        <f t="shared" si="54"/>
        <v>7</v>
      </c>
      <c r="AK162" s="6"/>
      <c r="AL162" s="8" t="str">
        <f t="shared" si="55"/>
        <v>{52</v>
      </c>
      <c r="AM162" s="27" t="str">
        <f t="shared" si="56"/>
        <v>ITM_7</v>
      </c>
      <c r="AN162" s="27" t="str">
        <f t="shared" si="57"/>
        <v>ITM_GTO</v>
      </c>
      <c r="AO162" s="27" t="str">
        <f t="shared" si="58"/>
        <v>MNU_HOME</v>
      </c>
      <c r="AP162" s="46" t="str">
        <f>IF(NOT(ISNA(MATCH(AM162,Lookups!E:E,))),VLOOKUP(AM162,Lookups!E:F,2,0),
IF(NOT(ISNA(MATCH(AN162,Lookups!E:E,))),VLOOKUP(AN162,Lookups!E:F,2,0),
IF(NOT(ISNA(MATCH(AO162,Lookups!E:E,))),VLOOKUP(AO162,Lookups!E:F,2,0),"ITM_NULL")))</f>
        <v>ITM_7</v>
      </c>
      <c r="AQ162" s="28" t="str">
        <f t="shared" si="59"/>
        <v>ITM_N</v>
      </c>
      <c r="AR162" s="195" t="s">
        <v>145</v>
      </c>
      <c r="AS162" s="186" t="s">
        <v>170</v>
      </c>
      <c r="AT162" s="197" t="s">
        <v>170</v>
      </c>
      <c r="AW162" s="14" t="str">
        <f t="shared" si="62"/>
        <v>{52</v>
      </c>
      <c r="AX162" s="157" t="str" cm="1">
        <f t="array" ref="AX162">SUBSTITUTE(SUBSTITUTE(_xlfn.SWITCH(AM162, "ITM_T_HOME", "ITM_UP1", "ITM_T_END", "ITM_DOWN1", "DOCU_CHR_sub", "ITM_DOWN_ARROW", "DOCU_CHR_super", "ITM_UP_ARROW", "MNU_TAMALPHA", "ITM_alpha", "DOCU_CHR_caseFLIP", "ITM_NULL", "DOCU_CHR_numSET", "ITM_NULL", "DOCU_ITM_RADIX", "ITM_PERIOD", AM162), ".lo", ),"MNU_", "-MNU_")</f>
        <v>ITM_7</v>
      </c>
      <c r="AY162" s="157" t="str" cm="1">
        <f t="array" ref="AY162">SUBSTITUTE(SUBSTITUTE(_xlfn.SWITCH(AN162, "ITM_T_HOME", "ITM_UP1", "ITM_T_END", "ITM_DOWN1", "DOCU_CHR_sub", "ITM_DOWN_ARROW", "DOCU_CHR_super", "ITM_UP_ARROW", "MNU_TAMALPHA", "ITM_alpha", "DOCU_CHR_caseFLIP", "ITM_NULL", "DOCU_CHR_numSET", "ITM_NULL", "DOCU_ITM_RADIX", "ITM_PERIOD", AN162), ".lo", ),"MNU_", "-MNU_")</f>
        <v>ITM_GTO</v>
      </c>
      <c r="AZ162" s="157" t="str" cm="1">
        <f t="array" ref="AZ162">SUBSTITUTE(SUBSTITUTE(_xlfn.SWITCH(AO162, "ITM_T_HOME", "ITM_UP1", "ITM_T_END", "ITM_DOWN1", "DOCU_CHR_sub", "ITM_DOWN_ARROW", "DOCU_CHR_super", "ITM_UP_ARROW", "MNU_TAMALPHA", "ITM_alpha", "DOCU_CHR_caseFLIP", "ITM_NULL", "DOCU_CHR_numSET", "ITM_NULL", "DOCU_ITM_RADIX", "ITM_PERIOD", AO162), ".lo", ),"MNU_", "-MNU_")</f>
        <v>-MNU_HOME</v>
      </c>
      <c r="BA162" s="173" t="str" cm="1">
        <f t="array" ref="BA162">SUBSTITUTE(SUBSTITUTE(_xlfn.SWITCH(AP162, "ITM_T_HOME", "ITM_UP1", "ITM_T_END", "ITM_DOWN1", "DOCU_CHR_sub", "ITM_DOWN_ARROW", "DOCU_CHR_super", "ITM_UP_ARROW", "MNU_TAMALPHA", "ITM_alpha", "DOCU_CHR_caseFLIP", "ITM_NULL", "DOCU_CHR_numSET", "ITM_NULL", "DOCU_ITM_RADIX", "ITM_PERIOD", AP162), ".lo", ),"MNU_", "-MNU_")</f>
        <v>ITM_7</v>
      </c>
      <c r="BB162" s="157" t="str" cm="1">
        <f t="array" ref="BB162">SUBSTITUTE(SUBSTITUTE(_xlfn.SWITCH(AQ162, "ITM_T_HOME", "ITM_UP1", "ITM_T_END", "ITM_DOWN1", "DOCU_CHR_sub", "ITM_DOWN_ARROW", "DOCU_CHR_super", "ITM_UP_ARROW", "MNU_TAMALPHA", "ITM_alpha", "DOCU_CHR_caseFLIP", "ITM_NULL", "DOCU_CHR_numSET", "ITM_NULL", "DOCU_ITM_RADIX", "ITM_PERIOD", AQ162), ".lo", ),"MNU_", "-MNU_")</f>
        <v>ITM_N</v>
      </c>
      <c r="BC162" s="157" t="str" cm="1">
        <f t="array" ref="BC162">SUBSTITUTE(SUBSTITUTE(_xlfn.SWITCH(AR162, "ITM_T_HOME", "ITM_UP1", "ITM_T_END", "ITM_DOWN1", "DOCU_CHR_sub", "ITM_DOWN_ARROW", "DOCU_CHR_super", "ITM_UP_ARROW", "MNU_TAMALPHA", "ITM_alpha", "DOCU_CHR_caseFLIP", "ITM_NULL", "DOCU_CHR_numSET", "ITM_NULL", "DOCU_ITM_RADIX", "ITM_PERIOD", AR162), ".lo", ),"MNU_", "-MNU_")</f>
        <v>ITM_n</v>
      </c>
      <c r="BD162" s="157" t="str" cm="1">
        <f t="array" ref="BD162">SUBSTITUTE(SUBSTITUTE(_xlfn.SWITCH(AS162, "ITM_T_HOME", "ITM_UP1", "ITM_T_END", "ITM_DOWN1", "DOCU_CHR_sub", "ITM_DOWN_ARROW", "DOCU_CHR_super", "ITM_UP_ARROW", "MNU_TAMALPHA", "ITM_alpha", "DOCU_CHR_caseFLIP", "ITM_NULL", "DOCU_CHR_numSET", "ITM_NULL", "DOCU_ITM_RADIX", "ITM_PERIOD", AS162), ".lo", ),"MNU_", "-MNU_")</f>
        <v>ITM_7</v>
      </c>
      <c r="BE162" s="157" t="str" cm="1">
        <f t="array" ref="BE162">SUBSTITUTE(SUBSTITUTE(_xlfn.SWITCH(AT162, "ITM_T_HOME", "ITM_UP1", "ITM_T_END", "ITM_DOWN1", "DOCU_CHR_sub", "ITM_DOWN_ARROW", "DOCU_CHR_super", "ITM_UP_ARROW", "MNU_TAMALPHA", "ITM_alpha", "DOCU_CHR_caseFLIP", "ITM_NULL", "DOCU_CHR_numSET", "ITM_NULL", "DOCU_ITM_RADIX", "ITM_PERIOD", AT162), ".lo", ),"MNU_", "-MNU_")</f>
        <v>ITM_7</v>
      </c>
      <c r="BG162" s="75"/>
      <c r="BI162" s="13" t="str">
        <f t="shared" si="60"/>
        <v xml:space="preserve">  {52,                  ITM_7,                ITM_GTO,              -MNU_HOME,            ITM_7,                ITM_N,                ITM_n,                ITM_7,                ITM_7               },</v>
      </c>
    </row>
    <row r="163" spans="24:61" ht="21" x14ac:dyDescent="0.2">
      <c r="X163" s="129" t="str">
        <f t="shared" si="51"/>
        <v>E47</v>
      </c>
      <c r="Y163" s="109">
        <v>5</v>
      </c>
      <c r="Z163" s="109">
        <v>3</v>
      </c>
      <c r="AA163" s="112" t="str">
        <f t="shared" si="63"/>
        <v>E47.53</v>
      </c>
      <c r="AB163" s="117">
        <v>8</v>
      </c>
      <c r="AC163" s="118" t="s">
        <v>166</v>
      </c>
      <c r="AD163" s="119" t="s">
        <v>171</v>
      </c>
      <c r="AE163" s="3"/>
      <c r="AF163" s="49" t="s">
        <v>150</v>
      </c>
      <c r="AG163" s="77" t="b">
        <f t="shared" si="61"/>
        <v>1</v>
      </c>
      <c r="AH163" s="83" t="str">
        <f t="shared" si="52"/>
        <v>o</v>
      </c>
      <c r="AI163" s="84">
        <f t="shared" si="53"/>
        <v>8</v>
      </c>
      <c r="AJ163" s="85">
        <f t="shared" si="54"/>
        <v>8</v>
      </c>
      <c r="AK163" s="6"/>
      <c r="AL163" s="8" t="str">
        <f t="shared" si="55"/>
        <v>{53</v>
      </c>
      <c r="AM163" s="27" t="str">
        <f t="shared" si="56"/>
        <v>ITM_8</v>
      </c>
      <c r="AN163" s="27" t="str">
        <f t="shared" si="57"/>
        <v>MNU_EQN</v>
      </c>
      <c r="AO163" s="27" t="str">
        <f t="shared" si="58"/>
        <v>MNU_ADV</v>
      </c>
      <c r="AP163" s="46" t="str">
        <f>IF(NOT(ISNA(MATCH(AM163,Lookups!E:E,))),VLOOKUP(AM163,Lookups!E:F,2,0),
IF(NOT(ISNA(MATCH(AN163,Lookups!E:E,))),VLOOKUP(AN163,Lookups!E:F,2,0),
IF(NOT(ISNA(MATCH(AO163,Lookups!E:E,))),VLOOKUP(AO163,Lookups!E:F,2,0),"ITM_NULL")))</f>
        <v>ITM_8</v>
      </c>
      <c r="AQ163" s="28" t="str">
        <f t="shared" si="59"/>
        <v>ITM_O</v>
      </c>
      <c r="AR163" s="195" t="s">
        <v>151</v>
      </c>
      <c r="AS163" s="186" t="s">
        <v>175</v>
      </c>
      <c r="AT163" s="197" t="s">
        <v>175</v>
      </c>
      <c r="AW163" s="14" t="str">
        <f t="shared" si="62"/>
        <v>{53</v>
      </c>
      <c r="AX163" s="157" t="str" cm="1">
        <f t="array" ref="AX163">SUBSTITUTE(SUBSTITUTE(_xlfn.SWITCH(AM163, "ITM_T_HOME", "ITM_UP1", "ITM_T_END", "ITM_DOWN1", "DOCU_CHR_sub", "ITM_DOWN_ARROW", "DOCU_CHR_super", "ITM_UP_ARROW", "MNU_TAMALPHA", "ITM_alpha", "DOCU_CHR_caseFLIP", "ITM_NULL", "DOCU_CHR_numSET", "ITM_NULL", "DOCU_ITM_RADIX", "ITM_PERIOD", AM163), ".lo", ),"MNU_", "-MNU_")</f>
        <v>ITM_8</v>
      </c>
      <c r="AY163" s="157" t="str" cm="1">
        <f t="array" ref="AY163">SUBSTITUTE(SUBSTITUTE(_xlfn.SWITCH(AN163, "ITM_T_HOME", "ITM_UP1", "ITM_T_END", "ITM_DOWN1", "DOCU_CHR_sub", "ITM_DOWN_ARROW", "DOCU_CHR_super", "ITM_UP_ARROW", "MNU_TAMALPHA", "ITM_alpha", "DOCU_CHR_caseFLIP", "ITM_NULL", "DOCU_CHR_numSET", "ITM_NULL", "DOCU_ITM_RADIX", "ITM_PERIOD", AN163), ".lo", ),"MNU_", "-MNU_")</f>
        <v>-MNU_EQN</v>
      </c>
      <c r="AZ163" s="157" t="str" cm="1">
        <f t="array" ref="AZ163">SUBSTITUTE(SUBSTITUTE(_xlfn.SWITCH(AO163, "ITM_T_HOME", "ITM_UP1", "ITM_T_END", "ITM_DOWN1", "DOCU_CHR_sub", "ITM_DOWN_ARROW", "DOCU_CHR_super", "ITM_UP_ARROW", "MNU_TAMALPHA", "ITM_alpha", "DOCU_CHR_caseFLIP", "ITM_NULL", "DOCU_CHR_numSET", "ITM_NULL", "DOCU_ITM_RADIX", "ITM_PERIOD", AO163), ".lo", ),"MNU_", "-MNU_")</f>
        <v>-MNU_ADV</v>
      </c>
      <c r="BA163" s="173" t="str" cm="1">
        <f t="array" ref="BA163">SUBSTITUTE(SUBSTITUTE(_xlfn.SWITCH(AP163, "ITM_T_HOME", "ITM_UP1", "ITM_T_END", "ITM_DOWN1", "DOCU_CHR_sub", "ITM_DOWN_ARROW", "DOCU_CHR_super", "ITM_UP_ARROW", "MNU_TAMALPHA", "ITM_alpha", "DOCU_CHR_caseFLIP", "ITM_NULL", "DOCU_CHR_numSET", "ITM_NULL", "DOCU_ITM_RADIX", "ITM_PERIOD", AP163), ".lo", ),"MNU_", "-MNU_")</f>
        <v>ITM_8</v>
      </c>
      <c r="BB163" s="157" t="str" cm="1">
        <f t="array" ref="BB163">SUBSTITUTE(SUBSTITUTE(_xlfn.SWITCH(AQ163, "ITM_T_HOME", "ITM_UP1", "ITM_T_END", "ITM_DOWN1", "DOCU_CHR_sub", "ITM_DOWN_ARROW", "DOCU_CHR_super", "ITM_UP_ARROW", "MNU_TAMALPHA", "ITM_alpha", "DOCU_CHR_caseFLIP", "ITM_NULL", "DOCU_CHR_numSET", "ITM_NULL", "DOCU_ITM_RADIX", "ITM_PERIOD", AQ163), ".lo", ),"MNU_", "-MNU_")</f>
        <v>ITM_O</v>
      </c>
      <c r="BC163" s="157" t="str" cm="1">
        <f t="array" ref="BC163">SUBSTITUTE(SUBSTITUTE(_xlfn.SWITCH(AR163, "ITM_T_HOME", "ITM_UP1", "ITM_T_END", "ITM_DOWN1", "DOCU_CHR_sub", "ITM_DOWN_ARROW", "DOCU_CHR_super", "ITM_UP_ARROW", "MNU_TAMALPHA", "ITM_alpha", "DOCU_CHR_caseFLIP", "ITM_NULL", "DOCU_CHR_numSET", "ITM_NULL", "DOCU_ITM_RADIX", "ITM_PERIOD", AR163), ".lo", ),"MNU_", "-MNU_")</f>
        <v>ITM_o</v>
      </c>
      <c r="BD163" s="157" t="str" cm="1">
        <f t="array" ref="BD163">SUBSTITUTE(SUBSTITUTE(_xlfn.SWITCH(AS163, "ITM_T_HOME", "ITM_UP1", "ITM_T_END", "ITM_DOWN1", "DOCU_CHR_sub", "ITM_DOWN_ARROW", "DOCU_CHR_super", "ITM_UP_ARROW", "MNU_TAMALPHA", "ITM_alpha", "DOCU_CHR_caseFLIP", "ITM_NULL", "DOCU_CHR_numSET", "ITM_NULL", "DOCU_ITM_RADIX", "ITM_PERIOD", AS163), ".lo", ),"MNU_", "-MNU_")</f>
        <v>ITM_8</v>
      </c>
      <c r="BE163" s="157" t="str" cm="1">
        <f t="array" ref="BE163">SUBSTITUTE(SUBSTITUTE(_xlfn.SWITCH(AT163, "ITM_T_HOME", "ITM_UP1", "ITM_T_END", "ITM_DOWN1", "DOCU_CHR_sub", "ITM_DOWN_ARROW", "DOCU_CHR_super", "ITM_UP_ARROW", "MNU_TAMALPHA", "ITM_alpha", "DOCU_CHR_caseFLIP", "ITM_NULL", "DOCU_CHR_numSET", "ITM_NULL", "DOCU_ITM_RADIX", "ITM_PERIOD", AT163), ".lo", ),"MNU_", "-MNU_")</f>
        <v>ITM_8</v>
      </c>
      <c r="BG163" s="75"/>
      <c r="BI163" s="13" t="str">
        <f t="shared" si="60"/>
        <v xml:space="preserve">  {53,                  ITM_8,                -MNU_EQN,             -MNU_ADV,             ITM_8,                ITM_O,                ITM_o,                ITM_8,                ITM_8               },</v>
      </c>
    </row>
    <row r="164" spans="24:61" ht="21" x14ac:dyDescent="0.2">
      <c r="X164" s="129" t="str">
        <f t="shared" si="51"/>
        <v>E47</v>
      </c>
      <c r="Y164" s="109">
        <v>5</v>
      </c>
      <c r="Z164" s="109">
        <v>4</v>
      </c>
      <c r="AA164" s="112" t="str">
        <f t="shared" si="63"/>
        <v>E47.54</v>
      </c>
      <c r="AB164" s="117">
        <v>9</v>
      </c>
      <c r="AC164" s="118" t="s">
        <v>176</v>
      </c>
      <c r="AD164" s="119" t="s">
        <v>177</v>
      </c>
      <c r="AE164" s="3"/>
      <c r="AF164" s="49" t="s">
        <v>168</v>
      </c>
      <c r="AG164" s="77" t="b">
        <f t="shared" si="61"/>
        <v>1</v>
      </c>
      <c r="AH164" s="83" t="str">
        <f t="shared" si="52"/>
        <v>p</v>
      </c>
      <c r="AI164" s="84">
        <f t="shared" si="53"/>
        <v>9</v>
      </c>
      <c r="AJ164" s="85">
        <f t="shared" si="54"/>
        <v>9</v>
      </c>
      <c r="AK164" s="6"/>
      <c r="AL164" s="8" t="str">
        <f t="shared" si="55"/>
        <v>{54</v>
      </c>
      <c r="AM164" s="27" t="str">
        <f t="shared" si="56"/>
        <v>ITM_9</v>
      </c>
      <c r="AN164" s="27" t="str">
        <f t="shared" si="57"/>
        <v>MNU_MATX</v>
      </c>
      <c r="AO164" s="27" t="str">
        <f t="shared" si="58"/>
        <v>MNU_XFN</v>
      </c>
      <c r="AP164" s="46" t="str">
        <f>IF(NOT(ISNA(MATCH(AM164,Lookups!E:E,))),VLOOKUP(AM164,Lookups!E:F,2,0),
IF(NOT(ISNA(MATCH(AN164,Lookups!E:E,))),VLOOKUP(AN164,Lookups!E:F,2,0),
IF(NOT(ISNA(MATCH(AO164,Lookups!E:E,))),VLOOKUP(AO164,Lookups!E:F,2,0),"ITM_NULL")))</f>
        <v>ITM_9</v>
      </c>
      <c r="AQ164" s="28" t="str">
        <f t="shared" si="59"/>
        <v>ITM_P</v>
      </c>
      <c r="AR164" s="195" t="s">
        <v>169</v>
      </c>
      <c r="AS164" s="186" t="s">
        <v>180</v>
      </c>
      <c r="AT164" s="197" t="s">
        <v>180</v>
      </c>
      <c r="AW164" s="14" t="str">
        <f t="shared" si="62"/>
        <v>{54</v>
      </c>
      <c r="AX164" s="157" t="str" cm="1">
        <f t="array" ref="AX164">SUBSTITUTE(SUBSTITUTE(_xlfn.SWITCH(AM164, "ITM_T_HOME", "ITM_UP1", "ITM_T_END", "ITM_DOWN1", "DOCU_CHR_sub", "ITM_DOWN_ARROW", "DOCU_CHR_super", "ITM_UP_ARROW", "MNU_TAMALPHA", "ITM_alpha", "DOCU_CHR_caseFLIP", "ITM_NULL", "DOCU_CHR_numSET", "ITM_NULL", "DOCU_ITM_RADIX", "ITM_PERIOD", AM164), ".lo", ),"MNU_", "-MNU_")</f>
        <v>ITM_9</v>
      </c>
      <c r="AY164" s="157" t="str" cm="1">
        <f t="array" ref="AY164">SUBSTITUTE(SUBSTITUTE(_xlfn.SWITCH(AN164, "ITM_T_HOME", "ITM_UP1", "ITM_T_END", "ITM_DOWN1", "DOCU_CHR_sub", "ITM_DOWN_ARROW", "DOCU_CHR_super", "ITM_UP_ARROW", "MNU_TAMALPHA", "ITM_alpha", "DOCU_CHR_caseFLIP", "ITM_NULL", "DOCU_CHR_numSET", "ITM_NULL", "DOCU_ITM_RADIX", "ITM_PERIOD", AN164), ".lo", ),"MNU_", "-MNU_")</f>
        <v>-MNU_MATX</v>
      </c>
      <c r="AZ164" s="157" t="str" cm="1">
        <f t="array" ref="AZ164">SUBSTITUTE(SUBSTITUTE(_xlfn.SWITCH(AO164, "ITM_T_HOME", "ITM_UP1", "ITM_T_END", "ITM_DOWN1", "DOCU_CHR_sub", "ITM_DOWN_ARROW", "DOCU_CHR_super", "ITM_UP_ARROW", "MNU_TAMALPHA", "ITM_alpha", "DOCU_CHR_caseFLIP", "ITM_NULL", "DOCU_CHR_numSET", "ITM_NULL", "DOCU_ITM_RADIX", "ITM_PERIOD", AO164), ".lo", ),"MNU_", "-MNU_")</f>
        <v>-MNU_XFN</v>
      </c>
      <c r="BA164" s="173" t="str" cm="1">
        <f t="array" ref="BA164">SUBSTITUTE(SUBSTITUTE(_xlfn.SWITCH(AP164, "ITM_T_HOME", "ITM_UP1", "ITM_T_END", "ITM_DOWN1", "DOCU_CHR_sub", "ITM_DOWN_ARROW", "DOCU_CHR_super", "ITM_UP_ARROW", "MNU_TAMALPHA", "ITM_alpha", "DOCU_CHR_caseFLIP", "ITM_NULL", "DOCU_CHR_numSET", "ITM_NULL", "DOCU_ITM_RADIX", "ITM_PERIOD", AP164), ".lo", ),"MNU_", "-MNU_")</f>
        <v>ITM_9</v>
      </c>
      <c r="BB164" s="157" t="str" cm="1">
        <f t="array" ref="BB164">SUBSTITUTE(SUBSTITUTE(_xlfn.SWITCH(AQ164, "ITM_T_HOME", "ITM_UP1", "ITM_T_END", "ITM_DOWN1", "DOCU_CHR_sub", "ITM_DOWN_ARROW", "DOCU_CHR_super", "ITM_UP_ARROW", "MNU_TAMALPHA", "ITM_alpha", "DOCU_CHR_caseFLIP", "ITM_NULL", "DOCU_CHR_numSET", "ITM_NULL", "DOCU_ITM_RADIX", "ITM_PERIOD", AQ164), ".lo", ),"MNU_", "-MNU_")</f>
        <v>ITM_P</v>
      </c>
      <c r="BC164" s="157" t="str" cm="1">
        <f t="array" ref="BC164">SUBSTITUTE(SUBSTITUTE(_xlfn.SWITCH(AR164, "ITM_T_HOME", "ITM_UP1", "ITM_T_END", "ITM_DOWN1", "DOCU_CHR_sub", "ITM_DOWN_ARROW", "DOCU_CHR_super", "ITM_UP_ARROW", "MNU_TAMALPHA", "ITM_alpha", "DOCU_CHR_caseFLIP", "ITM_NULL", "DOCU_CHR_numSET", "ITM_NULL", "DOCU_ITM_RADIX", "ITM_PERIOD", AR164), ".lo", ),"MNU_", "-MNU_")</f>
        <v>ITM_p</v>
      </c>
      <c r="BD164" s="157" t="str" cm="1">
        <f t="array" ref="BD164">SUBSTITUTE(SUBSTITUTE(_xlfn.SWITCH(AS164, "ITM_T_HOME", "ITM_UP1", "ITM_T_END", "ITM_DOWN1", "DOCU_CHR_sub", "ITM_DOWN_ARROW", "DOCU_CHR_super", "ITM_UP_ARROW", "MNU_TAMALPHA", "ITM_alpha", "DOCU_CHR_caseFLIP", "ITM_NULL", "DOCU_CHR_numSET", "ITM_NULL", "DOCU_ITM_RADIX", "ITM_PERIOD", AS164), ".lo", ),"MNU_", "-MNU_")</f>
        <v>ITM_9</v>
      </c>
      <c r="BE164" s="157" t="str" cm="1">
        <f t="array" ref="BE164">SUBSTITUTE(SUBSTITUTE(_xlfn.SWITCH(AT164, "ITM_T_HOME", "ITM_UP1", "ITM_T_END", "ITM_DOWN1", "DOCU_CHR_sub", "ITM_DOWN_ARROW", "DOCU_CHR_super", "ITM_UP_ARROW", "MNU_TAMALPHA", "ITM_alpha", "DOCU_CHR_caseFLIP", "ITM_NULL", "DOCU_CHR_numSET", "ITM_NULL", "DOCU_ITM_RADIX", "ITM_PERIOD", AT164), ".lo", ),"MNU_", "-MNU_")</f>
        <v>ITM_9</v>
      </c>
      <c r="BG164" s="75"/>
      <c r="BI164" s="13" t="str">
        <f t="shared" si="60"/>
        <v xml:space="preserve">  {54,                  ITM_9,                -MNU_MATX,            -MNU_XFN,             ITM_9,                ITM_P,                ITM_p,                ITM_9,                ITM_9               },</v>
      </c>
    </row>
    <row r="165" spans="24:61" ht="21" x14ac:dyDescent="0.2">
      <c r="X165" s="129" t="str">
        <f t="shared" si="51"/>
        <v>E47</v>
      </c>
      <c r="Y165" s="109">
        <v>5</v>
      </c>
      <c r="Z165" s="109">
        <v>5</v>
      </c>
      <c r="AA165" s="112" t="str">
        <f t="shared" si="63"/>
        <v>E47.55</v>
      </c>
      <c r="AB165" s="121" t="s">
        <v>181</v>
      </c>
      <c r="AC165" s="118" t="s">
        <v>182</v>
      </c>
      <c r="AD165" s="119" t="s">
        <v>183</v>
      </c>
      <c r="AE165" s="3"/>
      <c r="AF165" s="49" t="s">
        <v>173</v>
      </c>
      <c r="AG165" s="77" t="b">
        <f t="shared" si="61"/>
        <v>1</v>
      </c>
      <c r="AH165" s="83" t="str">
        <f t="shared" si="52"/>
        <v>q</v>
      </c>
      <c r="AI165" s="84" t="str">
        <f t="shared" si="53"/>
        <v>÷</v>
      </c>
      <c r="AJ165" s="85" t="str">
        <f t="shared" si="54"/>
        <v>÷</v>
      </c>
      <c r="AK165" s="6"/>
      <c r="AL165" s="8" t="str">
        <f t="shared" si="55"/>
        <v>{55</v>
      </c>
      <c r="AM165" s="27" t="str">
        <f t="shared" si="56"/>
        <v>ITM_DIV</v>
      </c>
      <c r="AN165" s="27" t="str">
        <f t="shared" si="57"/>
        <v>MNU_STAT</v>
      </c>
      <c r="AO165" s="27" t="str">
        <f t="shared" si="58"/>
        <v>MNU_PLOTTING</v>
      </c>
      <c r="AP165" s="46" t="str">
        <f>IF(NOT(ISNA(MATCH(AM165,Lookups!E:E,))),VLOOKUP(AM165,Lookups!E:F,2,0),
IF(NOT(ISNA(MATCH(AN165,Lookups!E:E,))),VLOOKUP(AN165,Lookups!E:F,2,0),
IF(NOT(ISNA(MATCH(AO165,Lookups!E:E,))),VLOOKUP(AO165,Lookups!E:F,2,0),"ITM_NULL")))</f>
        <v>ITM_OBELUS</v>
      </c>
      <c r="AQ165" s="28" t="str">
        <f t="shared" si="59"/>
        <v>ITM_Q</v>
      </c>
      <c r="AR165" s="195" t="s">
        <v>174</v>
      </c>
      <c r="AS165" s="186" t="s">
        <v>186</v>
      </c>
      <c r="AT165" s="197" t="s">
        <v>187</v>
      </c>
      <c r="AW165" s="14" t="str">
        <f t="shared" si="62"/>
        <v>{55</v>
      </c>
      <c r="AX165" s="157" t="str" cm="1">
        <f t="array" ref="AX165">SUBSTITUTE(SUBSTITUTE(_xlfn.SWITCH(AM165, "ITM_T_HOME", "ITM_UP1", "ITM_T_END", "ITM_DOWN1", "DOCU_CHR_sub", "ITM_DOWN_ARROW", "DOCU_CHR_super", "ITM_UP_ARROW", "MNU_TAMALPHA", "ITM_alpha", "DOCU_CHR_caseFLIP", "ITM_NULL", "DOCU_CHR_numSET", "ITM_NULL", "DOCU_ITM_RADIX", "ITM_PERIOD", AM165), ".lo", ),"MNU_", "-MNU_")</f>
        <v>ITM_DIV</v>
      </c>
      <c r="AY165" s="157" t="str" cm="1">
        <f t="array" ref="AY165">SUBSTITUTE(SUBSTITUTE(_xlfn.SWITCH(AN165, "ITM_T_HOME", "ITM_UP1", "ITM_T_END", "ITM_DOWN1", "DOCU_CHR_sub", "ITM_DOWN_ARROW", "DOCU_CHR_super", "ITM_UP_ARROW", "MNU_TAMALPHA", "ITM_alpha", "DOCU_CHR_caseFLIP", "ITM_NULL", "DOCU_CHR_numSET", "ITM_NULL", "DOCU_ITM_RADIX", "ITM_PERIOD", AN165), ".lo", ),"MNU_", "-MNU_")</f>
        <v>-MNU_STAT</v>
      </c>
      <c r="AZ165" s="157" t="str" cm="1">
        <f t="array" ref="AZ165">SUBSTITUTE(SUBSTITUTE(_xlfn.SWITCH(AO165, "ITM_T_HOME", "ITM_UP1", "ITM_T_END", "ITM_DOWN1", "DOCU_CHR_sub", "ITM_DOWN_ARROW", "DOCU_CHR_super", "ITM_UP_ARROW", "MNU_TAMALPHA", "ITM_alpha", "DOCU_CHR_caseFLIP", "ITM_NULL", "DOCU_CHR_numSET", "ITM_NULL", "DOCU_ITM_RADIX", "ITM_PERIOD", AO165), ".lo", ),"MNU_", "-MNU_")</f>
        <v>-MNU_PLOTTING</v>
      </c>
      <c r="BA165" s="173" t="str" cm="1">
        <f t="array" ref="BA165">SUBSTITUTE(SUBSTITUTE(_xlfn.SWITCH(AP165, "ITM_T_HOME", "ITM_UP1", "ITM_T_END", "ITM_DOWN1", "DOCU_CHR_sub", "ITM_DOWN_ARROW", "DOCU_CHR_super", "ITM_UP_ARROW", "MNU_TAMALPHA", "ITM_alpha", "DOCU_CHR_caseFLIP", "ITM_NULL", "DOCU_CHR_numSET", "ITM_NULL", "DOCU_ITM_RADIX", "ITM_PERIOD", AP165), ".lo", ),"MNU_", "-MNU_")</f>
        <v>ITM_OBELUS</v>
      </c>
      <c r="BB165" s="157" t="str" cm="1">
        <f t="array" ref="BB165">SUBSTITUTE(SUBSTITUTE(_xlfn.SWITCH(AQ165, "ITM_T_HOME", "ITM_UP1", "ITM_T_END", "ITM_DOWN1", "DOCU_CHR_sub", "ITM_DOWN_ARROW", "DOCU_CHR_super", "ITM_UP_ARROW", "MNU_TAMALPHA", "ITM_alpha", "DOCU_CHR_caseFLIP", "ITM_NULL", "DOCU_CHR_numSET", "ITM_NULL", "DOCU_ITM_RADIX", "ITM_PERIOD", AQ165), ".lo", ),"MNU_", "-MNU_")</f>
        <v>ITM_Q</v>
      </c>
      <c r="BC165" s="157" t="str" cm="1">
        <f t="array" ref="BC165">SUBSTITUTE(SUBSTITUTE(_xlfn.SWITCH(AR165, "ITM_T_HOME", "ITM_UP1", "ITM_T_END", "ITM_DOWN1", "DOCU_CHR_sub", "ITM_DOWN_ARROW", "DOCU_CHR_super", "ITM_UP_ARROW", "MNU_TAMALPHA", "ITM_alpha", "DOCU_CHR_caseFLIP", "ITM_NULL", "DOCU_CHR_numSET", "ITM_NULL", "DOCU_ITM_RADIX", "ITM_PERIOD", AR165), ".lo", ),"MNU_", "-MNU_")</f>
        <v>ITM_q</v>
      </c>
      <c r="BD165" s="157" t="str" cm="1">
        <f t="array" ref="BD165">SUBSTITUTE(SUBSTITUTE(_xlfn.SWITCH(AS165, "ITM_T_HOME", "ITM_UP1", "ITM_T_END", "ITM_DOWN1", "DOCU_CHR_sub", "ITM_DOWN_ARROW", "DOCU_CHR_super", "ITM_UP_ARROW", "MNU_TAMALPHA", "ITM_alpha", "DOCU_CHR_caseFLIP", "ITM_NULL", "DOCU_CHR_numSET", "ITM_NULL", "DOCU_ITM_RADIX", "ITM_PERIOD", AS165), ".lo", ),"MNU_", "-MNU_")</f>
        <v>ITM_OBELUS</v>
      </c>
      <c r="BE165" s="157" t="str" cm="1">
        <f t="array" ref="BE165">SUBSTITUTE(SUBSTITUTE(_xlfn.SWITCH(AT165, "ITM_T_HOME", "ITM_UP1", "ITM_T_END", "ITM_DOWN1", "DOCU_CHR_sub", "ITM_DOWN_ARROW", "DOCU_CHR_super", "ITM_UP_ARROW", "MNU_TAMALPHA", "ITM_alpha", "DOCU_CHR_caseFLIP", "ITM_NULL", "DOCU_CHR_numSET", "ITM_NULL", "DOCU_ITM_RADIX", "ITM_PERIOD", AT165), ".lo", ),"MNU_", "-MNU_")</f>
        <v>ITM_DIV</v>
      </c>
      <c r="BG165" s="75"/>
      <c r="BI165" s="13" t="str">
        <f t="shared" si="60"/>
        <v xml:space="preserve">  {55,                  ITM_DIV,              -MNU_STAT,            -MNU_PLOTTING,        ITM_OBELUS,           ITM_Q,                ITM_q,                ITM_OBELUS,           ITM_DIV             },</v>
      </c>
    </row>
    <row r="166" spans="24:61" ht="21" x14ac:dyDescent="0.2">
      <c r="X166" s="129" t="str">
        <f t="shared" si="51"/>
        <v>E47</v>
      </c>
      <c r="Y166" s="106">
        <v>6</v>
      </c>
      <c r="Z166" s="106">
        <v>1</v>
      </c>
      <c r="AA166" s="112" t="str">
        <f t="shared" si="63"/>
        <v>E47.61</v>
      </c>
      <c r="AB166" s="117" t="s">
        <v>159</v>
      </c>
      <c r="AC166" s="132" t="s">
        <v>160</v>
      </c>
      <c r="AD166" s="132" t="s">
        <v>161</v>
      </c>
      <c r="AE166" s="3"/>
      <c r="AF166" s="49" t="s">
        <v>162</v>
      </c>
      <c r="AG166" s="77" t="b">
        <f t="shared" si="61"/>
        <v>0</v>
      </c>
      <c r="AH166" s="83" t="str">
        <f t="shared" si="52"/>
        <v>CASE UP</v>
      </c>
      <c r="AI166" s="84" t="str">
        <f t="shared" si="53"/>
        <v>Super</v>
      </c>
      <c r="AJ166" s="85" t="str">
        <f t="shared" si="54"/>
        <v>Up</v>
      </c>
      <c r="AK166" s="6"/>
      <c r="AL166" s="8" t="str">
        <f t="shared" si="55"/>
        <v>{61</v>
      </c>
      <c r="AM166" s="27" t="str">
        <f t="shared" si="56"/>
        <v>ITM_UP1</v>
      </c>
      <c r="AN166" s="27" t="str">
        <f t="shared" si="57"/>
        <v>ITM_BST</v>
      </c>
      <c r="AO166" s="27" t="str">
        <f t="shared" si="58"/>
        <v>ITM_RBR</v>
      </c>
      <c r="AP166" s="46" t="str">
        <f>IF(NOT(ISNA(MATCH(AM166,Lookups!E:E,))),VLOOKUP(AM166,Lookups!E:F,2,0),
IF(NOT(ISNA(MATCH(AN166,Lookups!E:E,))),VLOOKUP(AN166,Lookups!E:F,2,0),
IF(NOT(ISNA(MATCH(AO166,Lookups!E:E,))),VLOOKUP(AO166,Lookups!E:F,2,0),"ITM_NULL")))</f>
        <v>ITM_UP1</v>
      </c>
      <c r="AQ166" s="28" t="str">
        <f t="shared" si="59"/>
        <v>ITM_T_HOME</v>
      </c>
      <c r="AR166" s="198" t="s">
        <v>163</v>
      </c>
      <c r="AS166" s="186" t="s">
        <v>164</v>
      </c>
      <c r="AT166" s="197" t="s">
        <v>165</v>
      </c>
      <c r="AW166" s="14" t="str">
        <f t="shared" si="62"/>
        <v>{61</v>
      </c>
      <c r="AX166" s="157" t="str" cm="1">
        <f t="array" ref="AX166">SUBSTITUTE(SUBSTITUTE(_xlfn.SWITCH(AM166, "ITM_T_HOME", "ITM_UP1", "ITM_T_END", "ITM_DOWN1", "DOCU_CHR_sub", "ITM_DOWN_ARROW", "DOCU_CHR_super", "ITM_UP_ARROW", "MNU_TAMALPHA", "ITM_alpha", "DOCU_CHR_caseFLIP", "ITM_NULL", "DOCU_CHR_numSET", "ITM_NULL", "DOCU_ITM_RADIX", "ITM_PERIOD", AM166), ".lo", ),"MNU_", "-MNU_")</f>
        <v>ITM_UP1</v>
      </c>
      <c r="AY166" s="157" t="str" cm="1">
        <f t="array" ref="AY166">SUBSTITUTE(SUBSTITUTE(_xlfn.SWITCH(AN166, "ITM_T_HOME", "ITM_UP1", "ITM_T_END", "ITM_DOWN1", "DOCU_CHR_sub", "ITM_DOWN_ARROW", "DOCU_CHR_super", "ITM_UP_ARROW", "MNU_TAMALPHA", "ITM_alpha", "DOCU_CHR_caseFLIP", "ITM_NULL", "DOCU_CHR_numSET", "ITM_NULL", "DOCU_ITM_RADIX", "ITM_PERIOD", AN166), ".lo", ),"MNU_", "-MNU_")</f>
        <v>ITM_BST</v>
      </c>
      <c r="AZ166" s="157" t="str" cm="1">
        <f t="array" ref="AZ166">SUBSTITUTE(SUBSTITUTE(_xlfn.SWITCH(AO166, "ITM_T_HOME", "ITM_UP1", "ITM_T_END", "ITM_DOWN1", "DOCU_CHR_sub", "ITM_DOWN_ARROW", "DOCU_CHR_super", "ITM_UP_ARROW", "MNU_TAMALPHA", "ITM_alpha", "DOCU_CHR_caseFLIP", "ITM_NULL", "DOCU_CHR_numSET", "ITM_NULL", "DOCU_ITM_RADIX", "ITM_PERIOD", AO166), ".lo", ),"MNU_", "-MNU_")</f>
        <v>ITM_RBR</v>
      </c>
      <c r="BA166" s="173" t="str" cm="1">
        <f t="array" ref="BA166">SUBSTITUTE(SUBSTITUTE(_xlfn.SWITCH(AP166, "ITM_T_HOME", "ITM_UP1", "ITM_T_END", "ITM_DOWN1", "DOCU_CHR_sub", "ITM_DOWN_ARROW", "DOCU_CHR_super", "ITM_UP_ARROW", "MNU_TAMALPHA", "ITM_alpha", "DOCU_CHR_caseFLIP", "ITM_NULL", "DOCU_CHR_numSET", "ITM_NULL", "DOCU_ITM_RADIX", "ITM_PERIOD", AP166), ".lo", ),"MNU_", "-MNU_")</f>
        <v>ITM_UP1</v>
      </c>
      <c r="BB166" s="157" t="str" cm="1">
        <f t="array" ref="BB166">SUBSTITUTE(SUBSTITUTE(_xlfn.SWITCH(AQ166, "ITM_T_HOME", "ITM_UP1", "ITM_T_END", "ITM_DOWN1", "DOCU_CHR_sub", "ITM_DOWN_ARROW", "DOCU_CHR_super", "ITM_UP_ARROW", "MNU_TAMALPHA", "ITM_alpha", "DOCU_CHR_caseFLIP", "ITM_NULL", "DOCU_CHR_numSET", "ITM_NULL", "DOCU_ITM_RADIX", "ITM_PERIOD", AQ166), ".lo", ),"MNU_", "-MNU_")</f>
        <v>ITM_UP1</v>
      </c>
      <c r="BC166" s="157" t="str" cm="1">
        <f t="array" ref="BC166">SUBSTITUTE(SUBSTITUTE(_xlfn.SWITCH(AR166, "ITM_T_HOME", "ITM_UP1", "ITM_T_END", "ITM_DOWN1", "DOCU_CHR_sub", "ITM_DOWN_ARROW", "DOCU_CHR_super", "ITM_UP_ARROW", "MNU_TAMALPHA", "ITM_alpha", "DOCU_CHR_caseFLIP", "ITM_NULL", "DOCU_CHR_numSET", "ITM_NULL", "DOCU_ITM_RADIX", "ITM_PERIOD", AR166), ".lo", ),"MNU_", "-MNU_")</f>
        <v>CHR_caseUP</v>
      </c>
      <c r="BD166" s="157" t="str" cm="1">
        <f t="array" ref="BD166">SUBSTITUTE(SUBSTITUTE(_xlfn.SWITCH(AS166, "ITM_T_HOME", "ITM_UP1", "ITM_T_END", "ITM_DOWN1", "DOCU_CHR_sub", "ITM_DOWN_ARROW", "DOCU_CHR_super", "ITM_UP_ARROW", "MNU_TAMALPHA", "ITM_alpha", "DOCU_CHR_caseFLIP", "ITM_NULL", "DOCU_CHR_numSET", "ITM_NULL", "DOCU_ITM_RADIX", "ITM_PERIOD", AS166), ".lo", ),"MNU_", "-MNU_")</f>
        <v>ITM_UP_ARROW</v>
      </c>
      <c r="BE166" s="157" t="str" cm="1">
        <f t="array" ref="BE166">SUBSTITUTE(SUBSTITUTE(_xlfn.SWITCH(AT166, "ITM_T_HOME", "ITM_UP1", "ITM_T_END", "ITM_DOWN1", "DOCU_CHR_sub", "ITM_DOWN_ARROW", "DOCU_CHR_super", "ITM_UP_ARROW", "MNU_TAMALPHA", "ITM_alpha", "DOCU_CHR_caseFLIP", "ITM_NULL", "DOCU_CHR_numSET", "ITM_NULL", "DOCU_ITM_RADIX", "ITM_PERIOD", AT166), ".lo", ),"MNU_", "-MNU_")</f>
        <v>ITM_UP1</v>
      </c>
      <c r="BG166" s="75"/>
      <c r="BI166" s="13" t="str">
        <f t="shared" si="60"/>
        <v xml:space="preserve">  {61,                  ITM_UP1,              ITM_BST,              ITM_RBR,              ITM_UP1,              ITM_UP1,              CHR_caseUP,           ITM_UP_ARROW,         ITM_UP1             },</v>
      </c>
    </row>
    <row r="167" spans="24:61" ht="21" x14ac:dyDescent="0.2">
      <c r="X167" s="129" t="str">
        <f t="shared" si="51"/>
        <v>E47</v>
      </c>
      <c r="Y167" s="109">
        <v>6</v>
      </c>
      <c r="Z167" s="109">
        <v>2</v>
      </c>
      <c r="AA167" s="112" t="str">
        <f t="shared" si="63"/>
        <v>E47.62</v>
      </c>
      <c r="AB167" s="117">
        <v>4</v>
      </c>
      <c r="AC167" s="118" t="s">
        <v>195</v>
      </c>
      <c r="AD167" s="119" t="s">
        <v>196</v>
      </c>
      <c r="AE167" s="3"/>
      <c r="AF167" s="49" t="s">
        <v>178</v>
      </c>
      <c r="AG167" s="77" t="b">
        <f t="shared" si="61"/>
        <v>1</v>
      </c>
      <c r="AH167" s="83" t="str">
        <f t="shared" si="52"/>
        <v>r</v>
      </c>
      <c r="AI167" s="84">
        <f t="shared" si="53"/>
        <v>4</v>
      </c>
      <c r="AJ167" s="85">
        <f t="shared" si="54"/>
        <v>4</v>
      </c>
      <c r="AK167" s="6"/>
      <c r="AL167" s="8" t="str">
        <f t="shared" si="55"/>
        <v>{62</v>
      </c>
      <c r="AM167" s="27" t="str">
        <f t="shared" si="56"/>
        <v>ITM_4</v>
      </c>
      <c r="AN167" s="27" t="str">
        <f t="shared" si="57"/>
        <v>MNU_BASE</v>
      </c>
      <c r="AO167" s="27" t="str">
        <f t="shared" si="58"/>
        <v>MNU_BITS</v>
      </c>
      <c r="AP167" s="46" t="str">
        <f>IF(NOT(ISNA(MATCH(AM167,Lookups!E:E,))),VLOOKUP(AM167,Lookups!E:F,2,0),
IF(NOT(ISNA(MATCH(AN167,Lookups!E:E,))),VLOOKUP(AN167,Lookups!E:F,2,0),
IF(NOT(ISNA(MATCH(AO167,Lookups!E:E,))),VLOOKUP(AO167,Lookups!E:F,2,0),"ITM_NULL")))</f>
        <v>ITM_4</v>
      </c>
      <c r="AQ167" s="28" t="str">
        <f>VLOOKUP(AF167,labelitem,2,0)</f>
        <v>ITM_R</v>
      </c>
      <c r="AR167" s="195" t="s">
        <v>179</v>
      </c>
      <c r="AS167" s="186" t="s">
        <v>199</v>
      </c>
      <c r="AT167" s="197" t="s">
        <v>199</v>
      </c>
      <c r="AW167" s="14" t="str">
        <f t="shared" si="62"/>
        <v>{62</v>
      </c>
      <c r="AX167" s="157" t="str" cm="1">
        <f t="array" ref="AX167">SUBSTITUTE(SUBSTITUTE(_xlfn.SWITCH(AM167, "ITM_T_HOME", "ITM_UP1", "ITM_T_END", "ITM_DOWN1", "DOCU_CHR_sub", "ITM_DOWN_ARROW", "DOCU_CHR_super", "ITM_UP_ARROW", "MNU_TAMALPHA", "ITM_alpha", "DOCU_CHR_caseFLIP", "ITM_NULL", "DOCU_CHR_numSET", "ITM_NULL", "DOCU_ITM_RADIX", "ITM_PERIOD", AM167), ".lo", ),"MNU_", "-MNU_")</f>
        <v>ITM_4</v>
      </c>
      <c r="AY167" s="157" t="str" cm="1">
        <f t="array" ref="AY167">SUBSTITUTE(SUBSTITUTE(_xlfn.SWITCH(AN167, "ITM_T_HOME", "ITM_UP1", "ITM_T_END", "ITM_DOWN1", "DOCU_CHR_sub", "ITM_DOWN_ARROW", "DOCU_CHR_super", "ITM_UP_ARROW", "MNU_TAMALPHA", "ITM_alpha", "DOCU_CHR_caseFLIP", "ITM_NULL", "DOCU_CHR_numSET", "ITM_NULL", "DOCU_ITM_RADIX", "ITM_PERIOD", AN167), ".lo", ),"MNU_", "-MNU_")</f>
        <v>-MNU_BASE</v>
      </c>
      <c r="AZ167" s="157" t="str" cm="1">
        <f t="array" ref="AZ167">SUBSTITUTE(SUBSTITUTE(_xlfn.SWITCH(AO167, "ITM_T_HOME", "ITM_UP1", "ITM_T_END", "ITM_DOWN1", "DOCU_CHR_sub", "ITM_DOWN_ARROW", "DOCU_CHR_super", "ITM_UP_ARROW", "MNU_TAMALPHA", "ITM_alpha", "DOCU_CHR_caseFLIP", "ITM_NULL", "DOCU_CHR_numSET", "ITM_NULL", "DOCU_ITM_RADIX", "ITM_PERIOD", AO167), ".lo", ),"MNU_", "-MNU_")</f>
        <v>-MNU_BITS</v>
      </c>
      <c r="BA167" s="173" t="str" cm="1">
        <f t="array" ref="BA167">SUBSTITUTE(SUBSTITUTE(_xlfn.SWITCH(AP167, "ITM_T_HOME", "ITM_UP1", "ITM_T_END", "ITM_DOWN1", "DOCU_CHR_sub", "ITM_DOWN_ARROW", "DOCU_CHR_super", "ITM_UP_ARROW", "MNU_TAMALPHA", "ITM_alpha", "DOCU_CHR_caseFLIP", "ITM_NULL", "DOCU_CHR_numSET", "ITM_NULL", "DOCU_ITM_RADIX", "ITM_PERIOD", AP167), ".lo", ),"MNU_", "-MNU_")</f>
        <v>ITM_4</v>
      </c>
      <c r="BB167" s="157" t="str" cm="1">
        <f t="array" ref="BB167">SUBSTITUTE(SUBSTITUTE(_xlfn.SWITCH(AQ167, "ITM_T_HOME", "ITM_UP1", "ITM_T_END", "ITM_DOWN1", "DOCU_CHR_sub", "ITM_DOWN_ARROW", "DOCU_CHR_super", "ITM_UP_ARROW", "MNU_TAMALPHA", "ITM_alpha", "DOCU_CHR_caseFLIP", "ITM_NULL", "DOCU_CHR_numSET", "ITM_NULL", "DOCU_ITM_RADIX", "ITM_PERIOD", AQ167), ".lo", ),"MNU_", "-MNU_")</f>
        <v>ITM_R</v>
      </c>
      <c r="BC167" s="157" t="str" cm="1">
        <f t="array" ref="BC167">SUBSTITUTE(SUBSTITUTE(_xlfn.SWITCH(AR167, "ITM_T_HOME", "ITM_UP1", "ITM_T_END", "ITM_DOWN1", "DOCU_CHR_sub", "ITM_DOWN_ARROW", "DOCU_CHR_super", "ITM_UP_ARROW", "MNU_TAMALPHA", "ITM_alpha", "DOCU_CHR_caseFLIP", "ITM_NULL", "DOCU_CHR_numSET", "ITM_NULL", "DOCU_ITM_RADIX", "ITM_PERIOD", AR167), ".lo", ),"MNU_", "-MNU_")</f>
        <v>ITM_r</v>
      </c>
      <c r="BD167" s="157" t="str" cm="1">
        <f t="array" ref="BD167">SUBSTITUTE(SUBSTITUTE(_xlfn.SWITCH(AS167, "ITM_T_HOME", "ITM_UP1", "ITM_T_END", "ITM_DOWN1", "DOCU_CHR_sub", "ITM_DOWN_ARROW", "DOCU_CHR_super", "ITM_UP_ARROW", "MNU_TAMALPHA", "ITM_alpha", "DOCU_CHR_caseFLIP", "ITM_NULL", "DOCU_CHR_numSET", "ITM_NULL", "DOCU_ITM_RADIX", "ITM_PERIOD", AS167), ".lo", ),"MNU_", "-MNU_")</f>
        <v>ITM_4</v>
      </c>
      <c r="BE167" s="157" t="str" cm="1">
        <f t="array" ref="BE167">SUBSTITUTE(SUBSTITUTE(_xlfn.SWITCH(AT167, "ITM_T_HOME", "ITM_UP1", "ITM_T_END", "ITM_DOWN1", "DOCU_CHR_sub", "ITM_DOWN_ARROW", "DOCU_CHR_super", "ITM_UP_ARROW", "MNU_TAMALPHA", "ITM_alpha", "DOCU_CHR_caseFLIP", "ITM_NULL", "DOCU_CHR_numSET", "ITM_NULL", "DOCU_ITM_RADIX", "ITM_PERIOD", AT167), ".lo", ),"MNU_", "-MNU_")</f>
        <v>ITM_4</v>
      </c>
      <c r="BG167" s="75"/>
      <c r="BI167" s="13" t="str">
        <f t="shared" si="60"/>
        <v xml:space="preserve">  {62,                  ITM_4,                -MNU_BASE,            -MNU_BITS,            ITM_4,                ITM_R,                ITM_r,                ITM_4,                ITM_4               },</v>
      </c>
    </row>
    <row r="168" spans="24:61" ht="21" x14ac:dyDescent="0.2">
      <c r="X168" s="129" t="str">
        <f t="shared" si="51"/>
        <v>E47</v>
      </c>
      <c r="Y168" s="109">
        <v>6</v>
      </c>
      <c r="Z168" s="109">
        <v>3</v>
      </c>
      <c r="AA168" s="112" t="str">
        <f t="shared" si="63"/>
        <v>E47.63</v>
      </c>
      <c r="AB168" s="117">
        <v>5</v>
      </c>
      <c r="AC168" s="118" t="s">
        <v>200</v>
      </c>
      <c r="AD168" s="119" t="s">
        <v>201</v>
      </c>
      <c r="AE168" s="3"/>
      <c r="AF168" s="49" t="s">
        <v>184</v>
      </c>
      <c r="AG168" s="77" t="b">
        <f t="shared" si="61"/>
        <v>1</v>
      </c>
      <c r="AH168" s="83" t="str">
        <f t="shared" si="52"/>
        <v>s</v>
      </c>
      <c r="AI168" s="84">
        <f t="shared" si="53"/>
        <v>5</v>
      </c>
      <c r="AJ168" s="85">
        <f t="shared" si="54"/>
        <v>5</v>
      </c>
      <c r="AK168" s="6"/>
      <c r="AL168" s="8" t="str">
        <f t="shared" si="55"/>
        <v>{63</v>
      </c>
      <c r="AM168" s="27" t="str">
        <f t="shared" si="56"/>
        <v>ITM_5</v>
      </c>
      <c r="AN168" s="27" t="str">
        <f t="shared" si="57"/>
        <v>MNU_UNITCONV</v>
      </c>
      <c r="AO168" s="27" t="str">
        <f t="shared" si="58"/>
        <v>MNU_CLK</v>
      </c>
      <c r="AP168" s="46" t="str">
        <f>IF(NOT(ISNA(MATCH(AM168,Lookups!E:E,))),VLOOKUP(AM168,Lookups!E:F,2,0),
IF(NOT(ISNA(MATCH(AN168,Lookups!E:E,))),VLOOKUP(AN168,Lookups!E:F,2,0),
IF(NOT(ISNA(MATCH(AO168,Lookups!E:E,))),VLOOKUP(AO168,Lookups!E:F,2,0),"ITM_NULL")))</f>
        <v>ITM_5</v>
      </c>
      <c r="AQ168" s="28" t="str">
        <f>VLOOKUP(AF168,labelitem,2,0)</f>
        <v>ITM_S</v>
      </c>
      <c r="AR168" s="195" t="s">
        <v>185</v>
      </c>
      <c r="AS168" s="186" t="s">
        <v>204</v>
      </c>
      <c r="AT168" s="197" t="s">
        <v>204</v>
      </c>
      <c r="AW168" s="14" t="str">
        <f t="shared" si="62"/>
        <v>{63</v>
      </c>
      <c r="AX168" s="157" t="str" cm="1">
        <f t="array" ref="AX168">SUBSTITUTE(SUBSTITUTE(_xlfn.SWITCH(AM168, "ITM_T_HOME", "ITM_UP1", "ITM_T_END", "ITM_DOWN1", "DOCU_CHR_sub", "ITM_DOWN_ARROW", "DOCU_CHR_super", "ITM_UP_ARROW", "MNU_TAMALPHA", "ITM_alpha", "DOCU_CHR_caseFLIP", "ITM_NULL", "DOCU_CHR_numSET", "ITM_NULL", "DOCU_ITM_RADIX", "ITM_PERIOD", AM168), ".lo", ),"MNU_", "-MNU_")</f>
        <v>ITM_5</v>
      </c>
      <c r="AY168" s="157" t="str" cm="1">
        <f t="array" ref="AY168">SUBSTITUTE(SUBSTITUTE(_xlfn.SWITCH(AN168, "ITM_T_HOME", "ITM_UP1", "ITM_T_END", "ITM_DOWN1", "DOCU_CHR_sub", "ITM_DOWN_ARROW", "DOCU_CHR_super", "ITM_UP_ARROW", "MNU_TAMALPHA", "ITM_alpha", "DOCU_CHR_caseFLIP", "ITM_NULL", "DOCU_CHR_numSET", "ITM_NULL", "DOCU_ITM_RADIX", "ITM_PERIOD", AN168), ".lo", ),"MNU_", "-MNU_")</f>
        <v>-MNU_UNITCONV</v>
      </c>
      <c r="AZ168" s="157" t="str" cm="1">
        <f t="array" ref="AZ168">SUBSTITUTE(SUBSTITUTE(_xlfn.SWITCH(AO168, "ITM_T_HOME", "ITM_UP1", "ITM_T_END", "ITM_DOWN1", "DOCU_CHR_sub", "ITM_DOWN_ARROW", "DOCU_CHR_super", "ITM_UP_ARROW", "MNU_TAMALPHA", "ITM_alpha", "DOCU_CHR_caseFLIP", "ITM_NULL", "DOCU_CHR_numSET", "ITM_NULL", "DOCU_ITM_RADIX", "ITM_PERIOD", AO168), ".lo", ),"MNU_", "-MNU_")</f>
        <v>-MNU_CLK</v>
      </c>
      <c r="BA168" s="173" t="str" cm="1">
        <f t="array" ref="BA168">SUBSTITUTE(SUBSTITUTE(_xlfn.SWITCH(AP168, "ITM_T_HOME", "ITM_UP1", "ITM_T_END", "ITM_DOWN1", "DOCU_CHR_sub", "ITM_DOWN_ARROW", "DOCU_CHR_super", "ITM_UP_ARROW", "MNU_TAMALPHA", "ITM_alpha", "DOCU_CHR_caseFLIP", "ITM_NULL", "DOCU_CHR_numSET", "ITM_NULL", "DOCU_ITM_RADIX", "ITM_PERIOD", AP168), ".lo", ),"MNU_", "-MNU_")</f>
        <v>ITM_5</v>
      </c>
      <c r="BB168" s="157" t="str" cm="1">
        <f t="array" ref="BB168">SUBSTITUTE(SUBSTITUTE(_xlfn.SWITCH(AQ168, "ITM_T_HOME", "ITM_UP1", "ITM_T_END", "ITM_DOWN1", "DOCU_CHR_sub", "ITM_DOWN_ARROW", "DOCU_CHR_super", "ITM_UP_ARROW", "MNU_TAMALPHA", "ITM_alpha", "DOCU_CHR_caseFLIP", "ITM_NULL", "DOCU_CHR_numSET", "ITM_NULL", "DOCU_ITM_RADIX", "ITM_PERIOD", AQ168), ".lo", ),"MNU_", "-MNU_")</f>
        <v>ITM_S</v>
      </c>
      <c r="BC168" s="157" t="str" cm="1">
        <f t="array" ref="BC168">SUBSTITUTE(SUBSTITUTE(_xlfn.SWITCH(AR168, "ITM_T_HOME", "ITM_UP1", "ITM_T_END", "ITM_DOWN1", "DOCU_CHR_sub", "ITM_DOWN_ARROW", "DOCU_CHR_super", "ITM_UP_ARROW", "MNU_TAMALPHA", "ITM_alpha", "DOCU_CHR_caseFLIP", "ITM_NULL", "DOCU_CHR_numSET", "ITM_NULL", "DOCU_ITM_RADIX", "ITM_PERIOD", AR168), ".lo", ),"MNU_", "-MNU_")</f>
        <v>ITM_s</v>
      </c>
      <c r="BD168" s="157" t="str" cm="1">
        <f t="array" ref="BD168">SUBSTITUTE(SUBSTITUTE(_xlfn.SWITCH(AS168, "ITM_T_HOME", "ITM_UP1", "ITM_T_END", "ITM_DOWN1", "DOCU_CHR_sub", "ITM_DOWN_ARROW", "DOCU_CHR_super", "ITM_UP_ARROW", "MNU_TAMALPHA", "ITM_alpha", "DOCU_CHR_caseFLIP", "ITM_NULL", "DOCU_CHR_numSET", "ITM_NULL", "DOCU_ITM_RADIX", "ITM_PERIOD", AS168), ".lo", ),"MNU_", "-MNU_")</f>
        <v>ITM_5</v>
      </c>
      <c r="BE168" s="157" t="str" cm="1">
        <f t="array" ref="BE168">SUBSTITUTE(SUBSTITUTE(_xlfn.SWITCH(AT168, "ITM_T_HOME", "ITM_UP1", "ITM_T_END", "ITM_DOWN1", "DOCU_CHR_sub", "ITM_DOWN_ARROW", "DOCU_CHR_super", "ITM_UP_ARROW", "MNU_TAMALPHA", "ITM_alpha", "DOCU_CHR_caseFLIP", "ITM_NULL", "DOCU_CHR_numSET", "ITM_NULL", "DOCU_ITM_RADIX", "ITM_PERIOD", AT168), ".lo", ),"MNU_", "-MNU_")</f>
        <v>ITM_5</v>
      </c>
      <c r="BG168" s="75"/>
      <c r="BI168" s="13" t="str">
        <f t="shared" si="60"/>
        <v xml:space="preserve">  {63,                  ITM_5,                -MNU_UNITCONV,        -MNU_CLK,             ITM_5,                ITM_S,                ITM_s,                ITM_5,                ITM_5               },</v>
      </c>
    </row>
    <row r="169" spans="24:61" ht="21" x14ac:dyDescent="0.2">
      <c r="X169" s="129" t="str">
        <f t="shared" si="51"/>
        <v>E47</v>
      </c>
      <c r="Y169" s="109">
        <v>6</v>
      </c>
      <c r="Z169" s="109">
        <v>4</v>
      </c>
      <c r="AA169" s="112" t="str">
        <f t="shared" si="63"/>
        <v>E47.64</v>
      </c>
      <c r="AB169" s="117">
        <v>6</v>
      </c>
      <c r="AC169" s="118" t="s">
        <v>205</v>
      </c>
      <c r="AD169" s="119" t="s">
        <v>206</v>
      </c>
      <c r="AE169" s="3"/>
      <c r="AF169" s="49" t="s">
        <v>197</v>
      </c>
      <c r="AG169" s="77" t="b">
        <f t="shared" si="61"/>
        <v>1</v>
      </c>
      <c r="AH169" s="83" t="str">
        <f t="shared" si="52"/>
        <v>t</v>
      </c>
      <c r="AI169" s="84">
        <f t="shared" si="53"/>
        <v>6</v>
      </c>
      <c r="AJ169" s="85">
        <f t="shared" si="54"/>
        <v>6</v>
      </c>
      <c r="AK169" s="6"/>
      <c r="AL169" s="8" t="str">
        <f t="shared" si="55"/>
        <v>{64</v>
      </c>
      <c r="AM169" s="27" t="str">
        <f t="shared" si="56"/>
        <v>ITM_6</v>
      </c>
      <c r="AN169" s="27" t="str">
        <f t="shared" si="57"/>
        <v>MNU_FLAGS</v>
      </c>
      <c r="AO169" s="27" t="str">
        <f t="shared" si="58"/>
        <v>MNU_PARTS</v>
      </c>
      <c r="AP169" s="46" t="str">
        <f>IF(NOT(ISNA(MATCH(AM169,Lookups!E:E,))),VLOOKUP(AM169,Lookups!E:F,2,0),
IF(NOT(ISNA(MATCH(AN169,Lookups!E:E,))),VLOOKUP(AN169,Lookups!E:F,2,0),
IF(NOT(ISNA(MATCH(AO169,Lookups!E:E,))),VLOOKUP(AO169,Lookups!E:F,2,0),"ITM_NULL")))</f>
        <v>ITM_6</v>
      </c>
      <c r="AQ169" s="28" t="str">
        <f>VLOOKUP(AF169,labelitem,2,0)</f>
        <v>ITM_T</v>
      </c>
      <c r="AR169" s="195" t="s">
        <v>198</v>
      </c>
      <c r="AS169" s="186" t="s">
        <v>209</v>
      </c>
      <c r="AT169" s="197" t="s">
        <v>209</v>
      </c>
      <c r="AW169" s="14" t="str">
        <f t="shared" si="62"/>
        <v>{64</v>
      </c>
      <c r="AX169" s="157" t="str" cm="1">
        <f t="array" ref="AX169">SUBSTITUTE(SUBSTITUTE(_xlfn.SWITCH(AM169, "ITM_T_HOME", "ITM_UP1", "ITM_T_END", "ITM_DOWN1", "DOCU_CHR_sub", "ITM_DOWN_ARROW", "DOCU_CHR_super", "ITM_UP_ARROW", "MNU_TAMALPHA", "ITM_alpha", "DOCU_CHR_caseFLIP", "ITM_NULL", "DOCU_CHR_numSET", "ITM_NULL", "DOCU_ITM_RADIX", "ITM_PERIOD", AM169), ".lo", ),"MNU_", "-MNU_")</f>
        <v>ITM_6</v>
      </c>
      <c r="AY169" s="157" t="str" cm="1">
        <f t="array" ref="AY169">SUBSTITUTE(SUBSTITUTE(_xlfn.SWITCH(AN169, "ITM_T_HOME", "ITM_UP1", "ITM_T_END", "ITM_DOWN1", "DOCU_CHR_sub", "ITM_DOWN_ARROW", "DOCU_CHR_super", "ITM_UP_ARROW", "MNU_TAMALPHA", "ITM_alpha", "DOCU_CHR_caseFLIP", "ITM_NULL", "DOCU_CHR_numSET", "ITM_NULL", "DOCU_ITM_RADIX", "ITM_PERIOD", AN169), ".lo", ),"MNU_", "-MNU_")</f>
        <v>-MNU_FLAGS</v>
      </c>
      <c r="AZ169" s="157" t="str" cm="1">
        <f t="array" ref="AZ169">SUBSTITUTE(SUBSTITUTE(_xlfn.SWITCH(AO169, "ITM_T_HOME", "ITM_UP1", "ITM_T_END", "ITM_DOWN1", "DOCU_CHR_sub", "ITM_DOWN_ARROW", "DOCU_CHR_super", "ITM_UP_ARROW", "MNU_TAMALPHA", "ITM_alpha", "DOCU_CHR_caseFLIP", "ITM_NULL", "DOCU_CHR_numSET", "ITM_NULL", "DOCU_ITM_RADIX", "ITM_PERIOD", AO169), ".lo", ),"MNU_", "-MNU_")</f>
        <v>-MNU_PARTS</v>
      </c>
      <c r="BA169" s="173" t="str" cm="1">
        <f t="array" ref="BA169">SUBSTITUTE(SUBSTITUTE(_xlfn.SWITCH(AP169, "ITM_T_HOME", "ITM_UP1", "ITM_T_END", "ITM_DOWN1", "DOCU_CHR_sub", "ITM_DOWN_ARROW", "DOCU_CHR_super", "ITM_UP_ARROW", "MNU_TAMALPHA", "ITM_alpha", "DOCU_CHR_caseFLIP", "ITM_NULL", "DOCU_CHR_numSET", "ITM_NULL", "DOCU_ITM_RADIX", "ITM_PERIOD", AP169), ".lo", ),"MNU_", "-MNU_")</f>
        <v>ITM_6</v>
      </c>
      <c r="BB169" s="157" t="str" cm="1">
        <f t="array" ref="BB169">SUBSTITUTE(SUBSTITUTE(_xlfn.SWITCH(AQ169, "ITM_T_HOME", "ITM_UP1", "ITM_T_END", "ITM_DOWN1", "DOCU_CHR_sub", "ITM_DOWN_ARROW", "DOCU_CHR_super", "ITM_UP_ARROW", "MNU_TAMALPHA", "ITM_alpha", "DOCU_CHR_caseFLIP", "ITM_NULL", "DOCU_CHR_numSET", "ITM_NULL", "DOCU_ITM_RADIX", "ITM_PERIOD", AQ169), ".lo", ),"MNU_", "-MNU_")</f>
        <v>ITM_T</v>
      </c>
      <c r="BC169" s="157" t="str" cm="1">
        <f t="array" ref="BC169">SUBSTITUTE(SUBSTITUTE(_xlfn.SWITCH(AR169, "ITM_T_HOME", "ITM_UP1", "ITM_T_END", "ITM_DOWN1", "DOCU_CHR_sub", "ITM_DOWN_ARROW", "DOCU_CHR_super", "ITM_UP_ARROW", "MNU_TAMALPHA", "ITM_alpha", "DOCU_CHR_caseFLIP", "ITM_NULL", "DOCU_CHR_numSET", "ITM_NULL", "DOCU_ITM_RADIX", "ITM_PERIOD", AR169), ".lo", ),"MNU_", "-MNU_")</f>
        <v>ITM_t</v>
      </c>
      <c r="BD169" s="157" t="str" cm="1">
        <f t="array" ref="BD169">SUBSTITUTE(SUBSTITUTE(_xlfn.SWITCH(AS169, "ITM_T_HOME", "ITM_UP1", "ITM_T_END", "ITM_DOWN1", "DOCU_CHR_sub", "ITM_DOWN_ARROW", "DOCU_CHR_super", "ITM_UP_ARROW", "MNU_TAMALPHA", "ITM_alpha", "DOCU_CHR_caseFLIP", "ITM_NULL", "DOCU_CHR_numSET", "ITM_NULL", "DOCU_ITM_RADIX", "ITM_PERIOD", AS169), ".lo", ),"MNU_", "-MNU_")</f>
        <v>ITM_6</v>
      </c>
      <c r="BE169" s="157" t="str" cm="1">
        <f t="array" ref="BE169">SUBSTITUTE(SUBSTITUTE(_xlfn.SWITCH(AT169, "ITM_T_HOME", "ITM_UP1", "ITM_T_END", "ITM_DOWN1", "DOCU_CHR_sub", "ITM_DOWN_ARROW", "DOCU_CHR_super", "ITM_UP_ARROW", "MNU_TAMALPHA", "ITM_alpha", "DOCU_CHR_caseFLIP", "ITM_NULL", "DOCU_CHR_numSET", "ITM_NULL", "DOCU_ITM_RADIX", "ITM_PERIOD", AT169), ".lo", ),"MNU_", "-MNU_")</f>
        <v>ITM_6</v>
      </c>
      <c r="BG169" s="75"/>
      <c r="BI169" s="13" t="str">
        <f t="shared" si="60"/>
        <v xml:space="preserve">  {64,                  ITM_6,                -MNU_FLAGS,           -MNU_PARTS,           ITM_6,                ITM_T,                ITM_t,                ITM_6,                ITM_6               },</v>
      </c>
    </row>
    <row r="170" spans="24:61" ht="21" x14ac:dyDescent="0.2">
      <c r="X170" s="129" t="str">
        <f t="shared" si="51"/>
        <v>E47</v>
      </c>
      <c r="Y170" s="109">
        <v>6</v>
      </c>
      <c r="Z170" s="109">
        <v>5</v>
      </c>
      <c r="AA170" s="112" t="str">
        <f t="shared" si="63"/>
        <v>E47.65</v>
      </c>
      <c r="AB170" s="121" t="s">
        <v>210</v>
      </c>
      <c r="AC170" s="118" t="s">
        <v>211</v>
      </c>
      <c r="AD170" s="119" t="s">
        <v>212</v>
      </c>
      <c r="AE170" s="3"/>
      <c r="AF170" s="49" t="s">
        <v>202</v>
      </c>
      <c r="AG170" s="77" t="b">
        <f t="shared" si="61"/>
        <v>1</v>
      </c>
      <c r="AH170" s="83" t="str">
        <f t="shared" si="52"/>
        <v>u</v>
      </c>
      <c r="AI170" s="84" t="str">
        <f t="shared" si="53"/>
        <v>✕</v>
      </c>
      <c r="AJ170" s="85" t="str">
        <f t="shared" si="54"/>
        <v>✕</v>
      </c>
      <c r="AK170" s="6"/>
      <c r="AL170" s="8" t="str">
        <f t="shared" si="55"/>
        <v>{65</v>
      </c>
      <c r="AM170" s="27" t="str">
        <f t="shared" si="56"/>
        <v>ITM_MULT</v>
      </c>
      <c r="AN170" s="27" t="str">
        <f t="shared" si="57"/>
        <v>MNU_PROB</v>
      </c>
      <c r="AO170" s="27" t="str">
        <f t="shared" si="58"/>
        <v>MNU_INTS</v>
      </c>
      <c r="AP170" s="46" t="str">
        <f>IF(NOT(ISNA(MATCH(AM170,Lookups!E:E,))),VLOOKUP(AM170,Lookups!E:F,2,0),
IF(NOT(ISNA(MATCH(AN170,Lookups!E:E,))),VLOOKUP(AN170,Lookups!E:F,2,0),
IF(NOT(ISNA(MATCH(AO170,Lookups!E:E,))),VLOOKUP(AO170,Lookups!E:F,2,0),"ITM_NULL")))</f>
        <v>ITM_CROSS</v>
      </c>
      <c r="AQ170" s="28" t="str">
        <f>VLOOKUP(AF170,labelitem,2,0)</f>
        <v>ITM_U</v>
      </c>
      <c r="AR170" s="195" t="s">
        <v>203</v>
      </c>
      <c r="AS170" s="186" t="s">
        <v>215</v>
      </c>
      <c r="AT170" s="197" t="s">
        <v>216</v>
      </c>
      <c r="AW170" s="14" t="str">
        <f t="shared" si="62"/>
        <v>{65</v>
      </c>
      <c r="AX170" s="157" t="str" cm="1">
        <f t="array" ref="AX170">SUBSTITUTE(SUBSTITUTE(_xlfn.SWITCH(AM170, "ITM_T_HOME", "ITM_UP1", "ITM_T_END", "ITM_DOWN1", "DOCU_CHR_sub", "ITM_DOWN_ARROW", "DOCU_CHR_super", "ITM_UP_ARROW", "MNU_TAMALPHA", "ITM_alpha", "DOCU_CHR_caseFLIP", "ITM_NULL", "DOCU_CHR_numSET", "ITM_NULL", "DOCU_ITM_RADIX", "ITM_PERIOD", AM170), ".lo", ),"MNU_", "-MNU_")</f>
        <v>ITM_MULT</v>
      </c>
      <c r="AY170" s="157" t="str" cm="1">
        <f t="array" ref="AY170">SUBSTITUTE(SUBSTITUTE(_xlfn.SWITCH(AN170, "ITM_T_HOME", "ITM_UP1", "ITM_T_END", "ITM_DOWN1", "DOCU_CHR_sub", "ITM_DOWN_ARROW", "DOCU_CHR_super", "ITM_UP_ARROW", "MNU_TAMALPHA", "ITM_alpha", "DOCU_CHR_caseFLIP", "ITM_NULL", "DOCU_CHR_numSET", "ITM_NULL", "DOCU_ITM_RADIX", "ITM_PERIOD", AN170), ".lo", ),"MNU_", "-MNU_")</f>
        <v>-MNU_PROB</v>
      </c>
      <c r="AZ170" s="157" t="str" cm="1">
        <f t="array" ref="AZ170">SUBSTITUTE(SUBSTITUTE(_xlfn.SWITCH(AO170, "ITM_T_HOME", "ITM_UP1", "ITM_T_END", "ITM_DOWN1", "DOCU_CHR_sub", "ITM_DOWN_ARROW", "DOCU_CHR_super", "ITM_UP_ARROW", "MNU_TAMALPHA", "ITM_alpha", "DOCU_CHR_caseFLIP", "ITM_NULL", "DOCU_CHR_numSET", "ITM_NULL", "DOCU_ITM_RADIX", "ITM_PERIOD", AO170), ".lo", ),"MNU_", "-MNU_")</f>
        <v>-MNU_INTS</v>
      </c>
      <c r="BA170" s="173" t="str" cm="1">
        <f t="array" ref="BA170">SUBSTITUTE(SUBSTITUTE(_xlfn.SWITCH(AP170, "ITM_T_HOME", "ITM_UP1", "ITM_T_END", "ITM_DOWN1", "DOCU_CHR_sub", "ITM_DOWN_ARROW", "DOCU_CHR_super", "ITM_UP_ARROW", "MNU_TAMALPHA", "ITM_alpha", "DOCU_CHR_caseFLIP", "ITM_NULL", "DOCU_CHR_numSET", "ITM_NULL", "DOCU_ITM_RADIX", "ITM_PERIOD", AP170), ".lo", ),"MNU_", "-MNU_")</f>
        <v>ITM_CROSS</v>
      </c>
      <c r="BB170" s="157" t="str" cm="1">
        <f t="array" ref="BB170">SUBSTITUTE(SUBSTITUTE(_xlfn.SWITCH(AQ170, "ITM_T_HOME", "ITM_UP1", "ITM_T_END", "ITM_DOWN1", "DOCU_CHR_sub", "ITM_DOWN_ARROW", "DOCU_CHR_super", "ITM_UP_ARROW", "MNU_TAMALPHA", "ITM_alpha", "DOCU_CHR_caseFLIP", "ITM_NULL", "DOCU_CHR_numSET", "ITM_NULL", "DOCU_ITM_RADIX", "ITM_PERIOD", AQ170), ".lo", ),"MNU_", "-MNU_")</f>
        <v>ITM_U</v>
      </c>
      <c r="BC170" s="157" t="str" cm="1">
        <f t="array" ref="BC170">SUBSTITUTE(SUBSTITUTE(_xlfn.SWITCH(AR170, "ITM_T_HOME", "ITM_UP1", "ITM_T_END", "ITM_DOWN1", "DOCU_CHR_sub", "ITM_DOWN_ARROW", "DOCU_CHR_super", "ITM_UP_ARROW", "MNU_TAMALPHA", "ITM_alpha", "DOCU_CHR_caseFLIP", "ITM_NULL", "DOCU_CHR_numSET", "ITM_NULL", "DOCU_ITM_RADIX", "ITM_PERIOD", AR170), ".lo", ),"MNU_", "-MNU_")</f>
        <v>ITM_u</v>
      </c>
      <c r="BD170" s="157" t="str" cm="1">
        <f t="array" ref="BD170">SUBSTITUTE(SUBSTITUTE(_xlfn.SWITCH(AS170, "ITM_T_HOME", "ITM_UP1", "ITM_T_END", "ITM_DOWN1", "DOCU_CHR_sub", "ITM_DOWN_ARROW", "DOCU_CHR_super", "ITM_UP_ARROW", "MNU_TAMALPHA", "ITM_alpha", "DOCU_CHR_caseFLIP", "ITM_NULL", "DOCU_CHR_numSET", "ITM_NULL", "DOCU_ITM_RADIX", "ITM_PERIOD", AS170), ".lo", ),"MNU_", "-MNU_")</f>
        <v>ITM_CROSS</v>
      </c>
      <c r="BE170" s="157" t="str" cm="1">
        <f t="array" ref="BE170">SUBSTITUTE(SUBSTITUTE(_xlfn.SWITCH(AT170, "ITM_T_HOME", "ITM_UP1", "ITM_T_END", "ITM_DOWN1", "DOCU_CHR_sub", "ITM_DOWN_ARROW", "DOCU_CHR_super", "ITM_UP_ARROW", "MNU_TAMALPHA", "ITM_alpha", "DOCU_CHR_caseFLIP", "ITM_NULL", "DOCU_CHR_numSET", "ITM_NULL", "DOCU_ITM_RADIX", "ITM_PERIOD", AT170), ".lo", ),"MNU_", "-MNU_")</f>
        <v>ITM_MULT</v>
      </c>
      <c r="BG170" s="75"/>
      <c r="BI170" s="13" t="str">
        <f t="shared" si="60"/>
        <v xml:space="preserve">  {65,                  ITM_MULT,             -MNU_PROB,            -MNU_INTS,            ITM_CROSS,            ITM_U,                ITM_u,                ITM_CROSS,            ITM_MULT            },</v>
      </c>
    </row>
    <row r="171" spans="24:61" ht="21" x14ac:dyDescent="0.2">
      <c r="X171" s="129" t="str">
        <f t="shared" si="51"/>
        <v>E47</v>
      </c>
      <c r="Y171" s="106">
        <v>7</v>
      </c>
      <c r="Z171" s="106">
        <v>1</v>
      </c>
      <c r="AA171" s="112" t="str">
        <f t="shared" si="63"/>
        <v>E47.71</v>
      </c>
      <c r="AB171" s="117" t="s">
        <v>188</v>
      </c>
      <c r="AC171" s="132" t="s">
        <v>189</v>
      </c>
      <c r="AD171" s="132" t="s">
        <v>190</v>
      </c>
      <c r="AE171" s="3"/>
      <c r="AF171" s="49" t="s">
        <v>191</v>
      </c>
      <c r="AG171" s="77" t="b">
        <f t="shared" si="61"/>
        <v>0</v>
      </c>
      <c r="AH171" s="83" t="str">
        <f t="shared" si="52"/>
        <v>CASE DN</v>
      </c>
      <c r="AI171" s="84" t="str">
        <f t="shared" si="53"/>
        <v>Sub</v>
      </c>
      <c r="AJ171" s="85" t="str">
        <f t="shared" si="54"/>
        <v>Dn</v>
      </c>
      <c r="AK171" s="6"/>
      <c r="AL171" s="8" t="str">
        <f t="shared" si="55"/>
        <v>{71</v>
      </c>
      <c r="AM171" s="27" t="str">
        <f t="shared" si="56"/>
        <v>ITM_DOWN1</v>
      </c>
      <c r="AN171" s="27" t="str">
        <f t="shared" si="57"/>
        <v>ITM_SST</v>
      </c>
      <c r="AO171" s="27" t="str">
        <f t="shared" si="58"/>
        <v>ITM_FLGSV</v>
      </c>
      <c r="AP171" s="46" t="str">
        <f>IF(NOT(ISNA(MATCH(AM171,Lookups!E:E,))),VLOOKUP(AM171,Lookups!E:F,2,0),
IF(NOT(ISNA(MATCH(AN171,Lookups!E:E,))),VLOOKUP(AN171,Lookups!E:F,2,0),
IF(NOT(ISNA(MATCH(AO171,Lookups!E:E,))),VLOOKUP(AO171,Lookups!E:F,2,0),"ITM_NULL")))</f>
        <v>ITM_DOWN1</v>
      </c>
      <c r="AQ171" s="28" t="str">
        <f>VLOOKUP(AF171,labelitem,2,0)</f>
        <v>ITM_T_END</v>
      </c>
      <c r="AR171" s="198" t="s">
        <v>192</v>
      </c>
      <c r="AS171" s="186" t="s">
        <v>193</v>
      </c>
      <c r="AT171" s="197" t="s">
        <v>194</v>
      </c>
      <c r="AW171" s="14" t="str">
        <f t="shared" si="62"/>
        <v>{71</v>
      </c>
      <c r="AX171" s="157" t="str" cm="1">
        <f t="array" ref="AX171">SUBSTITUTE(SUBSTITUTE(_xlfn.SWITCH(AM171, "ITM_T_HOME", "ITM_UP1", "ITM_T_END", "ITM_DOWN1", "DOCU_CHR_sub", "ITM_DOWN_ARROW", "DOCU_CHR_super", "ITM_UP_ARROW", "MNU_TAMALPHA", "ITM_alpha", "DOCU_CHR_caseFLIP", "ITM_NULL", "DOCU_CHR_numSET", "ITM_NULL", "DOCU_ITM_RADIX", "ITM_PERIOD", AM171), ".lo", ),"MNU_", "-MNU_")</f>
        <v>ITM_DOWN1</v>
      </c>
      <c r="AY171" s="157" t="str" cm="1">
        <f t="array" ref="AY171">SUBSTITUTE(SUBSTITUTE(_xlfn.SWITCH(AN171, "ITM_T_HOME", "ITM_UP1", "ITM_T_END", "ITM_DOWN1", "DOCU_CHR_sub", "ITM_DOWN_ARROW", "DOCU_CHR_super", "ITM_UP_ARROW", "MNU_TAMALPHA", "ITM_alpha", "DOCU_CHR_caseFLIP", "ITM_NULL", "DOCU_CHR_numSET", "ITM_NULL", "DOCU_ITM_RADIX", "ITM_PERIOD", AN171), ".lo", ),"MNU_", "-MNU_")</f>
        <v>ITM_SST</v>
      </c>
      <c r="AZ171" s="157" t="str" cm="1">
        <f t="array" ref="AZ171">SUBSTITUTE(SUBSTITUTE(_xlfn.SWITCH(AO171, "ITM_T_HOME", "ITM_UP1", "ITM_T_END", "ITM_DOWN1", "DOCU_CHR_sub", "ITM_DOWN_ARROW", "DOCU_CHR_super", "ITM_UP_ARROW", "MNU_TAMALPHA", "ITM_alpha", "DOCU_CHR_caseFLIP", "ITM_NULL", "DOCU_CHR_numSET", "ITM_NULL", "DOCU_ITM_RADIX", "ITM_PERIOD", AO171), ".lo", ),"MNU_", "-MNU_")</f>
        <v>ITM_FLGSV</v>
      </c>
      <c r="BA171" s="173" t="str" cm="1">
        <f t="array" ref="BA171">SUBSTITUTE(SUBSTITUTE(_xlfn.SWITCH(AP171, "ITM_T_HOME", "ITM_UP1", "ITM_T_END", "ITM_DOWN1", "DOCU_CHR_sub", "ITM_DOWN_ARROW", "DOCU_CHR_super", "ITM_UP_ARROW", "MNU_TAMALPHA", "ITM_alpha", "DOCU_CHR_caseFLIP", "ITM_NULL", "DOCU_CHR_numSET", "ITM_NULL", "DOCU_ITM_RADIX", "ITM_PERIOD", AP171), ".lo", ),"MNU_", "-MNU_")</f>
        <v>ITM_DOWN1</v>
      </c>
      <c r="BB171" s="157" t="str" cm="1">
        <f t="array" ref="BB171">SUBSTITUTE(SUBSTITUTE(_xlfn.SWITCH(AQ171, "ITM_T_HOME", "ITM_UP1", "ITM_T_END", "ITM_DOWN1", "DOCU_CHR_sub", "ITM_DOWN_ARROW", "DOCU_CHR_super", "ITM_UP_ARROW", "MNU_TAMALPHA", "ITM_alpha", "DOCU_CHR_caseFLIP", "ITM_NULL", "DOCU_CHR_numSET", "ITM_NULL", "DOCU_ITM_RADIX", "ITM_PERIOD", AQ171), ".lo", ),"MNU_", "-MNU_")</f>
        <v>ITM_DOWN1</v>
      </c>
      <c r="BC171" s="157" t="str" cm="1">
        <f t="array" ref="BC171">SUBSTITUTE(SUBSTITUTE(_xlfn.SWITCH(AR171, "ITM_T_HOME", "ITM_UP1", "ITM_T_END", "ITM_DOWN1", "DOCU_CHR_sub", "ITM_DOWN_ARROW", "DOCU_CHR_super", "ITM_UP_ARROW", "MNU_TAMALPHA", "ITM_alpha", "DOCU_CHR_caseFLIP", "ITM_NULL", "DOCU_CHR_numSET", "ITM_NULL", "DOCU_ITM_RADIX", "ITM_PERIOD", AR171), ".lo", ),"MNU_", "-MNU_")</f>
        <v>CHR_caseDN</v>
      </c>
      <c r="BD171" s="157" t="str" cm="1">
        <f t="array" ref="BD171">SUBSTITUTE(SUBSTITUTE(_xlfn.SWITCH(AS171, "ITM_T_HOME", "ITM_UP1", "ITM_T_END", "ITM_DOWN1", "DOCU_CHR_sub", "ITM_DOWN_ARROW", "DOCU_CHR_super", "ITM_UP_ARROW", "MNU_TAMALPHA", "ITM_alpha", "DOCU_CHR_caseFLIP", "ITM_NULL", "DOCU_CHR_numSET", "ITM_NULL", "DOCU_ITM_RADIX", "ITM_PERIOD", AS171), ".lo", ),"MNU_", "-MNU_")</f>
        <v>ITM_DOWN_ARROW</v>
      </c>
      <c r="BE171" s="157" t="str" cm="1">
        <f t="array" ref="BE171">SUBSTITUTE(SUBSTITUTE(_xlfn.SWITCH(AT171, "ITM_T_HOME", "ITM_UP1", "ITM_T_END", "ITM_DOWN1", "DOCU_CHR_sub", "ITM_DOWN_ARROW", "DOCU_CHR_super", "ITM_UP_ARROW", "MNU_TAMALPHA", "ITM_alpha", "DOCU_CHR_caseFLIP", "ITM_NULL", "DOCU_CHR_numSET", "ITM_NULL", "DOCU_ITM_RADIX", "ITM_PERIOD", AT171), ".lo", ),"MNU_", "-MNU_")</f>
        <v>ITM_DOWN1</v>
      </c>
      <c r="BG171" s="75"/>
      <c r="BI171" s="13" t="str">
        <f t="shared" si="60"/>
        <v xml:space="preserve">  {71,                  ITM_DOWN1,            ITM_SST,              ITM_FLGSV,            ITM_DOWN1,            ITM_DOWN1,            CHR_caseDN,           ITM_DOWN_ARROW,       ITM_DOWN1           },</v>
      </c>
    </row>
    <row r="172" spans="24:61" ht="21" x14ac:dyDescent="0.2">
      <c r="X172" s="129" t="str">
        <f t="shared" si="51"/>
        <v>E47</v>
      </c>
      <c r="Y172" s="109">
        <v>7</v>
      </c>
      <c r="Z172" s="109">
        <v>2</v>
      </c>
      <c r="AA172" s="112" t="str">
        <f t="shared" si="63"/>
        <v>E47.72</v>
      </c>
      <c r="AB172" s="117">
        <v>1</v>
      </c>
      <c r="AC172" s="118" t="s">
        <v>222</v>
      </c>
      <c r="AD172" s="119" t="s">
        <v>223</v>
      </c>
      <c r="AE172" s="3"/>
      <c r="AF172" s="49" t="s">
        <v>207</v>
      </c>
      <c r="AG172" s="77" t="b">
        <f t="shared" si="61"/>
        <v>1</v>
      </c>
      <c r="AH172" s="83" t="str">
        <f t="shared" si="52"/>
        <v>v</v>
      </c>
      <c r="AI172" s="84">
        <f t="shared" si="53"/>
        <v>1</v>
      </c>
      <c r="AJ172" s="85">
        <f t="shared" si="54"/>
        <v>1</v>
      </c>
      <c r="AK172" s="6"/>
      <c r="AL172" s="8" t="str">
        <f t="shared" si="55"/>
        <v>{72</v>
      </c>
      <c r="AM172" s="27" t="str">
        <f t="shared" si="56"/>
        <v>ITM_1</v>
      </c>
      <c r="AN172" s="27" t="str">
        <f t="shared" si="57"/>
        <v>ITM_ASSIGN</v>
      </c>
      <c r="AO172" s="27" t="str">
        <f t="shared" si="58"/>
        <v>MNU_KEYS</v>
      </c>
      <c r="AP172" s="46" t="str">
        <f>IF(NOT(ISNA(MATCH(AM172,Lookups!E:E,))),VLOOKUP(AM172,Lookups!E:F,2,0),
IF(NOT(ISNA(MATCH(AN172,Lookups!E:E,))),VLOOKUP(AN172,Lookups!E:F,2,0),
IF(NOT(ISNA(MATCH(AO172,Lookups!E:E,))),VLOOKUP(AO172,Lookups!E:F,2,0),"ITM_NULL")))</f>
        <v>ITM_1</v>
      </c>
      <c r="AQ172" s="28" t="str">
        <f t="shared" ref="AQ172:AQ180" si="64">VLOOKUP(AF172,labelitem,2,0)</f>
        <v>ITM_V</v>
      </c>
      <c r="AR172" s="195" t="s">
        <v>208</v>
      </c>
      <c r="AS172" s="186" t="s">
        <v>226</v>
      </c>
      <c r="AT172" s="197" t="s">
        <v>226</v>
      </c>
      <c r="AW172" s="14" t="str">
        <f t="shared" si="62"/>
        <v>{72</v>
      </c>
      <c r="AX172" s="157" t="str" cm="1">
        <f t="array" ref="AX172">SUBSTITUTE(SUBSTITUTE(_xlfn.SWITCH(AM172, "ITM_T_HOME", "ITM_UP1", "ITM_T_END", "ITM_DOWN1", "DOCU_CHR_sub", "ITM_DOWN_ARROW", "DOCU_CHR_super", "ITM_UP_ARROW", "MNU_TAMALPHA", "ITM_alpha", "DOCU_CHR_caseFLIP", "ITM_NULL", "DOCU_CHR_numSET", "ITM_NULL", "DOCU_ITM_RADIX", "ITM_PERIOD", AM172), ".lo", ),"MNU_", "-MNU_")</f>
        <v>ITM_1</v>
      </c>
      <c r="AY172" s="157" t="str" cm="1">
        <f t="array" ref="AY172">SUBSTITUTE(SUBSTITUTE(_xlfn.SWITCH(AN172, "ITM_T_HOME", "ITM_UP1", "ITM_T_END", "ITM_DOWN1", "DOCU_CHR_sub", "ITM_DOWN_ARROW", "DOCU_CHR_super", "ITM_UP_ARROW", "MNU_TAMALPHA", "ITM_alpha", "DOCU_CHR_caseFLIP", "ITM_NULL", "DOCU_CHR_numSET", "ITM_NULL", "DOCU_ITM_RADIX", "ITM_PERIOD", AN172), ".lo", ),"MNU_", "-MNU_")</f>
        <v>ITM_ASSIGN</v>
      </c>
      <c r="AZ172" s="157" t="str" cm="1">
        <f t="array" ref="AZ172">SUBSTITUTE(SUBSTITUTE(_xlfn.SWITCH(AO172, "ITM_T_HOME", "ITM_UP1", "ITM_T_END", "ITM_DOWN1", "DOCU_CHR_sub", "ITM_DOWN_ARROW", "DOCU_CHR_super", "ITM_UP_ARROW", "MNU_TAMALPHA", "ITM_alpha", "DOCU_CHR_caseFLIP", "ITM_NULL", "DOCU_CHR_numSET", "ITM_NULL", "DOCU_ITM_RADIX", "ITM_PERIOD", AO172), ".lo", ),"MNU_", "-MNU_")</f>
        <v>-MNU_KEYS</v>
      </c>
      <c r="BA172" s="173" t="str" cm="1">
        <f t="array" ref="BA172">SUBSTITUTE(SUBSTITUTE(_xlfn.SWITCH(AP172, "ITM_T_HOME", "ITM_UP1", "ITM_T_END", "ITM_DOWN1", "DOCU_CHR_sub", "ITM_DOWN_ARROW", "DOCU_CHR_super", "ITM_UP_ARROW", "MNU_TAMALPHA", "ITM_alpha", "DOCU_CHR_caseFLIP", "ITM_NULL", "DOCU_CHR_numSET", "ITM_NULL", "DOCU_ITM_RADIX", "ITM_PERIOD", AP172), ".lo", ),"MNU_", "-MNU_")</f>
        <v>ITM_1</v>
      </c>
      <c r="BB172" s="157" t="str" cm="1">
        <f t="array" ref="BB172">SUBSTITUTE(SUBSTITUTE(_xlfn.SWITCH(AQ172, "ITM_T_HOME", "ITM_UP1", "ITM_T_END", "ITM_DOWN1", "DOCU_CHR_sub", "ITM_DOWN_ARROW", "DOCU_CHR_super", "ITM_UP_ARROW", "MNU_TAMALPHA", "ITM_alpha", "DOCU_CHR_caseFLIP", "ITM_NULL", "DOCU_CHR_numSET", "ITM_NULL", "DOCU_ITM_RADIX", "ITM_PERIOD", AQ172), ".lo", ),"MNU_", "-MNU_")</f>
        <v>ITM_V</v>
      </c>
      <c r="BC172" s="157" t="str" cm="1">
        <f t="array" ref="BC172">SUBSTITUTE(SUBSTITUTE(_xlfn.SWITCH(AR172, "ITM_T_HOME", "ITM_UP1", "ITM_T_END", "ITM_DOWN1", "DOCU_CHR_sub", "ITM_DOWN_ARROW", "DOCU_CHR_super", "ITM_UP_ARROW", "MNU_TAMALPHA", "ITM_alpha", "DOCU_CHR_caseFLIP", "ITM_NULL", "DOCU_CHR_numSET", "ITM_NULL", "DOCU_ITM_RADIX", "ITM_PERIOD", AR172), ".lo", ),"MNU_", "-MNU_")</f>
        <v>ITM_v</v>
      </c>
      <c r="BD172" s="157" t="str" cm="1">
        <f t="array" ref="BD172">SUBSTITUTE(SUBSTITUTE(_xlfn.SWITCH(AS172, "ITM_T_HOME", "ITM_UP1", "ITM_T_END", "ITM_DOWN1", "DOCU_CHR_sub", "ITM_DOWN_ARROW", "DOCU_CHR_super", "ITM_UP_ARROW", "MNU_TAMALPHA", "ITM_alpha", "DOCU_CHR_caseFLIP", "ITM_NULL", "DOCU_CHR_numSET", "ITM_NULL", "DOCU_ITM_RADIX", "ITM_PERIOD", AS172), ".lo", ),"MNU_", "-MNU_")</f>
        <v>ITM_1</v>
      </c>
      <c r="BE172" s="157" t="str" cm="1">
        <f t="array" ref="BE172">SUBSTITUTE(SUBSTITUTE(_xlfn.SWITCH(AT172, "ITM_T_HOME", "ITM_UP1", "ITM_T_END", "ITM_DOWN1", "DOCU_CHR_sub", "ITM_DOWN_ARROW", "DOCU_CHR_super", "ITM_UP_ARROW", "MNU_TAMALPHA", "ITM_alpha", "DOCU_CHR_caseFLIP", "ITM_NULL", "DOCU_CHR_numSET", "ITM_NULL", "DOCU_ITM_RADIX", "ITM_PERIOD", AT172), ".lo", ),"MNU_", "-MNU_")</f>
        <v>ITM_1</v>
      </c>
      <c r="BG172" s="75"/>
      <c r="BI172" s="13" t="str">
        <f t="shared" si="60"/>
        <v xml:space="preserve">  {72,                  ITM_1,                ITM_ASSIGN,           -MNU_KEYS,            ITM_1,                ITM_V,                ITM_v,                ITM_1,                ITM_1               },</v>
      </c>
    </row>
    <row r="173" spans="24:61" ht="21" x14ac:dyDescent="0.2">
      <c r="X173" s="129" t="str">
        <f t="shared" si="51"/>
        <v>E47</v>
      </c>
      <c r="Y173" s="109">
        <v>7</v>
      </c>
      <c r="Z173" s="109">
        <v>3</v>
      </c>
      <c r="AA173" s="112" t="str">
        <f t="shared" si="63"/>
        <v>E47.73</v>
      </c>
      <c r="AB173" s="117">
        <v>2</v>
      </c>
      <c r="AC173" s="118" t="s">
        <v>447</v>
      </c>
      <c r="AD173" s="119" t="s">
        <v>645</v>
      </c>
      <c r="AE173" s="3"/>
      <c r="AF173" s="49" t="s">
        <v>213</v>
      </c>
      <c r="AG173" s="77" t="b">
        <f t="shared" si="61"/>
        <v>1</v>
      </c>
      <c r="AH173" s="83" t="str">
        <f t="shared" si="52"/>
        <v>w</v>
      </c>
      <c r="AI173" s="84">
        <f t="shared" si="53"/>
        <v>2</v>
      </c>
      <c r="AJ173" s="85">
        <f t="shared" si="54"/>
        <v>2</v>
      </c>
      <c r="AK173" s="6"/>
      <c r="AL173" s="8" t="str">
        <f t="shared" si="55"/>
        <v>{73</v>
      </c>
      <c r="AM173" s="27" t="str">
        <f t="shared" si="56"/>
        <v>ITM_2</v>
      </c>
      <c r="AN173" s="27" t="str">
        <f t="shared" si="57"/>
        <v>MNU_SETUP</v>
      </c>
      <c r="AO173" s="27" t="str">
        <f t="shared" si="58"/>
        <v>MNU_ALPHAFN</v>
      </c>
      <c r="AP173" s="46" t="str">
        <f>IF(NOT(ISNA(MATCH(AM173,Lookups!E:E,))),VLOOKUP(AM173,Lookups!E:F,2,0),
IF(NOT(ISNA(MATCH(AN173,Lookups!E:E,))),VLOOKUP(AN173,Lookups!E:F,2,0),
IF(NOT(ISNA(MATCH(AO173,Lookups!E:E,))),VLOOKUP(AO173,Lookups!E:F,2,0),"ITM_NULL")))</f>
        <v>ITM_2</v>
      </c>
      <c r="AQ173" s="28" t="str">
        <f t="shared" si="64"/>
        <v>ITM_W</v>
      </c>
      <c r="AR173" s="195" t="s">
        <v>214</v>
      </c>
      <c r="AS173" s="186" t="s">
        <v>230</v>
      </c>
      <c r="AT173" s="197" t="s">
        <v>230</v>
      </c>
      <c r="AW173" s="14" t="str">
        <f t="shared" si="62"/>
        <v>{73</v>
      </c>
      <c r="AX173" s="157" t="str" cm="1">
        <f t="array" ref="AX173">SUBSTITUTE(SUBSTITUTE(_xlfn.SWITCH(AM173, "ITM_T_HOME", "ITM_UP1", "ITM_T_END", "ITM_DOWN1", "DOCU_CHR_sub", "ITM_DOWN_ARROW", "DOCU_CHR_super", "ITM_UP_ARROW", "MNU_TAMALPHA", "ITM_alpha", "DOCU_CHR_caseFLIP", "ITM_NULL", "DOCU_CHR_numSET", "ITM_NULL", "DOCU_ITM_RADIX", "ITM_PERIOD", AM173), ".lo", ),"MNU_", "-MNU_")</f>
        <v>ITM_2</v>
      </c>
      <c r="AY173" s="157" t="str" cm="1">
        <f t="array" ref="AY173">SUBSTITUTE(SUBSTITUTE(_xlfn.SWITCH(AN173, "ITM_T_HOME", "ITM_UP1", "ITM_T_END", "ITM_DOWN1", "DOCU_CHR_sub", "ITM_DOWN_ARROW", "DOCU_CHR_super", "ITM_UP_ARROW", "MNU_TAMALPHA", "ITM_alpha", "DOCU_CHR_caseFLIP", "ITM_NULL", "DOCU_CHR_numSET", "ITM_NULL", "DOCU_ITM_RADIX", "ITM_PERIOD", AN173), ".lo", ),"MNU_", "-MNU_")</f>
        <v>-MNU_SETUP</v>
      </c>
      <c r="AZ173" s="157" t="str" cm="1">
        <f t="array" ref="AZ173">SUBSTITUTE(SUBSTITUTE(_xlfn.SWITCH(AO173, "ITM_T_HOME", "ITM_UP1", "ITM_T_END", "ITM_DOWN1", "DOCU_CHR_sub", "ITM_DOWN_ARROW", "DOCU_CHR_super", "ITM_UP_ARROW", "MNU_TAMALPHA", "ITM_alpha", "DOCU_CHR_caseFLIP", "ITM_NULL", "DOCU_CHR_numSET", "ITM_NULL", "DOCU_ITM_RADIX", "ITM_PERIOD", AO173), ".lo", ),"MNU_", "-MNU_")</f>
        <v>-MNU_ALPHAFN</v>
      </c>
      <c r="BA173" s="173" t="str" cm="1">
        <f t="array" ref="BA173">SUBSTITUTE(SUBSTITUTE(_xlfn.SWITCH(AP173, "ITM_T_HOME", "ITM_UP1", "ITM_T_END", "ITM_DOWN1", "DOCU_CHR_sub", "ITM_DOWN_ARROW", "DOCU_CHR_super", "ITM_UP_ARROW", "MNU_TAMALPHA", "ITM_alpha", "DOCU_CHR_caseFLIP", "ITM_NULL", "DOCU_CHR_numSET", "ITM_NULL", "DOCU_ITM_RADIX", "ITM_PERIOD", AP173), ".lo", ),"MNU_", "-MNU_")</f>
        <v>ITM_2</v>
      </c>
      <c r="BB173" s="157" t="str" cm="1">
        <f t="array" ref="BB173">SUBSTITUTE(SUBSTITUTE(_xlfn.SWITCH(AQ173, "ITM_T_HOME", "ITM_UP1", "ITM_T_END", "ITM_DOWN1", "DOCU_CHR_sub", "ITM_DOWN_ARROW", "DOCU_CHR_super", "ITM_UP_ARROW", "MNU_TAMALPHA", "ITM_alpha", "DOCU_CHR_caseFLIP", "ITM_NULL", "DOCU_CHR_numSET", "ITM_NULL", "DOCU_ITM_RADIX", "ITM_PERIOD", AQ173), ".lo", ),"MNU_", "-MNU_")</f>
        <v>ITM_W</v>
      </c>
      <c r="BC173" s="157" t="str" cm="1">
        <f t="array" ref="BC173">SUBSTITUTE(SUBSTITUTE(_xlfn.SWITCH(AR173, "ITM_T_HOME", "ITM_UP1", "ITM_T_END", "ITM_DOWN1", "DOCU_CHR_sub", "ITM_DOWN_ARROW", "DOCU_CHR_super", "ITM_UP_ARROW", "MNU_TAMALPHA", "ITM_alpha", "DOCU_CHR_caseFLIP", "ITM_NULL", "DOCU_CHR_numSET", "ITM_NULL", "DOCU_ITM_RADIX", "ITM_PERIOD", AR173), ".lo", ),"MNU_", "-MNU_")</f>
        <v>ITM_w</v>
      </c>
      <c r="BD173" s="157" t="str" cm="1">
        <f t="array" ref="BD173">SUBSTITUTE(SUBSTITUTE(_xlfn.SWITCH(AS173, "ITM_T_HOME", "ITM_UP1", "ITM_T_END", "ITM_DOWN1", "DOCU_CHR_sub", "ITM_DOWN_ARROW", "DOCU_CHR_super", "ITM_UP_ARROW", "MNU_TAMALPHA", "ITM_alpha", "DOCU_CHR_caseFLIP", "ITM_NULL", "DOCU_CHR_numSET", "ITM_NULL", "DOCU_ITM_RADIX", "ITM_PERIOD", AS173), ".lo", ),"MNU_", "-MNU_")</f>
        <v>ITM_2</v>
      </c>
      <c r="BE173" s="157" t="str" cm="1">
        <f t="array" ref="BE173">SUBSTITUTE(SUBSTITUTE(_xlfn.SWITCH(AT173, "ITM_T_HOME", "ITM_UP1", "ITM_T_END", "ITM_DOWN1", "DOCU_CHR_sub", "ITM_DOWN_ARROW", "DOCU_CHR_super", "ITM_UP_ARROW", "MNU_TAMALPHA", "ITM_alpha", "DOCU_CHR_caseFLIP", "ITM_NULL", "DOCU_CHR_numSET", "ITM_NULL", "DOCU_ITM_RADIX", "ITM_PERIOD", AT173), ".lo", ),"MNU_", "-MNU_")</f>
        <v>ITM_2</v>
      </c>
      <c r="BG173" s="75"/>
      <c r="BI173" s="13" t="str">
        <f t="shared" si="60"/>
        <v xml:space="preserve">  {73,                  ITM_2,                -MNU_SETUP,           -MNU_ALPHAFN,         ITM_2,                ITM_W,                ITM_w,                ITM_2,                ITM_2               },</v>
      </c>
    </row>
    <row r="174" spans="24:61" ht="21" x14ac:dyDescent="0.2">
      <c r="X174" s="129" t="str">
        <f t="shared" si="51"/>
        <v>E47</v>
      </c>
      <c r="Y174" s="109">
        <v>7</v>
      </c>
      <c r="Z174" s="109">
        <v>4</v>
      </c>
      <c r="AA174" s="112" t="str">
        <f t="shared" si="63"/>
        <v>E47.74</v>
      </c>
      <c r="AB174" s="117">
        <v>3</v>
      </c>
      <c r="AC174" s="118" t="s">
        <v>231</v>
      </c>
      <c r="AD174" s="119" t="s">
        <v>232</v>
      </c>
      <c r="AE174" s="3"/>
      <c r="AF174" s="49" t="s">
        <v>224</v>
      </c>
      <c r="AG174" s="77" t="b">
        <f t="shared" si="61"/>
        <v>1</v>
      </c>
      <c r="AH174" s="83" t="str">
        <f t="shared" si="52"/>
        <v>x</v>
      </c>
      <c r="AI174" s="84">
        <f t="shared" si="53"/>
        <v>3</v>
      </c>
      <c r="AJ174" s="85">
        <f t="shared" si="54"/>
        <v>3</v>
      </c>
      <c r="AK174" s="6"/>
      <c r="AL174" s="8" t="str">
        <f t="shared" si="55"/>
        <v>{74</v>
      </c>
      <c r="AM174" s="27" t="str">
        <f t="shared" si="56"/>
        <v>ITM_3</v>
      </c>
      <c r="AN174" s="27" t="str">
        <f t="shared" si="57"/>
        <v>MNU_PFN</v>
      </c>
      <c r="AO174" s="27" t="str">
        <f t="shared" si="58"/>
        <v>MNU_LOOP</v>
      </c>
      <c r="AP174" s="46" t="str">
        <f>IF(NOT(ISNA(MATCH(AM174,Lookups!E:E,))),VLOOKUP(AM174,Lookups!E:F,2,0),
IF(NOT(ISNA(MATCH(AN174,Lookups!E:E,))),VLOOKUP(AN174,Lookups!E:F,2,0),
IF(NOT(ISNA(MATCH(AO174,Lookups!E:E,))),VLOOKUP(AO174,Lookups!E:F,2,0),"ITM_NULL")))</f>
        <v>ITM_3</v>
      </c>
      <c r="AQ174" s="28" t="str">
        <f t="shared" si="64"/>
        <v>ITM_X</v>
      </c>
      <c r="AR174" s="195" t="s">
        <v>225</v>
      </c>
      <c r="AS174" s="186" t="s">
        <v>235</v>
      </c>
      <c r="AT174" s="197" t="s">
        <v>235</v>
      </c>
      <c r="AW174" s="14" t="str">
        <f t="shared" si="62"/>
        <v>{74</v>
      </c>
      <c r="AX174" s="157" t="str" cm="1">
        <f t="array" ref="AX174">SUBSTITUTE(SUBSTITUTE(_xlfn.SWITCH(AM174, "ITM_T_HOME", "ITM_UP1", "ITM_T_END", "ITM_DOWN1", "DOCU_CHR_sub", "ITM_DOWN_ARROW", "DOCU_CHR_super", "ITM_UP_ARROW", "MNU_TAMALPHA", "ITM_alpha", "DOCU_CHR_caseFLIP", "ITM_NULL", "DOCU_CHR_numSET", "ITM_NULL", "DOCU_ITM_RADIX", "ITM_PERIOD", AM174), ".lo", ),"MNU_", "-MNU_")</f>
        <v>ITM_3</v>
      </c>
      <c r="AY174" s="157" t="str" cm="1">
        <f t="array" ref="AY174">SUBSTITUTE(SUBSTITUTE(_xlfn.SWITCH(AN174, "ITM_T_HOME", "ITM_UP1", "ITM_T_END", "ITM_DOWN1", "DOCU_CHR_sub", "ITM_DOWN_ARROW", "DOCU_CHR_super", "ITM_UP_ARROW", "MNU_TAMALPHA", "ITM_alpha", "DOCU_CHR_caseFLIP", "ITM_NULL", "DOCU_CHR_numSET", "ITM_NULL", "DOCU_ITM_RADIX", "ITM_PERIOD", AN174), ".lo", ),"MNU_", "-MNU_")</f>
        <v>-MNU_PFN</v>
      </c>
      <c r="AZ174" s="157" t="str" cm="1">
        <f t="array" ref="AZ174">SUBSTITUTE(SUBSTITUTE(_xlfn.SWITCH(AO174, "ITM_T_HOME", "ITM_UP1", "ITM_T_END", "ITM_DOWN1", "DOCU_CHR_sub", "ITM_DOWN_ARROW", "DOCU_CHR_super", "ITM_UP_ARROW", "MNU_TAMALPHA", "ITM_alpha", "DOCU_CHR_caseFLIP", "ITM_NULL", "DOCU_CHR_numSET", "ITM_NULL", "DOCU_ITM_RADIX", "ITM_PERIOD", AO174), ".lo", ),"MNU_", "-MNU_")</f>
        <v>-MNU_LOOP</v>
      </c>
      <c r="BA174" s="173" t="str" cm="1">
        <f t="array" ref="BA174">SUBSTITUTE(SUBSTITUTE(_xlfn.SWITCH(AP174, "ITM_T_HOME", "ITM_UP1", "ITM_T_END", "ITM_DOWN1", "DOCU_CHR_sub", "ITM_DOWN_ARROW", "DOCU_CHR_super", "ITM_UP_ARROW", "MNU_TAMALPHA", "ITM_alpha", "DOCU_CHR_caseFLIP", "ITM_NULL", "DOCU_CHR_numSET", "ITM_NULL", "DOCU_ITM_RADIX", "ITM_PERIOD", AP174), ".lo", ),"MNU_", "-MNU_")</f>
        <v>ITM_3</v>
      </c>
      <c r="BB174" s="157" t="str" cm="1">
        <f t="array" ref="BB174">SUBSTITUTE(SUBSTITUTE(_xlfn.SWITCH(AQ174, "ITM_T_HOME", "ITM_UP1", "ITM_T_END", "ITM_DOWN1", "DOCU_CHR_sub", "ITM_DOWN_ARROW", "DOCU_CHR_super", "ITM_UP_ARROW", "MNU_TAMALPHA", "ITM_alpha", "DOCU_CHR_caseFLIP", "ITM_NULL", "DOCU_CHR_numSET", "ITM_NULL", "DOCU_ITM_RADIX", "ITM_PERIOD", AQ174), ".lo", ),"MNU_", "-MNU_")</f>
        <v>ITM_X</v>
      </c>
      <c r="BC174" s="157" t="str" cm="1">
        <f t="array" ref="BC174">SUBSTITUTE(SUBSTITUTE(_xlfn.SWITCH(AR174, "ITM_T_HOME", "ITM_UP1", "ITM_T_END", "ITM_DOWN1", "DOCU_CHR_sub", "ITM_DOWN_ARROW", "DOCU_CHR_super", "ITM_UP_ARROW", "MNU_TAMALPHA", "ITM_alpha", "DOCU_CHR_caseFLIP", "ITM_NULL", "DOCU_CHR_numSET", "ITM_NULL", "DOCU_ITM_RADIX", "ITM_PERIOD", AR174), ".lo", ),"MNU_", "-MNU_")</f>
        <v>ITM_x</v>
      </c>
      <c r="BD174" s="157" t="str" cm="1">
        <f t="array" ref="BD174">SUBSTITUTE(SUBSTITUTE(_xlfn.SWITCH(AS174, "ITM_T_HOME", "ITM_UP1", "ITM_T_END", "ITM_DOWN1", "DOCU_CHR_sub", "ITM_DOWN_ARROW", "DOCU_CHR_super", "ITM_UP_ARROW", "MNU_TAMALPHA", "ITM_alpha", "DOCU_CHR_caseFLIP", "ITM_NULL", "DOCU_CHR_numSET", "ITM_NULL", "DOCU_ITM_RADIX", "ITM_PERIOD", AS174), ".lo", ),"MNU_", "-MNU_")</f>
        <v>ITM_3</v>
      </c>
      <c r="BE174" s="157" t="str" cm="1">
        <f t="array" ref="BE174">SUBSTITUTE(SUBSTITUTE(_xlfn.SWITCH(AT174, "ITM_T_HOME", "ITM_UP1", "ITM_T_END", "ITM_DOWN1", "DOCU_CHR_sub", "ITM_DOWN_ARROW", "DOCU_CHR_super", "ITM_UP_ARROW", "MNU_TAMALPHA", "ITM_alpha", "DOCU_CHR_caseFLIP", "ITM_NULL", "DOCU_CHR_numSET", "ITM_NULL", "DOCU_ITM_RADIX", "ITM_PERIOD", AT174), ".lo", ),"MNU_", "-MNU_")</f>
        <v>ITM_3</v>
      </c>
      <c r="BG174" s="75"/>
      <c r="BI174" s="13" t="str">
        <f t="shared" si="60"/>
        <v xml:space="preserve">  {74,                  ITM_3,                -MNU_PFN,             -MNU_LOOP,            ITM_3,                ITM_X,                ITM_x,                ITM_3,                ITM_3               },</v>
      </c>
    </row>
    <row r="175" spans="24:61" ht="21" x14ac:dyDescent="0.2">
      <c r="X175" s="129" t="str">
        <f t="shared" si="51"/>
        <v>E47</v>
      </c>
      <c r="Y175" s="109">
        <v>7</v>
      </c>
      <c r="Z175" s="109">
        <v>5</v>
      </c>
      <c r="AA175" s="112" t="str">
        <f t="shared" si="63"/>
        <v>E47.75</v>
      </c>
      <c r="AB175" s="117" t="s">
        <v>236</v>
      </c>
      <c r="AC175" s="118" t="s">
        <v>172</v>
      </c>
      <c r="AD175" s="119" t="s">
        <v>238</v>
      </c>
      <c r="AE175" s="3"/>
      <c r="AF175" s="49" t="s">
        <v>228</v>
      </c>
      <c r="AG175" s="77" t="b">
        <f t="shared" si="61"/>
        <v>1</v>
      </c>
      <c r="AH175" s="83" t="str">
        <f t="shared" si="52"/>
        <v>y</v>
      </c>
      <c r="AI175" s="84" t="str">
        <f t="shared" si="53"/>
        <v>-</v>
      </c>
      <c r="AJ175" s="85" t="str">
        <f t="shared" si="54"/>
        <v>-</v>
      </c>
      <c r="AK175" s="6"/>
      <c r="AL175" s="8" t="str">
        <f t="shared" si="55"/>
        <v>{75</v>
      </c>
      <c r="AM175" s="27" t="str">
        <f t="shared" si="56"/>
        <v>ITM_SUB</v>
      </c>
      <c r="AN175" s="27" t="str">
        <f t="shared" si="57"/>
        <v>MNU_FIN</v>
      </c>
      <c r="AO175" s="27" t="str">
        <f t="shared" si="58"/>
        <v>MNU_IO</v>
      </c>
      <c r="AP175" s="46" t="str">
        <f>IF(NOT(ISNA(MATCH(AM175,Lookups!E:E,))),VLOOKUP(AM175,Lookups!E:F,2,0),
IF(NOT(ISNA(MATCH(AN175,Lookups!E:E,))),VLOOKUP(AN175,Lookups!E:F,2,0),
IF(NOT(ISNA(MATCH(AO175,Lookups!E:E,))),VLOOKUP(AO175,Lookups!E:F,2,0),"ITM_NULL")))</f>
        <v>ITM_MINUS</v>
      </c>
      <c r="AQ175" s="28" t="str">
        <f t="shared" si="64"/>
        <v>ITM_Y</v>
      </c>
      <c r="AR175" s="195" t="s">
        <v>229</v>
      </c>
      <c r="AS175" s="186" t="s">
        <v>240</v>
      </c>
      <c r="AT175" s="197" t="s">
        <v>241</v>
      </c>
      <c r="AW175" s="14" t="str">
        <f t="shared" si="62"/>
        <v>{75</v>
      </c>
      <c r="AX175" s="157" t="str" cm="1">
        <f t="array" ref="AX175">SUBSTITUTE(SUBSTITUTE(_xlfn.SWITCH(AM175, "ITM_T_HOME", "ITM_UP1", "ITM_T_END", "ITM_DOWN1", "DOCU_CHR_sub", "ITM_DOWN_ARROW", "DOCU_CHR_super", "ITM_UP_ARROW", "MNU_TAMALPHA", "ITM_alpha", "DOCU_CHR_caseFLIP", "ITM_NULL", "DOCU_CHR_numSET", "ITM_NULL", "DOCU_ITM_RADIX", "ITM_PERIOD", AM175), ".lo", ),"MNU_", "-MNU_")</f>
        <v>ITM_SUB</v>
      </c>
      <c r="AY175" s="157" t="str" cm="1">
        <f t="array" ref="AY175">SUBSTITUTE(SUBSTITUTE(_xlfn.SWITCH(AN175, "ITM_T_HOME", "ITM_UP1", "ITM_T_END", "ITM_DOWN1", "DOCU_CHR_sub", "ITM_DOWN_ARROW", "DOCU_CHR_super", "ITM_UP_ARROW", "MNU_TAMALPHA", "ITM_alpha", "DOCU_CHR_caseFLIP", "ITM_NULL", "DOCU_CHR_numSET", "ITM_NULL", "DOCU_ITM_RADIX", "ITM_PERIOD", AN175), ".lo", ),"MNU_", "-MNU_")</f>
        <v>-MNU_FIN</v>
      </c>
      <c r="AZ175" s="157" t="str" cm="1">
        <f t="array" ref="AZ175">SUBSTITUTE(SUBSTITUTE(_xlfn.SWITCH(AO175, "ITM_T_HOME", "ITM_UP1", "ITM_T_END", "ITM_DOWN1", "DOCU_CHR_sub", "ITM_DOWN_ARROW", "DOCU_CHR_super", "ITM_UP_ARROW", "MNU_TAMALPHA", "ITM_alpha", "DOCU_CHR_caseFLIP", "ITM_NULL", "DOCU_CHR_numSET", "ITM_NULL", "DOCU_ITM_RADIX", "ITM_PERIOD", AO175), ".lo", ),"MNU_", "-MNU_")</f>
        <v>-MNU_IO</v>
      </c>
      <c r="BA175" s="173" t="str" cm="1">
        <f t="array" ref="BA175">SUBSTITUTE(SUBSTITUTE(_xlfn.SWITCH(AP175, "ITM_T_HOME", "ITM_UP1", "ITM_T_END", "ITM_DOWN1", "DOCU_CHR_sub", "ITM_DOWN_ARROW", "DOCU_CHR_super", "ITM_UP_ARROW", "MNU_TAMALPHA", "ITM_alpha", "DOCU_CHR_caseFLIP", "ITM_NULL", "DOCU_CHR_numSET", "ITM_NULL", "DOCU_ITM_RADIX", "ITM_PERIOD", AP175), ".lo", ),"MNU_", "-MNU_")</f>
        <v>ITM_MINUS</v>
      </c>
      <c r="BB175" s="157" t="str" cm="1">
        <f t="array" ref="BB175">SUBSTITUTE(SUBSTITUTE(_xlfn.SWITCH(AQ175, "ITM_T_HOME", "ITM_UP1", "ITM_T_END", "ITM_DOWN1", "DOCU_CHR_sub", "ITM_DOWN_ARROW", "DOCU_CHR_super", "ITM_UP_ARROW", "MNU_TAMALPHA", "ITM_alpha", "DOCU_CHR_caseFLIP", "ITM_NULL", "DOCU_CHR_numSET", "ITM_NULL", "DOCU_ITM_RADIX", "ITM_PERIOD", AQ175), ".lo", ),"MNU_", "-MNU_")</f>
        <v>ITM_Y</v>
      </c>
      <c r="BC175" s="157" t="str" cm="1">
        <f t="array" ref="BC175">SUBSTITUTE(SUBSTITUTE(_xlfn.SWITCH(AR175, "ITM_T_HOME", "ITM_UP1", "ITM_T_END", "ITM_DOWN1", "DOCU_CHR_sub", "ITM_DOWN_ARROW", "DOCU_CHR_super", "ITM_UP_ARROW", "MNU_TAMALPHA", "ITM_alpha", "DOCU_CHR_caseFLIP", "ITM_NULL", "DOCU_CHR_numSET", "ITM_NULL", "DOCU_ITM_RADIX", "ITM_PERIOD", AR175), ".lo", ),"MNU_", "-MNU_")</f>
        <v>ITM_y</v>
      </c>
      <c r="BD175" s="157" t="str" cm="1">
        <f t="array" ref="BD175">SUBSTITUTE(SUBSTITUTE(_xlfn.SWITCH(AS175, "ITM_T_HOME", "ITM_UP1", "ITM_T_END", "ITM_DOWN1", "DOCU_CHR_sub", "ITM_DOWN_ARROW", "DOCU_CHR_super", "ITM_UP_ARROW", "MNU_TAMALPHA", "ITM_alpha", "DOCU_CHR_caseFLIP", "ITM_NULL", "DOCU_CHR_numSET", "ITM_NULL", "DOCU_ITM_RADIX", "ITM_PERIOD", AS175), ".lo", ),"MNU_", "-MNU_")</f>
        <v>ITM_MINUS</v>
      </c>
      <c r="BE175" s="157" t="str" cm="1">
        <f t="array" ref="BE175">SUBSTITUTE(SUBSTITUTE(_xlfn.SWITCH(AT175, "ITM_T_HOME", "ITM_UP1", "ITM_T_END", "ITM_DOWN1", "DOCU_CHR_sub", "ITM_DOWN_ARROW", "DOCU_CHR_super", "ITM_UP_ARROW", "MNU_TAMALPHA", "ITM_alpha", "DOCU_CHR_caseFLIP", "ITM_NULL", "DOCU_CHR_numSET", "ITM_NULL", "DOCU_ITM_RADIX", "ITM_PERIOD", AT175), ".lo", ),"MNU_", "-MNU_")</f>
        <v>ITM_SUB</v>
      </c>
      <c r="BG175" s="75"/>
      <c r="BI175" s="13" t="str">
        <f t="shared" si="60"/>
        <v xml:space="preserve">  {75,                  ITM_SUB,              -MNU_FIN,             -MNU_IO,              ITM_MINUS,            ITM_Y,                ITM_y,                ITM_MINUS,            ITM_SUB             },</v>
      </c>
    </row>
    <row r="176" spans="24:61" ht="21" x14ac:dyDescent="0.2">
      <c r="X176" s="129" t="str">
        <f t="shared" si="51"/>
        <v>E47</v>
      </c>
      <c r="Y176" s="106">
        <v>8</v>
      </c>
      <c r="Z176" s="106">
        <v>1</v>
      </c>
      <c r="AA176" s="112" t="str">
        <f t="shared" si="63"/>
        <v>E47.81</v>
      </c>
      <c r="AB176" s="117" t="s">
        <v>242</v>
      </c>
      <c r="AC176" s="118" t="s">
        <v>243</v>
      </c>
      <c r="AD176" s="119" t="s">
        <v>244</v>
      </c>
      <c r="AE176" s="3"/>
      <c r="AF176" s="49" t="s">
        <v>242</v>
      </c>
      <c r="AG176" s="77" t="b">
        <f t="shared" si="61"/>
        <v>0</v>
      </c>
      <c r="AH176" s="83" t="str">
        <f t="shared" si="52"/>
        <v>OFF</v>
      </c>
      <c r="AI176" s="84" t="str">
        <f t="shared" si="53"/>
        <v>SNAP</v>
      </c>
      <c r="AJ176" s="85" t="str">
        <f t="shared" si="54"/>
        <v>EXIT</v>
      </c>
      <c r="AK176" s="6"/>
      <c r="AL176" s="8" t="str">
        <f t="shared" si="55"/>
        <v>{81</v>
      </c>
      <c r="AM176" s="27" t="str">
        <f t="shared" si="56"/>
        <v>ITM_EXIT1</v>
      </c>
      <c r="AN176" s="27" t="str">
        <f t="shared" si="57"/>
        <v>ITM_OFF</v>
      </c>
      <c r="AO176" s="27" t="str">
        <f t="shared" si="58"/>
        <v>ITM_SNAP</v>
      </c>
      <c r="AP176" s="46" t="str">
        <f>IF(NOT(ISNA(MATCH(AM176,Lookups!E:E,))),VLOOKUP(AM176,Lookups!E:F,2,0),
IF(NOT(ISNA(MATCH(AN176,Lookups!E:E,))),VLOOKUP(AN176,Lookups!E:F,2,0),
IF(NOT(ISNA(MATCH(AO176,Lookups!E:E,))),VLOOKUP(AO176,Lookups!E:F,2,0),"ITM_NULL")))</f>
        <v>ITM_EXIT1</v>
      </c>
      <c r="AQ176" s="28" t="str">
        <f t="shared" si="64"/>
        <v>ITM_EXIT1</v>
      </c>
      <c r="AR176" s="198" t="s">
        <v>245</v>
      </c>
      <c r="AS176" s="186" t="s">
        <v>246</v>
      </c>
      <c r="AT176" s="197" t="s">
        <v>247</v>
      </c>
      <c r="AW176" s="14" t="str">
        <f t="shared" si="62"/>
        <v>{81</v>
      </c>
      <c r="AX176" s="157" t="str" cm="1">
        <f t="array" ref="AX176">SUBSTITUTE(SUBSTITUTE(_xlfn.SWITCH(AM176, "ITM_T_HOME", "ITM_UP1", "ITM_T_END", "ITM_DOWN1", "DOCU_CHR_sub", "ITM_DOWN_ARROW", "DOCU_CHR_super", "ITM_UP_ARROW", "MNU_TAMALPHA", "ITM_alpha", "DOCU_CHR_caseFLIP", "ITM_NULL", "DOCU_CHR_numSET", "ITM_NULL", "DOCU_ITM_RADIX", "ITM_PERIOD", AM176), ".lo", ),"MNU_", "-MNU_")</f>
        <v>ITM_EXIT1</v>
      </c>
      <c r="AY176" s="157" t="str" cm="1">
        <f t="array" ref="AY176">SUBSTITUTE(SUBSTITUTE(_xlfn.SWITCH(AN176, "ITM_T_HOME", "ITM_UP1", "ITM_T_END", "ITM_DOWN1", "DOCU_CHR_sub", "ITM_DOWN_ARROW", "DOCU_CHR_super", "ITM_UP_ARROW", "MNU_TAMALPHA", "ITM_alpha", "DOCU_CHR_caseFLIP", "ITM_NULL", "DOCU_CHR_numSET", "ITM_NULL", "DOCU_ITM_RADIX", "ITM_PERIOD", AN176), ".lo", ),"MNU_", "-MNU_")</f>
        <v>ITM_OFF</v>
      </c>
      <c r="AZ176" s="157" t="str" cm="1">
        <f t="array" ref="AZ176">SUBSTITUTE(SUBSTITUTE(_xlfn.SWITCH(AO176, "ITM_T_HOME", "ITM_UP1", "ITM_T_END", "ITM_DOWN1", "DOCU_CHR_sub", "ITM_DOWN_ARROW", "DOCU_CHR_super", "ITM_UP_ARROW", "MNU_TAMALPHA", "ITM_alpha", "DOCU_CHR_caseFLIP", "ITM_NULL", "DOCU_CHR_numSET", "ITM_NULL", "DOCU_ITM_RADIX", "ITM_PERIOD", AO176), ".lo", ),"MNU_", "-MNU_")</f>
        <v>ITM_SNAP</v>
      </c>
      <c r="BA176" s="173" t="str" cm="1">
        <f t="array" ref="BA176">SUBSTITUTE(SUBSTITUTE(_xlfn.SWITCH(AP176, "ITM_T_HOME", "ITM_UP1", "ITM_T_END", "ITM_DOWN1", "DOCU_CHR_sub", "ITM_DOWN_ARROW", "DOCU_CHR_super", "ITM_UP_ARROW", "MNU_TAMALPHA", "ITM_alpha", "DOCU_CHR_caseFLIP", "ITM_NULL", "DOCU_CHR_numSET", "ITM_NULL", "DOCU_ITM_RADIX", "ITM_PERIOD", AP176), ".lo", ),"MNU_", "-MNU_")</f>
        <v>ITM_EXIT1</v>
      </c>
      <c r="BB176" s="157" t="str" cm="1">
        <f t="array" ref="BB176">SUBSTITUTE(SUBSTITUTE(_xlfn.SWITCH(AQ176, "ITM_T_HOME", "ITM_UP1", "ITM_T_END", "ITM_DOWN1", "DOCU_CHR_sub", "ITM_DOWN_ARROW", "DOCU_CHR_super", "ITM_UP_ARROW", "MNU_TAMALPHA", "ITM_alpha", "DOCU_CHR_caseFLIP", "ITM_NULL", "DOCU_CHR_numSET", "ITM_NULL", "DOCU_ITM_RADIX", "ITM_PERIOD", AQ176), ".lo", ),"MNU_", "-MNU_")</f>
        <v>ITM_EXIT1</v>
      </c>
      <c r="BC176" s="157" t="str" cm="1">
        <f t="array" ref="BC176">SUBSTITUTE(SUBSTITUTE(_xlfn.SWITCH(AR176, "ITM_T_HOME", "ITM_UP1", "ITM_T_END", "ITM_DOWN1", "DOCU_CHR_sub", "ITM_DOWN_ARROW", "DOCU_CHR_super", "ITM_UP_ARROW", "MNU_TAMALPHA", "ITM_alpha", "DOCU_CHR_caseFLIP", "ITM_NULL", "DOCU_CHR_numSET", "ITM_NULL", "DOCU_ITM_RADIX", "ITM_PERIOD", AR176), ".lo", ),"MNU_", "-MNU_")</f>
        <v>ITM_OFF</v>
      </c>
      <c r="BD176" s="157" t="str" cm="1">
        <f t="array" ref="BD176">SUBSTITUTE(SUBSTITUTE(_xlfn.SWITCH(AS176, "ITM_T_HOME", "ITM_UP1", "ITM_T_END", "ITM_DOWN1", "DOCU_CHR_sub", "ITM_DOWN_ARROW", "DOCU_CHR_super", "ITM_UP_ARROW", "MNU_TAMALPHA", "ITM_alpha", "DOCU_CHR_caseFLIP", "ITM_NULL", "DOCU_CHR_numSET", "ITM_NULL", "DOCU_ITM_RADIX", "ITM_PERIOD", AS176), ".lo", ),"MNU_", "-MNU_")</f>
        <v>ITM_SNAP</v>
      </c>
      <c r="BE176" s="157" t="str" cm="1">
        <f t="array" ref="BE176">SUBSTITUTE(SUBSTITUTE(_xlfn.SWITCH(AT176, "ITM_T_HOME", "ITM_UP1", "ITM_T_END", "ITM_DOWN1", "DOCU_CHR_sub", "ITM_DOWN_ARROW", "DOCU_CHR_super", "ITM_UP_ARROW", "MNU_TAMALPHA", "ITM_alpha", "DOCU_CHR_caseFLIP", "ITM_NULL", "DOCU_CHR_numSET", "ITM_NULL", "DOCU_ITM_RADIX", "ITM_PERIOD", AT176), ".lo", ),"MNU_", "-MNU_")</f>
        <v>ITM_EXIT1</v>
      </c>
      <c r="BG176" s="75"/>
      <c r="BI176" s="13" t="str">
        <f t="shared" si="60"/>
        <v xml:space="preserve">  {81,                  ITM_EXIT1,            ITM_OFF,              ITM_SNAP,             ITM_EXIT1,            ITM_EXIT1,            ITM_OFF,              ITM_SNAP,             ITM_EXIT1           },</v>
      </c>
    </row>
    <row r="177" spans="24:65" ht="21" x14ac:dyDescent="0.2">
      <c r="X177" s="129" t="str">
        <f t="shared" si="51"/>
        <v>E47</v>
      </c>
      <c r="Y177" s="109">
        <v>8</v>
      </c>
      <c r="Z177" s="109">
        <v>2</v>
      </c>
      <c r="AA177" s="112" t="str">
        <f t="shared" si="63"/>
        <v>E47.82</v>
      </c>
      <c r="AB177" s="117">
        <v>0</v>
      </c>
      <c r="AC177" s="118" t="s">
        <v>248</v>
      </c>
      <c r="AD177" s="119" t="s">
        <v>249</v>
      </c>
      <c r="AE177" s="3"/>
      <c r="AF177" s="49" t="s">
        <v>233</v>
      </c>
      <c r="AG177" s="77" t="b">
        <f t="shared" si="61"/>
        <v>1</v>
      </c>
      <c r="AH177" s="83" t="str">
        <f t="shared" si="52"/>
        <v>z</v>
      </c>
      <c r="AI177" s="84">
        <f t="shared" si="53"/>
        <v>0</v>
      </c>
      <c r="AJ177" s="85">
        <f t="shared" si="54"/>
        <v>0</v>
      </c>
      <c r="AK177" s="6"/>
      <c r="AL177" s="8" t="str">
        <f t="shared" si="55"/>
        <v>{82</v>
      </c>
      <c r="AM177" s="27" t="str">
        <f t="shared" si="56"/>
        <v>ITM_0</v>
      </c>
      <c r="AN177" s="27" t="str">
        <f t="shared" si="57"/>
        <v>ITM_VIEW</v>
      </c>
      <c r="AO177" s="27" t="str">
        <f t="shared" si="58"/>
        <v>ITM_TIMER</v>
      </c>
      <c r="AP177" s="46" t="str">
        <f>IF(NOT(ISNA(MATCH(AM177,Lookups!E:E,))),VLOOKUP(AM177,Lookups!E:F,2,0),
IF(NOT(ISNA(MATCH(AN177,Lookups!E:E,))),VLOOKUP(AN177,Lookups!E:F,2,0),
IF(NOT(ISNA(MATCH(AO177,Lookups!E:E,))),VLOOKUP(AO177,Lookups!E:F,2,0),"ITM_NULL")))</f>
        <v>ITM_0</v>
      </c>
      <c r="AQ177" s="28" t="str">
        <f t="shared" si="64"/>
        <v>ITM_Z</v>
      </c>
      <c r="AR177" s="195" t="s">
        <v>234</v>
      </c>
      <c r="AS177" s="186" t="s">
        <v>252</v>
      </c>
      <c r="AT177" s="197" t="s">
        <v>252</v>
      </c>
      <c r="AW177" s="14" t="str">
        <f t="shared" si="62"/>
        <v>{82</v>
      </c>
      <c r="AX177" s="157" t="str" cm="1">
        <f t="array" ref="AX177">SUBSTITUTE(SUBSTITUTE(_xlfn.SWITCH(AM177, "ITM_T_HOME", "ITM_UP1", "ITM_T_END", "ITM_DOWN1", "DOCU_CHR_sub", "ITM_DOWN_ARROW", "DOCU_CHR_super", "ITM_UP_ARROW", "MNU_TAMALPHA", "ITM_alpha", "DOCU_CHR_caseFLIP", "ITM_NULL", "DOCU_CHR_numSET", "ITM_NULL", "DOCU_ITM_RADIX", "ITM_PERIOD", AM177), ".lo", ),"MNU_", "-MNU_")</f>
        <v>ITM_0</v>
      </c>
      <c r="AY177" s="157" t="str" cm="1">
        <f t="array" ref="AY177">SUBSTITUTE(SUBSTITUTE(_xlfn.SWITCH(AN177, "ITM_T_HOME", "ITM_UP1", "ITM_T_END", "ITM_DOWN1", "DOCU_CHR_sub", "ITM_DOWN_ARROW", "DOCU_CHR_super", "ITM_UP_ARROW", "MNU_TAMALPHA", "ITM_alpha", "DOCU_CHR_caseFLIP", "ITM_NULL", "DOCU_CHR_numSET", "ITM_NULL", "DOCU_ITM_RADIX", "ITM_PERIOD", AN177), ".lo", ),"MNU_", "-MNU_")</f>
        <v>ITM_VIEW</v>
      </c>
      <c r="AZ177" s="157" t="str" cm="1">
        <f t="array" ref="AZ177">SUBSTITUTE(SUBSTITUTE(_xlfn.SWITCH(AO177, "ITM_T_HOME", "ITM_UP1", "ITM_T_END", "ITM_DOWN1", "DOCU_CHR_sub", "ITM_DOWN_ARROW", "DOCU_CHR_super", "ITM_UP_ARROW", "MNU_TAMALPHA", "ITM_alpha", "DOCU_CHR_caseFLIP", "ITM_NULL", "DOCU_CHR_numSET", "ITM_NULL", "DOCU_ITM_RADIX", "ITM_PERIOD", AO177), ".lo", ),"MNU_", "-MNU_")</f>
        <v>ITM_TIMER</v>
      </c>
      <c r="BA177" s="173" t="str" cm="1">
        <f t="array" ref="BA177">SUBSTITUTE(SUBSTITUTE(_xlfn.SWITCH(AP177, "ITM_T_HOME", "ITM_UP1", "ITM_T_END", "ITM_DOWN1", "DOCU_CHR_sub", "ITM_DOWN_ARROW", "DOCU_CHR_super", "ITM_UP_ARROW", "MNU_TAMALPHA", "ITM_alpha", "DOCU_CHR_caseFLIP", "ITM_NULL", "DOCU_CHR_numSET", "ITM_NULL", "DOCU_ITM_RADIX", "ITM_PERIOD", AP177), ".lo", ),"MNU_", "-MNU_")</f>
        <v>ITM_0</v>
      </c>
      <c r="BB177" s="157" t="str" cm="1">
        <f t="array" ref="BB177">SUBSTITUTE(SUBSTITUTE(_xlfn.SWITCH(AQ177, "ITM_T_HOME", "ITM_UP1", "ITM_T_END", "ITM_DOWN1", "DOCU_CHR_sub", "ITM_DOWN_ARROW", "DOCU_CHR_super", "ITM_UP_ARROW", "MNU_TAMALPHA", "ITM_alpha", "DOCU_CHR_caseFLIP", "ITM_NULL", "DOCU_CHR_numSET", "ITM_NULL", "DOCU_ITM_RADIX", "ITM_PERIOD", AQ177), ".lo", ),"MNU_", "-MNU_")</f>
        <v>ITM_Z</v>
      </c>
      <c r="BC177" s="157" t="str" cm="1">
        <f t="array" ref="BC177">SUBSTITUTE(SUBSTITUTE(_xlfn.SWITCH(AR177, "ITM_T_HOME", "ITM_UP1", "ITM_T_END", "ITM_DOWN1", "DOCU_CHR_sub", "ITM_DOWN_ARROW", "DOCU_CHR_super", "ITM_UP_ARROW", "MNU_TAMALPHA", "ITM_alpha", "DOCU_CHR_caseFLIP", "ITM_NULL", "DOCU_CHR_numSET", "ITM_NULL", "DOCU_ITM_RADIX", "ITM_PERIOD", AR177), ".lo", ),"MNU_", "-MNU_")</f>
        <v>ITM_z</v>
      </c>
      <c r="BD177" s="157" t="str" cm="1">
        <f t="array" ref="BD177">SUBSTITUTE(SUBSTITUTE(_xlfn.SWITCH(AS177, "ITM_T_HOME", "ITM_UP1", "ITM_T_END", "ITM_DOWN1", "DOCU_CHR_sub", "ITM_DOWN_ARROW", "DOCU_CHR_super", "ITM_UP_ARROW", "MNU_TAMALPHA", "ITM_alpha", "DOCU_CHR_caseFLIP", "ITM_NULL", "DOCU_CHR_numSET", "ITM_NULL", "DOCU_ITM_RADIX", "ITM_PERIOD", AS177), ".lo", ),"MNU_", "-MNU_")</f>
        <v>ITM_0</v>
      </c>
      <c r="BE177" s="157" t="str" cm="1">
        <f t="array" ref="BE177">SUBSTITUTE(SUBSTITUTE(_xlfn.SWITCH(AT177, "ITM_T_HOME", "ITM_UP1", "ITM_T_END", "ITM_DOWN1", "DOCU_CHR_sub", "ITM_DOWN_ARROW", "DOCU_CHR_super", "ITM_UP_ARROW", "MNU_TAMALPHA", "ITM_alpha", "DOCU_CHR_caseFLIP", "ITM_NULL", "DOCU_CHR_numSET", "ITM_NULL", "DOCU_ITM_RADIX", "ITM_PERIOD", AT177), ".lo", ),"MNU_", "-MNU_")</f>
        <v>ITM_0</v>
      </c>
      <c r="BG177" s="75"/>
      <c r="BI177" s="13" t="str">
        <f t="shared" si="60"/>
        <v xml:space="preserve">  {82,                  ITM_0,                ITM_VIEW,             ITM_TIMER,            ITM_0,                ITM_Z,                ITM_z,                ITM_0,                ITM_0               },</v>
      </c>
    </row>
    <row r="178" spans="24:65" ht="21" x14ac:dyDescent="0.2">
      <c r="X178" s="129" t="str">
        <f t="shared" si="51"/>
        <v>E47</v>
      </c>
      <c r="Y178" s="109">
        <v>8</v>
      </c>
      <c r="Z178" s="109">
        <v>3</v>
      </c>
      <c r="AA178" s="112" t="str">
        <f t="shared" si="63"/>
        <v>E47.83</v>
      </c>
      <c r="AB178" s="117" t="s">
        <v>253</v>
      </c>
      <c r="AC178" s="118" t="s">
        <v>254</v>
      </c>
      <c r="AD178" s="119" t="s">
        <v>255</v>
      </c>
      <c r="AE178" s="3"/>
      <c r="AF178" s="49" t="s">
        <v>256</v>
      </c>
      <c r="AG178" s="77" t="b">
        <f t="shared" si="61"/>
        <v>0</v>
      </c>
      <c r="AH178" s="83" t="str">
        <f t="shared" si="52"/>
        <v>.</v>
      </c>
      <c r="AI178" s="84" t="str">
        <f t="shared" si="53"/>
        <v>.</v>
      </c>
      <c r="AJ178" s="85" t="str">
        <f t="shared" si="54"/>
        <v>.</v>
      </c>
      <c r="AK178" s="6"/>
      <c r="AL178" s="8" t="str">
        <f t="shared" si="55"/>
        <v>{83</v>
      </c>
      <c r="AM178" s="27" t="str">
        <f t="shared" si="56"/>
        <v>DOCU_ITM_RADIX</v>
      </c>
      <c r="AN178" s="27" t="str">
        <f t="shared" si="57"/>
        <v>ITM_SHOW</v>
      </c>
      <c r="AO178" s="27" t="str">
        <f t="shared" si="58"/>
        <v>MNU_INFO</v>
      </c>
      <c r="AP178" s="46" t="str">
        <f>IF(NOT(ISNA(MATCH(AM178,Lookups!E:E,))),VLOOKUP(AM178,Lookups!E:F,2,0),
IF(NOT(ISNA(MATCH(AN178,Lookups!E:E,))),VLOOKUP(AN178,Lookups!E:F,2,0),
IF(NOT(ISNA(MATCH(AO178,Lookups!E:E,))),VLOOKUP(AO178,Lookups!E:F,2,0),"ITM_NULL")))</f>
        <v>ITM_PERIOD</v>
      </c>
      <c r="AQ178" s="28" t="str">
        <f t="shared" si="64"/>
        <v>ITM_COMMA</v>
      </c>
      <c r="AR178" s="198" t="s">
        <v>257</v>
      </c>
      <c r="AS178" s="186" t="s">
        <v>257</v>
      </c>
      <c r="AT178" s="197" t="s">
        <v>257</v>
      </c>
      <c r="AW178" s="14" t="str">
        <f t="shared" si="62"/>
        <v>{83</v>
      </c>
      <c r="AX178" s="157" t="str" cm="1">
        <f t="array" ref="AX178">SUBSTITUTE(SUBSTITUTE(_xlfn.SWITCH(AM178, "ITM_T_HOME", "ITM_UP1", "ITM_T_END", "ITM_DOWN1", "DOCU_CHR_sub", "ITM_DOWN_ARROW", "DOCU_CHR_super", "ITM_UP_ARROW", "MNU_TAMALPHA", "ITM_alpha", "DOCU_CHR_caseFLIP", "ITM_NULL", "DOCU_CHR_numSET", "ITM_NULL", "DOCU_ITM_RADIX", "ITM_PERIOD", AM178), ".lo", ),"MNU_", "-MNU_")</f>
        <v>ITM_PERIOD</v>
      </c>
      <c r="AY178" s="157" t="str" cm="1">
        <f t="array" ref="AY178">SUBSTITUTE(SUBSTITUTE(_xlfn.SWITCH(AN178, "ITM_T_HOME", "ITM_UP1", "ITM_T_END", "ITM_DOWN1", "DOCU_CHR_sub", "ITM_DOWN_ARROW", "DOCU_CHR_super", "ITM_UP_ARROW", "MNU_TAMALPHA", "ITM_alpha", "DOCU_CHR_caseFLIP", "ITM_NULL", "DOCU_CHR_numSET", "ITM_NULL", "DOCU_ITM_RADIX", "ITM_PERIOD", AN178), ".lo", ),"MNU_", "-MNU_")</f>
        <v>ITM_SHOW</v>
      </c>
      <c r="AZ178" s="157" t="str" cm="1">
        <f t="array" ref="AZ178">SUBSTITUTE(SUBSTITUTE(_xlfn.SWITCH(AO178, "ITM_T_HOME", "ITM_UP1", "ITM_T_END", "ITM_DOWN1", "DOCU_CHR_sub", "ITM_DOWN_ARROW", "DOCU_CHR_super", "ITM_UP_ARROW", "MNU_TAMALPHA", "ITM_alpha", "DOCU_CHR_caseFLIP", "ITM_NULL", "DOCU_CHR_numSET", "ITM_NULL", "DOCU_ITM_RADIX", "ITM_PERIOD", AO178), ".lo", ),"MNU_", "-MNU_")</f>
        <v>-MNU_INFO</v>
      </c>
      <c r="BA178" s="173" t="str" cm="1">
        <f t="array" ref="BA178">SUBSTITUTE(SUBSTITUTE(_xlfn.SWITCH(AP178, "ITM_T_HOME", "ITM_UP1", "ITM_T_END", "ITM_DOWN1", "DOCU_CHR_sub", "ITM_DOWN_ARROW", "DOCU_CHR_super", "ITM_UP_ARROW", "MNU_TAMALPHA", "ITM_alpha", "DOCU_CHR_caseFLIP", "ITM_NULL", "DOCU_CHR_numSET", "ITM_NULL", "DOCU_ITM_RADIX", "ITM_PERIOD", AP178), ".lo", ),"MNU_", "-MNU_")</f>
        <v>ITM_PERIOD</v>
      </c>
      <c r="BB178" s="157" t="str" cm="1">
        <f t="array" ref="BB178">SUBSTITUTE(SUBSTITUTE(_xlfn.SWITCH(AQ178, "ITM_T_HOME", "ITM_UP1", "ITM_T_END", "ITM_DOWN1", "DOCU_CHR_sub", "ITM_DOWN_ARROW", "DOCU_CHR_super", "ITM_UP_ARROW", "MNU_TAMALPHA", "ITM_alpha", "DOCU_CHR_caseFLIP", "ITM_NULL", "DOCU_CHR_numSET", "ITM_NULL", "DOCU_ITM_RADIX", "ITM_PERIOD", AQ178), ".lo", ),"MNU_", "-MNU_")</f>
        <v>ITM_COMMA</v>
      </c>
      <c r="BC178" s="157" t="str" cm="1">
        <f t="array" ref="BC178">SUBSTITUTE(SUBSTITUTE(_xlfn.SWITCH(AR178, "ITM_T_HOME", "ITM_UP1", "ITM_T_END", "ITM_DOWN1", "DOCU_CHR_sub", "ITM_DOWN_ARROW", "DOCU_CHR_super", "ITM_UP_ARROW", "MNU_TAMALPHA", "ITM_alpha", "DOCU_CHR_caseFLIP", "ITM_NULL", "DOCU_CHR_numSET", "ITM_NULL", "DOCU_ITM_RADIX", "ITM_PERIOD", AR178), ".lo", ),"MNU_", "-MNU_")</f>
        <v>ITM_PERIOD</v>
      </c>
      <c r="BD178" s="157" t="str" cm="1">
        <f t="array" ref="BD178">SUBSTITUTE(SUBSTITUTE(_xlfn.SWITCH(AS178, "ITM_T_HOME", "ITM_UP1", "ITM_T_END", "ITM_DOWN1", "DOCU_CHR_sub", "ITM_DOWN_ARROW", "DOCU_CHR_super", "ITM_UP_ARROW", "MNU_TAMALPHA", "ITM_alpha", "DOCU_CHR_caseFLIP", "ITM_NULL", "DOCU_CHR_numSET", "ITM_NULL", "DOCU_ITM_RADIX", "ITM_PERIOD", AS178), ".lo", ),"MNU_", "-MNU_")</f>
        <v>ITM_PERIOD</v>
      </c>
      <c r="BE178" s="157" t="str" cm="1">
        <f t="array" ref="BE178">SUBSTITUTE(SUBSTITUTE(_xlfn.SWITCH(AT178, "ITM_T_HOME", "ITM_UP1", "ITM_T_END", "ITM_DOWN1", "DOCU_CHR_sub", "ITM_DOWN_ARROW", "DOCU_CHR_super", "ITM_UP_ARROW", "MNU_TAMALPHA", "ITM_alpha", "DOCU_CHR_caseFLIP", "ITM_NULL", "DOCU_CHR_numSET", "ITM_NULL", "DOCU_ITM_RADIX", "ITM_PERIOD", AT178), ".lo", ),"MNU_", "-MNU_")</f>
        <v>ITM_PERIOD</v>
      </c>
      <c r="BG178" s="75"/>
      <c r="BI178" s="13" t="str">
        <f t="shared" si="60"/>
        <v xml:space="preserve">  {83,                  ITM_PERIOD,           ITM_SHOW,             -MNU_INFO,            ITM_PERIOD,           ITM_COMMA,            ITM_PERIOD,           ITM_PERIOD,           ITM_PERIOD          },</v>
      </c>
    </row>
    <row r="179" spans="24:65" ht="21" x14ac:dyDescent="0.2">
      <c r="X179" s="129" t="str">
        <f t="shared" si="51"/>
        <v>E47</v>
      </c>
      <c r="Y179" s="109">
        <v>8</v>
      </c>
      <c r="Z179" s="109">
        <v>4</v>
      </c>
      <c r="AA179" s="112" t="str">
        <f t="shared" si="63"/>
        <v>E47.84</v>
      </c>
      <c r="AB179" s="117" t="s">
        <v>258</v>
      </c>
      <c r="AC179" s="118" t="s">
        <v>259</v>
      </c>
      <c r="AD179" s="119" t="s">
        <v>260</v>
      </c>
      <c r="AE179" s="3"/>
      <c r="AF179" s="53" t="s">
        <v>261</v>
      </c>
      <c r="AG179" s="77" t="b">
        <f t="shared" si="61"/>
        <v>0</v>
      </c>
      <c r="AH179" s="83" t="str">
        <f t="shared" si="52"/>
        <v>/</v>
      </c>
      <c r="AI179" s="84" t="str">
        <f t="shared" si="53"/>
        <v>/</v>
      </c>
      <c r="AJ179" s="85" t="str">
        <f t="shared" si="54"/>
        <v xml:space="preserve"> </v>
      </c>
      <c r="AK179" s="6"/>
      <c r="AL179" s="8" t="str">
        <f t="shared" si="55"/>
        <v>{84</v>
      </c>
      <c r="AM179" s="27" t="str">
        <f t="shared" si="56"/>
        <v>ITM_RS</v>
      </c>
      <c r="AN179" s="27" t="str">
        <f t="shared" si="57"/>
        <v>ITM_PR</v>
      </c>
      <c r="AO179" s="27" t="str">
        <f t="shared" si="58"/>
        <v>MNU_TEST</v>
      </c>
      <c r="AP179" s="46" t="str">
        <f>IF(NOT(ISNA(MATCH(AM179,Lookups!E:E,))),VLOOKUP(AM179,Lookups!E:F,2,0),
IF(NOT(ISNA(MATCH(AN179,Lookups!E:E,))),VLOOKUP(AN179,Lookups!E:F,2,0),
IF(NOT(ISNA(MATCH(AO179,Lookups!E:E,))),VLOOKUP(AO179,Lookups!E:F,2,0),"ITM_NULL")))</f>
        <v>ITM_NULL</v>
      </c>
      <c r="AQ179" s="28" t="str">
        <f t="shared" si="64"/>
        <v>ITM_QUESTION_MARK</v>
      </c>
      <c r="AR179" s="198" t="s">
        <v>262</v>
      </c>
      <c r="AS179" s="186" t="s">
        <v>262</v>
      </c>
      <c r="AT179" s="197" t="s">
        <v>81</v>
      </c>
      <c r="AW179" s="14" t="str">
        <f t="shared" si="62"/>
        <v>{84</v>
      </c>
      <c r="AX179" s="157" t="str" cm="1">
        <f t="array" ref="AX179">SUBSTITUTE(SUBSTITUTE(_xlfn.SWITCH(AM179, "ITM_T_HOME", "ITM_UP1", "ITM_T_END", "ITM_DOWN1", "DOCU_CHR_sub", "ITM_DOWN_ARROW", "DOCU_CHR_super", "ITM_UP_ARROW", "MNU_TAMALPHA", "ITM_alpha", "DOCU_CHR_caseFLIP", "ITM_NULL", "DOCU_CHR_numSET", "ITM_NULL", "DOCU_ITM_RADIX", "ITM_PERIOD", AM179), ".lo", ),"MNU_", "-MNU_")</f>
        <v>ITM_RS</v>
      </c>
      <c r="AY179" s="157" t="str" cm="1">
        <f t="array" ref="AY179">SUBSTITUTE(SUBSTITUTE(_xlfn.SWITCH(AN179, "ITM_T_HOME", "ITM_UP1", "ITM_T_END", "ITM_DOWN1", "DOCU_CHR_sub", "ITM_DOWN_ARROW", "DOCU_CHR_super", "ITM_UP_ARROW", "MNU_TAMALPHA", "ITM_alpha", "DOCU_CHR_caseFLIP", "ITM_NULL", "DOCU_CHR_numSET", "ITM_NULL", "DOCU_ITM_RADIX", "ITM_PERIOD", AN179), ".lo", ),"MNU_", "-MNU_")</f>
        <v>ITM_PR</v>
      </c>
      <c r="AZ179" s="157" t="str" cm="1">
        <f t="array" ref="AZ179">SUBSTITUTE(SUBSTITUTE(_xlfn.SWITCH(AO179, "ITM_T_HOME", "ITM_UP1", "ITM_T_END", "ITM_DOWN1", "DOCU_CHR_sub", "ITM_DOWN_ARROW", "DOCU_CHR_super", "ITM_UP_ARROW", "MNU_TAMALPHA", "ITM_alpha", "DOCU_CHR_caseFLIP", "ITM_NULL", "DOCU_CHR_numSET", "ITM_NULL", "DOCU_ITM_RADIX", "ITM_PERIOD", AO179), ".lo", ),"MNU_", "-MNU_")</f>
        <v>-MNU_TEST</v>
      </c>
      <c r="BA179" s="173" t="str" cm="1">
        <f t="array" ref="BA179">SUBSTITUTE(SUBSTITUTE(_xlfn.SWITCH(AP179, "ITM_T_HOME", "ITM_UP1", "ITM_T_END", "ITM_DOWN1", "DOCU_CHR_sub", "ITM_DOWN_ARROW", "DOCU_CHR_super", "ITM_UP_ARROW", "MNU_TAMALPHA", "ITM_alpha", "DOCU_CHR_caseFLIP", "ITM_NULL", "DOCU_CHR_numSET", "ITM_NULL", "DOCU_ITM_RADIX", "ITM_PERIOD", AP179), ".lo", ),"MNU_", "-MNU_")</f>
        <v>ITM_NULL</v>
      </c>
      <c r="BB179" s="157" t="str" cm="1">
        <f t="array" ref="BB179">SUBSTITUTE(SUBSTITUTE(_xlfn.SWITCH(AQ179, "ITM_T_HOME", "ITM_UP1", "ITM_T_END", "ITM_DOWN1", "DOCU_CHR_sub", "ITM_DOWN_ARROW", "DOCU_CHR_super", "ITM_UP_ARROW", "MNU_TAMALPHA", "ITM_alpha", "DOCU_CHR_caseFLIP", "ITM_NULL", "DOCU_CHR_numSET", "ITM_NULL", "DOCU_ITM_RADIX", "ITM_PERIOD", AQ179), ".lo", ),"MNU_", "-MNU_")</f>
        <v>ITM_QUESTION_MARK</v>
      </c>
      <c r="BC179" s="157" t="str" cm="1">
        <f t="array" ref="BC179">SUBSTITUTE(SUBSTITUTE(_xlfn.SWITCH(AR179, "ITM_T_HOME", "ITM_UP1", "ITM_T_END", "ITM_DOWN1", "DOCU_CHR_sub", "ITM_DOWN_ARROW", "DOCU_CHR_super", "ITM_UP_ARROW", "MNU_TAMALPHA", "ITM_alpha", "DOCU_CHR_caseFLIP", "ITM_NULL", "DOCU_CHR_numSET", "ITM_NULL", "DOCU_ITM_RADIX", "ITM_PERIOD", AR179), ".lo", ),"MNU_", "-MNU_")</f>
        <v>ITM_SLASH</v>
      </c>
      <c r="BD179" s="157" t="str" cm="1">
        <f t="array" ref="BD179">SUBSTITUTE(SUBSTITUTE(_xlfn.SWITCH(AS179, "ITM_T_HOME", "ITM_UP1", "ITM_T_END", "ITM_DOWN1", "DOCU_CHR_sub", "ITM_DOWN_ARROW", "DOCU_CHR_super", "ITM_UP_ARROW", "MNU_TAMALPHA", "ITM_alpha", "DOCU_CHR_caseFLIP", "ITM_NULL", "DOCU_CHR_numSET", "ITM_NULL", "DOCU_ITM_RADIX", "ITM_PERIOD", AS179), ".lo", ),"MNU_", "-MNU_")</f>
        <v>ITM_SLASH</v>
      </c>
      <c r="BE179" s="157" t="str" cm="1">
        <f t="array" ref="BE179">SUBSTITUTE(SUBSTITUTE(_xlfn.SWITCH(AT179, "ITM_T_HOME", "ITM_UP1", "ITM_T_END", "ITM_DOWN1", "DOCU_CHR_sub", "ITM_DOWN_ARROW", "DOCU_CHR_super", "ITM_UP_ARROW", "MNU_TAMALPHA", "ITM_alpha", "DOCU_CHR_caseFLIP", "ITM_NULL", "DOCU_CHR_numSET", "ITM_NULL", "DOCU_ITM_RADIX", "ITM_PERIOD", AT179), ".lo", ),"MNU_", "-MNU_")</f>
        <v>ITM_NULL</v>
      </c>
      <c r="BG179" s="75"/>
      <c r="BI179" s="13" t="str">
        <f t="shared" si="60"/>
        <v xml:space="preserve">  {84,                  ITM_RS,               ITM_PR,               -MNU_TEST,            ITM_NULL,             ITM_QUESTION_MARK,    ITM_SLASH,            ITM_SLASH,            ITM_NULL            },</v>
      </c>
    </row>
    <row r="180" spans="24:65" ht="22" thickBot="1" x14ac:dyDescent="0.25">
      <c r="X180" s="129" t="str">
        <f t="shared" si="51"/>
        <v>E47</v>
      </c>
      <c r="Y180" s="109">
        <v>8</v>
      </c>
      <c r="Z180" s="109">
        <v>5</v>
      </c>
      <c r="AA180" s="112" t="str">
        <f t="shared" si="63"/>
        <v>E47.85</v>
      </c>
      <c r="AB180" s="122" t="s">
        <v>263</v>
      </c>
      <c r="AC180" s="123" t="s">
        <v>264</v>
      </c>
      <c r="AD180" s="124" t="s">
        <v>265</v>
      </c>
      <c r="AE180" s="125"/>
      <c r="AF180" s="50" t="s">
        <v>266</v>
      </c>
      <c r="AG180" s="77" t="b">
        <f t="shared" si="61"/>
        <v>0</v>
      </c>
      <c r="AH180" s="86" t="str">
        <f t="shared" si="52"/>
        <v>+</v>
      </c>
      <c r="AI180" s="87" t="str">
        <f t="shared" si="53"/>
        <v>+</v>
      </c>
      <c r="AJ180" s="88" t="str">
        <f t="shared" si="54"/>
        <v>+</v>
      </c>
      <c r="AK180" s="6"/>
      <c r="AL180" s="8" t="str">
        <f t="shared" si="55"/>
        <v>{85</v>
      </c>
      <c r="AM180" s="27" t="str">
        <f t="shared" si="56"/>
        <v>ITM_ADD</v>
      </c>
      <c r="AN180" s="27" t="str">
        <f t="shared" si="57"/>
        <v>MNU_CATALOG</v>
      </c>
      <c r="AO180" s="27" t="str">
        <f t="shared" si="58"/>
        <v>MNU_CONST</v>
      </c>
      <c r="AP180" s="46" t="str">
        <f>IF(NOT(ISNA(MATCH(AM180,Lookups!E:E,))),VLOOKUP(AM180,Lookups!E:F,2,0),
IF(NOT(ISNA(MATCH(AN180,Lookups!E:E,))),VLOOKUP(AN180,Lookups!E:F,2,0),
IF(NOT(ISNA(MATCH(AO180,Lookups!E:E,))),VLOOKUP(AO180,Lookups!E:F,2,0),"ITM_NULL")))</f>
        <v>ITM_PLUS</v>
      </c>
      <c r="AQ180" s="28" t="str">
        <f t="shared" si="64"/>
        <v>ITM_SPACE</v>
      </c>
      <c r="AR180" s="199" t="s">
        <v>267</v>
      </c>
      <c r="AS180" s="200" t="s">
        <v>267</v>
      </c>
      <c r="AT180" s="201" t="s">
        <v>268</v>
      </c>
      <c r="AW180" s="14" t="str">
        <f t="shared" si="62"/>
        <v>{85</v>
      </c>
      <c r="AX180" s="157" t="str" cm="1">
        <f t="array" ref="AX180">SUBSTITUTE(SUBSTITUTE(_xlfn.SWITCH(AM180, "ITM_T_HOME", "ITM_UP1", "ITM_T_END", "ITM_DOWN1", "DOCU_CHR_sub", "ITM_DOWN_ARROW", "DOCU_CHR_super", "ITM_UP_ARROW", "MNU_TAMALPHA", "ITM_alpha", "DOCU_CHR_caseFLIP", "ITM_NULL", "DOCU_CHR_numSET", "ITM_NULL", "DOCU_ITM_RADIX", "ITM_PERIOD", AM180), ".lo", ),"MNU_", "-MNU_")</f>
        <v>ITM_ADD</v>
      </c>
      <c r="AY180" s="157" t="str" cm="1">
        <f t="array" ref="AY180">SUBSTITUTE(SUBSTITUTE(_xlfn.SWITCH(AN180, "ITM_T_HOME", "ITM_UP1", "ITM_T_END", "ITM_DOWN1", "DOCU_CHR_sub", "ITM_DOWN_ARROW", "DOCU_CHR_super", "ITM_UP_ARROW", "MNU_TAMALPHA", "ITM_alpha", "DOCU_CHR_caseFLIP", "ITM_NULL", "DOCU_CHR_numSET", "ITM_NULL", "DOCU_ITM_RADIX", "ITM_PERIOD", AN180), ".lo", ),"MNU_", "-MNU_")</f>
        <v>-MNU_CATALOG</v>
      </c>
      <c r="AZ180" s="157" t="str" cm="1">
        <f t="array" ref="AZ180">SUBSTITUTE(SUBSTITUTE(_xlfn.SWITCH(AO180, "ITM_T_HOME", "ITM_UP1", "ITM_T_END", "ITM_DOWN1", "DOCU_CHR_sub", "ITM_DOWN_ARROW", "DOCU_CHR_super", "ITM_UP_ARROW", "MNU_TAMALPHA", "ITM_alpha", "DOCU_CHR_caseFLIP", "ITM_NULL", "DOCU_CHR_numSET", "ITM_NULL", "DOCU_ITM_RADIX", "ITM_PERIOD", AO180), ".lo", ),"MNU_", "-MNU_")</f>
        <v>-MNU_CONST</v>
      </c>
      <c r="BA180" s="173" t="str" cm="1">
        <f t="array" ref="BA180">SUBSTITUTE(SUBSTITUTE(_xlfn.SWITCH(AP180, "ITM_T_HOME", "ITM_UP1", "ITM_T_END", "ITM_DOWN1", "DOCU_CHR_sub", "ITM_DOWN_ARROW", "DOCU_CHR_super", "ITM_UP_ARROW", "MNU_TAMALPHA", "ITM_alpha", "DOCU_CHR_caseFLIP", "ITM_NULL", "DOCU_CHR_numSET", "ITM_NULL", "DOCU_ITM_RADIX", "ITM_PERIOD", AP180), ".lo", ),"MNU_", "-MNU_")</f>
        <v>ITM_PLUS</v>
      </c>
      <c r="BB180" s="157" t="str" cm="1">
        <f t="array" ref="BB180">SUBSTITUTE(SUBSTITUTE(_xlfn.SWITCH(AQ180, "ITM_T_HOME", "ITM_UP1", "ITM_T_END", "ITM_DOWN1", "DOCU_CHR_sub", "ITM_DOWN_ARROW", "DOCU_CHR_super", "ITM_UP_ARROW", "MNU_TAMALPHA", "ITM_alpha", "DOCU_CHR_caseFLIP", "ITM_NULL", "DOCU_CHR_numSET", "ITM_NULL", "DOCU_ITM_RADIX", "ITM_PERIOD", AQ180), ".lo", ),"MNU_", "-MNU_")</f>
        <v>ITM_SPACE</v>
      </c>
      <c r="BC180" s="157" t="str" cm="1">
        <f t="array" ref="BC180">SUBSTITUTE(SUBSTITUTE(_xlfn.SWITCH(AR180, "ITM_T_HOME", "ITM_UP1", "ITM_T_END", "ITM_DOWN1", "DOCU_CHR_sub", "ITM_DOWN_ARROW", "DOCU_CHR_super", "ITM_UP_ARROW", "MNU_TAMALPHA", "ITM_alpha", "DOCU_CHR_caseFLIP", "ITM_NULL", "DOCU_CHR_numSET", "ITM_NULL", "DOCU_ITM_RADIX", "ITM_PERIOD", AR180), ".lo", ),"MNU_", "-MNU_")</f>
        <v>ITM_PLUS</v>
      </c>
      <c r="BD180" s="157" t="str" cm="1">
        <f t="array" ref="BD180">SUBSTITUTE(SUBSTITUTE(_xlfn.SWITCH(AS180, "ITM_T_HOME", "ITM_UP1", "ITM_T_END", "ITM_DOWN1", "DOCU_CHR_sub", "ITM_DOWN_ARROW", "DOCU_CHR_super", "ITM_UP_ARROW", "MNU_TAMALPHA", "ITM_alpha", "DOCU_CHR_caseFLIP", "ITM_NULL", "DOCU_CHR_numSET", "ITM_NULL", "DOCU_ITM_RADIX", "ITM_PERIOD", AS180), ".lo", ),"MNU_", "-MNU_")</f>
        <v>ITM_PLUS</v>
      </c>
      <c r="BE180" s="157" t="str" cm="1">
        <f t="array" ref="BE180">SUBSTITUTE(SUBSTITUTE(_xlfn.SWITCH(AT180, "ITM_T_HOME", "ITM_UP1", "ITM_T_END", "ITM_DOWN1", "DOCU_CHR_sub", "ITM_DOWN_ARROW", "DOCU_CHR_super", "ITM_UP_ARROW", "MNU_TAMALPHA", "ITM_alpha", "DOCU_CHR_caseFLIP", "ITM_NULL", "DOCU_CHR_numSET", "ITM_NULL", "DOCU_ITM_RADIX", "ITM_PERIOD", AT180), ".lo", ),"MNU_", "-MNU_")</f>
        <v>ITM_ADD</v>
      </c>
      <c r="BG180" s="75"/>
      <c r="BI180" s="73" t="str">
        <f>"  "&amp;AW180&amp;", "&amp;REPT(" ",$BH$54-LEN(AW180))&amp;
AX180&amp;", "&amp;REPT(" ",$BH$54-LEN(AX180))&amp;
AY180&amp;", "&amp;REPT(" ",$BH$54-LEN(AY180))&amp;
AZ180&amp;", "&amp;REPT(" ",$BH$54-LEN(AZ180))&amp;
BA180&amp;", "&amp;REPT(" ",$BH$54-LEN(BA180))&amp;
BB180&amp;", "&amp;REPT(" ",$BH$54-LEN(BB180))&amp;
BC180&amp;", "&amp;REPT(" ",$BH$54-LEN(BC180))&amp;
BD180&amp;", "&amp;REPT(" ",$BH$54-LEN(BD180))&amp;
BE180&amp;REPT(" ",$BH$54-LEN(BE180))&amp;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181" spans="24:65" ht="21" x14ac:dyDescent="0.2">
      <c r="AK181" s="6"/>
      <c r="BG181" s="75"/>
      <c r="BI181" s="16" t="s">
        <v>269</v>
      </c>
      <c r="BL181" s="1" t="str">
        <f>SUBSTITUTE(AR181,".lo","")</f>
        <v/>
      </c>
      <c r="BM181" s="1" t="str">
        <f>SUBSTITUTE(AS181,".lo","")</f>
        <v/>
      </c>
    </row>
    <row r="182" spans="24:65" ht="21" x14ac:dyDescent="0.2">
      <c r="AB182" s="10"/>
      <c r="AC182" s="10"/>
      <c r="AD182" s="10"/>
      <c r="AE182" s="10"/>
      <c r="AF182" s="10"/>
      <c r="AG182" s="133"/>
      <c r="AH182" s="93"/>
      <c r="AI182" s="93"/>
      <c r="AJ182" s="93"/>
      <c r="AK182" s="6"/>
      <c r="BI182" s="13" t="s">
        <v>270</v>
      </c>
    </row>
    <row r="183" spans="24:65" ht="21" x14ac:dyDescent="0.2">
      <c r="X183" s="134" t="s">
        <v>448</v>
      </c>
      <c r="Y183" s="106">
        <v>1</v>
      </c>
      <c r="Z183" s="106">
        <v>1</v>
      </c>
      <c r="AA183" s="107" t="str">
        <f t="shared" ref="AA183:AA188" si="65">X183&amp;"."&amp;Y183&amp;Z183</f>
        <v>V47.11</v>
      </c>
      <c r="AB183" s="108" t="s">
        <v>31</v>
      </c>
      <c r="AC183" s="15"/>
      <c r="AD183" s="15"/>
      <c r="AE183" s="102"/>
      <c r="AF183" s="15"/>
      <c r="AH183" s="90"/>
      <c r="AI183" s="90"/>
      <c r="AJ183" s="90"/>
      <c r="AK183" s="6"/>
      <c r="BI183" s="13"/>
    </row>
    <row r="184" spans="24:65" ht="21" x14ac:dyDescent="0.2">
      <c r="X184" s="135" t="str">
        <f>X183</f>
        <v>V47</v>
      </c>
      <c r="Y184" s="109">
        <v>1</v>
      </c>
      <c r="Z184" s="109">
        <v>2</v>
      </c>
      <c r="AA184" s="107" t="str">
        <f t="shared" si="65"/>
        <v>V47.12</v>
      </c>
      <c r="AB184" s="108" t="s">
        <v>32</v>
      </c>
      <c r="AC184" s="15"/>
      <c r="AD184" s="15"/>
      <c r="AE184" s="102"/>
      <c r="AF184" s="15"/>
      <c r="AH184" s="90"/>
      <c r="AI184" s="90"/>
      <c r="AJ184" s="90"/>
      <c r="AK184" s="6"/>
      <c r="BI184" s="13"/>
    </row>
    <row r="185" spans="24:65" ht="21" x14ac:dyDescent="0.2">
      <c r="X185" s="135" t="str">
        <f t="shared" ref="X185:X225" si="66">X184</f>
        <v>V47</v>
      </c>
      <c r="Y185" s="109">
        <v>1</v>
      </c>
      <c r="Z185" s="109">
        <v>3</v>
      </c>
      <c r="AA185" s="107" t="str">
        <f t="shared" si="65"/>
        <v>V47.13</v>
      </c>
      <c r="AB185" s="108" t="s">
        <v>33</v>
      </c>
      <c r="AC185" s="15"/>
      <c r="AD185" s="15"/>
      <c r="AE185" s="102"/>
      <c r="AF185" s="15"/>
      <c r="AH185" s="90"/>
      <c r="AI185" s="90"/>
      <c r="AJ185" s="90"/>
      <c r="AK185" s="6"/>
      <c r="AM185" s="72" t="s">
        <v>34</v>
      </c>
      <c r="AX185" s="72" t="s">
        <v>35</v>
      </c>
      <c r="AY185" s="27" t="s">
        <v>36</v>
      </c>
      <c r="BG185" s="75"/>
      <c r="BI185" s="17" t="str">
        <f>"// "&amp;X185&amp;" Layout from Layout_template_automation template: Do not change manually"</f>
        <v>// V47 Layout from Layout_template_automation template: Do not change manually</v>
      </c>
    </row>
    <row r="186" spans="24:65" ht="22" thickBot="1" x14ac:dyDescent="0.25">
      <c r="X186" s="135" t="str">
        <f t="shared" si="66"/>
        <v>V47</v>
      </c>
      <c r="Y186" s="109">
        <v>1</v>
      </c>
      <c r="Z186" s="109">
        <v>4</v>
      </c>
      <c r="AA186" s="107" t="str">
        <f t="shared" si="65"/>
        <v>V47.14</v>
      </c>
      <c r="AB186" s="108" t="s">
        <v>37</v>
      </c>
      <c r="AC186" s="15"/>
      <c r="AD186" s="15"/>
      <c r="AE186" s="102"/>
      <c r="AF186" s="15"/>
      <c r="AH186" s="90"/>
      <c r="AI186" s="90"/>
      <c r="AJ186" s="90"/>
      <c r="AK186" s="6"/>
      <c r="BG186" s="75"/>
      <c r="BI186" s="16" t="s">
        <v>38</v>
      </c>
    </row>
    <row r="187" spans="24:65" ht="22" thickBot="1" x14ac:dyDescent="0.25">
      <c r="X187" s="135" t="str">
        <f t="shared" si="66"/>
        <v>V47</v>
      </c>
      <c r="Y187" s="109">
        <v>1</v>
      </c>
      <c r="Z187" s="109">
        <v>5</v>
      </c>
      <c r="AA187" s="107" t="str">
        <f t="shared" si="65"/>
        <v>V47.15</v>
      </c>
      <c r="AB187" s="108" t="s">
        <v>37</v>
      </c>
      <c r="AC187" s="15"/>
      <c r="AD187" s="15"/>
      <c r="AE187" s="102"/>
      <c r="AF187" s="15"/>
      <c r="AH187" s="90"/>
      <c r="AI187" s="90"/>
      <c r="AJ187" s="90"/>
      <c r="AK187" s="6"/>
      <c r="AL187" s="185" t="str">
        <f>X187</f>
        <v>V47</v>
      </c>
      <c r="AM187" s="224" t="s">
        <v>39</v>
      </c>
      <c r="AN187" s="224"/>
      <c r="AO187" s="224"/>
      <c r="AP187" s="71" t="s">
        <v>40</v>
      </c>
      <c r="AQ187" s="31" t="s">
        <v>41</v>
      </c>
      <c r="AR187" s="189" t="s">
        <v>42</v>
      </c>
      <c r="AS187" s="190" t="s">
        <v>42</v>
      </c>
      <c r="AT187" s="191" t="s">
        <v>42</v>
      </c>
      <c r="BG187" s="75"/>
      <c r="BI187" s="16" t="str">
        <f>"TO_QSPI const calcKey_t kbd_std_"&amp;X188&amp;"[37] = {"</f>
        <v>TO_QSPI const calcKey_t kbd_std_V47[37] = {</v>
      </c>
    </row>
    <row r="188" spans="24:65" ht="22" thickBot="1" x14ac:dyDescent="0.25">
      <c r="X188" s="135" t="str">
        <f t="shared" si="66"/>
        <v>V47</v>
      </c>
      <c r="Y188" s="109">
        <v>1</v>
      </c>
      <c r="Z188" s="109">
        <v>6</v>
      </c>
      <c r="AA188" s="107" t="str">
        <f t="shared" si="65"/>
        <v>V47.16</v>
      </c>
      <c r="AB188" s="110" t="s">
        <v>43</v>
      </c>
      <c r="AC188" s="30"/>
      <c r="AD188" s="30"/>
      <c r="AE188" s="102"/>
      <c r="AF188" s="30"/>
      <c r="AH188" s="90"/>
      <c r="AI188" s="90"/>
      <c r="AJ188" s="90"/>
      <c r="AK188" s="6"/>
      <c r="BG188" s="75"/>
      <c r="BI188" s="16" t="s">
        <v>44</v>
      </c>
    </row>
    <row r="189" spans="24:65" ht="21" x14ac:dyDescent="0.2">
      <c r="X189" s="135" t="str">
        <f t="shared" si="66"/>
        <v>V47</v>
      </c>
      <c r="Y189" s="106">
        <v>2</v>
      </c>
      <c r="Z189" s="106">
        <v>1</v>
      </c>
      <c r="AA189" s="112" t="str">
        <f t="shared" ref="AA189:AA225" si="67">X189&amp;"."&amp;Y189&amp;Z189</f>
        <v>V47.21</v>
      </c>
      <c r="AB189" s="113" t="s">
        <v>54</v>
      </c>
      <c r="AC189" s="114" t="s">
        <v>55</v>
      </c>
      <c r="AD189" s="115" t="s">
        <v>49</v>
      </c>
      <c r="AE189" s="116"/>
      <c r="AF189" s="48" t="s">
        <v>50</v>
      </c>
      <c r="AG189" s="77" t="b">
        <f>AF189=AH189</f>
        <v>1</v>
      </c>
      <c r="AH189" s="80" t="str">
        <f t="shared" ref="AH189:AH225" si="68">INDEX(labelitem,MATCH(AR189,items,0),1)</f>
        <v>a</v>
      </c>
      <c r="AI189" s="81" t="str">
        <f t="shared" ref="AI189:AI225" si="69">INDEX(labelitem,MATCH(AS189,items,0),1)</f>
        <v>^</v>
      </c>
      <c r="AJ189" s="82" t="str">
        <f t="shared" ref="AJ189:AJ225" si="70">INDEX(labelitem,MATCH(AT189,items,0),1)</f>
        <v>Reg A</v>
      </c>
      <c r="AK189" s="6"/>
      <c r="AL189" s="8" t="str">
        <f t="shared" ref="AL189:AL225" si="71">"{"&amp;Y189*10+Z189</f>
        <v>{21</v>
      </c>
      <c r="AM189" s="27" t="str">
        <f t="shared" ref="AM189:AM225" si="72">VLOOKUP(AB189,labelitem,2,0)</f>
        <v>ITM_1ONX</v>
      </c>
      <c r="AN189" s="27" t="str">
        <f t="shared" ref="AN189:AN225" si="73">VLOOKUP(AC189,labelitem,2,0)</f>
        <v>ITM_YX</v>
      </c>
      <c r="AO189" s="27" t="str">
        <f t="shared" ref="AO189:AO225" si="74">VLOOKUP(AD189,labelitem,2,0)</f>
        <v>ITM_TGLFRT</v>
      </c>
      <c r="AP189" s="46" t="str">
        <f>IF(NOT(ISNA(MATCH(AM189,Lookups!E:E,))),VLOOKUP(AM189,Lookups!E:F,2,0),
IF(NOT(ISNA(MATCH(AN189,Lookups!E:E,))),VLOOKUP(AN189,Lookups!E:F,2,0),
IF(NOT(ISNA(MATCH(AO189,Lookups!E:E,))),VLOOKUP(AO189,Lookups!E:F,2,0),"ITM_NULL")))</f>
        <v>ITM_NULL</v>
      </c>
      <c r="AQ189" s="28" t="str">
        <f t="shared" ref="AQ189:AQ215" si="75">VLOOKUP(AF189,labelitem,2,0)</f>
        <v>ITM_A</v>
      </c>
      <c r="AR189" s="192" t="s">
        <v>51</v>
      </c>
      <c r="AS189" s="193" t="s">
        <v>59</v>
      </c>
      <c r="AT189" s="194" t="s">
        <v>53</v>
      </c>
      <c r="AW189" s="14" t="str">
        <f>AL189</f>
        <v>{21</v>
      </c>
      <c r="AX189" s="157" t="str" cm="1">
        <f t="array" ref="AX189">SUBSTITUTE(SUBSTITUTE(_xlfn.SWITCH(AM189, "ITM_T_HOME", "ITM_UP1", "ITM_T_END", "ITM_DOWN1", "DOCU_CHR_sub", "ITM_DOWN_ARROW", "DOCU_CHR_super", "ITM_UP_ARROW", "MNU_TAMALPHA", "ITM_alpha", "DOCU_CHR_caseFLIP", "ITM_NULL", "DOCU_CHR_numSET", "ITM_NULL", "DOCU_ITM_RADIX", "ITM_PERIOD", AM189), ".lo", ),"MNU_", "-MNU_")</f>
        <v>ITM_1ONX</v>
      </c>
      <c r="AY189" s="157" t="str" cm="1">
        <f t="array" ref="AY189">SUBSTITUTE(SUBSTITUTE(_xlfn.SWITCH(AN189, "ITM_T_HOME", "ITM_UP1", "ITM_T_END", "ITM_DOWN1", "DOCU_CHR_sub", "ITM_DOWN_ARROW", "DOCU_CHR_super", "ITM_UP_ARROW", "MNU_TAMALPHA", "ITM_alpha", "DOCU_CHR_caseFLIP", "ITM_NULL", "DOCU_CHR_numSET", "ITM_NULL", "DOCU_ITM_RADIX", "ITM_PERIOD", AN189), ".lo", ),"MNU_", "-MNU_")</f>
        <v>ITM_YX</v>
      </c>
      <c r="AZ189" s="157" t="str" cm="1">
        <f t="array" ref="AZ189">SUBSTITUTE(SUBSTITUTE(_xlfn.SWITCH(AO189, "ITM_T_HOME", "ITM_UP1", "ITM_T_END", "ITM_DOWN1", "DOCU_CHR_sub", "ITM_DOWN_ARROW", "DOCU_CHR_super", "ITM_UP_ARROW", "MNU_TAMALPHA", "ITM_alpha", "DOCU_CHR_caseFLIP", "ITM_NULL", "DOCU_CHR_numSET", "ITM_NULL", "DOCU_ITM_RADIX", "ITM_PERIOD", AO189), ".lo", ),"MNU_", "-MNU_")</f>
        <v>ITM_TGLFRT</v>
      </c>
      <c r="BA189" s="173" t="str" cm="1">
        <f t="array" ref="BA189">SUBSTITUTE(SUBSTITUTE(_xlfn.SWITCH(AP189, "ITM_T_HOME", "ITM_UP1", "ITM_T_END", "ITM_DOWN1", "DOCU_CHR_sub", "ITM_DOWN_ARROW", "DOCU_CHR_super", "ITM_UP_ARROW", "MNU_TAMALPHA", "ITM_alpha", "DOCU_CHR_caseFLIP", "ITM_NULL", "DOCU_CHR_numSET", "ITM_NULL", "DOCU_ITM_RADIX", "ITM_PERIOD", AP189), ".lo", ),"MNU_", "-MNU_")</f>
        <v>ITM_NULL</v>
      </c>
      <c r="BB189" s="157" t="str" cm="1">
        <f t="array" ref="BB189">SUBSTITUTE(SUBSTITUTE(_xlfn.SWITCH(AQ189, "ITM_T_HOME", "ITM_UP1", "ITM_T_END", "ITM_DOWN1", "DOCU_CHR_sub", "ITM_DOWN_ARROW", "DOCU_CHR_super", "ITM_UP_ARROW", "MNU_TAMALPHA", "ITM_alpha", "DOCU_CHR_caseFLIP", "ITM_NULL", "DOCU_CHR_numSET", "ITM_NULL", "DOCU_ITM_RADIX", "ITM_PERIOD", AQ189), ".lo", ),"MNU_", "-MNU_")</f>
        <v>ITM_A</v>
      </c>
      <c r="BC189" s="157" t="str" cm="1">
        <f t="array" ref="BC189">SUBSTITUTE(SUBSTITUTE(_xlfn.SWITCH(AR189, "ITM_T_HOME", "ITM_UP1", "ITM_T_END", "ITM_DOWN1", "DOCU_CHR_sub", "ITM_DOWN_ARROW", "DOCU_CHR_super", "ITM_UP_ARROW", "MNU_TAMALPHA", "ITM_alpha", "DOCU_CHR_caseFLIP", "ITM_NULL", "DOCU_CHR_numSET", "ITM_NULL", "DOCU_ITM_RADIX", "ITM_PERIOD", AR189), ".lo", ),"MNU_", "-MNU_")</f>
        <v>ITM_a</v>
      </c>
      <c r="BD189" s="157" t="str" cm="1">
        <f t="array" ref="BD189">SUBSTITUTE(SUBSTITUTE(_xlfn.SWITCH(AS189, "ITM_T_HOME", "ITM_UP1", "ITM_T_END", "ITM_DOWN1", "DOCU_CHR_sub", "ITM_DOWN_ARROW", "DOCU_CHR_super", "ITM_UP_ARROW", "MNU_TAMALPHA", "ITM_alpha", "DOCU_CHR_caseFLIP", "ITM_NULL", "DOCU_CHR_numSET", "ITM_NULL", "DOCU_ITM_RADIX", "ITM_PERIOD", AS189), ".lo", ),"MNU_", "-MNU_")</f>
        <v>ITM_CIRCUMFLEX</v>
      </c>
      <c r="BE189" s="157" t="str" cm="1">
        <f t="array" ref="BE189">SUBSTITUTE(SUBSTITUTE(_xlfn.SWITCH(AT189, "ITM_T_HOME", "ITM_UP1", "ITM_T_END", "ITM_DOWN1", "DOCU_CHR_sub", "ITM_DOWN_ARROW", "DOCU_CHR_super", "ITM_UP_ARROW", "MNU_TAMALPHA", "ITM_alpha", "DOCU_CHR_caseFLIP", "ITM_NULL", "DOCU_CHR_numSET", "ITM_NULL", "DOCU_ITM_RADIX", "ITM_PERIOD", AT189), ".lo", ),"MNU_", "-MNU_")</f>
        <v>ITM_REG_A</v>
      </c>
      <c r="BG189" s="75"/>
      <c r="BI189" s="13" t="str">
        <f t="shared" ref="BI189:BI224" si="76">"  "&amp;AW189&amp;", "&amp;REPT(" ",$BH$54-LEN(AW189))&amp;
AX189&amp;", "&amp;REPT(" ",$BH$54-LEN(AX189))&amp;
AY189&amp;", "&amp;REPT(" ",$BH$54-LEN(AY189))&amp;
AZ189&amp;", "&amp;REPT(" ",$BH$54-LEN(AZ189))&amp;
BA189&amp;", "&amp;REPT(" ",$BH$54-LEN(BA189))&amp;
BB189&amp;", "&amp;REPT(" ",$BH$54-LEN(BB189))&amp;
BC189&amp;", "&amp;REPT(" ",$BH$54-LEN(BC189))&amp;
BD189&amp;", "&amp;REPT(" ",$BH$54-LEN(BD189))&amp;
BE189&amp;REPT(" ",$BH$54-LEN(BE189))&amp;
"},"</f>
        <v xml:space="preserve">  {21,                  ITM_1ONX,             ITM_YX,               ITM_TGLFRT,           ITM_NULL,             ITM_A,                ITM_a,                ITM_CIRCUMFLEX,       ITM_REG_A           },</v>
      </c>
    </row>
    <row r="190" spans="24:65" ht="21" x14ac:dyDescent="0.2">
      <c r="X190" s="135" t="str">
        <f t="shared" si="66"/>
        <v>V47</v>
      </c>
      <c r="Y190" s="109">
        <v>2</v>
      </c>
      <c r="Z190" s="109">
        <v>2</v>
      </c>
      <c r="AA190" s="112" t="str">
        <f t="shared" si="67"/>
        <v>V47.22</v>
      </c>
      <c r="AB190" s="117" t="s">
        <v>61</v>
      </c>
      <c r="AC190" s="118" t="s">
        <v>62</v>
      </c>
      <c r="AD190" s="119" t="s">
        <v>56</v>
      </c>
      <c r="AE190" s="3"/>
      <c r="AF190" s="49" t="s">
        <v>57</v>
      </c>
      <c r="AG190" s="77" t="b">
        <f t="shared" ref="AG190:AG225" si="77">AF190=AH190</f>
        <v>1</v>
      </c>
      <c r="AH190" s="83" t="str">
        <f t="shared" si="68"/>
        <v>b</v>
      </c>
      <c r="AI190" s="84" t="str">
        <f t="shared" si="69"/>
        <v>√</v>
      </c>
      <c r="AJ190" s="85" t="str">
        <f t="shared" si="70"/>
        <v>Reg B</v>
      </c>
      <c r="AK190" s="6"/>
      <c r="AL190" s="8" t="str">
        <f t="shared" si="71"/>
        <v>{22</v>
      </c>
      <c r="AM190" s="27" t="str">
        <f t="shared" si="72"/>
        <v>ITM_SQUAREROOTX</v>
      </c>
      <c r="AN190" s="27" t="str">
        <f t="shared" si="73"/>
        <v>ITM_SQUARE</v>
      </c>
      <c r="AO190" s="27" t="str">
        <f t="shared" si="74"/>
        <v>ITM_HASH_JM</v>
      </c>
      <c r="AP190" s="46" t="str">
        <f>IF(NOT(ISNA(MATCH(AM190,Lookups!E:E,))),VLOOKUP(AM190,Lookups!E:F,2,0),
IF(NOT(ISNA(MATCH(AN190,Lookups!E:E,))),VLOOKUP(AN190,Lookups!E:F,2,0),
IF(NOT(ISNA(MATCH(AO190,Lookups!E:E,))),VLOOKUP(AO190,Lookups!E:F,2,0),"ITM_NULL")))</f>
        <v>ITM_ROOT_SIGN</v>
      </c>
      <c r="AQ190" s="28" t="str">
        <f t="shared" si="75"/>
        <v>ITM_B</v>
      </c>
      <c r="AR190" s="195" t="s">
        <v>58</v>
      </c>
      <c r="AS190" s="186" t="s">
        <v>66</v>
      </c>
      <c r="AT190" s="196" t="s">
        <v>60</v>
      </c>
      <c r="AW190" s="14" t="str">
        <f t="shared" ref="AW190:AW225" si="78">AL190</f>
        <v>{22</v>
      </c>
      <c r="AX190" s="157" t="str" cm="1">
        <f t="array" ref="AX190">SUBSTITUTE(SUBSTITUTE(_xlfn.SWITCH(AM190, "ITM_T_HOME", "ITM_UP1", "ITM_T_END", "ITM_DOWN1", "DOCU_CHR_sub", "ITM_DOWN_ARROW", "DOCU_CHR_super", "ITM_UP_ARROW", "MNU_TAMALPHA", "ITM_alpha", "DOCU_CHR_caseFLIP", "ITM_NULL", "DOCU_CHR_numSET", "ITM_NULL", "DOCU_ITM_RADIX", "ITM_PERIOD", AM190), ".lo", ),"MNU_", "-MNU_")</f>
        <v>ITM_SQUAREROOTX</v>
      </c>
      <c r="AY190" s="157" t="str" cm="1">
        <f t="array" ref="AY190">SUBSTITUTE(SUBSTITUTE(_xlfn.SWITCH(AN190, "ITM_T_HOME", "ITM_UP1", "ITM_T_END", "ITM_DOWN1", "DOCU_CHR_sub", "ITM_DOWN_ARROW", "DOCU_CHR_super", "ITM_UP_ARROW", "MNU_TAMALPHA", "ITM_alpha", "DOCU_CHR_caseFLIP", "ITM_NULL", "DOCU_CHR_numSET", "ITM_NULL", "DOCU_ITM_RADIX", "ITM_PERIOD", AN190), ".lo", ),"MNU_", "-MNU_")</f>
        <v>ITM_SQUARE</v>
      </c>
      <c r="AZ190" s="157" t="str" cm="1">
        <f t="array" ref="AZ190">SUBSTITUTE(SUBSTITUTE(_xlfn.SWITCH(AO190, "ITM_T_HOME", "ITM_UP1", "ITM_T_END", "ITM_DOWN1", "DOCU_CHR_sub", "ITM_DOWN_ARROW", "DOCU_CHR_super", "ITM_UP_ARROW", "MNU_TAMALPHA", "ITM_alpha", "DOCU_CHR_caseFLIP", "ITM_NULL", "DOCU_CHR_numSET", "ITM_NULL", "DOCU_ITM_RADIX", "ITM_PERIOD", AO190), ".lo", ),"MNU_", "-MNU_")</f>
        <v>ITM_HASH_JM</v>
      </c>
      <c r="BA190" s="173" t="str" cm="1">
        <f t="array" ref="BA190">SUBSTITUTE(SUBSTITUTE(_xlfn.SWITCH(AP190, "ITM_T_HOME", "ITM_UP1", "ITM_T_END", "ITM_DOWN1", "DOCU_CHR_sub", "ITM_DOWN_ARROW", "DOCU_CHR_super", "ITM_UP_ARROW", "MNU_TAMALPHA", "ITM_alpha", "DOCU_CHR_caseFLIP", "ITM_NULL", "DOCU_CHR_numSET", "ITM_NULL", "DOCU_ITM_RADIX", "ITM_PERIOD", AP190), ".lo", ),"MNU_", "-MNU_")</f>
        <v>ITM_ROOT_SIGN</v>
      </c>
      <c r="BB190" s="157" t="str" cm="1">
        <f t="array" ref="BB190">SUBSTITUTE(SUBSTITUTE(_xlfn.SWITCH(AQ190, "ITM_T_HOME", "ITM_UP1", "ITM_T_END", "ITM_DOWN1", "DOCU_CHR_sub", "ITM_DOWN_ARROW", "DOCU_CHR_super", "ITM_UP_ARROW", "MNU_TAMALPHA", "ITM_alpha", "DOCU_CHR_caseFLIP", "ITM_NULL", "DOCU_CHR_numSET", "ITM_NULL", "DOCU_ITM_RADIX", "ITM_PERIOD", AQ190), ".lo", ),"MNU_", "-MNU_")</f>
        <v>ITM_B</v>
      </c>
      <c r="BC190" s="157" t="str" cm="1">
        <f t="array" ref="BC190">SUBSTITUTE(SUBSTITUTE(_xlfn.SWITCH(AR190, "ITM_T_HOME", "ITM_UP1", "ITM_T_END", "ITM_DOWN1", "DOCU_CHR_sub", "ITM_DOWN_ARROW", "DOCU_CHR_super", "ITM_UP_ARROW", "MNU_TAMALPHA", "ITM_alpha", "DOCU_CHR_caseFLIP", "ITM_NULL", "DOCU_CHR_numSET", "ITM_NULL", "DOCU_ITM_RADIX", "ITM_PERIOD", AR190), ".lo", ),"MNU_", "-MNU_")</f>
        <v>ITM_b</v>
      </c>
      <c r="BD190" s="157" t="str" cm="1">
        <f t="array" ref="BD190">SUBSTITUTE(SUBSTITUTE(_xlfn.SWITCH(AS190, "ITM_T_HOME", "ITM_UP1", "ITM_T_END", "ITM_DOWN1", "DOCU_CHR_sub", "ITM_DOWN_ARROW", "DOCU_CHR_super", "ITM_UP_ARROW", "MNU_TAMALPHA", "ITM_alpha", "DOCU_CHR_caseFLIP", "ITM_NULL", "DOCU_CHR_numSET", "ITM_NULL", "DOCU_ITM_RADIX", "ITM_PERIOD", AS190), ".lo", ),"MNU_", "-MNU_")</f>
        <v>ITM_ROOT_SIGN</v>
      </c>
      <c r="BE190" s="157" t="str" cm="1">
        <f t="array" ref="BE190">SUBSTITUTE(SUBSTITUTE(_xlfn.SWITCH(AT190, "ITM_T_HOME", "ITM_UP1", "ITM_T_END", "ITM_DOWN1", "DOCU_CHR_sub", "ITM_DOWN_ARROW", "DOCU_CHR_super", "ITM_UP_ARROW", "MNU_TAMALPHA", "ITM_alpha", "DOCU_CHR_caseFLIP", "ITM_NULL", "DOCU_CHR_numSET", "ITM_NULL", "DOCU_ITM_RADIX", "ITM_PERIOD", AT190), ".lo", ),"MNU_", "-MNU_")</f>
        <v>ITM_REG_B</v>
      </c>
      <c r="BG190" s="75"/>
      <c r="BI190" s="13" t="str">
        <f t="shared" si="76"/>
        <v xml:space="preserve">  {22,                  ITM_SQUAREROOTX,      ITM_SQUARE,           ITM_HASH_JM,          ITM_ROOT_SIGN,        ITM_B,                ITM_b,                ITM_ROOT_SIGN,        ITM_REG_B           },</v>
      </c>
    </row>
    <row r="191" spans="24:65" ht="21" x14ac:dyDescent="0.2">
      <c r="X191" s="135" t="str">
        <f t="shared" si="66"/>
        <v>V47</v>
      </c>
      <c r="Y191" s="109">
        <v>2</v>
      </c>
      <c r="Z191" s="109">
        <v>3</v>
      </c>
      <c r="AA191" s="112" t="str">
        <f t="shared" si="67"/>
        <v>V47.23</v>
      </c>
      <c r="AB191" s="117" t="s">
        <v>68</v>
      </c>
      <c r="AC191" s="118" t="s">
        <v>69</v>
      </c>
      <c r="AD191" s="119" t="s">
        <v>63</v>
      </c>
      <c r="AE191" s="3"/>
      <c r="AF191" s="49" t="s">
        <v>64</v>
      </c>
      <c r="AG191" s="77" t="b">
        <f t="shared" si="77"/>
        <v>1</v>
      </c>
      <c r="AH191" s="83" t="str">
        <f t="shared" si="68"/>
        <v>c</v>
      </c>
      <c r="AI191" s="84" t="str">
        <f t="shared" si="69"/>
        <v>LOG</v>
      </c>
      <c r="AJ191" s="85" t="str">
        <f t="shared" si="70"/>
        <v>Reg C</v>
      </c>
      <c r="AK191" s="6"/>
      <c r="AL191" s="8" t="str">
        <f t="shared" si="71"/>
        <v>{23</v>
      </c>
      <c r="AM191" s="27" t="str">
        <f t="shared" si="72"/>
        <v>ITM_LOG10</v>
      </c>
      <c r="AN191" s="27" t="str">
        <f t="shared" si="73"/>
        <v>ITM_10x</v>
      </c>
      <c r="AO191" s="27" t="str">
        <f t="shared" si="74"/>
        <v>ITM_ms</v>
      </c>
      <c r="AP191" s="46" t="str">
        <f>IF(NOT(ISNA(MATCH(AM191,Lookups!E:E,))),VLOOKUP(AM191,Lookups!E:F,2,0),
IF(NOT(ISNA(MATCH(AN191,Lookups!E:E,))),VLOOKUP(AN191,Lookups!E:F,2,0),
IF(NOT(ISNA(MATCH(AO191,Lookups!E:E,))),VLOOKUP(AO191,Lookups!E:F,2,0),"ITM_NULL")))</f>
        <v>ITM_NULL</v>
      </c>
      <c r="AQ191" s="28" t="str">
        <f t="shared" si="75"/>
        <v>ITM_C</v>
      </c>
      <c r="AR191" s="195" t="s">
        <v>65</v>
      </c>
      <c r="AS191" s="186" t="s">
        <v>73</v>
      </c>
      <c r="AT191" s="196" t="s">
        <v>67</v>
      </c>
      <c r="AW191" s="14" t="str">
        <f t="shared" si="78"/>
        <v>{23</v>
      </c>
      <c r="AX191" s="157" t="str" cm="1">
        <f t="array" ref="AX191">SUBSTITUTE(SUBSTITUTE(_xlfn.SWITCH(AM191, "ITM_T_HOME", "ITM_UP1", "ITM_T_END", "ITM_DOWN1", "DOCU_CHR_sub", "ITM_DOWN_ARROW", "DOCU_CHR_super", "ITM_UP_ARROW", "MNU_TAMALPHA", "ITM_alpha", "DOCU_CHR_caseFLIP", "ITM_NULL", "DOCU_CHR_numSET", "ITM_NULL", "DOCU_ITM_RADIX", "ITM_PERIOD", AM191), ".lo", ),"MNU_", "-MNU_")</f>
        <v>ITM_LOG10</v>
      </c>
      <c r="AY191" s="157" t="str" cm="1">
        <f t="array" ref="AY191">SUBSTITUTE(SUBSTITUTE(_xlfn.SWITCH(AN191, "ITM_T_HOME", "ITM_UP1", "ITM_T_END", "ITM_DOWN1", "DOCU_CHR_sub", "ITM_DOWN_ARROW", "DOCU_CHR_super", "ITM_UP_ARROW", "MNU_TAMALPHA", "ITM_alpha", "DOCU_CHR_caseFLIP", "ITM_NULL", "DOCU_CHR_numSET", "ITM_NULL", "DOCU_ITM_RADIX", "ITM_PERIOD", AN191), ".lo", ),"MNU_", "-MNU_")</f>
        <v>ITM_10x</v>
      </c>
      <c r="AZ191" s="157" t="str" cm="1">
        <f t="array" ref="AZ191">SUBSTITUTE(SUBSTITUTE(_xlfn.SWITCH(AO191, "ITM_T_HOME", "ITM_UP1", "ITM_T_END", "ITM_DOWN1", "DOCU_CHR_sub", "ITM_DOWN_ARROW", "DOCU_CHR_super", "ITM_UP_ARROW", "MNU_TAMALPHA", "ITM_alpha", "DOCU_CHR_caseFLIP", "ITM_NULL", "DOCU_CHR_numSET", "ITM_NULL", "DOCU_ITM_RADIX", "ITM_PERIOD", AO191), ".lo", ),"MNU_", "-MNU_")</f>
        <v>ITM_ms</v>
      </c>
      <c r="BA191" s="173" t="str" cm="1">
        <f t="array" ref="BA191">SUBSTITUTE(SUBSTITUTE(_xlfn.SWITCH(AP191, "ITM_T_HOME", "ITM_UP1", "ITM_T_END", "ITM_DOWN1", "DOCU_CHR_sub", "ITM_DOWN_ARROW", "DOCU_CHR_super", "ITM_UP_ARROW", "MNU_TAMALPHA", "ITM_alpha", "DOCU_CHR_caseFLIP", "ITM_NULL", "DOCU_CHR_numSET", "ITM_NULL", "DOCU_ITM_RADIX", "ITM_PERIOD", AP191), ".lo", ),"MNU_", "-MNU_")</f>
        <v>ITM_NULL</v>
      </c>
      <c r="BB191" s="157" t="str" cm="1">
        <f t="array" ref="BB191">SUBSTITUTE(SUBSTITUTE(_xlfn.SWITCH(AQ191, "ITM_T_HOME", "ITM_UP1", "ITM_T_END", "ITM_DOWN1", "DOCU_CHR_sub", "ITM_DOWN_ARROW", "DOCU_CHR_super", "ITM_UP_ARROW", "MNU_TAMALPHA", "ITM_alpha", "DOCU_CHR_caseFLIP", "ITM_NULL", "DOCU_CHR_numSET", "ITM_NULL", "DOCU_ITM_RADIX", "ITM_PERIOD", AQ191), ".lo", ),"MNU_", "-MNU_")</f>
        <v>ITM_C</v>
      </c>
      <c r="BC191" s="157" t="str" cm="1">
        <f t="array" ref="BC191">SUBSTITUTE(SUBSTITUTE(_xlfn.SWITCH(AR191, "ITM_T_HOME", "ITM_UP1", "ITM_T_END", "ITM_DOWN1", "DOCU_CHR_sub", "ITM_DOWN_ARROW", "DOCU_CHR_super", "ITM_UP_ARROW", "MNU_TAMALPHA", "ITM_alpha", "DOCU_CHR_caseFLIP", "ITM_NULL", "DOCU_CHR_numSET", "ITM_NULL", "DOCU_ITM_RADIX", "ITM_PERIOD", AR191), ".lo", ),"MNU_", "-MNU_")</f>
        <v>ITM_c</v>
      </c>
      <c r="BD191" s="157" t="str" cm="1">
        <f t="array" ref="BD191">SUBSTITUTE(SUBSTITUTE(_xlfn.SWITCH(AS191, "ITM_T_HOME", "ITM_UP1", "ITM_T_END", "ITM_DOWN1", "DOCU_CHR_sub", "ITM_DOWN_ARROW", "DOCU_CHR_super", "ITM_UP_ARROW", "MNU_TAMALPHA", "ITM_alpha", "DOCU_CHR_caseFLIP", "ITM_NULL", "DOCU_CHR_numSET", "ITM_NULL", "DOCU_ITM_RADIX", "ITM_PERIOD", AS191), ".lo", ),"MNU_", "-MNU_")</f>
        <v>ITM_LG_SIGN</v>
      </c>
      <c r="BE191" s="157" t="str" cm="1">
        <f t="array" ref="BE191">SUBSTITUTE(SUBSTITUTE(_xlfn.SWITCH(AT191, "ITM_T_HOME", "ITM_UP1", "ITM_T_END", "ITM_DOWN1", "DOCU_CHR_sub", "ITM_DOWN_ARROW", "DOCU_CHR_super", "ITM_UP_ARROW", "MNU_TAMALPHA", "ITM_alpha", "DOCU_CHR_caseFLIP", "ITM_NULL", "DOCU_CHR_numSET", "ITM_NULL", "DOCU_ITM_RADIX", "ITM_PERIOD", AT191), ".lo", ),"MNU_", "-MNU_")</f>
        <v>ITM_REG_C</v>
      </c>
      <c r="BG191" s="75"/>
      <c r="BI191" s="13" t="str">
        <f t="shared" si="76"/>
        <v xml:space="preserve">  {23,                  ITM_LOG10,            ITM_10x,              ITM_ms,               ITM_NULL,             ITM_C,                ITM_c,                ITM_LG_SIGN,          ITM_REG_C           },</v>
      </c>
    </row>
    <row r="192" spans="24:65" ht="21" x14ac:dyDescent="0.2">
      <c r="X192" s="135" t="str">
        <f t="shared" si="66"/>
        <v>V47</v>
      </c>
      <c r="Y192" s="109">
        <v>2</v>
      </c>
      <c r="Z192" s="109">
        <v>4</v>
      </c>
      <c r="AA192" s="112" t="str">
        <f t="shared" si="67"/>
        <v>V47.24</v>
      </c>
      <c r="AB192" s="117" t="s">
        <v>75</v>
      </c>
      <c r="AC192" s="118" t="s">
        <v>76</v>
      </c>
      <c r="AD192" s="119" t="s">
        <v>70</v>
      </c>
      <c r="AE192" s="3"/>
      <c r="AF192" s="49" t="s">
        <v>71</v>
      </c>
      <c r="AG192" s="77" t="b">
        <f t="shared" si="77"/>
        <v>1</v>
      </c>
      <c r="AH192" s="83" t="str">
        <f t="shared" si="68"/>
        <v>d</v>
      </c>
      <c r="AI192" s="84" t="str">
        <f t="shared" si="69"/>
        <v>LN</v>
      </c>
      <c r="AJ192" s="85" t="str">
        <f t="shared" si="70"/>
        <v>Reg D</v>
      </c>
      <c r="AK192" s="6"/>
      <c r="AL192" s="8" t="str">
        <f t="shared" si="71"/>
        <v>{24</v>
      </c>
      <c r="AM192" s="27" t="str">
        <f t="shared" si="72"/>
        <v>ITM_LN</v>
      </c>
      <c r="AN192" s="27" t="str">
        <f t="shared" si="73"/>
        <v>ITM_EXP</v>
      </c>
      <c r="AO192" s="27" t="str">
        <f t="shared" si="74"/>
        <v>ITM_dotD</v>
      </c>
      <c r="AP192" s="46" t="str">
        <f>IF(NOT(ISNA(MATCH(AM192,Lookups!E:E,))),VLOOKUP(AM192,Lookups!E:F,2,0),
IF(NOT(ISNA(MATCH(AN192,Lookups!E:E,))),VLOOKUP(AN192,Lookups!E:F,2,0),
IF(NOT(ISNA(MATCH(AO192,Lookups!E:E,))),VLOOKUP(AO192,Lookups!E:F,2,0),"ITM_NULL")))</f>
        <v>ITM_NULL</v>
      </c>
      <c r="AQ192" s="28" t="str">
        <f t="shared" si="75"/>
        <v>ITM_D</v>
      </c>
      <c r="AR192" s="195" t="s">
        <v>72</v>
      </c>
      <c r="AS192" s="186" t="s">
        <v>80</v>
      </c>
      <c r="AT192" s="196" t="s">
        <v>74</v>
      </c>
      <c r="AW192" s="14" t="str">
        <f t="shared" si="78"/>
        <v>{24</v>
      </c>
      <c r="AX192" s="157" t="str" cm="1">
        <f t="array" ref="AX192">SUBSTITUTE(SUBSTITUTE(_xlfn.SWITCH(AM192, "ITM_T_HOME", "ITM_UP1", "ITM_T_END", "ITM_DOWN1", "DOCU_CHR_sub", "ITM_DOWN_ARROW", "DOCU_CHR_super", "ITM_UP_ARROW", "MNU_TAMALPHA", "ITM_alpha", "DOCU_CHR_caseFLIP", "ITM_NULL", "DOCU_CHR_numSET", "ITM_NULL", "DOCU_ITM_RADIX", "ITM_PERIOD", AM192), ".lo", ),"MNU_", "-MNU_")</f>
        <v>ITM_LN</v>
      </c>
      <c r="AY192" s="157" t="str" cm="1">
        <f t="array" ref="AY192">SUBSTITUTE(SUBSTITUTE(_xlfn.SWITCH(AN192, "ITM_T_HOME", "ITM_UP1", "ITM_T_END", "ITM_DOWN1", "DOCU_CHR_sub", "ITM_DOWN_ARROW", "DOCU_CHR_super", "ITM_UP_ARROW", "MNU_TAMALPHA", "ITM_alpha", "DOCU_CHR_caseFLIP", "ITM_NULL", "DOCU_CHR_numSET", "ITM_NULL", "DOCU_ITM_RADIX", "ITM_PERIOD", AN192), ".lo", ),"MNU_", "-MNU_")</f>
        <v>ITM_EXP</v>
      </c>
      <c r="AZ192" s="157" t="str" cm="1">
        <f t="array" ref="AZ192">SUBSTITUTE(SUBSTITUTE(_xlfn.SWITCH(AO192, "ITM_T_HOME", "ITM_UP1", "ITM_T_END", "ITM_DOWN1", "DOCU_CHR_sub", "ITM_DOWN_ARROW", "DOCU_CHR_super", "ITM_UP_ARROW", "MNU_TAMALPHA", "ITM_alpha", "DOCU_CHR_caseFLIP", "ITM_NULL", "DOCU_CHR_numSET", "ITM_NULL", "DOCU_ITM_RADIX", "ITM_PERIOD", AO192), ".lo", ),"MNU_", "-MNU_")</f>
        <v>ITM_dotD</v>
      </c>
      <c r="BA192" s="173" t="str" cm="1">
        <f t="array" ref="BA192">SUBSTITUTE(SUBSTITUTE(_xlfn.SWITCH(AP192, "ITM_T_HOME", "ITM_UP1", "ITM_T_END", "ITM_DOWN1", "DOCU_CHR_sub", "ITM_DOWN_ARROW", "DOCU_CHR_super", "ITM_UP_ARROW", "MNU_TAMALPHA", "ITM_alpha", "DOCU_CHR_caseFLIP", "ITM_NULL", "DOCU_CHR_numSET", "ITM_NULL", "DOCU_ITM_RADIX", "ITM_PERIOD", AP192), ".lo", ),"MNU_", "-MNU_")</f>
        <v>ITM_NULL</v>
      </c>
      <c r="BB192" s="157" t="str" cm="1">
        <f t="array" ref="BB192">SUBSTITUTE(SUBSTITUTE(_xlfn.SWITCH(AQ192, "ITM_T_HOME", "ITM_UP1", "ITM_T_END", "ITM_DOWN1", "DOCU_CHR_sub", "ITM_DOWN_ARROW", "DOCU_CHR_super", "ITM_UP_ARROW", "MNU_TAMALPHA", "ITM_alpha", "DOCU_CHR_caseFLIP", "ITM_NULL", "DOCU_CHR_numSET", "ITM_NULL", "DOCU_ITM_RADIX", "ITM_PERIOD", AQ192), ".lo", ),"MNU_", "-MNU_")</f>
        <v>ITM_D</v>
      </c>
      <c r="BC192" s="157" t="str" cm="1">
        <f t="array" ref="BC192">SUBSTITUTE(SUBSTITUTE(_xlfn.SWITCH(AR192, "ITM_T_HOME", "ITM_UP1", "ITM_T_END", "ITM_DOWN1", "DOCU_CHR_sub", "ITM_DOWN_ARROW", "DOCU_CHR_super", "ITM_UP_ARROW", "MNU_TAMALPHA", "ITM_alpha", "DOCU_CHR_caseFLIP", "ITM_NULL", "DOCU_CHR_numSET", "ITM_NULL", "DOCU_ITM_RADIX", "ITM_PERIOD", AR192), ".lo", ),"MNU_", "-MNU_")</f>
        <v>ITM_d</v>
      </c>
      <c r="BD192" s="157" t="str" cm="1">
        <f t="array" ref="BD192">SUBSTITUTE(SUBSTITUTE(_xlfn.SWITCH(AS192, "ITM_T_HOME", "ITM_UP1", "ITM_T_END", "ITM_DOWN1", "DOCU_CHR_sub", "ITM_DOWN_ARROW", "DOCU_CHR_super", "ITM_UP_ARROW", "MNU_TAMALPHA", "ITM_alpha", "DOCU_CHR_caseFLIP", "ITM_NULL", "DOCU_CHR_numSET", "ITM_NULL", "DOCU_ITM_RADIX", "ITM_PERIOD", AS192), ".lo", ),"MNU_", "-MNU_")</f>
        <v>ITM_LN_SIGN</v>
      </c>
      <c r="BE192" s="157" t="str" cm="1">
        <f t="array" ref="BE192">SUBSTITUTE(SUBSTITUTE(_xlfn.SWITCH(AT192, "ITM_T_HOME", "ITM_UP1", "ITM_T_END", "ITM_DOWN1", "DOCU_CHR_sub", "ITM_DOWN_ARROW", "DOCU_CHR_super", "ITM_UP_ARROW", "MNU_TAMALPHA", "ITM_alpha", "DOCU_CHR_caseFLIP", "ITM_NULL", "DOCU_CHR_numSET", "ITM_NULL", "DOCU_ITM_RADIX", "ITM_PERIOD", AT192), ".lo", ),"MNU_", "-MNU_")</f>
        <v>ITM_REG_D</v>
      </c>
      <c r="BG192" s="75"/>
      <c r="BI192" s="13" t="str">
        <f t="shared" si="76"/>
        <v xml:space="preserve">  {24,                  ITM_LN,               ITM_EXP,              ITM_dotD,             ITM_NULL,             ITM_D,                ITM_d,                ITM_LN_SIGN,          ITM_REG_D           },</v>
      </c>
    </row>
    <row r="193" spans="24:61" ht="21" x14ac:dyDescent="0.2">
      <c r="X193" s="135" t="str">
        <f t="shared" si="66"/>
        <v>V47</v>
      </c>
      <c r="Y193" s="109">
        <v>2</v>
      </c>
      <c r="Z193" s="109">
        <v>5</v>
      </c>
      <c r="AA193" s="112" t="str">
        <f t="shared" si="67"/>
        <v>V47.25</v>
      </c>
      <c r="AB193" s="121" t="s">
        <v>339</v>
      </c>
      <c r="AC193" s="118" t="s">
        <v>218</v>
      </c>
      <c r="AD193" s="119" t="s">
        <v>218</v>
      </c>
      <c r="AE193" s="3"/>
      <c r="AF193" s="130" t="s">
        <v>339</v>
      </c>
      <c r="AG193" s="77" t="b">
        <f t="shared" si="77"/>
        <v>0</v>
      </c>
      <c r="AH193" s="83" t="str">
        <f t="shared" si="68"/>
        <v xml:space="preserve"> </v>
      </c>
      <c r="AI193" s="84" t="str">
        <f t="shared" si="69"/>
        <v xml:space="preserve"> </v>
      </c>
      <c r="AJ193" s="85" t="str">
        <f t="shared" si="70"/>
        <v xml:space="preserve"> f </v>
      </c>
      <c r="AK193" s="6"/>
      <c r="AL193" s="8" t="str">
        <f t="shared" si="71"/>
        <v>{25</v>
      </c>
      <c r="AM193" s="27" t="str">
        <f t="shared" si="72"/>
        <v>ITM_SHIFTf</v>
      </c>
      <c r="AN193" s="27" t="str">
        <f t="shared" si="73"/>
        <v>ITM_NULL</v>
      </c>
      <c r="AO193" s="27" t="str">
        <f t="shared" si="74"/>
        <v>ITM_NULL</v>
      </c>
      <c r="AP193" s="46" t="str">
        <f>IF(NOT(ISNA(MATCH(AM193,Lookups!E:E,))),VLOOKUP(AM193,Lookups!E:F,2,0),
IF(NOT(ISNA(MATCH(AN193,Lookups!E:E,))),VLOOKUP(AN193,Lookups!E:F,2,0),
IF(NOT(ISNA(MATCH(AO193,Lookups!E:E,))),VLOOKUP(AO193,Lookups!E:F,2,0),"ITM_NULL")))</f>
        <v>ITM_SHIFTf</v>
      </c>
      <c r="AQ193" s="28" t="str">
        <f t="shared" si="75"/>
        <v>ITM_SHIFTf</v>
      </c>
      <c r="AR193" s="198" t="s">
        <v>81</v>
      </c>
      <c r="AS193" s="186" t="s">
        <v>81</v>
      </c>
      <c r="AT193" s="197" t="s">
        <v>340</v>
      </c>
      <c r="AW193" s="14" t="str">
        <f t="shared" si="78"/>
        <v>{25</v>
      </c>
      <c r="AX193" s="157" t="str" cm="1">
        <f t="array" ref="AX193">SUBSTITUTE(SUBSTITUTE(_xlfn.SWITCH(AM193, "ITM_T_HOME", "ITM_UP1", "ITM_T_END", "ITM_DOWN1", "DOCU_CHR_sub", "ITM_DOWN_ARROW", "DOCU_CHR_super", "ITM_UP_ARROW", "MNU_TAMALPHA", "ITM_alpha", "DOCU_CHR_caseFLIP", "ITM_NULL", "DOCU_CHR_numSET", "ITM_NULL", "DOCU_ITM_RADIX", "ITM_PERIOD", AM193), ".lo", ),"MNU_", "-MNU_")</f>
        <v>ITM_SHIFTf</v>
      </c>
      <c r="AY193" s="157" t="str" cm="1">
        <f t="array" ref="AY193">SUBSTITUTE(SUBSTITUTE(_xlfn.SWITCH(AN193, "ITM_T_HOME", "ITM_UP1", "ITM_T_END", "ITM_DOWN1", "DOCU_CHR_sub", "ITM_DOWN_ARROW", "DOCU_CHR_super", "ITM_UP_ARROW", "MNU_TAMALPHA", "ITM_alpha", "DOCU_CHR_caseFLIP", "ITM_NULL", "DOCU_CHR_numSET", "ITM_NULL", "DOCU_ITM_RADIX", "ITM_PERIOD", AN193), ".lo", ),"MNU_", "-MNU_")</f>
        <v>ITM_NULL</v>
      </c>
      <c r="AZ193" s="157" t="str" cm="1">
        <f t="array" ref="AZ193">SUBSTITUTE(SUBSTITUTE(_xlfn.SWITCH(AO193, "ITM_T_HOME", "ITM_UP1", "ITM_T_END", "ITM_DOWN1", "DOCU_CHR_sub", "ITM_DOWN_ARROW", "DOCU_CHR_super", "ITM_UP_ARROW", "MNU_TAMALPHA", "ITM_alpha", "DOCU_CHR_caseFLIP", "ITM_NULL", "DOCU_CHR_numSET", "ITM_NULL", "DOCU_ITM_RADIX", "ITM_PERIOD", AO193), ".lo", ),"MNU_", "-MNU_")</f>
        <v>ITM_NULL</v>
      </c>
      <c r="BA193" s="173" t="str" cm="1">
        <f t="array" ref="BA193">SUBSTITUTE(SUBSTITUTE(_xlfn.SWITCH(AP193, "ITM_T_HOME", "ITM_UP1", "ITM_T_END", "ITM_DOWN1", "DOCU_CHR_sub", "ITM_DOWN_ARROW", "DOCU_CHR_super", "ITM_UP_ARROW", "MNU_TAMALPHA", "ITM_alpha", "DOCU_CHR_caseFLIP", "ITM_NULL", "DOCU_CHR_numSET", "ITM_NULL", "DOCU_ITM_RADIX", "ITM_PERIOD", AP193), ".lo", ),"MNU_", "-MNU_")</f>
        <v>ITM_SHIFTf</v>
      </c>
      <c r="BB193" s="157" t="str" cm="1">
        <f t="array" ref="BB193">SUBSTITUTE(SUBSTITUTE(_xlfn.SWITCH(AQ193, "ITM_T_HOME", "ITM_UP1", "ITM_T_END", "ITM_DOWN1", "DOCU_CHR_sub", "ITM_DOWN_ARROW", "DOCU_CHR_super", "ITM_UP_ARROW", "MNU_TAMALPHA", "ITM_alpha", "DOCU_CHR_caseFLIP", "ITM_NULL", "DOCU_CHR_numSET", "ITM_NULL", "DOCU_ITM_RADIX", "ITM_PERIOD", AQ193), ".lo", ),"MNU_", "-MNU_")</f>
        <v>ITM_SHIFTf</v>
      </c>
      <c r="BC193" s="157" t="str" cm="1">
        <f t="array" ref="BC193">SUBSTITUTE(SUBSTITUTE(_xlfn.SWITCH(AR193, "ITM_T_HOME", "ITM_UP1", "ITM_T_END", "ITM_DOWN1", "DOCU_CHR_sub", "ITM_DOWN_ARROW", "DOCU_CHR_super", "ITM_UP_ARROW", "MNU_TAMALPHA", "ITM_alpha", "DOCU_CHR_caseFLIP", "ITM_NULL", "DOCU_CHR_numSET", "ITM_NULL", "DOCU_ITM_RADIX", "ITM_PERIOD", AR193), ".lo", ),"MNU_", "-MNU_")</f>
        <v>ITM_NULL</v>
      </c>
      <c r="BD193" s="157" t="str" cm="1">
        <f t="array" ref="BD193">SUBSTITUTE(SUBSTITUTE(_xlfn.SWITCH(AS193, "ITM_T_HOME", "ITM_UP1", "ITM_T_END", "ITM_DOWN1", "DOCU_CHR_sub", "ITM_DOWN_ARROW", "DOCU_CHR_super", "ITM_UP_ARROW", "MNU_TAMALPHA", "ITM_alpha", "DOCU_CHR_caseFLIP", "ITM_NULL", "DOCU_CHR_numSET", "ITM_NULL", "DOCU_ITM_RADIX", "ITM_PERIOD", AS193), ".lo", ),"MNU_", "-MNU_")</f>
        <v>ITM_NULL</v>
      </c>
      <c r="BE193" s="157" t="str" cm="1">
        <f t="array" ref="BE193">SUBSTITUTE(SUBSTITUTE(_xlfn.SWITCH(AT193, "ITM_T_HOME", "ITM_UP1", "ITM_T_END", "ITM_DOWN1", "DOCU_CHR_sub", "ITM_DOWN_ARROW", "DOCU_CHR_super", "ITM_UP_ARROW", "MNU_TAMALPHA", "ITM_alpha", "DOCU_CHR_caseFLIP", "ITM_NULL", "DOCU_CHR_numSET", "ITM_NULL", "DOCU_ITM_RADIX", "ITM_PERIOD", AT193), ".lo", ),"MNU_", "-MNU_")</f>
        <v>ITM_SHIFTf</v>
      </c>
      <c r="BG193" s="75"/>
      <c r="BI193" s="13" t="str">
        <f t="shared" si="76"/>
        <v xml:space="preserve">  {25,                  ITM_SHIFTf,           ITM_NULL,             ITM_NULL,             ITM_SHIFTf,           ITM_SHIFTf,           ITM_NULL,             ITM_NULL,             ITM_SHIFTf          },</v>
      </c>
    </row>
    <row r="194" spans="24:61" ht="21" x14ac:dyDescent="0.2">
      <c r="X194" s="135" t="str">
        <f t="shared" si="66"/>
        <v>V47</v>
      </c>
      <c r="Y194" s="109">
        <v>2</v>
      </c>
      <c r="Z194" s="109">
        <v>6</v>
      </c>
      <c r="AA194" s="112" t="str">
        <f t="shared" si="67"/>
        <v>V47.26</v>
      </c>
      <c r="AB194" s="121" t="s">
        <v>341</v>
      </c>
      <c r="AC194" s="118" t="s">
        <v>218</v>
      </c>
      <c r="AD194" s="119" t="s">
        <v>218</v>
      </c>
      <c r="AE194" s="3"/>
      <c r="AF194" s="121" t="s">
        <v>341</v>
      </c>
      <c r="AG194" s="77" t="b">
        <f t="shared" si="77"/>
        <v>0</v>
      </c>
      <c r="AH194" s="83" t="str">
        <f t="shared" si="68"/>
        <v xml:space="preserve"> </v>
      </c>
      <c r="AI194" s="84" t="str">
        <f t="shared" si="69"/>
        <v xml:space="preserve"> </v>
      </c>
      <c r="AJ194" s="85" t="str">
        <f t="shared" si="70"/>
        <v xml:space="preserve"> g </v>
      </c>
      <c r="AK194" s="6"/>
      <c r="AL194" s="8" t="str">
        <f t="shared" si="71"/>
        <v>{26</v>
      </c>
      <c r="AM194" s="27" t="str">
        <f t="shared" si="72"/>
        <v>ITM_SHIFTg</v>
      </c>
      <c r="AN194" s="27" t="str">
        <f t="shared" si="73"/>
        <v>ITM_NULL</v>
      </c>
      <c r="AO194" s="27" t="str">
        <f t="shared" si="74"/>
        <v>ITM_NULL</v>
      </c>
      <c r="AP194" s="46" t="str">
        <f>IF(NOT(ISNA(MATCH(AM194,Lookups!E:E,))),VLOOKUP(AM194,Lookups!E:F,2,0),
IF(NOT(ISNA(MATCH(AN194,Lookups!E:E,))),VLOOKUP(AN194,Lookups!E:F,2,0),
IF(NOT(ISNA(MATCH(AO194,Lookups!E:E,))),VLOOKUP(AO194,Lookups!E:F,2,0),"ITM_NULL")))</f>
        <v>ITM_SHIFTg</v>
      </c>
      <c r="AQ194" s="28" t="str">
        <f t="shared" si="75"/>
        <v>ITM_SHIFTg</v>
      </c>
      <c r="AR194" s="198" t="s">
        <v>81</v>
      </c>
      <c r="AS194" s="186" t="s">
        <v>81</v>
      </c>
      <c r="AT194" s="197" t="s">
        <v>343</v>
      </c>
      <c r="AW194" s="14" t="str">
        <f t="shared" si="78"/>
        <v>{26</v>
      </c>
      <c r="AX194" s="157" t="str" cm="1">
        <f t="array" ref="AX194">SUBSTITUTE(SUBSTITUTE(_xlfn.SWITCH(AM194, "ITM_T_HOME", "ITM_UP1", "ITM_T_END", "ITM_DOWN1", "DOCU_CHR_sub", "ITM_DOWN_ARROW", "DOCU_CHR_super", "ITM_UP_ARROW", "MNU_TAMALPHA", "ITM_alpha", "DOCU_CHR_caseFLIP", "ITM_NULL", "DOCU_CHR_numSET", "ITM_NULL", "DOCU_ITM_RADIX", "ITM_PERIOD", AM194), ".lo", ),"MNU_", "-MNU_")</f>
        <v>ITM_SHIFTg</v>
      </c>
      <c r="AY194" s="157" t="str" cm="1">
        <f t="array" ref="AY194">SUBSTITUTE(SUBSTITUTE(_xlfn.SWITCH(AN194, "ITM_T_HOME", "ITM_UP1", "ITM_T_END", "ITM_DOWN1", "DOCU_CHR_sub", "ITM_DOWN_ARROW", "DOCU_CHR_super", "ITM_UP_ARROW", "MNU_TAMALPHA", "ITM_alpha", "DOCU_CHR_caseFLIP", "ITM_NULL", "DOCU_CHR_numSET", "ITM_NULL", "DOCU_ITM_RADIX", "ITM_PERIOD", AN194), ".lo", ),"MNU_", "-MNU_")</f>
        <v>ITM_NULL</v>
      </c>
      <c r="AZ194" s="157" t="str" cm="1">
        <f t="array" ref="AZ194">SUBSTITUTE(SUBSTITUTE(_xlfn.SWITCH(AO194, "ITM_T_HOME", "ITM_UP1", "ITM_T_END", "ITM_DOWN1", "DOCU_CHR_sub", "ITM_DOWN_ARROW", "DOCU_CHR_super", "ITM_UP_ARROW", "MNU_TAMALPHA", "ITM_alpha", "DOCU_CHR_caseFLIP", "ITM_NULL", "DOCU_CHR_numSET", "ITM_NULL", "DOCU_ITM_RADIX", "ITM_PERIOD", AO194), ".lo", ),"MNU_", "-MNU_")</f>
        <v>ITM_NULL</v>
      </c>
      <c r="BA194" s="173" t="str" cm="1">
        <f t="array" ref="BA194">SUBSTITUTE(SUBSTITUTE(_xlfn.SWITCH(AP194, "ITM_T_HOME", "ITM_UP1", "ITM_T_END", "ITM_DOWN1", "DOCU_CHR_sub", "ITM_DOWN_ARROW", "DOCU_CHR_super", "ITM_UP_ARROW", "MNU_TAMALPHA", "ITM_alpha", "DOCU_CHR_caseFLIP", "ITM_NULL", "DOCU_CHR_numSET", "ITM_NULL", "DOCU_ITM_RADIX", "ITM_PERIOD", AP194), ".lo", ),"MNU_", "-MNU_")</f>
        <v>ITM_SHIFTg</v>
      </c>
      <c r="BB194" s="157" t="str" cm="1">
        <f t="array" ref="BB194">SUBSTITUTE(SUBSTITUTE(_xlfn.SWITCH(AQ194, "ITM_T_HOME", "ITM_UP1", "ITM_T_END", "ITM_DOWN1", "DOCU_CHR_sub", "ITM_DOWN_ARROW", "DOCU_CHR_super", "ITM_UP_ARROW", "MNU_TAMALPHA", "ITM_alpha", "DOCU_CHR_caseFLIP", "ITM_NULL", "DOCU_CHR_numSET", "ITM_NULL", "DOCU_ITM_RADIX", "ITM_PERIOD", AQ194), ".lo", ),"MNU_", "-MNU_")</f>
        <v>ITM_SHIFTg</v>
      </c>
      <c r="BC194" s="157" t="str" cm="1">
        <f t="array" ref="BC194">SUBSTITUTE(SUBSTITUTE(_xlfn.SWITCH(AR194, "ITM_T_HOME", "ITM_UP1", "ITM_T_END", "ITM_DOWN1", "DOCU_CHR_sub", "ITM_DOWN_ARROW", "DOCU_CHR_super", "ITM_UP_ARROW", "MNU_TAMALPHA", "ITM_alpha", "DOCU_CHR_caseFLIP", "ITM_NULL", "DOCU_CHR_numSET", "ITM_NULL", "DOCU_ITM_RADIX", "ITM_PERIOD", AR194), ".lo", ),"MNU_", "-MNU_")</f>
        <v>ITM_NULL</v>
      </c>
      <c r="BD194" s="157" t="str" cm="1">
        <f t="array" ref="BD194">SUBSTITUTE(SUBSTITUTE(_xlfn.SWITCH(AS194, "ITM_T_HOME", "ITM_UP1", "ITM_T_END", "ITM_DOWN1", "DOCU_CHR_sub", "ITM_DOWN_ARROW", "DOCU_CHR_super", "ITM_UP_ARROW", "MNU_TAMALPHA", "ITM_alpha", "DOCU_CHR_caseFLIP", "ITM_NULL", "DOCU_CHR_numSET", "ITM_NULL", "DOCU_ITM_RADIX", "ITM_PERIOD", AS194), ".lo", ),"MNU_", "-MNU_")</f>
        <v>ITM_NULL</v>
      </c>
      <c r="BE194" s="157" t="str" cm="1">
        <f t="array" ref="BE194">SUBSTITUTE(SUBSTITUTE(_xlfn.SWITCH(AT194, "ITM_T_HOME", "ITM_UP1", "ITM_T_END", "ITM_DOWN1", "DOCU_CHR_sub", "ITM_DOWN_ARROW", "DOCU_CHR_super", "ITM_UP_ARROW", "MNU_TAMALPHA", "ITM_alpha", "DOCU_CHR_caseFLIP", "ITM_NULL", "DOCU_CHR_numSET", "ITM_NULL", "DOCU_ITM_RADIX", "ITM_PERIOD", AT194), ".lo", ),"MNU_", "-MNU_")</f>
        <v>ITM_SHIFTg</v>
      </c>
      <c r="BG194" s="75"/>
      <c r="BI194" s="13" t="str">
        <f t="shared" si="76"/>
        <v xml:space="preserve">  {26,                  ITM_SHIFTg,           ITM_NULL,             ITM_NULL,             ITM_SHIFTg,           ITM_SHIFTg,           ITM_NULL,             ITM_NULL,             ITM_SHIFTg          },</v>
      </c>
    </row>
    <row r="195" spans="24:61" ht="21" x14ac:dyDescent="0.2">
      <c r="X195" s="135" t="str">
        <f t="shared" si="66"/>
        <v>V47</v>
      </c>
      <c r="Y195" s="106">
        <v>3</v>
      </c>
      <c r="Z195" s="106">
        <v>1</v>
      </c>
      <c r="AA195" s="112" t="str">
        <f t="shared" si="67"/>
        <v>V47.31</v>
      </c>
      <c r="AB195" s="117" t="s">
        <v>88</v>
      </c>
      <c r="AC195" s="118" t="s">
        <v>89</v>
      </c>
      <c r="AD195" s="119" t="s">
        <v>90</v>
      </c>
      <c r="AE195" s="3"/>
      <c r="AF195" s="49" t="s">
        <v>78</v>
      </c>
      <c r="AG195" s="77" t="b">
        <f t="shared" si="77"/>
        <v>1</v>
      </c>
      <c r="AH195" s="83" t="str">
        <f t="shared" si="68"/>
        <v>e</v>
      </c>
      <c r="AI195" s="84" t="str">
        <f t="shared" si="69"/>
        <v>|</v>
      </c>
      <c r="AJ195" s="85" t="str">
        <f t="shared" si="70"/>
        <v xml:space="preserve"> </v>
      </c>
      <c r="AK195" s="6"/>
      <c r="AL195" s="8" t="str">
        <f t="shared" si="71"/>
        <v>{31</v>
      </c>
      <c r="AM195" s="27" t="str">
        <f t="shared" si="72"/>
        <v>ITM_STO</v>
      </c>
      <c r="AN195" s="27" t="str">
        <f t="shared" si="73"/>
        <v>ITM_MAGNITUDE</v>
      </c>
      <c r="AO195" s="64" t="str">
        <f t="shared" si="74"/>
        <v>ITM_ARG</v>
      </c>
      <c r="AP195" s="46" t="str">
        <f>IF(NOT(ISNA(MATCH(AM195,Lookups!E:E,))),VLOOKUP(AM195,Lookups!E:F,2,0),
IF(NOT(ISNA(MATCH(AN195,Lookups!E:E,))),VLOOKUP(AN195,Lookups!E:F,2,0),
IF(NOT(ISNA(MATCH(AO195,Lookups!E:E,))),VLOOKUP(AO195,Lookups!E:F,2,0),"ITM_NULL")))</f>
        <v>ITM_NULL</v>
      </c>
      <c r="AQ195" s="28" t="str">
        <f t="shared" si="75"/>
        <v>ITM_E</v>
      </c>
      <c r="AR195" s="195" t="s">
        <v>79</v>
      </c>
      <c r="AS195" s="186" t="s">
        <v>93</v>
      </c>
      <c r="AT195" s="197" t="s">
        <v>81</v>
      </c>
      <c r="AW195" s="14" t="str">
        <f t="shared" si="78"/>
        <v>{31</v>
      </c>
      <c r="AX195" s="157" t="str" cm="1">
        <f t="array" ref="AX195">SUBSTITUTE(SUBSTITUTE(_xlfn.SWITCH(AM195, "ITM_T_HOME", "ITM_UP1", "ITM_T_END", "ITM_DOWN1", "DOCU_CHR_sub", "ITM_DOWN_ARROW", "DOCU_CHR_super", "ITM_UP_ARROW", "MNU_TAMALPHA", "ITM_alpha", "DOCU_CHR_caseFLIP", "ITM_NULL", "DOCU_CHR_numSET", "ITM_NULL", "DOCU_ITM_RADIX", "ITM_PERIOD", AM195), ".lo", ),"MNU_", "-MNU_")</f>
        <v>ITM_STO</v>
      </c>
      <c r="AY195" s="157" t="str" cm="1">
        <f t="array" ref="AY195">SUBSTITUTE(SUBSTITUTE(_xlfn.SWITCH(AN195, "ITM_T_HOME", "ITM_UP1", "ITM_T_END", "ITM_DOWN1", "DOCU_CHR_sub", "ITM_DOWN_ARROW", "DOCU_CHR_super", "ITM_UP_ARROW", "MNU_TAMALPHA", "ITM_alpha", "DOCU_CHR_caseFLIP", "ITM_NULL", "DOCU_CHR_numSET", "ITM_NULL", "DOCU_ITM_RADIX", "ITM_PERIOD", AN195), ".lo", ),"MNU_", "-MNU_")</f>
        <v>ITM_MAGNITUDE</v>
      </c>
      <c r="AZ195" s="157" t="str" cm="1">
        <f t="array" ref="AZ195">SUBSTITUTE(SUBSTITUTE(_xlfn.SWITCH(AO195, "ITM_T_HOME", "ITM_UP1", "ITM_T_END", "ITM_DOWN1", "DOCU_CHR_sub", "ITM_DOWN_ARROW", "DOCU_CHR_super", "ITM_UP_ARROW", "MNU_TAMALPHA", "ITM_alpha", "DOCU_CHR_caseFLIP", "ITM_NULL", "DOCU_CHR_numSET", "ITM_NULL", "DOCU_ITM_RADIX", "ITM_PERIOD", AO195), ".lo", ),"MNU_", "-MNU_")</f>
        <v>ITM_ARG</v>
      </c>
      <c r="BA195" s="173" t="str" cm="1">
        <f t="array" ref="BA195">SUBSTITUTE(SUBSTITUTE(_xlfn.SWITCH(AP195, "ITM_T_HOME", "ITM_UP1", "ITM_T_END", "ITM_DOWN1", "DOCU_CHR_sub", "ITM_DOWN_ARROW", "DOCU_CHR_super", "ITM_UP_ARROW", "MNU_TAMALPHA", "ITM_alpha", "DOCU_CHR_caseFLIP", "ITM_NULL", "DOCU_CHR_numSET", "ITM_NULL", "DOCU_ITM_RADIX", "ITM_PERIOD", AP195), ".lo", ),"MNU_", "-MNU_")</f>
        <v>ITM_NULL</v>
      </c>
      <c r="BB195" s="157" t="str" cm="1">
        <f t="array" ref="BB195">SUBSTITUTE(SUBSTITUTE(_xlfn.SWITCH(AQ195, "ITM_T_HOME", "ITM_UP1", "ITM_T_END", "ITM_DOWN1", "DOCU_CHR_sub", "ITM_DOWN_ARROW", "DOCU_CHR_super", "ITM_UP_ARROW", "MNU_TAMALPHA", "ITM_alpha", "DOCU_CHR_caseFLIP", "ITM_NULL", "DOCU_CHR_numSET", "ITM_NULL", "DOCU_ITM_RADIX", "ITM_PERIOD", AQ195), ".lo", ),"MNU_", "-MNU_")</f>
        <v>ITM_E</v>
      </c>
      <c r="BC195" s="157" t="str" cm="1">
        <f t="array" ref="BC195">SUBSTITUTE(SUBSTITUTE(_xlfn.SWITCH(AR195, "ITM_T_HOME", "ITM_UP1", "ITM_T_END", "ITM_DOWN1", "DOCU_CHR_sub", "ITM_DOWN_ARROW", "DOCU_CHR_super", "ITM_UP_ARROW", "MNU_TAMALPHA", "ITM_alpha", "DOCU_CHR_caseFLIP", "ITM_NULL", "DOCU_CHR_numSET", "ITM_NULL", "DOCU_ITM_RADIX", "ITM_PERIOD", AR195), ".lo", ),"MNU_", "-MNU_")</f>
        <v>ITM_e</v>
      </c>
      <c r="BD195" s="157" t="str" cm="1">
        <f t="array" ref="BD195">SUBSTITUTE(SUBSTITUTE(_xlfn.SWITCH(AS195, "ITM_T_HOME", "ITM_UP1", "ITM_T_END", "ITM_DOWN1", "DOCU_CHR_sub", "ITM_DOWN_ARROW", "DOCU_CHR_super", "ITM_UP_ARROW", "MNU_TAMALPHA", "ITM_alpha", "DOCU_CHR_caseFLIP", "ITM_NULL", "DOCU_CHR_numSET", "ITM_NULL", "DOCU_ITM_RADIX", "ITM_PERIOD", AS195), ".lo", ),"MNU_", "-MNU_")</f>
        <v>ITM_VERTICAL_BAR</v>
      </c>
      <c r="BE195" s="157" t="str" cm="1">
        <f t="array" ref="BE195">SUBSTITUTE(SUBSTITUTE(_xlfn.SWITCH(AT195, "ITM_T_HOME", "ITM_UP1", "ITM_T_END", "ITM_DOWN1", "DOCU_CHR_sub", "ITM_DOWN_ARROW", "DOCU_CHR_super", "ITM_UP_ARROW", "MNU_TAMALPHA", "ITM_alpha", "DOCU_CHR_caseFLIP", "ITM_NULL", "DOCU_CHR_numSET", "ITM_NULL", "DOCU_ITM_RADIX", "ITM_PERIOD", AT195), ".lo", ),"MNU_", "-MNU_")</f>
        <v>ITM_NULL</v>
      </c>
      <c r="BG195" s="75"/>
      <c r="BI195" s="13" t="str">
        <f t="shared" si="76"/>
        <v xml:space="preserve">  {31,                  ITM_STO,              ITM_MAGNITUDE,        ITM_ARG,              ITM_NULL,             ITM_E,                ITM_e,                ITM_VERTICAL_BAR,     ITM_NULL            },</v>
      </c>
    </row>
    <row r="196" spans="24:61" ht="21" x14ac:dyDescent="0.2">
      <c r="X196" s="135" t="str">
        <f t="shared" si="66"/>
        <v>V47</v>
      </c>
      <c r="Y196" s="109">
        <v>3</v>
      </c>
      <c r="Z196" s="109">
        <v>2</v>
      </c>
      <c r="AA196" s="112" t="str">
        <f t="shared" si="67"/>
        <v>V47.32</v>
      </c>
      <c r="AB196" s="117" t="s">
        <v>94</v>
      </c>
      <c r="AC196" s="118" t="s">
        <v>95</v>
      </c>
      <c r="AD196" s="119" t="s">
        <v>96</v>
      </c>
      <c r="AE196" s="3"/>
      <c r="AF196" s="49" t="s">
        <v>85</v>
      </c>
      <c r="AG196" s="77" t="b">
        <f t="shared" si="77"/>
        <v>1</v>
      </c>
      <c r="AH196" s="83" t="str">
        <f t="shared" si="68"/>
        <v>f</v>
      </c>
      <c r="AI196" s="84" t="str">
        <f t="shared" si="69"/>
        <v>Delta</v>
      </c>
      <c r="AJ196" s="85" t="str">
        <f t="shared" si="70"/>
        <v>HEX</v>
      </c>
      <c r="AK196" s="6"/>
      <c r="AL196" s="8" t="str">
        <f t="shared" si="71"/>
        <v>{32</v>
      </c>
      <c r="AM196" s="27" t="str">
        <f t="shared" si="72"/>
        <v>ITM_RCL</v>
      </c>
      <c r="AN196" s="27" t="str">
        <f t="shared" si="73"/>
        <v>ITM_PC</v>
      </c>
      <c r="AO196" s="64" t="str">
        <f t="shared" si="74"/>
        <v>ITM_DELTAPC</v>
      </c>
      <c r="AP196" s="46" t="str">
        <f>IF(NOT(ISNA(MATCH(AM196,Lookups!E:E,))),VLOOKUP(AM196,Lookups!E:F,2,0),
IF(NOT(ISNA(MATCH(AN196,Lookups!E:E,))),VLOOKUP(AN196,Lookups!E:F,2,0),
IF(NOT(ISNA(MATCH(AO196,Lookups!E:E,))),VLOOKUP(AO196,Lookups!E:F,2,0),"ITM_NULL")))</f>
        <v>ITM_NULL</v>
      </c>
      <c r="AQ196" s="28" t="str">
        <f t="shared" si="75"/>
        <v>ITM_F</v>
      </c>
      <c r="AR196" s="195" t="s">
        <v>86</v>
      </c>
      <c r="AS196" s="186" t="s">
        <v>99</v>
      </c>
      <c r="AT196" s="197" t="s">
        <v>667</v>
      </c>
      <c r="AW196" s="14" t="str">
        <f t="shared" si="78"/>
        <v>{32</v>
      </c>
      <c r="AX196" s="157" t="str" cm="1">
        <f t="array" ref="AX196">SUBSTITUTE(SUBSTITUTE(_xlfn.SWITCH(AM196, "ITM_T_HOME", "ITM_UP1", "ITM_T_END", "ITM_DOWN1", "DOCU_CHR_sub", "ITM_DOWN_ARROW", "DOCU_CHR_super", "ITM_UP_ARROW", "MNU_TAMALPHA", "ITM_alpha", "DOCU_CHR_caseFLIP", "ITM_NULL", "DOCU_CHR_numSET", "ITM_NULL", "DOCU_ITM_RADIX", "ITM_PERIOD", AM196), ".lo", ),"MNU_", "-MNU_")</f>
        <v>ITM_RCL</v>
      </c>
      <c r="AY196" s="157" t="str" cm="1">
        <f t="array" ref="AY196">SUBSTITUTE(SUBSTITUTE(_xlfn.SWITCH(AN196, "ITM_T_HOME", "ITM_UP1", "ITM_T_END", "ITM_DOWN1", "DOCU_CHR_sub", "ITM_DOWN_ARROW", "DOCU_CHR_super", "ITM_UP_ARROW", "MNU_TAMALPHA", "ITM_alpha", "DOCU_CHR_caseFLIP", "ITM_NULL", "DOCU_CHR_numSET", "ITM_NULL", "DOCU_ITM_RADIX", "ITM_PERIOD", AN196), ".lo", ),"MNU_", "-MNU_")</f>
        <v>ITM_PC</v>
      </c>
      <c r="AZ196" s="157" t="str" cm="1">
        <f t="array" ref="AZ196">SUBSTITUTE(SUBSTITUTE(_xlfn.SWITCH(AO196, "ITM_T_HOME", "ITM_UP1", "ITM_T_END", "ITM_DOWN1", "DOCU_CHR_sub", "ITM_DOWN_ARROW", "DOCU_CHR_super", "ITM_UP_ARROW", "MNU_TAMALPHA", "ITM_alpha", "DOCU_CHR_caseFLIP", "ITM_NULL", "DOCU_CHR_numSET", "ITM_NULL", "DOCU_ITM_RADIX", "ITM_PERIOD", AO196), ".lo", ),"MNU_", "-MNU_")</f>
        <v>ITM_DELTAPC</v>
      </c>
      <c r="BA196" s="173" t="str" cm="1">
        <f t="array" ref="BA196">SUBSTITUTE(SUBSTITUTE(_xlfn.SWITCH(AP196, "ITM_T_HOME", "ITM_UP1", "ITM_T_END", "ITM_DOWN1", "DOCU_CHR_sub", "ITM_DOWN_ARROW", "DOCU_CHR_super", "ITM_UP_ARROW", "MNU_TAMALPHA", "ITM_alpha", "DOCU_CHR_caseFLIP", "ITM_NULL", "DOCU_CHR_numSET", "ITM_NULL", "DOCU_ITM_RADIX", "ITM_PERIOD", AP196), ".lo", ),"MNU_", "-MNU_")</f>
        <v>ITM_NULL</v>
      </c>
      <c r="BB196" s="157" t="str" cm="1">
        <f t="array" ref="BB196">SUBSTITUTE(SUBSTITUTE(_xlfn.SWITCH(AQ196, "ITM_T_HOME", "ITM_UP1", "ITM_T_END", "ITM_DOWN1", "DOCU_CHR_sub", "ITM_DOWN_ARROW", "DOCU_CHR_super", "ITM_UP_ARROW", "MNU_TAMALPHA", "ITM_alpha", "DOCU_CHR_caseFLIP", "ITM_NULL", "DOCU_CHR_numSET", "ITM_NULL", "DOCU_ITM_RADIX", "ITM_PERIOD", AQ196), ".lo", ),"MNU_", "-MNU_")</f>
        <v>ITM_F</v>
      </c>
      <c r="BC196" s="157" t="str" cm="1">
        <f t="array" ref="BC196">SUBSTITUTE(SUBSTITUTE(_xlfn.SWITCH(AR196, "ITM_T_HOME", "ITM_UP1", "ITM_T_END", "ITM_DOWN1", "DOCU_CHR_sub", "ITM_DOWN_ARROW", "DOCU_CHR_super", "ITM_UP_ARROW", "MNU_TAMALPHA", "ITM_alpha", "DOCU_CHR_caseFLIP", "ITM_NULL", "DOCU_CHR_numSET", "ITM_NULL", "DOCU_ITM_RADIX", "ITM_PERIOD", AR196), ".lo", ),"MNU_", "-MNU_")</f>
        <v>ITM_f</v>
      </c>
      <c r="BD196" s="157" t="str" cm="1">
        <f t="array" ref="BD196">SUBSTITUTE(SUBSTITUTE(_xlfn.SWITCH(AS196, "ITM_T_HOME", "ITM_UP1", "ITM_T_END", "ITM_DOWN1", "DOCU_CHR_sub", "ITM_DOWN_ARROW", "DOCU_CHR_super", "ITM_UP_ARROW", "MNU_TAMALPHA", "ITM_alpha", "DOCU_CHR_caseFLIP", "ITM_NULL", "DOCU_CHR_numSET", "ITM_NULL", "DOCU_ITM_RADIX", "ITM_PERIOD", AS196), ".lo", ),"MNU_", "-MNU_")</f>
        <v>ITM_DELTA</v>
      </c>
      <c r="BE196" s="157" t="str" cm="1">
        <f t="array" ref="BE196">SUBSTITUTE(SUBSTITUTE(_xlfn.SWITCH(AT196, "ITM_T_HOME", "ITM_UP1", "ITM_T_END", "ITM_DOWN1", "DOCU_CHR_sub", "ITM_DOWN_ARROW", "DOCU_CHR_super", "ITM_UP_ARROW", "MNU_TAMALPHA", "ITM_alpha", "DOCU_CHR_caseFLIP", "ITM_NULL", "DOCU_CHR_numSET", "ITM_NULL", "DOCU_ITM_RADIX", "ITM_PERIOD", AT196), ".lo", ),"MNU_", "-MNU_")</f>
        <v>ITM_2HEX</v>
      </c>
      <c r="BG196" s="75"/>
      <c r="BI196" s="13" t="str">
        <f t="shared" si="76"/>
        <v xml:space="preserve">  {32,                  ITM_RCL,              ITM_PC,               ITM_DELTAPC,          ITM_NULL,             ITM_F,                ITM_f,                ITM_DELTA,            ITM_2HEX            },</v>
      </c>
    </row>
    <row r="197" spans="24:61" ht="21" x14ac:dyDescent="0.2">
      <c r="X197" s="135" t="str">
        <f t="shared" si="66"/>
        <v>V47</v>
      </c>
      <c r="Y197" s="109">
        <v>3</v>
      </c>
      <c r="Z197" s="109">
        <v>3</v>
      </c>
      <c r="AA197" s="112" t="str">
        <f t="shared" si="67"/>
        <v>V47.33</v>
      </c>
      <c r="AB197" s="117" t="s">
        <v>101</v>
      </c>
      <c r="AC197" s="118" t="s">
        <v>102</v>
      </c>
      <c r="AD197" s="119" t="s">
        <v>103</v>
      </c>
      <c r="AE197" s="3"/>
      <c r="AF197" s="49" t="s">
        <v>91</v>
      </c>
      <c r="AG197" s="77" t="b">
        <f t="shared" si="77"/>
        <v>1</v>
      </c>
      <c r="AH197" s="83" t="str">
        <f t="shared" si="68"/>
        <v>g</v>
      </c>
      <c r="AI197" s="84" t="str">
        <f t="shared" si="69"/>
        <v>pi</v>
      </c>
      <c r="AJ197" s="85" t="str">
        <f t="shared" si="70"/>
        <v xml:space="preserve"> </v>
      </c>
      <c r="AK197" s="6"/>
      <c r="AL197" s="8" t="str">
        <f t="shared" si="71"/>
        <v>{33</v>
      </c>
      <c r="AM197" s="27" t="str">
        <f t="shared" si="72"/>
        <v>ITM_Rdown</v>
      </c>
      <c r="AN197" s="64" t="str">
        <f t="shared" si="73"/>
        <v>ITM_CONSTpi</v>
      </c>
      <c r="AO197" s="27" t="str">
        <f t="shared" si="74"/>
        <v>ITM_XTHROOT</v>
      </c>
      <c r="AP197" s="46" t="str">
        <f>IF(NOT(ISNA(MATCH(AM197,Lookups!E:E,))),VLOOKUP(AM197,Lookups!E:F,2,0),
IF(NOT(ISNA(MATCH(AN197,Lookups!E:E,))),VLOOKUP(AN197,Lookups!E:F,2,0),
IF(NOT(ISNA(MATCH(AO197,Lookups!E:E,))),VLOOKUP(AO197,Lookups!E:F,2,0),"ITM_NULL")))</f>
        <v>ITM_NULL</v>
      </c>
      <c r="AQ197" s="28" t="str">
        <f t="shared" si="75"/>
        <v>ITM_G</v>
      </c>
      <c r="AR197" s="195" t="s">
        <v>92</v>
      </c>
      <c r="AS197" s="186" t="s">
        <v>106</v>
      </c>
      <c r="AT197" s="197" t="s">
        <v>81</v>
      </c>
      <c r="AW197" s="14" t="str">
        <f t="shared" si="78"/>
        <v>{33</v>
      </c>
      <c r="AX197" s="157" t="str" cm="1">
        <f t="array" ref="AX197">SUBSTITUTE(SUBSTITUTE(_xlfn.SWITCH(AM197, "ITM_T_HOME", "ITM_UP1", "ITM_T_END", "ITM_DOWN1", "DOCU_CHR_sub", "ITM_DOWN_ARROW", "DOCU_CHR_super", "ITM_UP_ARROW", "MNU_TAMALPHA", "ITM_alpha", "DOCU_CHR_caseFLIP", "ITM_NULL", "DOCU_CHR_numSET", "ITM_NULL", "DOCU_ITM_RADIX", "ITM_PERIOD", AM197), ".lo", ),"MNU_", "-MNU_")</f>
        <v>ITM_Rdown</v>
      </c>
      <c r="AY197" s="157" t="str" cm="1">
        <f t="array" ref="AY197">SUBSTITUTE(SUBSTITUTE(_xlfn.SWITCH(AN197, "ITM_T_HOME", "ITM_UP1", "ITM_T_END", "ITM_DOWN1", "DOCU_CHR_sub", "ITM_DOWN_ARROW", "DOCU_CHR_super", "ITM_UP_ARROW", "MNU_TAMALPHA", "ITM_alpha", "DOCU_CHR_caseFLIP", "ITM_NULL", "DOCU_CHR_numSET", "ITM_NULL", "DOCU_ITM_RADIX", "ITM_PERIOD", AN197), ".lo", ),"MNU_", "-MNU_")</f>
        <v>ITM_CONSTpi</v>
      </c>
      <c r="AZ197" s="157" t="str" cm="1">
        <f t="array" ref="AZ197">SUBSTITUTE(SUBSTITUTE(_xlfn.SWITCH(AO197, "ITM_T_HOME", "ITM_UP1", "ITM_T_END", "ITM_DOWN1", "DOCU_CHR_sub", "ITM_DOWN_ARROW", "DOCU_CHR_super", "ITM_UP_ARROW", "MNU_TAMALPHA", "ITM_alpha", "DOCU_CHR_caseFLIP", "ITM_NULL", "DOCU_CHR_numSET", "ITM_NULL", "DOCU_ITM_RADIX", "ITM_PERIOD", AO197), ".lo", ),"MNU_", "-MNU_")</f>
        <v>ITM_XTHROOT</v>
      </c>
      <c r="BA197" s="173" t="str" cm="1">
        <f t="array" ref="BA197">SUBSTITUTE(SUBSTITUTE(_xlfn.SWITCH(AP197, "ITM_T_HOME", "ITM_UP1", "ITM_T_END", "ITM_DOWN1", "DOCU_CHR_sub", "ITM_DOWN_ARROW", "DOCU_CHR_super", "ITM_UP_ARROW", "MNU_TAMALPHA", "ITM_alpha", "DOCU_CHR_caseFLIP", "ITM_NULL", "DOCU_CHR_numSET", "ITM_NULL", "DOCU_ITM_RADIX", "ITM_PERIOD", AP197), ".lo", ),"MNU_", "-MNU_")</f>
        <v>ITM_NULL</v>
      </c>
      <c r="BB197" s="157" t="str" cm="1">
        <f t="array" ref="BB197">SUBSTITUTE(SUBSTITUTE(_xlfn.SWITCH(AQ197, "ITM_T_HOME", "ITM_UP1", "ITM_T_END", "ITM_DOWN1", "DOCU_CHR_sub", "ITM_DOWN_ARROW", "DOCU_CHR_super", "ITM_UP_ARROW", "MNU_TAMALPHA", "ITM_alpha", "DOCU_CHR_caseFLIP", "ITM_NULL", "DOCU_CHR_numSET", "ITM_NULL", "DOCU_ITM_RADIX", "ITM_PERIOD", AQ197), ".lo", ),"MNU_", "-MNU_")</f>
        <v>ITM_G</v>
      </c>
      <c r="BC197" s="157" t="str" cm="1">
        <f t="array" ref="BC197">SUBSTITUTE(SUBSTITUTE(_xlfn.SWITCH(AR197, "ITM_T_HOME", "ITM_UP1", "ITM_T_END", "ITM_DOWN1", "DOCU_CHR_sub", "ITM_DOWN_ARROW", "DOCU_CHR_super", "ITM_UP_ARROW", "MNU_TAMALPHA", "ITM_alpha", "DOCU_CHR_caseFLIP", "ITM_NULL", "DOCU_CHR_numSET", "ITM_NULL", "DOCU_ITM_RADIX", "ITM_PERIOD", AR197), ".lo", ),"MNU_", "-MNU_")</f>
        <v>ITM_g</v>
      </c>
      <c r="BD197" s="157" t="str" cm="1">
        <f t="array" ref="BD197">SUBSTITUTE(SUBSTITUTE(_xlfn.SWITCH(AS197, "ITM_T_HOME", "ITM_UP1", "ITM_T_END", "ITM_DOWN1", "DOCU_CHR_sub", "ITM_DOWN_ARROW", "DOCU_CHR_super", "ITM_UP_ARROW", "MNU_TAMALPHA", "ITM_alpha", "DOCU_CHR_caseFLIP", "ITM_NULL", "DOCU_CHR_numSET", "ITM_NULL", "DOCU_ITM_RADIX", "ITM_PERIOD", AS197), ".lo", ),"MNU_", "-MNU_")</f>
        <v>ITM_pi</v>
      </c>
      <c r="BE197" s="157" t="str" cm="1">
        <f t="array" ref="BE197">SUBSTITUTE(SUBSTITUTE(_xlfn.SWITCH(AT197, "ITM_T_HOME", "ITM_UP1", "ITM_T_END", "ITM_DOWN1", "DOCU_CHR_sub", "ITM_DOWN_ARROW", "DOCU_CHR_super", "ITM_UP_ARROW", "MNU_TAMALPHA", "ITM_alpha", "DOCU_CHR_caseFLIP", "ITM_NULL", "DOCU_CHR_numSET", "ITM_NULL", "DOCU_ITM_RADIX", "ITM_PERIOD", AT197), ".lo", ),"MNU_", "-MNU_")</f>
        <v>ITM_NULL</v>
      </c>
      <c r="BG197" s="75"/>
      <c r="BI197" s="13" t="str">
        <f t="shared" si="76"/>
        <v xml:space="preserve">  {33,                  ITM_Rdown,            ITM_CONSTpi,          ITM_XTHROOT,          ITM_NULL,             ITM_G,                ITM_g,                ITM_pi,               ITM_NULL            },</v>
      </c>
    </row>
    <row r="198" spans="24:61" ht="21" x14ac:dyDescent="0.2">
      <c r="X198" s="135" t="str">
        <f t="shared" si="66"/>
        <v>V47</v>
      </c>
      <c r="Y198" s="109">
        <v>3</v>
      </c>
      <c r="Z198" s="109">
        <v>4</v>
      </c>
      <c r="AA198" s="112" t="str">
        <f t="shared" si="67"/>
        <v>V47.34</v>
      </c>
      <c r="AB198" s="117" t="s">
        <v>108</v>
      </c>
      <c r="AC198" s="118" t="s">
        <v>109</v>
      </c>
      <c r="AD198" s="119" t="s">
        <v>110</v>
      </c>
      <c r="AE198" s="3"/>
      <c r="AF198" s="49" t="s">
        <v>97</v>
      </c>
      <c r="AG198" s="77" t="b">
        <f t="shared" si="77"/>
        <v>1</v>
      </c>
      <c r="AH198" s="83" t="str">
        <f t="shared" si="68"/>
        <v>h</v>
      </c>
      <c r="AI198" s="84" t="str">
        <f t="shared" si="69"/>
        <v>SIN</v>
      </c>
      <c r="AJ198" s="94" t="str">
        <f t="shared" si="70"/>
        <v xml:space="preserve"> </v>
      </c>
      <c r="AK198" s="6"/>
      <c r="AL198" s="8" t="str">
        <f t="shared" si="71"/>
        <v>{34</v>
      </c>
      <c r="AM198" s="27" t="str">
        <f t="shared" si="72"/>
        <v>ITM_sin</v>
      </c>
      <c r="AN198" s="27" t="str">
        <f t="shared" si="73"/>
        <v>ITM_arcsin</v>
      </c>
      <c r="AO198" s="27" t="str">
        <f t="shared" si="74"/>
        <v>ITM_op_j</v>
      </c>
      <c r="AP198" s="46" t="str">
        <f>IF(NOT(ISNA(MATCH(AM198,Lookups!E:E,))),VLOOKUP(AM198,Lookups!E:F,2,0),
IF(NOT(ISNA(MATCH(AN198,Lookups!E:E,))),VLOOKUP(AN198,Lookups!E:F,2,0),
IF(NOT(ISNA(MATCH(AO198,Lookups!E:E,))),VLOOKUP(AO198,Lookups!E:F,2,0),"ITM_NULL")))</f>
        <v>ITM_NULL</v>
      </c>
      <c r="AQ198" s="28" t="str">
        <f t="shared" si="75"/>
        <v>ITM_H</v>
      </c>
      <c r="AR198" s="195" t="s">
        <v>98</v>
      </c>
      <c r="AS198" s="186" t="s">
        <v>113</v>
      </c>
      <c r="AT198" s="197" t="s">
        <v>81</v>
      </c>
      <c r="AW198" s="14" t="str">
        <f t="shared" si="78"/>
        <v>{34</v>
      </c>
      <c r="AX198" s="157" t="str" cm="1">
        <f t="array" ref="AX198">SUBSTITUTE(SUBSTITUTE(_xlfn.SWITCH(AM198, "ITM_T_HOME", "ITM_UP1", "ITM_T_END", "ITM_DOWN1", "DOCU_CHR_sub", "ITM_DOWN_ARROW", "DOCU_CHR_super", "ITM_UP_ARROW", "MNU_TAMALPHA", "ITM_alpha", "DOCU_CHR_caseFLIP", "ITM_NULL", "DOCU_CHR_numSET", "ITM_NULL", "DOCU_ITM_RADIX", "ITM_PERIOD", AM198), ".lo", ),"MNU_", "-MNU_")</f>
        <v>ITM_sin</v>
      </c>
      <c r="AY198" s="157" t="str" cm="1">
        <f t="array" ref="AY198">SUBSTITUTE(SUBSTITUTE(_xlfn.SWITCH(AN198, "ITM_T_HOME", "ITM_UP1", "ITM_T_END", "ITM_DOWN1", "DOCU_CHR_sub", "ITM_DOWN_ARROW", "DOCU_CHR_super", "ITM_UP_ARROW", "MNU_TAMALPHA", "ITM_alpha", "DOCU_CHR_caseFLIP", "ITM_NULL", "DOCU_CHR_numSET", "ITM_NULL", "DOCU_ITM_RADIX", "ITM_PERIOD", AN198), ".lo", ),"MNU_", "-MNU_")</f>
        <v>ITM_arcsin</v>
      </c>
      <c r="AZ198" s="157" t="str" cm="1">
        <f t="array" ref="AZ198">SUBSTITUTE(SUBSTITUTE(_xlfn.SWITCH(AO198, "ITM_T_HOME", "ITM_UP1", "ITM_T_END", "ITM_DOWN1", "DOCU_CHR_sub", "ITM_DOWN_ARROW", "DOCU_CHR_super", "ITM_UP_ARROW", "MNU_TAMALPHA", "ITM_alpha", "DOCU_CHR_caseFLIP", "ITM_NULL", "DOCU_CHR_numSET", "ITM_NULL", "DOCU_ITM_RADIX", "ITM_PERIOD", AO198), ".lo", ),"MNU_", "-MNU_")</f>
        <v>ITM_op_j</v>
      </c>
      <c r="BA198" s="173" t="str" cm="1">
        <f t="array" ref="BA198">SUBSTITUTE(SUBSTITUTE(_xlfn.SWITCH(AP198, "ITM_T_HOME", "ITM_UP1", "ITM_T_END", "ITM_DOWN1", "DOCU_CHR_sub", "ITM_DOWN_ARROW", "DOCU_CHR_super", "ITM_UP_ARROW", "MNU_TAMALPHA", "ITM_alpha", "DOCU_CHR_caseFLIP", "ITM_NULL", "DOCU_CHR_numSET", "ITM_NULL", "DOCU_ITM_RADIX", "ITM_PERIOD", AP198), ".lo", ),"MNU_", "-MNU_")</f>
        <v>ITM_NULL</v>
      </c>
      <c r="BB198" s="157" t="str" cm="1">
        <f t="array" ref="BB198">SUBSTITUTE(SUBSTITUTE(_xlfn.SWITCH(AQ198, "ITM_T_HOME", "ITM_UP1", "ITM_T_END", "ITM_DOWN1", "DOCU_CHR_sub", "ITM_DOWN_ARROW", "DOCU_CHR_super", "ITM_UP_ARROW", "MNU_TAMALPHA", "ITM_alpha", "DOCU_CHR_caseFLIP", "ITM_NULL", "DOCU_CHR_numSET", "ITM_NULL", "DOCU_ITM_RADIX", "ITM_PERIOD", AQ198), ".lo", ),"MNU_", "-MNU_")</f>
        <v>ITM_H</v>
      </c>
      <c r="BC198" s="157" t="str" cm="1">
        <f t="array" ref="BC198">SUBSTITUTE(SUBSTITUTE(_xlfn.SWITCH(AR198, "ITM_T_HOME", "ITM_UP1", "ITM_T_END", "ITM_DOWN1", "DOCU_CHR_sub", "ITM_DOWN_ARROW", "DOCU_CHR_super", "ITM_UP_ARROW", "MNU_TAMALPHA", "ITM_alpha", "DOCU_CHR_caseFLIP", "ITM_NULL", "DOCU_CHR_numSET", "ITM_NULL", "DOCU_ITM_RADIX", "ITM_PERIOD", AR198), ".lo", ),"MNU_", "-MNU_")</f>
        <v>ITM_h</v>
      </c>
      <c r="BD198" s="157" t="str" cm="1">
        <f t="array" ref="BD198">SUBSTITUTE(SUBSTITUTE(_xlfn.SWITCH(AS198, "ITM_T_HOME", "ITM_UP1", "ITM_T_END", "ITM_DOWN1", "DOCU_CHR_sub", "ITM_DOWN_ARROW", "DOCU_CHR_super", "ITM_UP_ARROW", "MNU_TAMALPHA", "ITM_alpha", "DOCU_CHR_caseFLIP", "ITM_NULL", "DOCU_CHR_numSET", "ITM_NULL", "DOCU_ITM_RADIX", "ITM_PERIOD", AS198), ".lo", ),"MNU_", "-MNU_")</f>
        <v>ITM_SIN_SIGN</v>
      </c>
      <c r="BE198" s="157" t="str" cm="1">
        <f t="array" ref="BE198">SUBSTITUTE(SUBSTITUTE(_xlfn.SWITCH(AT198, "ITM_T_HOME", "ITM_UP1", "ITM_T_END", "ITM_DOWN1", "DOCU_CHR_sub", "ITM_DOWN_ARROW", "DOCU_CHR_super", "ITM_UP_ARROW", "MNU_TAMALPHA", "ITM_alpha", "DOCU_CHR_caseFLIP", "ITM_NULL", "DOCU_CHR_numSET", "ITM_NULL", "DOCU_ITM_RADIX", "ITM_PERIOD", AT198), ".lo", ),"MNU_", "-MNU_")</f>
        <v>ITM_NULL</v>
      </c>
      <c r="BG198" s="75"/>
      <c r="BI198" s="13" t="str">
        <f t="shared" si="76"/>
        <v xml:space="preserve">  {34,                  ITM_sin,              ITM_arcsin,           ITM_op_j,             ITM_NULL,             ITM_H,                ITM_h,                ITM_SIN_SIGN,         ITM_NULL            },</v>
      </c>
    </row>
    <row r="199" spans="24:61" ht="21" x14ac:dyDescent="0.2">
      <c r="X199" s="135" t="str">
        <f t="shared" si="66"/>
        <v>V47</v>
      </c>
      <c r="Y199" s="109">
        <v>3</v>
      </c>
      <c r="Z199" s="109">
        <v>5</v>
      </c>
      <c r="AA199" s="112" t="str">
        <f t="shared" si="67"/>
        <v>V47.35</v>
      </c>
      <c r="AB199" s="117" t="s">
        <v>115</v>
      </c>
      <c r="AC199" s="118" t="s">
        <v>116</v>
      </c>
      <c r="AD199" s="119" t="s">
        <v>77</v>
      </c>
      <c r="AE199" s="3"/>
      <c r="AF199" s="49" t="s">
        <v>104</v>
      </c>
      <c r="AG199" s="77" t="b">
        <f t="shared" si="77"/>
        <v>1</v>
      </c>
      <c r="AH199" s="83" t="str">
        <f t="shared" si="68"/>
        <v>i</v>
      </c>
      <c r="AI199" s="84" t="str">
        <f t="shared" si="69"/>
        <v>COS</v>
      </c>
      <c r="AJ199" s="85" t="str">
        <f t="shared" si="70"/>
        <v>Reg I</v>
      </c>
      <c r="AK199" s="6"/>
      <c r="AL199" s="8" t="str">
        <f t="shared" si="71"/>
        <v>{35</v>
      </c>
      <c r="AM199" s="27" t="str">
        <f t="shared" si="72"/>
        <v>ITM_cos</v>
      </c>
      <c r="AN199" s="27" t="str">
        <f t="shared" si="73"/>
        <v>ITM_arccos</v>
      </c>
      <c r="AO199" s="27" t="str">
        <f t="shared" si="74"/>
        <v>ITM_LBL</v>
      </c>
      <c r="AP199" s="46" t="str">
        <f>IF(NOT(ISNA(MATCH(AM199,Lookups!E:E,))),VLOOKUP(AM199,Lookups!E:F,2,0),
IF(NOT(ISNA(MATCH(AN199,Lookups!E:E,))),VLOOKUP(AN199,Lookups!E:F,2,0),
IF(NOT(ISNA(MATCH(AO199,Lookups!E:E,))),VLOOKUP(AO199,Lookups!E:F,2,0),"ITM_NULL")))</f>
        <v>ITM_NULL</v>
      </c>
      <c r="AQ199" s="28" t="str">
        <f t="shared" si="75"/>
        <v>ITM_I</v>
      </c>
      <c r="AR199" s="195" t="s">
        <v>105</v>
      </c>
      <c r="AS199" s="186" t="s">
        <v>120</v>
      </c>
      <c r="AT199" s="196" t="s">
        <v>107</v>
      </c>
      <c r="AW199" s="14" t="str">
        <f t="shared" si="78"/>
        <v>{35</v>
      </c>
      <c r="AX199" s="157" t="str" cm="1">
        <f t="array" ref="AX199">SUBSTITUTE(SUBSTITUTE(_xlfn.SWITCH(AM199, "ITM_T_HOME", "ITM_UP1", "ITM_T_END", "ITM_DOWN1", "DOCU_CHR_sub", "ITM_DOWN_ARROW", "DOCU_CHR_super", "ITM_UP_ARROW", "MNU_TAMALPHA", "ITM_alpha", "DOCU_CHR_caseFLIP", "ITM_NULL", "DOCU_CHR_numSET", "ITM_NULL", "DOCU_ITM_RADIX", "ITM_PERIOD", AM199), ".lo", ),"MNU_", "-MNU_")</f>
        <v>ITM_cos</v>
      </c>
      <c r="AY199" s="157" t="str" cm="1">
        <f t="array" ref="AY199">SUBSTITUTE(SUBSTITUTE(_xlfn.SWITCH(AN199, "ITM_T_HOME", "ITM_UP1", "ITM_T_END", "ITM_DOWN1", "DOCU_CHR_sub", "ITM_DOWN_ARROW", "DOCU_CHR_super", "ITM_UP_ARROW", "MNU_TAMALPHA", "ITM_alpha", "DOCU_CHR_caseFLIP", "ITM_NULL", "DOCU_CHR_numSET", "ITM_NULL", "DOCU_ITM_RADIX", "ITM_PERIOD", AN199), ".lo", ),"MNU_", "-MNU_")</f>
        <v>ITM_arccos</v>
      </c>
      <c r="AZ199" s="157" t="str" cm="1">
        <f t="array" ref="AZ199">SUBSTITUTE(SUBSTITUTE(_xlfn.SWITCH(AO199, "ITM_T_HOME", "ITM_UP1", "ITM_T_END", "ITM_DOWN1", "DOCU_CHR_sub", "ITM_DOWN_ARROW", "DOCU_CHR_super", "ITM_UP_ARROW", "MNU_TAMALPHA", "ITM_alpha", "DOCU_CHR_caseFLIP", "ITM_NULL", "DOCU_CHR_numSET", "ITM_NULL", "DOCU_ITM_RADIX", "ITM_PERIOD", AO199), ".lo", ),"MNU_", "-MNU_")</f>
        <v>ITM_LBL</v>
      </c>
      <c r="BA199" s="173" t="str" cm="1">
        <f t="array" ref="BA199">SUBSTITUTE(SUBSTITUTE(_xlfn.SWITCH(AP199, "ITM_T_HOME", "ITM_UP1", "ITM_T_END", "ITM_DOWN1", "DOCU_CHR_sub", "ITM_DOWN_ARROW", "DOCU_CHR_super", "ITM_UP_ARROW", "MNU_TAMALPHA", "ITM_alpha", "DOCU_CHR_caseFLIP", "ITM_NULL", "DOCU_CHR_numSET", "ITM_NULL", "DOCU_ITM_RADIX", "ITM_PERIOD", AP199), ".lo", ),"MNU_", "-MNU_")</f>
        <v>ITM_NULL</v>
      </c>
      <c r="BB199" s="157" t="str" cm="1">
        <f t="array" ref="BB199">SUBSTITUTE(SUBSTITUTE(_xlfn.SWITCH(AQ199, "ITM_T_HOME", "ITM_UP1", "ITM_T_END", "ITM_DOWN1", "DOCU_CHR_sub", "ITM_DOWN_ARROW", "DOCU_CHR_super", "ITM_UP_ARROW", "MNU_TAMALPHA", "ITM_alpha", "DOCU_CHR_caseFLIP", "ITM_NULL", "DOCU_CHR_numSET", "ITM_NULL", "DOCU_ITM_RADIX", "ITM_PERIOD", AQ199), ".lo", ),"MNU_", "-MNU_")</f>
        <v>ITM_I</v>
      </c>
      <c r="BC199" s="157" t="str" cm="1">
        <f t="array" ref="BC199">SUBSTITUTE(SUBSTITUTE(_xlfn.SWITCH(AR199, "ITM_T_HOME", "ITM_UP1", "ITM_T_END", "ITM_DOWN1", "DOCU_CHR_sub", "ITM_DOWN_ARROW", "DOCU_CHR_super", "ITM_UP_ARROW", "MNU_TAMALPHA", "ITM_alpha", "DOCU_CHR_caseFLIP", "ITM_NULL", "DOCU_CHR_numSET", "ITM_NULL", "DOCU_ITM_RADIX", "ITM_PERIOD", AR199), ".lo", ),"MNU_", "-MNU_")</f>
        <v>ITM_i</v>
      </c>
      <c r="BD199" s="157" t="str" cm="1">
        <f t="array" ref="BD199">SUBSTITUTE(SUBSTITUTE(_xlfn.SWITCH(AS199, "ITM_T_HOME", "ITM_UP1", "ITM_T_END", "ITM_DOWN1", "DOCU_CHR_sub", "ITM_DOWN_ARROW", "DOCU_CHR_super", "ITM_UP_ARROW", "MNU_TAMALPHA", "ITM_alpha", "DOCU_CHR_caseFLIP", "ITM_NULL", "DOCU_CHR_numSET", "ITM_NULL", "DOCU_ITM_RADIX", "ITM_PERIOD", AS199), ".lo", ),"MNU_", "-MNU_")</f>
        <v>ITM_COS_SIGN</v>
      </c>
      <c r="BE199" s="157" t="str" cm="1">
        <f t="array" ref="BE199">SUBSTITUTE(SUBSTITUTE(_xlfn.SWITCH(AT199, "ITM_T_HOME", "ITM_UP1", "ITM_T_END", "ITM_DOWN1", "DOCU_CHR_sub", "ITM_DOWN_ARROW", "DOCU_CHR_super", "ITM_UP_ARROW", "MNU_TAMALPHA", "ITM_alpha", "DOCU_CHR_caseFLIP", "ITM_NULL", "DOCU_CHR_numSET", "ITM_NULL", "DOCU_ITM_RADIX", "ITM_PERIOD", AT199), ".lo", ),"MNU_", "-MNU_")</f>
        <v>ITM_REG_I</v>
      </c>
      <c r="BG199" s="75"/>
      <c r="BI199" s="13" t="str">
        <f t="shared" si="76"/>
        <v xml:space="preserve">  {35,                  ITM_cos,              ITM_arccos,           ITM_LBL,              ITM_NULL,             ITM_I,                ITM_i,                ITM_COS_SIGN,         ITM_REG_I           },</v>
      </c>
    </row>
    <row r="200" spans="24:61" ht="21" x14ac:dyDescent="0.2">
      <c r="X200" s="135" t="str">
        <f t="shared" si="66"/>
        <v>V47</v>
      </c>
      <c r="Y200" s="109">
        <v>3</v>
      </c>
      <c r="Z200" s="109">
        <v>6</v>
      </c>
      <c r="AA200" s="112" t="str">
        <f t="shared" si="67"/>
        <v>V47.36</v>
      </c>
      <c r="AB200" s="117" t="s">
        <v>122</v>
      </c>
      <c r="AC200" s="118" t="s">
        <v>123</v>
      </c>
      <c r="AD200" s="119" t="s">
        <v>84</v>
      </c>
      <c r="AE200" s="3"/>
      <c r="AF200" s="49" t="s">
        <v>111</v>
      </c>
      <c r="AG200" s="77" t="b">
        <f t="shared" si="77"/>
        <v>1</v>
      </c>
      <c r="AH200" s="83" t="str">
        <f t="shared" si="68"/>
        <v>j</v>
      </c>
      <c r="AI200" s="84" t="str">
        <f t="shared" si="69"/>
        <v>TAN</v>
      </c>
      <c r="AJ200" s="85" t="str">
        <f t="shared" si="70"/>
        <v>Reg J</v>
      </c>
      <c r="AK200" s="6"/>
      <c r="AL200" s="8" t="str">
        <f t="shared" si="71"/>
        <v>{36</v>
      </c>
      <c r="AM200" s="27" t="str">
        <f t="shared" si="72"/>
        <v>ITM_tan</v>
      </c>
      <c r="AN200" s="27" t="str">
        <f t="shared" si="73"/>
        <v>ITM_arctan</v>
      </c>
      <c r="AO200" s="27" t="str">
        <f t="shared" si="74"/>
        <v>ITM_GTO</v>
      </c>
      <c r="AP200" s="46" t="str">
        <f>IF(NOT(ISNA(MATCH(AM200,Lookups!E:E,))),VLOOKUP(AM200,Lookups!E:F,2,0),
IF(NOT(ISNA(MATCH(AN200,Lookups!E:E,))),VLOOKUP(AN200,Lookups!E:F,2,0),
IF(NOT(ISNA(MATCH(AO200,Lookups!E:E,))),VLOOKUP(AO200,Lookups!E:F,2,0),"ITM_NULL")))</f>
        <v>ITM_NULL</v>
      </c>
      <c r="AQ200" s="28" t="str">
        <f t="shared" si="75"/>
        <v>ITM_J</v>
      </c>
      <c r="AR200" s="195" t="s">
        <v>112</v>
      </c>
      <c r="AS200" s="186" t="s">
        <v>127</v>
      </c>
      <c r="AT200" s="196" t="s">
        <v>114</v>
      </c>
      <c r="AW200" s="14" t="str">
        <f t="shared" si="78"/>
        <v>{36</v>
      </c>
      <c r="AX200" s="157" t="str" cm="1">
        <f t="array" ref="AX200">SUBSTITUTE(SUBSTITUTE(_xlfn.SWITCH(AM200, "ITM_T_HOME", "ITM_UP1", "ITM_T_END", "ITM_DOWN1", "DOCU_CHR_sub", "ITM_DOWN_ARROW", "DOCU_CHR_super", "ITM_UP_ARROW", "MNU_TAMALPHA", "ITM_alpha", "DOCU_CHR_caseFLIP", "ITM_NULL", "DOCU_CHR_numSET", "ITM_NULL", "DOCU_ITM_RADIX", "ITM_PERIOD", AM200), ".lo", ),"MNU_", "-MNU_")</f>
        <v>ITM_tan</v>
      </c>
      <c r="AY200" s="157" t="str" cm="1">
        <f t="array" ref="AY200">SUBSTITUTE(SUBSTITUTE(_xlfn.SWITCH(AN200, "ITM_T_HOME", "ITM_UP1", "ITM_T_END", "ITM_DOWN1", "DOCU_CHR_sub", "ITM_DOWN_ARROW", "DOCU_CHR_super", "ITM_UP_ARROW", "MNU_TAMALPHA", "ITM_alpha", "DOCU_CHR_caseFLIP", "ITM_NULL", "DOCU_CHR_numSET", "ITM_NULL", "DOCU_ITM_RADIX", "ITM_PERIOD", AN200), ".lo", ),"MNU_", "-MNU_")</f>
        <v>ITM_arctan</v>
      </c>
      <c r="AZ200" s="157" t="str" cm="1">
        <f t="array" ref="AZ200">SUBSTITUTE(SUBSTITUTE(_xlfn.SWITCH(AO200, "ITM_T_HOME", "ITM_UP1", "ITM_T_END", "ITM_DOWN1", "DOCU_CHR_sub", "ITM_DOWN_ARROW", "DOCU_CHR_super", "ITM_UP_ARROW", "MNU_TAMALPHA", "ITM_alpha", "DOCU_CHR_caseFLIP", "ITM_NULL", "DOCU_CHR_numSET", "ITM_NULL", "DOCU_ITM_RADIX", "ITM_PERIOD", AO200), ".lo", ),"MNU_", "-MNU_")</f>
        <v>ITM_GTO</v>
      </c>
      <c r="BA200" s="173" t="str" cm="1">
        <f t="array" ref="BA200">SUBSTITUTE(SUBSTITUTE(_xlfn.SWITCH(AP200, "ITM_T_HOME", "ITM_UP1", "ITM_T_END", "ITM_DOWN1", "DOCU_CHR_sub", "ITM_DOWN_ARROW", "DOCU_CHR_super", "ITM_UP_ARROW", "MNU_TAMALPHA", "ITM_alpha", "DOCU_CHR_caseFLIP", "ITM_NULL", "DOCU_CHR_numSET", "ITM_NULL", "DOCU_ITM_RADIX", "ITM_PERIOD", AP200), ".lo", ),"MNU_", "-MNU_")</f>
        <v>ITM_NULL</v>
      </c>
      <c r="BB200" s="157" t="str" cm="1">
        <f t="array" ref="BB200">SUBSTITUTE(SUBSTITUTE(_xlfn.SWITCH(AQ200, "ITM_T_HOME", "ITM_UP1", "ITM_T_END", "ITM_DOWN1", "DOCU_CHR_sub", "ITM_DOWN_ARROW", "DOCU_CHR_super", "ITM_UP_ARROW", "MNU_TAMALPHA", "ITM_alpha", "DOCU_CHR_caseFLIP", "ITM_NULL", "DOCU_CHR_numSET", "ITM_NULL", "DOCU_ITM_RADIX", "ITM_PERIOD", AQ200), ".lo", ),"MNU_", "-MNU_")</f>
        <v>ITM_J</v>
      </c>
      <c r="BC200" s="157" t="str" cm="1">
        <f t="array" ref="BC200">SUBSTITUTE(SUBSTITUTE(_xlfn.SWITCH(AR200, "ITM_T_HOME", "ITM_UP1", "ITM_T_END", "ITM_DOWN1", "DOCU_CHR_sub", "ITM_DOWN_ARROW", "DOCU_CHR_super", "ITM_UP_ARROW", "MNU_TAMALPHA", "ITM_alpha", "DOCU_CHR_caseFLIP", "ITM_NULL", "DOCU_CHR_numSET", "ITM_NULL", "DOCU_ITM_RADIX", "ITM_PERIOD", AR200), ".lo", ),"MNU_", "-MNU_")</f>
        <v>ITM_j</v>
      </c>
      <c r="BD200" s="157" t="str" cm="1">
        <f t="array" ref="BD200">SUBSTITUTE(SUBSTITUTE(_xlfn.SWITCH(AS200, "ITM_T_HOME", "ITM_UP1", "ITM_T_END", "ITM_DOWN1", "DOCU_CHR_sub", "ITM_DOWN_ARROW", "DOCU_CHR_super", "ITM_UP_ARROW", "MNU_TAMALPHA", "ITM_alpha", "DOCU_CHR_caseFLIP", "ITM_NULL", "DOCU_CHR_numSET", "ITM_NULL", "DOCU_ITM_RADIX", "ITM_PERIOD", AS200), ".lo", ),"MNU_", "-MNU_")</f>
        <v>ITM_TAN_SIGN</v>
      </c>
      <c r="BE200" s="157" t="str" cm="1">
        <f t="array" ref="BE200">SUBSTITUTE(SUBSTITUTE(_xlfn.SWITCH(AT200, "ITM_T_HOME", "ITM_UP1", "ITM_T_END", "ITM_DOWN1", "DOCU_CHR_sub", "ITM_DOWN_ARROW", "DOCU_CHR_super", "ITM_UP_ARROW", "MNU_TAMALPHA", "ITM_alpha", "DOCU_CHR_caseFLIP", "ITM_NULL", "DOCU_CHR_numSET", "ITM_NULL", "DOCU_ITM_RADIX", "ITM_PERIOD", AT200), ".lo", ),"MNU_", "-MNU_")</f>
        <v>ITM_REG_J</v>
      </c>
      <c r="BG200" s="75"/>
      <c r="BI200" s="13" t="str">
        <f t="shared" si="76"/>
        <v xml:space="preserve">  {36,                  ITM_tan,              ITM_arctan,           ITM_GTO,              ITM_NULL,             ITM_J,                ITM_j,                ITM_TAN_SIGN,         ITM_REG_J           },</v>
      </c>
    </row>
    <row r="201" spans="24:61" ht="21" x14ac:dyDescent="0.2">
      <c r="X201" s="135" t="str">
        <f t="shared" si="66"/>
        <v>V47</v>
      </c>
      <c r="Y201" s="106">
        <v>4</v>
      </c>
      <c r="Z201" s="106">
        <v>1</v>
      </c>
      <c r="AA201" s="112" t="str">
        <f t="shared" si="67"/>
        <v>V47.41</v>
      </c>
      <c r="AB201" s="117" t="s">
        <v>129</v>
      </c>
      <c r="AC201" s="118" t="s">
        <v>130</v>
      </c>
      <c r="AD201" s="119" t="s">
        <v>131</v>
      </c>
      <c r="AE201" s="3"/>
      <c r="AF201" s="49" t="s">
        <v>129</v>
      </c>
      <c r="AG201" s="77" t="b">
        <f t="shared" si="77"/>
        <v>0</v>
      </c>
      <c r="AH201" s="83" t="str">
        <f t="shared" si="68"/>
        <v>X.SWAP</v>
      </c>
      <c r="AI201" s="84" t="str">
        <f t="shared" si="69"/>
        <v>a.PARSE</v>
      </c>
      <c r="AJ201" s="85" t="str">
        <f t="shared" si="70"/>
        <v>ENTER</v>
      </c>
      <c r="AK201" s="6"/>
      <c r="AL201" s="8" t="str">
        <f t="shared" si="71"/>
        <v>{41</v>
      </c>
      <c r="AM201" s="27" t="str">
        <f t="shared" si="72"/>
        <v>ITM_ENTER</v>
      </c>
      <c r="AN201" s="27" t="str">
        <f t="shared" si="73"/>
        <v>KEY_COMPLEX</v>
      </c>
      <c r="AO201" s="27" t="str">
        <f t="shared" si="74"/>
        <v>MNU_CPX</v>
      </c>
      <c r="AP201" s="46" t="str">
        <f>IF(NOT(ISNA(MATCH(AM201,Lookups!E:E,))),VLOOKUP(AM201,Lookups!E:F,2,0),
IF(NOT(ISNA(MATCH(AN201,Lookups!E:E,))),VLOOKUP(AN201,Lookups!E:F,2,0),
IF(NOT(ISNA(MATCH(AO201,Lookups!E:E,))),VLOOKUP(AO201,Lookups!E:F,2,0),"ITM_NULL")))</f>
        <v>ITM_ENTER</v>
      </c>
      <c r="AQ201" s="28" t="str">
        <f t="shared" si="75"/>
        <v>ITM_ENTER</v>
      </c>
      <c r="AR201" s="198" t="s">
        <v>132</v>
      </c>
      <c r="AS201" s="186" t="s">
        <v>133</v>
      </c>
      <c r="AT201" s="197" t="s">
        <v>134</v>
      </c>
      <c r="AW201" s="14" t="str">
        <f t="shared" si="78"/>
        <v>{41</v>
      </c>
      <c r="AX201" s="157" t="str" cm="1">
        <f t="array" ref="AX201">SUBSTITUTE(SUBSTITUTE(_xlfn.SWITCH(AM201, "ITM_T_HOME", "ITM_UP1", "ITM_T_END", "ITM_DOWN1", "DOCU_CHR_sub", "ITM_DOWN_ARROW", "DOCU_CHR_super", "ITM_UP_ARROW", "MNU_TAMALPHA", "ITM_alpha", "DOCU_CHR_caseFLIP", "ITM_NULL", "DOCU_CHR_numSET", "ITM_NULL", "DOCU_ITM_RADIX", "ITM_PERIOD", AM201), ".lo", ),"MNU_", "-MNU_")</f>
        <v>ITM_ENTER</v>
      </c>
      <c r="AY201" s="157" t="str" cm="1">
        <f t="array" ref="AY201">SUBSTITUTE(SUBSTITUTE(_xlfn.SWITCH(AN201, "ITM_T_HOME", "ITM_UP1", "ITM_T_END", "ITM_DOWN1", "DOCU_CHR_sub", "ITM_DOWN_ARROW", "DOCU_CHR_super", "ITM_UP_ARROW", "MNU_TAMALPHA", "ITM_alpha", "DOCU_CHR_caseFLIP", "ITM_NULL", "DOCU_CHR_numSET", "ITM_NULL", "DOCU_ITM_RADIX", "ITM_PERIOD", AN201), ".lo", ),"MNU_", "-MNU_")</f>
        <v>KEY_COMPLEX</v>
      </c>
      <c r="AZ201" s="157" t="str" cm="1">
        <f t="array" ref="AZ201">SUBSTITUTE(SUBSTITUTE(_xlfn.SWITCH(AO201, "ITM_T_HOME", "ITM_UP1", "ITM_T_END", "ITM_DOWN1", "DOCU_CHR_sub", "ITM_DOWN_ARROW", "DOCU_CHR_super", "ITM_UP_ARROW", "MNU_TAMALPHA", "ITM_alpha", "DOCU_CHR_caseFLIP", "ITM_NULL", "DOCU_CHR_numSET", "ITM_NULL", "DOCU_ITM_RADIX", "ITM_PERIOD", AO201), ".lo", ),"MNU_", "-MNU_")</f>
        <v>-MNU_CPX</v>
      </c>
      <c r="BA201" s="173" t="str" cm="1">
        <f t="array" ref="BA201">SUBSTITUTE(SUBSTITUTE(_xlfn.SWITCH(AP201, "ITM_T_HOME", "ITM_UP1", "ITM_T_END", "ITM_DOWN1", "DOCU_CHR_sub", "ITM_DOWN_ARROW", "DOCU_CHR_super", "ITM_UP_ARROW", "MNU_TAMALPHA", "ITM_alpha", "DOCU_CHR_caseFLIP", "ITM_NULL", "DOCU_CHR_numSET", "ITM_NULL", "DOCU_ITM_RADIX", "ITM_PERIOD", AP201), ".lo", ),"MNU_", "-MNU_")</f>
        <v>ITM_ENTER</v>
      </c>
      <c r="BB201" s="157" t="str" cm="1">
        <f t="array" ref="BB201">SUBSTITUTE(SUBSTITUTE(_xlfn.SWITCH(AQ201, "ITM_T_HOME", "ITM_UP1", "ITM_T_END", "ITM_DOWN1", "DOCU_CHR_sub", "ITM_DOWN_ARROW", "DOCU_CHR_super", "ITM_UP_ARROW", "MNU_TAMALPHA", "ITM_alpha", "DOCU_CHR_caseFLIP", "ITM_NULL", "DOCU_CHR_numSET", "ITM_NULL", "DOCU_ITM_RADIX", "ITM_PERIOD", AQ201), ".lo", ),"MNU_", "-MNU_")</f>
        <v>ITM_ENTER</v>
      </c>
      <c r="BC201" s="157" t="str" cm="1">
        <f t="array" ref="BC201">SUBSTITUTE(SUBSTITUTE(_xlfn.SWITCH(AR201, "ITM_T_HOME", "ITM_UP1", "ITM_T_END", "ITM_DOWN1", "DOCU_CHR_sub", "ITM_DOWN_ARROW", "DOCU_CHR_super", "ITM_UP_ARROW", "MNU_TAMALPHA", "ITM_alpha", "DOCU_CHR_caseFLIP", "ITM_NULL", "DOCU_CHR_numSET", "ITM_NULL", "DOCU_ITM_RADIX", "ITM_PERIOD", AR201), ".lo", ),"MNU_", "-MNU_")</f>
        <v>ITM_XSWAP</v>
      </c>
      <c r="BD201" s="157" t="str" cm="1">
        <f t="array" ref="BD201">SUBSTITUTE(SUBSTITUTE(_xlfn.SWITCH(AS201, "ITM_T_HOME", "ITM_UP1", "ITM_T_END", "ITM_DOWN1", "DOCU_CHR_sub", "ITM_DOWN_ARROW", "DOCU_CHR_super", "ITM_UP_ARROW", "MNU_TAMALPHA", "ITM_alpha", "DOCU_CHR_caseFLIP", "ITM_NULL", "DOCU_CHR_numSET", "ITM_NULL", "DOCU_ITM_RADIX", "ITM_PERIOD", AS201), ".lo", ),"MNU_", "-MNU_")</f>
        <v>ITM_XPARSE</v>
      </c>
      <c r="BE201" s="157" t="str" cm="1">
        <f t="array" ref="BE201">SUBSTITUTE(SUBSTITUTE(_xlfn.SWITCH(AT201, "ITM_T_HOME", "ITM_UP1", "ITM_T_END", "ITM_DOWN1", "DOCU_CHR_sub", "ITM_DOWN_ARROW", "DOCU_CHR_super", "ITM_UP_ARROW", "MNU_TAMALPHA", "ITM_alpha", "DOCU_CHR_caseFLIP", "ITM_NULL", "DOCU_CHR_numSET", "ITM_NULL", "DOCU_ITM_RADIX", "ITM_PERIOD", AT201), ".lo", ),"MNU_", "-MNU_")</f>
        <v>ITM_ENTER</v>
      </c>
      <c r="BG201" s="75"/>
      <c r="BI201" s="13" t="str">
        <f t="shared" si="76"/>
        <v xml:space="preserve">  {41,                  ITM_ENTER,            KEY_COMPLEX,          -MNU_CPX,             ITM_ENTER,            ITM_ENTER,            ITM_XSWAP,            ITM_XPARSE,           ITM_ENTER           },</v>
      </c>
    </row>
    <row r="202" spans="24:61" ht="21" x14ac:dyDescent="0.2">
      <c r="X202" s="135" t="str">
        <f t="shared" si="66"/>
        <v>V47</v>
      </c>
      <c r="Y202" s="109">
        <v>4</v>
      </c>
      <c r="Z202" s="109">
        <v>2</v>
      </c>
      <c r="AA202" s="112" t="str">
        <f t="shared" si="67"/>
        <v>V47.42</v>
      </c>
      <c r="AB202" s="117" t="s">
        <v>135</v>
      </c>
      <c r="AC202" s="118" t="s">
        <v>136</v>
      </c>
      <c r="AD202" s="119" t="s">
        <v>137</v>
      </c>
      <c r="AE202" s="3"/>
      <c r="AF202" s="49" t="s">
        <v>118</v>
      </c>
      <c r="AG202" s="77" t="b">
        <f t="shared" si="77"/>
        <v>1</v>
      </c>
      <c r="AH202" s="83" t="str">
        <f t="shared" si="68"/>
        <v>k</v>
      </c>
      <c r="AI202" s="84" t="str">
        <f>INDEX(labelitem,MATCH(AS199,items,0),1)</f>
        <v>COS</v>
      </c>
      <c r="AJ202" s="85" t="str">
        <f t="shared" si="70"/>
        <v>Reg K</v>
      </c>
      <c r="AK202" s="6"/>
      <c r="AL202" s="8" t="str">
        <f t="shared" si="71"/>
        <v>{42</v>
      </c>
      <c r="AM202" s="27" t="str">
        <f t="shared" si="72"/>
        <v>ITM_XexY</v>
      </c>
      <c r="AN202" s="27" t="str">
        <f t="shared" si="73"/>
        <v>ITM_LASTX</v>
      </c>
      <c r="AO202" s="27" t="str">
        <f t="shared" si="74"/>
        <v>MNU_STK</v>
      </c>
      <c r="AP202" s="46" t="str">
        <f>IF(NOT(ISNA(MATCH(AM202,Lookups!E:E,))),VLOOKUP(AM202,Lookups!E:F,2,0),
IF(NOT(ISNA(MATCH(AN202,Lookups!E:E,))),VLOOKUP(AN202,Lookups!E:F,2,0),
IF(NOT(ISNA(MATCH(AO202,Lookups!E:E,))),VLOOKUP(AO202,Lookups!E:F,2,0),"ITM_NULL")))</f>
        <v>ITM_ex</v>
      </c>
      <c r="AQ202" s="28" t="str">
        <f t="shared" si="75"/>
        <v>ITM_K</v>
      </c>
      <c r="AR202" s="195" t="s">
        <v>119</v>
      </c>
      <c r="AS202" s="186" t="s">
        <v>140</v>
      </c>
      <c r="AT202" s="196" t="s">
        <v>121</v>
      </c>
      <c r="AW202" s="14" t="str">
        <f t="shared" si="78"/>
        <v>{42</v>
      </c>
      <c r="AX202" s="157" t="str" cm="1">
        <f t="array" ref="AX202">SUBSTITUTE(SUBSTITUTE(_xlfn.SWITCH(AM202, "ITM_T_HOME", "ITM_UP1", "ITM_T_END", "ITM_DOWN1", "DOCU_CHR_sub", "ITM_DOWN_ARROW", "DOCU_CHR_super", "ITM_UP_ARROW", "MNU_TAMALPHA", "ITM_alpha", "DOCU_CHR_caseFLIP", "ITM_NULL", "DOCU_CHR_numSET", "ITM_NULL", "DOCU_ITM_RADIX", "ITM_PERIOD", AM202), ".lo", ),"MNU_", "-MNU_")</f>
        <v>ITM_XexY</v>
      </c>
      <c r="AY202" s="157" t="str" cm="1">
        <f t="array" ref="AY202">SUBSTITUTE(SUBSTITUTE(_xlfn.SWITCH(AN202, "ITM_T_HOME", "ITM_UP1", "ITM_T_END", "ITM_DOWN1", "DOCU_CHR_sub", "ITM_DOWN_ARROW", "DOCU_CHR_super", "ITM_UP_ARROW", "MNU_TAMALPHA", "ITM_alpha", "DOCU_CHR_caseFLIP", "ITM_NULL", "DOCU_CHR_numSET", "ITM_NULL", "DOCU_ITM_RADIX", "ITM_PERIOD", AN202), ".lo", ),"MNU_", "-MNU_")</f>
        <v>ITM_LASTX</v>
      </c>
      <c r="AZ202" s="157" t="str" cm="1">
        <f t="array" ref="AZ202">SUBSTITUTE(SUBSTITUTE(_xlfn.SWITCH(AO202, "ITM_T_HOME", "ITM_UP1", "ITM_T_END", "ITM_DOWN1", "DOCU_CHR_sub", "ITM_DOWN_ARROW", "DOCU_CHR_super", "ITM_UP_ARROW", "MNU_TAMALPHA", "ITM_alpha", "DOCU_CHR_caseFLIP", "ITM_NULL", "DOCU_CHR_numSET", "ITM_NULL", "DOCU_ITM_RADIX", "ITM_PERIOD", AO202), ".lo", ),"MNU_", "-MNU_")</f>
        <v>-MNU_STK</v>
      </c>
      <c r="BA202" s="173" t="str" cm="1">
        <f t="array" ref="BA202">SUBSTITUTE(SUBSTITUTE(_xlfn.SWITCH(AP202, "ITM_T_HOME", "ITM_UP1", "ITM_T_END", "ITM_DOWN1", "DOCU_CHR_sub", "ITM_DOWN_ARROW", "DOCU_CHR_super", "ITM_UP_ARROW", "MNU_TAMALPHA", "ITM_alpha", "DOCU_CHR_caseFLIP", "ITM_NULL", "DOCU_CHR_numSET", "ITM_NULL", "DOCU_ITM_RADIX", "ITM_PERIOD", AP202), ".lo", ),"MNU_", "-MNU_")</f>
        <v>ITM_ex</v>
      </c>
      <c r="BB202" s="157" t="str" cm="1">
        <f t="array" ref="BB202">SUBSTITUTE(SUBSTITUTE(_xlfn.SWITCH(AQ202, "ITM_T_HOME", "ITM_UP1", "ITM_T_END", "ITM_DOWN1", "DOCU_CHR_sub", "ITM_DOWN_ARROW", "DOCU_CHR_super", "ITM_UP_ARROW", "MNU_TAMALPHA", "ITM_alpha", "DOCU_CHR_caseFLIP", "ITM_NULL", "DOCU_CHR_numSET", "ITM_NULL", "DOCU_ITM_RADIX", "ITM_PERIOD", AQ202), ".lo", ),"MNU_", "-MNU_")</f>
        <v>ITM_K</v>
      </c>
      <c r="BC202" s="157" t="str" cm="1">
        <f t="array" ref="BC202">SUBSTITUTE(SUBSTITUTE(_xlfn.SWITCH(AR202, "ITM_T_HOME", "ITM_UP1", "ITM_T_END", "ITM_DOWN1", "DOCU_CHR_sub", "ITM_DOWN_ARROW", "DOCU_CHR_super", "ITM_UP_ARROW", "MNU_TAMALPHA", "ITM_alpha", "DOCU_CHR_caseFLIP", "ITM_NULL", "DOCU_CHR_numSET", "ITM_NULL", "DOCU_ITM_RADIX", "ITM_PERIOD", AR202), ".lo", ),"MNU_", "-MNU_")</f>
        <v>ITM_k</v>
      </c>
      <c r="BD202" s="157" t="str" cm="1">
        <f t="array" ref="BD202">SUBSTITUTE(SUBSTITUTE(_xlfn.SWITCH(AS202, "ITM_T_HOME", "ITM_UP1", "ITM_T_END", "ITM_DOWN1", "DOCU_CHR_sub", "ITM_DOWN_ARROW", "DOCU_CHR_super", "ITM_UP_ARROW", "MNU_TAMALPHA", "ITM_alpha", "DOCU_CHR_caseFLIP", "ITM_NULL", "DOCU_CHR_numSET", "ITM_NULL", "DOCU_ITM_RADIX", "ITM_PERIOD", AS202), ".lo", ),"MNU_", "-MNU_")</f>
        <v>ITM_ex</v>
      </c>
      <c r="BE202" s="157" t="str" cm="1">
        <f t="array" ref="BE202">SUBSTITUTE(SUBSTITUTE(_xlfn.SWITCH(AT202, "ITM_T_HOME", "ITM_UP1", "ITM_T_END", "ITM_DOWN1", "DOCU_CHR_sub", "ITM_DOWN_ARROW", "DOCU_CHR_super", "ITM_UP_ARROW", "MNU_TAMALPHA", "ITM_alpha", "DOCU_CHR_caseFLIP", "ITM_NULL", "DOCU_CHR_numSET", "ITM_NULL", "DOCU_ITM_RADIX", "ITM_PERIOD", AT202), ".lo", ),"MNU_", "-MNU_")</f>
        <v>ITM_REG_K</v>
      </c>
      <c r="BG202" s="75"/>
      <c r="BI202" s="13" t="str">
        <f t="shared" si="76"/>
        <v xml:space="preserve">  {42,                  ITM_XexY,             ITM_LASTX,            -MNU_STK,             ITM_ex,               ITM_K,                ITM_k,                ITM_ex,               ITM_REG_K           },</v>
      </c>
    </row>
    <row r="203" spans="24:61" ht="21" x14ac:dyDescent="0.2">
      <c r="X203" s="135" t="str">
        <f t="shared" si="66"/>
        <v>V47</v>
      </c>
      <c r="Y203" s="109">
        <v>4</v>
      </c>
      <c r="Z203" s="109">
        <v>3</v>
      </c>
      <c r="AA203" s="112" t="str">
        <f t="shared" si="67"/>
        <v>V47.43</v>
      </c>
      <c r="AB203" s="117" t="s">
        <v>141</v>
      </c>
      <c r="AC203" s="118" t="s">
        <v>142</v>
      </c>
      <c r="AD203" s="119" t="s">
        <v>143</v>
      </c>
      <c r="AE203" s="3"/>
      <c r="AF203" s="49" t="s">
        <v>125</v>
      </c>
      <c r="AG203" s="77" t="b">
        <f t="shared" si="77"/>
        <v>1</v>
      </c>
      <c r="AH203" s="83" t="str">
        <f t="shared" si="68"/>
        <v>l</v>
      </c>
      <c r="AI203" s="84" t="str">
        <f>INDEX(labelitem,MATCH(AS200,items,0),1)</f>
        <v>TAN</v>
      </c>
      <c r="AJ203" s="85" t="str">
        <f t="shared" si="70"/>
        <v>Reg L</v>
      </c>
      <c r="AK203" s="6"/>
      <c r="AL203" s="8" t="str">
        <f t="shared" si="71"/>
        <v>{43</v>
      </c>
      <c r="AM203" s="27" t="str">
        <f t="shared" si="72"/>
        <v>ITM_CHS</v>
      </c>
      <c r="AN203" s="27" t="str">
        <f t="shared" si="73"/>
        <v>MNU_MODE</v>
      </c>
      <c r="AO203" s="27" t="str">
        <f t="shared" si="74"/>
        <v>MNU_TRG_C47</v>
      </c>
      <c r="AP203" s="46" t="str">
        <f>IF(NOT(ISNA(MATCH(AM203,Lookups!E:E,))),VLOOKUP(AM203,Lookups!E:F,2,0),
IF(NOT(ISNA(MATCH(AN203,Lookups!E:E,))),VLOOKUP(AN203,Lookups!E:F,2,0),
IF(NOT(ISNA(MATCH(AO203,Lookups!E:E,))),VLOOKUP(AO203,Lookups!E:F,2,0),"ITM_NULL")))</f>
        <v>ITM_PLUS_MINUS</v>
      </c>
      <c r="AQ203" s="28" t="str">
        <f t="shared" si="75"/>
        <v>ITM_L</v>
      </c>
      <c r="AR203" s="195" t="s">
        <v>126</v>
      </c>
      <c r="AS203" s="186" t="s">
        <v>146</v>
      </c>
      <c r="AT203" s="196" t="s">
        <v>128</v>
      </c>
      <c r="AW203" s="14" t="str">
        <f t="shared" si="78"/>
        <v>{43</v>
      </c>
      <c r="AX203" s="157" t="str" cm="1">
        <f t="array" ref="AX203">SUBSTITUTE(SUBSTITUTE(_xlfn.SWITCH(AM203, "ITM_T_HOME", "ITM_UP1", "ITM_T_END", "ITM_DOWN1", "DOCU_CHR_sub", "ITM_DOWN_ARROW", "DOCU_CHR_super", "ITM_UP_ARROW", "MNU_TAMALPHA", "ITM_alpha", "DOCU_CHR_caseFLIP", "ITM_NULL", "DOCU_CHR_numSET", "ITM_NULL", "DOCU_ITM_RADIX", "ITM_PERIOD", AM203), ".lo", ),"MNU_", "-MNU_")</f>
        <v>ITM_CHS</v>
      </c>
      <c r="AY203" s="157" t="str" cm="1">
        <f t="array" ref="AY203">SUBSTITUTE(SUBSTITUTE(_xlfn.SWITCH(AN203, "ITM_T_HOME", "ITM_UP1", "ITM_T_END", "ITM_DOWN1", "DOCU_CHR_sub", "ITM_DOWN_ARROW", "DOCU_CHR_super", "ITM_UP_ARROW", "MNU_TAMALPHA", "ITM_alpha", "DOCU_CHR_caseFLIP", "ITM_NULL", "DOCU_CHR_numSET", "ITM_NULL", "DOCU_ITM_RADIX", "ITM_PERIOD", AN203), ".lo", ),"MNU_", "-MNU_")</f>
        <v>-MNU_MODE</v>
      </c>
      <c r="AZ203" s="157" t="str" cm="1">
        <f t="array" ref="AZ203">SUBSTITUTE(SUBSTITUTE(_xlfn.SWITCH(AO203, "ITM_T_HOME", "ITM_UP1", "ITM_T_END", "ITM_DOWN1", "DOCU_CHR_sub", "ITM_DOWN_ARROW", "DOCU_CHR_super", "ITM_UP_ARROW", "MNU_TAMALPHA", "ITM_alpha", "DOCU_CHR_caseFLIP", "ITM_NULL", "DOCU_CHR_numSET", "ITM_NULL", "DOCU_ITM_RADIX", "ITM_PERIOD", AO203), ".lo", ),"MNU_", "-MNU_")</f>
        <v>-MNU_TRG_C47</v>
      </c>
      <c r="BA203" s="173" t="str" cm="1">
        <f t="array" ref="BA203">SUBSTITUTE(SUBSTITUTE(_xlfn.SWITCH(AP203, "ITM_T_HOME", "ITM_UP1", "ITM_T_END", "ITM_DOWN1", "DOCU_CHR_sub", "ITM_DOWN_ARROW", "DOCU_CHR_super", "ITM_UP_ARROW", "MNU_TAMALPHA", "ITM_alpha", "DOCU_CHR_caseFLIP", "ITM_NULL", "DOCU_CHR_numSET", "ITM_NULL", "DOCU_ITM_RADIX", "ITM_PERIOD", AP203), ".lo", ),"MNU_", "-MNU_")</f>
        <v>ITM_PLUS_MINUS</v>
      </c>
      <c r="BB203" s="157" t="str" cm="1">
        <f t="array" ref="BB203">SUBSTITUTE(SUBSTITUTE(_xlfn.SWITCH(AQ203, "ITM_T_HOME", "ITM_UP1", "ITM_T_END", "ITM_DOWN1", "DOCU_CHR_sub", "ITM_DOWN_ARROW", "DOCU_CHR_super", "ITM_UP_ARROW", "MNU_TAMALPHA", "ITM_alpha", "DOCU_CHR_caseFLIP", "ITM_NULL", "DOCU_CHR_numSET", "ITM_NULL", "DOCU_ITM_RADIX", "ITM_PERIOD", AQ203), ".lo", ),"MNU_", "-MNU_")</f>
        <v>ITM_L</v>
      </c>
      <c r="BC203" s="157" t="str" cm="1">
        <f t="array" ref="BC203">SUBSTITUTE(SUBSTITUTE(_xlfn.SWITCH(AR203, "ITM_T_HOME", "ITM_UP1", "ITM_T_END", "ITM_DOWN1", "DOCU_CHR_sub", "ITM_DOWN_ARROW", "DOCU_CHR_super", "ITM_UP_ARROW", "MNU_TAMALPHA", "ITM_alpha", "DOCU_CHR_caseFLIP", "ITM_NULL", "DOCU_CHR_numSET", "ITM_NULL", "DOCU_ITM_RADIX", "ITM_PERIOD", AR203), ".lo", ),"MNU_", "-MNU_")</f>
        <v>ITM_l</v>
      </c>
      <c r="BD203" s="157" t="str" cm="1">
        <f t="array" ref="BD203">SUBSTITUTE(SUBSTITUTE(_xlfn.SWITCH(AS203, "ITM_T_HOME", "ITM_UP1", "ITM_T_END", "ITM_DOWN1", "DOCU_CHR_sub", "ITM_DOWN_ARROW", "DOCU_CHR_super", "ITM_UP_ARROW", "MNU_TAMALPHA", "ITM_alpha", "DOCU_CHR_caseFLIP", "ITM_NULL", "DOCU_CHR_numSET", "ITM_NULL", "DOCU_ITM_RADIX", "ITM_PERIOD", AS203), ".lo", ),"MNU_", "-MNU_")</f>
        <v>ITM_PLUS_MINUS</v>
      </c>
      <c r="BE203" s="157" t="str" cm="1">
        <f t="array" ref="BE203">SUBSTITUTE(SUBSTITUTE(_xlfn.SWITCH(AT203, "ITM_T_HOME", "ITM_UP1", "ITM_T_END", "ITM_DOWN1", "DOCU_CHR_sub", "ITM_DOWN_ARROW", "DOCU_CHR_super", "ITM_UP_ARROW", "MNU_TAMALPHA", "ITM_alpha", "DOCU_CHR_caseFLIP", "ITM_NULL", "DOCU_CHR_numSET", "ITM_NULL", "DOCU_ITM_RADIX", "ITM_PERIOD", AT203), ".lo", ),"MNU_", "-MNU_")</f>
        <v>ITM_REG_L</v>
      </c>
      <c r="BG203" s="75"/>
      <c r="BI203" s="13" t="str">
        <f t="shared" si="76"/>
        <v xml:space="preserve">  {43,                  ITM_CHS,              -MNU_MODE,            -MNU_TRG_C47,         ITM_PLUS_MINUS,       ITM_L,                ITM_l,                ITM_PLUS_MINUS,       ITM_REG_L           },</v>
      </c>
    </row>
    <row r="204" spans="24:61" ht="21" x14ac:dyDescent="0.2">
      <c r="X204" s="135" t="str">
        <f t="shared" si="66"/>
        <v>V47</v>
      </c>
      <c r="Y204" s="109">
        <v>4</v>
      </c>
      <c r="Z204" s="109">
        <v>4</v>
      </c>
      <c r="AA204" s="112" t="str">
        <f t="shared" si="67"/>
        <v>V47.44</v>
      </c>
      <c r="AB204" s="117" t="s">
        <v>147</v>
      </c>
      <c r="AC204" s="118" t="s">
        <v>148</v>
      </c>
      <c r="AD204" s="119" t="s">
        <v>149</v>
      </c>
      <c r="AE204" s="3"/>
      <c r="AF204" s="49" t="s">
        <v>138</v>
      </c>
      <c r="AG204" s="77" t="b">
        <f t="shared" si="77"/>
        <v>1</v>
      </c>
      <c r="AH204" s="83" t="str">
        <f t="shared" si="68"/>
        <v>m</v>
      </c>
      <c r="AI204" s="84" t="str">
        <f t="shared" si="69"/>
        <v>&lt;E&gt;</v>
      </c>
      <c r="AJ204" s="85" t="str">
        <f t="shared" si="70"/>
        <v xml:space="preserve"> </v>
      </c>
      <c r="AK204" s="6"/>
      <c r="AL204" s="8" t="str">
        <f t="shared" si="71"/>
        <v>{44</v>
      </c>
      <c r="AM204" s="27" t="str">
        <f t="shared" si="72"/>
        <v>ITM_EXPONENT</v>
      </c>
      <c r="AN204" s="27" t="str">
        <f t="shared" si="73"/>
        <v>MNU_DISP</v>
      </c>
      <c r="AO204" s="27" t="str">
        <f t="shared" si="74"/>
        <v>MNU_EXP</v>
      </c>
      <c r="AP204" s="46" t="str">
        <f>IF(NOT(ISNA(MATCH(AM204,Lookups!E:E,))),VLOOKUP(AM204,Lookups!E:F,2,0),
IF(NOT(ISNA(MATCH(AN204,Lookups!E:E,))),VLOOKUP(AN204,Lookups!E:F,2,0),
IF(NOT(ISNA(MATCH(AO204,Lookups!E:E,))),VLOOKUP(AO204,Lookups!E:F,2,0),"ITM_NULL")))</f>
        <v>ITM_NULL</v>
      </c>
      <c r="AQ204" s="28" t="str">
        <f t="shared" si="75"/>
        <v>ITM_M</v>
      </c>
      <c r="AR204" s="195" t="s">
        <v>139</v>
      </c>
      <c r="AS204" s="186" t="s">
        <v>152</v>
      </c>
      <c r="AT204" s="197" t="s">
        <v>81</v>
      </c>
      <c r="AW204" s="14" t="str">
        <f t="shared" si="78"/>
        <v>{44</v>
      </c>
      <c r="AX204" s="157" t="str" cm="1">
        <f t="array" ref="AX204">SUBSTITUTE(SUBSTITUTE(_xlfn.SWITCH(AM204, "ITM_T_HOME", "ITM_UP1", "ITM_T_END", "ITM_DOWN1", "DOCU_CHR_sub", "ITM_DOWN_ARROW", "DOCU_CHR_super", "ITM_UP_ARROW", "MNU_TAMALPHA", "ITM_alpha", "DOCU_CHR_caseFLIP", "ITM_NULL", "DOCU_CHR_numSET", "ITM_NULL", "DOCU_ITM_RADIX", "ITM_PERIOD", AM204), ".lo", ),"MNU_", "-MNU_")</f>
        <v>ITM_EXPONENT</v>
      </c>
      <c r="AY204" s="157" t="str" cm="1">
        <f t="array" ref="AY204">SUBSTITUTE(SUBSTITUTE(_xlfn.SWITCH(AN204, "ITM_T_HOME", "ITM_UP1", "ITM_T_END", "ITM_DOWN1", "DOCU_CHR_sub", "ITM_DOWN_ARROW", "DOCU_CHR_super", "ITM_UP_ARROW", "MNU_TAMALPHA", "ITM_alpha", "DOCU_CHR_caseFLIP", "ITM_NULL", "DOCU_CHR_numSET", "ITM_NULL", "DOCU_ITM_RADIX", "ITM_PERIOD", AN204), ".lo", ),"MNU_", "-MNU_")</f>
        <v>-MNU_DISP</v>
      </c>
      <c r="AZ204" s="157" t="str" cm="1">
        <f t="array" ref="AZ204">SUBSTITUTE(SUBSTITUTE(_xlfn.SWITCH(AO204, "ITM_T_HOME", "ITM_UP1", "ITM_T_END", "ITM_DOWN1", "DOCU_CHR_sub", "ITM_DOWN_ARROW", "DOCU_CHR_super", "ITM_UP_ARROW", "MNU_TAMALPHA", "ITM_alpha", "DOCU_CHR_caseFLIP", "ITM_NULL", "DOCU_CHR_numSET", "ITM_NULL", "DOCU_ITM_RADIX", "ITM_PERIOD", AO204), ".lo", ),"MNU_", "-MNU_")</f>
        <v>-MNU_EXP</v>
      </c>
      <c r="BA204" s="173" t="str" cm="1">
        <f t="array" ref="BA204">SUBSTITUTE(SUBSTITUTE(_xlfn.SWITCH(AP204, "ITM_T_HOME", "ITM_UP1", "ITM_T_END", "ITM_DOWN1", "DOCU_CHR_sub", "ITM_DOWN_ARROW", "DOCU_CHR_super", "ITM_UP_ARROW", "MNU_TAMALPHA", "ITM_alpha", "DOCU_CHR_caseFLIP", "ITM_NULL", "DOCU_CHR_numSET", "ITM_NULL", "DOCU_ITM_RADIX", "ITM_PERIOD", AP204), ".lo", ),"MNU_", "-MNU_")</f>
        <v>ITM_NULL</v>
      </c>
      <c r="BB204" s="157" t="str" cm="1">
        <f t="array" ref="BB204">SUBSTITUTE(SUBSTITUTE(_xlfn.SWITCH(AQ204, "ITM_T_HOME", "ITM_UP1", "ITM_T_END", "ITM_DOWN1", "DOCU_CHR_sub", "ITM_DOWN_ARROW", "DOCU_CHR_super", "ITM_UP_ARROW", "MNU_TAMALPHA", "ITM_alpha", "DOCU_CHR_caseFLIP", "ITM_NULL", "DOCU_CHR_numSET", "ITM_NULL", "DOCU_ITM_RADIX", "ITM_PERIOD", AQ204), ".lo", ),"MNU_", "-MNU_")</f>
        <v>ITM_M</v>
      </c>
      <c r="BC204" s="157" t="str" cm="1">
        <f t="array" ref="BC204">SUBSTITUTE(SUBSTITUTE(_xlfn.SWITCH(AR204, "ITM_T_HOME", "ITM_UP1", "ITM_T_END", "ITM_DOWN1", "DOCU_CHR_sub", "ITM_DOWN_ARROW", "DOCU_CHR_super", "ITM_UP_ARROW", "MNU_TAMALPHA", "ITM_alpha", "DOCU_CHR_caseFLIP", "ITM_NULL", "DOCU_CHR_numSET", "ITM_NULL", "DOCU_ITM_RADIX", "ITM_PERIOD", AR204), ".lo", ),"MNU_", "-MNU_")</f>
        <v>ITM_m</v>
      </c>
      <c r="BD204" s="157" t="str" cm="1">
        <f t="array" ref="BD204">SUBSTITUTE(SUBSTITUTE(_xlfn.SWITCH(AS204, "ITM_T_HOME", "ITM_UP1", "ITM_T_END", "ITM_DOWN1", "DOCU_CHR_sub", "ITM_DOWN_ARROW", "DOCU_CHR_super", "ITM_UP_ARROW", "MNU_TAMALPHA", "ITM_alpha", "DOCU_CHR_caseFLIP", "ITM_NULL", "DOCU_CHR_numSET", "ITM_NULL", "DOCU_ITM_RADIX", "ITM_PERIOD", AS204), ".lo", ),"MNU_", "-MNU_")</f>
        <v>ITM_EEXCHR</v>
      </c>
      <c r="BE204" s="157" t="str" cm="1">
        <f t="array" ref="BE204">SUBSTITUTE(SUBSTITUTE(_xlfn.SWITCH(AT204, "ITM_T_HOME", "ITM_UP1", "ITM_T_END", "ITM_DOWN1", "DOCU_CHR_sub", "ITM_DOWN_ARROW", "DOCU_CHR_super", "ITM_UP_ARROW", "MNU_TAMALPHA", "ITM_alpha", "DOCU_CHR_caseFLIP", "ITM_NULL", "DOCU_CHR_numSET", "ITM_NULL", "DOCU_ITM_RADIX", "ITM_PERIOD", AT204), ".lo", ),"MNU_", "-MNU_")</f>
        <v>ITM_NULL</v>
      </c>
      <c r="BG204" s="75"/>
      <c r="BI204" s="13" t="str">
        <f t="shared" si="76"/>
        <v xml:space="preserve">  {44,                  ITM_EXPONENT,         -MNU_DISP,            -MNU_EXP,             ITM_NULL,             ITM_M,                ITM_m,                ITM_EEXCHR,           ITM_NULL            },</v>
      </c>
    </row>
    <row r="205" spans="24:61" ht="21" x14ac:dyDescent="0.2">
      <c r="X205" s="135" t="str">
        <f t="shared" si="66"/>
        <v>V47</v>
      </c>
      <c r="Y205" s="109">
        <v>4</v>
      </c>
      <c r="Z205" s="109">
        <v>5</v>
      </c>
      <c r="AA205" s="112" t="str">
        <f t="shared" si="67"/>
        <v>V47.45</v>
      </c>
      <c r="AB205" s="117" t="s">
        <v>154</v>
      </c>
      <c r="AC205" s="118" t="s">
        <v>155</v>
      </c>
      <c r="AD205" s="119" t="s">
        <v>156</v>
      </c>
      <c r="AE205" s="3"/>
      <c r="AF205" s="49" t="s">
        <v>154</v>
      </c>
      <c r="AG205" s="77" t="b">
        <f t="shared" si="77"/>
        <v>0</v>
      </c>
      <c r="AH205" s="83" t="str">
        <f t="shared" si="68"/>
        <v>CLA</v>
      </c>
      <c r="AI205" s="84" t="str">
        <f t="shared" si="69"/>
        <v>CLA</v>
      </c>
      <c r="AJ205" s="85" t="str">
        <f t="shared" si="70"/>
        <v>&lt;=</v>
      </c>
      <c r="AK205" s="6"/>
      <c r="AL205" s="8" t="str">
        <f t="shared" si="71"/>
        <v>{45</v>
      </c>
      <c r="AM205" s="27" t="str">
        <f t="shared" si="72"/>
        <v>ITM_BACKSPACE</v>
      </c>
      <c r="AN205" s="27" t="str">
        <f t="shared" si="73"/>
        <v>ITM_UNDO</v>
      </c>
      <c r="AO205" s="27" t="str">
        <f t="shared" si="74"/>
        <v>MNU_CLR</v>
      </c>
      <c r="AP205" s="46" t="str">
        <f>IF(NOT(ISNA(MATCH(AM205,Lookups!E:E,))),VLOOKUP(AM205,Lookups!E:F,2,0),
IF(NOT(ISNA(MATCH(AN205,Lookups!E:E,))),VLOOKUP(AN205,Lookups!E:F,2,0),
IF(NOT(ISNA(MATCH(AO205,Lookups!E:E,))),VLOOKUP(AO205,Lookups!E:F,2,0),"ITM_NULL")))</f>
        <v>ITM_BACKSPACE</v>
      </c>
      <c r="AQ205" s="28" t="str">
        <f t="shared" si="75"/>
        <v>ITM_BACKSPACE</v>
      </c>
      <c r="AR205" s="198" t="s">
        <v>157</v>
      </c>
      <c r="AS205" s="186" t="s">
        <v>157</v>
      </c>
      <c r="AT205" s="197" t="s">
        <v>158</v>
      </c>
      <c r="AW205" s="14" t="str">
        <f t="shared" si="78"/>
        <v>{45</v>
      </c>
      <c r="AX205" s="157" t="str" cm="1">
        <f t="array" ref="AX205">SUBSTITUTE(SUBSTITUTE(_xlfn.SWITCH(AM205, "ITM_T_HOME", "ITM_UP1", "ITM_T_END", "ITM_DOWN1", "DOCU_CHR_sub", "ITM_DOWN_ARROW", "DOCU_CHR_super", "ITM_UP_ARROW", "MNU_TAMALPHA", "ITM_alpha", "DOCU_CHR_caseFLIP", "ITM_NULL", "DOCU_CHR_numSET", "ITM_NULL", "DOCU_ITM_RADIX", "ITM_PERIOD", AM205), ".lo", ),"MNU_", "-MNU_")</f>
        <v>ITM_BACKSPACE</v>
      </c>
      <c r="AY205" s="157" t="str" cm="1">
        <f t="array" ref="AY205">SUBSTITUTE(SUBSTITUTE(_xlfn.SWITCH(AN205, "ITM_T_HOME", "ITM_UP1", "ITM_T_END", "ITM_DOWN1", "DOCU_CHR_sub", "ITM_DOWN_ARROW", "DOCU_CHR_super", "ITM_UP_ARROW", "MNU_TAMALPHA", "ITM_alpha", "DOCU_CHR_caseFLIP", "ITM_NULL", "DOCU_CHR_numSET", "ITM_NULL", "DOCU_ITM_RADIX", "ITM_PERIOD", AN205), ".lo", ),"MNU_", "-MNU_")</f>
        <v>ITM_UNDO</v>
      </c>
      <c r="AZ205" s="157" t="str" cm="1">
        <f t="array" ref="AZ205">SUBSTITUTE(SUBSTITUTE(_xlfn.SWITCH(AO205, "ITM_T_HOME", "ITM_UP1", "ITM_T_END", "ITM_DOWN1", "DOCU_CHR_sub", "ITM_DOWN_ARROW", "DOCU_CHR_super", "ITM_UP_ARROW", "MNU_TAMALPHA", "ITM_alpha", "DOCU_CHR_caseFLIP", "ITM_NULL", "DOCU_CHR_numSET", "ITM_NULL", "DOCU_ITM_RADIX", "ITM_PERIOD", AO205), ".lo", ),"MNU_", "-MNU_")</f>
        <v>-MNU_CLR</v>
      </c>
      <c r="BA205" s="173" t="str" cm="1">
        <f t="array" ref="BA205">SUBSTITUTE(SUBSTITUTE(_xlfn.SWITCH(AP205, "ITM_T_HOME", "ITM_UP1", "ITM_T_END", "ITM_DOWN1", "DOCU_CHR_sub", "ITM_DOWN_ARROW", "DOCU_CHR_super", "ITM_UP_ARROW", "MNU_TAMALPHA", "ITM_alpha", "DOCU_CHR_caseFLIP", "ITM_NULL", "DOCU_CHR_numSET", "ITM_NULL", "DOCU_ITM_RADIX", "ITM_PERIOD", AP205), ".lo", ),"MNU_", "-MNU_")</f>
        <v>ITM_BACKSPACE</v>
      </c>
      <c r="BB205" s="157" t="str" cm="1">
        <f t="array" ref="BB205">SUBSTITUTE(SUBSTITUTE(_xlfn.SWITCH(AQ205, "ITM_T_HOME", "ITM_UP1", "ITM_T_END", "ITM_DOWN1", "DOCU_CHR_sub", "ITM_DOWN_ARROW", "DOCU_CHR_super", "ITM_UP_ARROW", "MNU_TAMALPHA", "ITM_alpha", "DOCU_CHR_caseFLIP", "ITM_NULL", "DOCU_CHR_numSET", "ITM_NULL", "DOCU_ITM_RADIX", "ITM_PERIOD", AQ205), ".lo", ),"MNU_", "-MNU_")</f>
        <v>ITM_BACKSPACE</v>
      </c>
      <c r="BC205" s="157" t="str" cm="1">
        <f t="array" ref="BC205">SUBSTITUTE(SUBSTITUTE(_xlfn.SWITCH(AR205, "ITM_T_HOME", "ITM_UP1", "ITM_T_END", "ITM_DOWN1", "DOCU_CHR_sub", "ITM_DOWN_ARROW", "DOCU_CHR_super", "ITM_UP_ARROW", "MNU_TAMALPHA", "ITM_alpha", "DOCU_CHR_caseFLIP", "ITM_NULL", "DOCU_CHR_numSET", "ITM_NULL", "DOCU_ITM_RADIX", "ITM_PERIOD", AR205), ".lo", ),"MNU_", "-MNU_")</f>
        <v>ITM_CLA</v>
      </c>
      <c r="BD205" s="157" t="str" cm="1">
        <f t="array" ref="BD205">SUBSTITUTE(SUBSTITUTE(_xlfn.SWITCH(AS205, "ITM_T_HOME", "ITM_UP1", "ITM_T_END", "ITM_DOWN1", "DOCU_CHR_sub", "ITM_DOWN_ARROW", "DOCU_CHR_super", "ITM_UP_ARROW", "MNU_TAMALPHA", "ITM_alpha", "DOCU_CHR_caseFLIP", "ITM_NULL", "DOCU_CHR_numSET", "ITM_NULL", "DOCU_ITM_RADIX", "ITM_PERIOD", AS205), ".lo", ),"MNU_", "-MNU_")</f>
        <v>ITM_CLA</v>
      </c>
      <c r="BE205" s="157" t="str" cm="1">
        <f t="array" ref="BE205">SUBSTITUTE(SUBSTITUTE(_xlfn.SWITCH(AT205, "ITM_T_HOME", "ITM_UP1", "ITM_T_END", "ITM_DOWN1", "DOCU_CHR_sub", "ITM_DOWN_ARROW", "DOCU_CHR_super", "ITM_UP_ARROW", "MNU_TAMALPHA", "ITM_alpha", "DOCU_CHR_caseFLIP", "ITM_NULL", "DOCU_CHR_numSET", "ITM_NULL", "DOCU_ITM_RADIX", "ITM_PERIOD", AT205), ".lo", ),"MNU_", "-MNU_")</f>
        <v>ITM_BACKSPACE</v>
      </c>
      <c r="BG205" s="75"/>
      <c r="BI205" s="13" t="str">
        <f t="shared" si="76"/>
        <v xml:space="preserve">  {45,                  ITM_BACKSPACE,        ITM_UNDO,             -MNU_CLR,             ITM_BACKSPACE,        ITM_BACKSPACE,        ITM_CLA,              ITM_CLA,              ITM_BACKSPACE       },</v>
      </c>
    </row>
    <row r="206" spans="24:61" ht="21" x14ac:dyDescent="0.2">
      <c r="X206" s="135" t="str">
        <f t="shared" si="66"/>
        <v>V47</v>
      </c>
      <c r="Y206" s="106">
        <v>5</v>
      </c>
      <c r="Z206" s="106">
        <v>1</v>
      </c>
      <c r="AA206" s="112" t="str">
        <f t="shared" si="67"/>
        <v>V47.51</v>
      </c>
      <c r="AB206" s="117" t="s">
        <v>236</v>
      </c>
      <c r="AC206" s="118" t="s">
        <v>182</v>
      </c>
      <c r="AD206" s="119" t="s">
        <v>183</v>
      </c>
      <c r="AE206" s="3"/>
      <c r="AF206" s="49" t="s">
        <v>144</v>
      </c>
      <c r="AG206" s="77" t="b">
        <f t="shared" si="77"/>
        <v>1</v>
      </c>
      <c r="AH206" s="83" t="str">
        <f t="shared" si="68"/>
        <v>n</v>
      </c>
      <c r="AI206" s="84" t="str">
        <f t="shared" si="69"/>
        <v>-</v>
      </c>
      <c r="AJ206" s="85" t="str">
        <f t="shared" si="70"/>
        <v>-</v>
      </c>
      <c r="AK206" s="6"/>
      <c r="AL206" s="8" t="str">
        <f t="shared" si="71"/>
        <v>{51</v>
      </c>
      <c r="AM206" s="27" t="str">
        <f t="shared" si="72"/>
        <v>ITM_SUB</v>
      </c>
      <c r="AN206" s="27" t="str">
        <f t="shared" si="73"/>
        <v>MNU_STAT</v>
      </c>
      <c r="AO206" s="27" t="str">
        <f t="shared" si="74"/>
        <v>MNU_PLOTTING</v>
      </c>
      <c r="AP206" s="46" t="str">
        <f>IF(NOT(ISNA(MATCH(AM206,Lookups!E:E,))),VLOOKUP(AM206,Lookups!E:F,2,0),
IF(NOT(ISNA(MATCH(AN206,Lookups!E:E,))),VLOOKUP(AN206,Lookups!E:F,2,0),
IF(NOT(ISNA(MATCH(AO206,Lookups!E:E,))),VLOOKUP(AO206,Lookups!E:F,2,0),"ITM_NULL")))</f>
        <v>ITM_MINUS</v>
      </c>
      <c r="AQ206" s="28" t="str">
        <f t="shared" si="75"/>
        <v>ITM_N</v>
      </c>
      <c r="AR206" s="195" t="s">
        <v>145</v>
      </c>
      <c r="AS206" s="186" t="s">
        <v>240</v>
      </c>
      <c r="AT206" s="197" t="s">
        <v>241</v>
      </c>
      <c r="AW206" s="14" t="str">
        <f t="shared" si="78"/>
        <v>{51</v>
      </c>
      <c r="AX206" s="157" t="str" cm="1">
        <f t="array" ref="AX206">SUBSTITUTE(SUBSTITUTE(_xlfn.SWITCH(AM206, "ITM_T_HOME", "ITM_UP1", "ITM_T_END", "ITM_DOWN1", "DOCU_CHR_sub", "ITM_DOWN_ARROW", "DOCU_CHR_super", "ITM_UP_ARROW", "MNU_TAMALPHA", "ITM_alpha", "DOCU_CHR_caseFLIP", "ITM_NULL", "DOCU_CHR_numSET", "ITM_NULL", "DOCU_ITM_RADIX", "ITM_PERIOD", AM206), ".lo", ),"MNU_", "-MNU_")</f>
        <v>ITM_SUB</v>
      </c>
      <c r="AY206" s="157" t="str" cm="1">
        <f t="array" ref="AY206">SUBSTITUTE(SUBSTITUTE(_xlfn.SWITCH(AN206, "ITM_T_HOME", "ITM_UP1", "ITM_T_END", "ITM_DOWN1", "DOCU_CHR_sub", "ITM_DOWN_ARROW", "DOCU_CHR_super", "ITM_UP_ARROW", "MNU_TAMALPHA", "ITM_alpha", "DOCU_CHR_caseFLIP", "ITM_NULL", "DOCU_CHR_numSET", "ITM_NULL", "DOCU_ITM_RADIX", "ITM_PERIOD", AN206), ".lo", ),"MNU_", "-MNU_")</f>
        <v>-MNU_STAT</v>
      </c>
      <c r="AZ206" s="157" t="str" cm="1">
        <f t="array" ref="AZ206">SUBSTITUTE(SUBSTITUTE(_xlfn.SWITCH(AO206, "ITM_T_HOME", "ITM_UP1", "ITM_T_END", "ITM_DOWN1", "DOCU_CHR_sub", "ITM_DOWN_ARROW", "DOCU_CHR_super", "ITM_UP_ARROW", "MNU_TAMALPHA", "ITM_alpha", "DOCU_CHR_caseFLIP", "ITM_NULL", "DOCU_CHR_numSET", "ITM_NULL", "DOCU_ITM_RADIX", "ITM_PERIOD", AO206), ".lo", ),"MNU_", "-MNU_")</f>
        <v>-MNU_PLOTTING</v>
      </c>
      <c r="BA206" s="173" t="str" cm="1">
        <f t="array" ref="BA206">SUBSTITUTE(SUBSTITUTE(_xlfn.SWITCH(AP206, "ITM_T_HOME", "ITM_UP1", "ITM_T_END", "ITM_DOWN1", "DOCU_CHR_sub", "ITM_DOWN_ARROW", "DOCU_CHR_super", "ITM_UP_ARROW", "MNU_TAMALPHA", "ITM_alpha", "DOCU_CHR_caseFLIP", "ITM_NULL", "DOCU_CHR_numSET", "ITM_NULL", "DOCU_ITM_RADIX", "ITM_PERIOD", AP206), ".lo", ),"MNU_", "-MNU_")</f>
        <v>ITM_MINUS</v>
      </c>
      <c r="BB206" s="157" t="str" cm="1">
        <f t="array" ref="BB206">SUBSTITUTE(SUBSTITUTE(_xlfn.SWITCH(AQ206, "ITM_T_HOME", "ITM_UP1", "ITM_T_END", "ITM_DOWN1", "DOCU_CHR_sub", "ITM_DOWN_ARROW", "DOCU_CHR_super", "ITM_UP_ARROW", "MNU_TAMALPHA", "ITM_alpha", "DOCU_CHR_caseFLIP", "ITM_NULL", "DOCU_CHR_numSET", "ITM_NULL", "DOCU_ITM_RADIX", "ITM_PERIOD", AQ206), ".lo", ),"MNU_", "-MNU_")</f>
        <v>ITM_N</v>
      </c>
      <c r="BC206" s="157" t="str" cm="1">
        <f t="array" ref="BC206">SUBSTITUTE(SUBSTITUTE(_xlfn.SWITCH(AR206, "ITM_T_HOME", "ITM_UP1", "ITM_T_END", "ITM_DOWN1", "DOCU_CHR_sub", "ITM_DOWN_ARROW", "DOCU_CHR_super", "ITM_UP_ARROW", "MNU_TAMALPHA", "ITM_alpha", "DOCU_CHR_caseFLIP", "ITM_NULL", "DOCU_CHR_numSET", "ITM_NULL", "DOCU_ITM_RADIX", "ITM_PERIOD", AR206), ".lo", ),"MNU_", "-MNU_")</f>
        <v>ITM_n</v>
      </c>
      <c r="BD206" s="157" t="str" cm="1">
        <f t="array" ref="BD206">SUBSTITUTE(SUBSTITUTE(_xlfn.SWITCH(AS206, "ITM_T_HOME", "ITM_UP1", "ITM_T_END", "ITM_DOWN1", "DOCU_CHR_sub", "ITM_DOWN_ARROW", "DOCU_CHR_super", "ITM_UP_ARROW", "MNU_TAMALPHA", "ITM_alpha", "DOCU_CHR_caseFLIP", "ITM_NULL", "DOCU_CHR_numSET", "ITM_NULL", "DOCU_ITM_RADIX", "ITM_PERIOD", AS206), ".lo", ),"MNU_", "-MNU_")</f>
        <v>ITM_MINUS</v>
      </c>
      <c r="BE206" s="157" t="str" cm="1">
        <f t="array" ref="BE206">SUBSTITUTE(SUBSTITUTE(_xlfn.SWITCH(AT206, "ITM_T_HOME", "ITM_UP1", "ITM_T_END", "ITM_DOWN1", "DOCU_CHR_sub", "ITM_DOWN_ARROW", "DOCU_CHR_super", "ITM_UP_ARROW", "MNU_TAMALPHA", "ITM_alpha", "DOCU_CHR_caseFLIP", "ITM_NULL", "DOCU_CHR_numSET", "ITM_NULL", "DOCU_ITM_RADIX", "ITM_PERIOD", AT206), ".lo", ),"MNU_", "-MNU_")</f>
        <v>ITM_SUB</v>
      </c>
      <c r="BG206" s="75"/>
      <c r="BI206" s="13" t="str">
        <f t="shared" si="76"/>
        <v xml:space="preserve">  {51,                  ITM_SUB,              -MNU_STAT,            -MNU_PLOTTING,        ITM_MINUS,            ITM_N,                ITM_n,                ITM_MINUS,            ITM_SUB             },</v>
      </c>
    </row>
    <row r="207" spans="24:61" ht="21" x14ac:dyDescent="0.2">
      <c r="X207" s="135" t="str">
        <f t="shared" si="66"/>
        <v>V47</v>
      </c>
      <c r="Y207" s="109">
        <v>5</v>
      </c>
      <c r="Z207" s="109">
        <v>2</v>
      </c>
      <c r="AA207" s="112" t="str">
        <f t="shared" si="67"/>
        <v>V47.52</v>
      </c>
      <c r="AB207" s="117">
        <v>7</v>
      </c>
      <c r="AC207" s="118" t="s">
        <v>166</v>
      </c>
      <c r="AD207" s="119" t="s">
        <v>167</v>
      </c>
      <c r="AE207" s="3"/>
      <c r="AF207" s="49" t="s">
        <v>150</v>
      </c>
      <c r="AG207" s="77" t="b">
        <f t="shared" si="77"/>
        <v>1</v>
      </c>
      <c r="AH207" s="83" t="str">
        <f t="shared" si="68"/>
        <v>o</v>
      </c>
      <c r="AI207" s="84">
        <f t="shared" si="69"/>
        <v>7</v>
      </c>
      <c r="AJ207" s="85">
        <f t="shared" si="70"/>
        <v>7</v>
      </c>
      <c r="AK207" s="6"/>
      <c r="AL207" s="8" t="str">
        <f t="shared" si="71"/>
        <v>{52</v>
      </c>
      <c r="AM207" s="27" t="str">
        <f t="shared" si="72"/>
        <v>ITM_7</v>
      </c>
      <c r="AN207" s="27" t="str">
        <f t="shared" si="73"/>
        <v>MNU_EQN</v>
      </c>
      <c r="AO207" s="27" t="str">
        <f t="shared" si="74"/>
        <v>MNU_HOME</v>
      </c>
      <c r="AP207" s="46" t="str">
        <f>IF(NOT(ISNA(MATCH(AM207,Lookups!E:E,))),VLOOKUP(AM207,Lookups!E:F,2,0),
IF(NOT(ISNA(MATCH(AN207,Lookups!E:E,))),VLOOKUP(AN207,Lookups!E:F,2,0),
IF(NOT(ISNA(MATCH(AO207,Lookups!E:E,))),VLOOKUP(AO207,Lookups!E:F,2,0),"ITM_NULL")))</f>
        <v>ITM_7</v>
      </c>
      <c r="AQ207" s="28" t="str">
        <f t="shared" si="75"/>
        <v>ITM_O</v>
      </c>
      <c r="AR207" s="195" t="s">
        <v>151</v>
      </c>
      <c r="AS207" s="186" t="s">
        <v>170</v>
      </c>
      <c r="AT207" s="197" t="s">
        <v>170</v>
      </c>
      <c r="AW207" s="14" t="str">
        <f t="shared" si="78"/>
        <v>{52</v>
      </c>
      <c r="AX207" s="157" t="str" cm="1">
        <f t="array" ref="AX207">SUBSTITUTE(SUBSTITUTE(_xlfn.SWITCH(AM207, "ITM_T_HOME", "ITM_UP1", "ITM_T_END", "ITM_DOWN1", "DOCU_CHR_sub", "ITM_DOWN_ARROW", "DOCU_CHR_super", "ITM_UP_ARROW", "MNU_TAMALPHA", "ITM_alpha", "DOCU_CHR_caseFLIP", "ITM_NULL", "DOCU_CHR_numSET", "ITM_NULL", "DOCU_ITM_RADIX", "ITM_PERIOD", AM207), ".lo", ),"MNU_", "-MNU_")</f>
        <v>ITM_7</v>
      </c>
      <c r="AY207" s="157" t="str" cm="1">
        <f t="array" ref="AY207">SUBSTITUTE(SUBSTITUTE(_xlfn.SWITCH(AN207, "ITM_T_HOME", "ITM_UP1", "ITM_T_END", "ITM_DOWN1", "DOCU_CHR_sub", "ITM_DOWN_ARROW", "DOCU_CHR_super", "ITM_UP_ARROW", "MNU_TAMALPHA", "ITM_alpha", "DOCU_CHR_caseFLIP", "ITM_NULL", "DOCU_CHR_numSET", "ITM_NULL", "DOCU_ITM_RADIX", "ITM_PERIOD", AN207), ".lo", ),"MNU_", "-MNU_")</f>
        <v>-MNU_EQN</v>
      </c>
      <c r="AZ207" s="157" t="str" cm="1">
        <f t="array" ref="AZ207">SUBSTITUTE(SUBSTITUTE(_xlfn.SWITCH(AO207, "ITM_T_HOME", "ITM_UP1", "ITM_T_END", "ITM_DOWN1", "DOCU_CHR_sub", "ITM_DOWN_ARROW", "DOCU_CHR_super", "ITM_UP_ARROW", "MNU_TAMALPHA", "ITM_alpha", "DOCU_CHR_caseFLIP", "ITM_NULL", "DOCU_CHR_numSET", "ITM_NULL", "DOCU_ITM_RADIX", "ITM_PERIOD", AO207), ".lo", ),"MNU_", "-MNU_")</f>
        <v>-MNU_HOME</v>
      </c>
      <c r="BA207" s="173" t="str" cm="1">
        <f t="array" ref="BA207">SUBSTITUTE(SUBSTITUTE(_xlfn.SWITCH(AP207, "ITM_T_HOME", "ITM_UP1", "ITM_T_END", "ITM_DOWN1", "DOCU_CHR_sub", "ITM_DOWN_ARROW", "DOCU_CHR_super", "ITM_UP_ARROW", "MNU_TAMALPHA", "ITM_alpha", "DOCU_CHR_caseFLIP", "ITM_NULL", "DOCU_CHR_numSET", "ITM_NULL", "DOCU_ITM_RADIX", "ITM_PERIOD", AP207), ".lo", ),"MNU_", "-MNU_")</f>
        <v>ITM_7</v>
      </c>
      <c r="BB207" s="157" t="str" cm="1">
        <f t="array" ref="BB207">SUBSTITUTE(SUBSTITUTE(_xlfn.SWITCH(AQ207, "ITM_T_HOME", "ITM_UP1", "ITM_T_END", "ITM_DOWN1", "DOCU_CHR_sub", "ITM_DOWN_ARROW", "DOCU_CHR_super", "ITM_UP_ARROW", "MNU_TAMALPHA", "ITM_alpha", "DOCU_CHR_caseFLIP", "ITM_NULL", "DOCU_CHR_numSET", "ITM_NULL", "DOCU_ITM_RADIX", "ITM_PERIOD", AQ207), ".lo", ),"MNU_", "-MNU_")</f>
        <v>ITM_O</v>
      </c>
      <c r="BC207" s="157" t="str" cm="1">
        <f t="array" ref="BC207">SUBSTITUTE(SUBSTITUTE(_xlfn.SWITCH(AR207, "ITM_T_HOME", "ITM_UP1", "ITM_T_END", "ITM_DOWN1", "DOCU_CHR_sub", "ITM_DOWN_ARROW", "DOCU_CHR_super", "ITM_UP_ARROW", "MNU_TAMALPHA", "ITM_alpha", "DOCU_CHR_caseFLIP", "ITM_NULL", "DOCU_CHR_numSET", "ITM_NULL", "DOCU_ITM_RADIX", "ITM_PERIOD", AR207), ".lo", ),"MNU_", "-MNU_")</f>
        <v>ITM_o</v>
      </c>
      <c r="BD207" s="157" t="str" cm="1">
        <f t="array" ref="BD207">SUBSTITUTE(SUBSTITUTE(_xlfn.SWITCH(AS207, "ITM_T_HOME", "ITM_UP1", "ITM_T_END", "ITM_DOWN1", "DOCU_CHR_sub", "ITM_DOWN_ARROW", "DOCU_CHR_super", "ITM_UP_ARROW", "MNU_TAMALPHA", "ITM_alpha", "DOCU_CHR_caseFLIP", "ITM_NULL", "DOCU_CHR_numSET", "ITM_NULL", "DOCU_ITM_RADIX", "ITM_PERIOD", AS207), ".lo", ),"MNU_", "-MNU_")</f>
        <v>ITM_7</v>
      </c>
      <c r="BE207" s="157" t="str" cm="1">
        <f t="array" ref="BE207">SUBSTITUTE(SUBSTITUTE(_xlfn.SWITCH(AT207, "ITM_T_HOME", "ITM_UP1", "ITM_T_END", "ITM_DOWN1", "DOCU_CHR_sub", "ITM_DOWN_ARROW", "DOCU_CHR_super", "ITM_UP_ARROW", "MNU_TAMALPHA", "ITM_alpha", "DOCU_CHR_caseFLIP", "ITM_NULL", "DOCU_CHR_numSET", "ITM_NULL", "DOCU_ITM_RADIX", "ITM_PERIOD", AT207), ".lo", ),"MNU_", "-MNU_")</f>
        <v>ITM_7</v>
      </c>
      <c r="BG207" s="75"/>
      <c r="BI207" s="13" t="str">
        <f t="shared" si="76"/>
        <v xml:space="preserve">  {52,                  ITM_7,                -MNU_EQN,             -MNU_HOME,            ITM_7,                ITM_O,                ITM_o,                ITM_7,                ITM_7               },</v>
      </c>
    </row>
    <row r="208" spans="24:61" ht="21" x14ac:dyDescent="0.2">
      <c r="X208" s="135" t="str">
        <f t="shared" si="66"/>
        <v>V47</v>
      </c>
      <c r="Y208" s="109">
        <v>5</v>
      </c>
      <c r="Z208" s="109">
        <v>3</v>
      </c>
      <c r="AA208" s="112" t="str">
        <f t="shared" si="67"/>
        <v>V47.53</v>
      </c>
      <c r="AB208" s="117">
        <v>8</v>
      </c>
      <c r="AC208" s="118" t="s">
        <v>171</v>
      </c>
      <c r="AD208" s="119" t="s">
        <v>172</v>
      </c>
      <c r="AE208" s="3"/>
      <c r="AF208" s="49" t="s">
        <v>168</v>
      </c>
      <c r="AG208" s="77" t="b">
        <f t="shared" si="77"/>
        <v>1</v>
      </c>
      <c r="AH208" s="83" t="str">
        <f t="shared" si="68"/>
        <v>p</v>
      </c>
      <c r="AI208" s="84">
        <f t="shared" si="69"/>
        <v>8</v>
      </c>
      <c r="AJ208" s="85">
        <f t="shared" si="70"/>
        <v>8</v>
      </c>
      <c r="AK208" s="6"/>
      <c r="AL208" s="8" t="str">
        <f t="shared" si="71"/>
        <v>{53</v>
      </c>
      <c r="AM208" s="27" t="str">
        <f t="shared" si="72"/>
        <v>ITM_8</v>
      </c>
      <c r="AN208" s="27" t="str">
        <f t="shared" si="73"/>
        <v>MNU_ADV</v>
      </c>
      <c r="AO208" s="27" t="str">
        <f t="shared" si="74"/>
        <v>MNU_FIN</v>
      </c>
      <c r="AP208" s="46" t="str">
        <f>IF(NOT(ISNA(MATCH(AM208,Lookups!E:E,))),VLOOKUP(AM208,Lookups!E:F,2,0),
IF(NOT(ISNA(MATCH(AN208,Lookups!E:E,))),VLOOKUP(AN208,Lookups!E:F,2,0),
IF(NOT(ISNA(MATCH(AO208,Lookups!E:E,))),VLOOKUP(AO208,Lookups!E:F,2,0),"ITM_NULL")))</f>
        <v>ITM_8</v>
      </c>
      <c r="AQ208" s="28" t="str">
        <f t="shared" si="75"/>
        <v>ITM_P</v>
      </c>
      <c r="AR208" s="195" t="s">
        <v>169</v>
      </c>
      <c r="AS208" s="186" t="s">
        <v>175</v>
      </c>
      <c r="AT208" s="197" t="s">
        <v>175</v>
      </c>
      <c r="AW208" s="14" t="str">
        <f t="shared" si="78"/>
        <v>{53</v>
      </c>
      <c r="AX208" s="157" t="str" cm="1">
        <f t="array" ref="AX208">SUBSTITUTE(SUBSTITUTE(_xlfn.SWITCH(AM208, "ITM_T_HOME", "ITM_UP1", "ITM_T_END", "ITM_DOWN1", "DOCU_CHR_sub", "ITM_DOWN_ARROW", "DOCU_CHR_super", "ITM_UP_ARROW", "MNU_TAMALPHA", "ITM_alpha", "DOCU_CHR_caseFLIP", "ITM_NULL", "DOCU_CHR_numSET", "ITM_NULL", "DOCU_ITM_RADIX", "ITM_PERIOD", AM208), ".lo", ),"MNU_", "-MNU_")</f>
        <v>ITM_8</v>
      </c>
      <c r="AY208" s="157" t="str" cm="1">
        <f t="array" ref="AY208">SUBSTITUTE(SUBSTITUTE(_xlfn.SWITCH(AN208, "ITM_T_HOME", "ITM_UP1", "ITM_T_END", "ITM_DOWN1", "DOCU_CHR_sub", "ITM_DOWN_ARROW", "DOCU_CHR_super", "ITM_UP_ARROW", "MNU_TAMALPHA", "ITM_alpha", "DOCU_CHR_caseFLIP", "ITM_NULL", "DOCU_CHR_numSET", "ITM_NULL", "DOCU_ITM_RADIX", "ITM_PERIOD", AN208), ".lo", ),"MNU_", "-MNU_")</f>
        <v>-MNU_ADV</v>
      </c>
      <c r="AZ208" s="157" t="str" cm="1">
        <f t="array" ref="AZ208">SUBSTITUTE(SUBSTITUTE(_xlfn.SWITCH(AO208, "ITM_T_HOME", "ITM_UP1", "ITM_T_END", "ITM_DOWN1", "DOCU_CHR_sub", "ITM_DOWN_ARROW", "DOCU_CHR_super", "ITM_UP_ARROW", "MNU_TAMALPHA", "ITM_alpha", "DOCU_CHR_caseFLIP", "ITM_NULL", "DOCU_CHR_numSET", "ITM_NULL", "DOCU_ITM_RADIX", "ITM_PERIOD", AO208), ".lo", ),"MNU_", "-MNU_")</f>
        <v>-MNU_FIN</v>
      </c>
      <c r="BA208" s="173" t="str" cm="1">
        <f t="array" ref="BA208">SUBSTITUTE(SUBSTITUTE(_xlfn.SWITCH(AP208, "ITM_T_HOME", "ITM_UP1", "ITM_T_END", "ITM_DOWN1", "DOCU_CHR_sub", "ITM_DOWN_ARROW", "DOCU_CHR_super", "ITM_UP_ARROW", "MNU_TAMALPHA", "ITM_alpha", "DOCU_CHR_caseFLIP", "ITM_NULL", "DOCU_CHR_numSET", "ITM_NULL", "DOCU_ITM_RADIX", "ITM_PERIOD", AP208), ".lo", ),"MNU_", "-MNU_")</f>
        <v>ITM_8</v>
      </c>
      <c r="BB208" s="157" t="str" cm="1">
        <f t="array" ref="BB208">SUBSTITUTE(SUBSTITUTE(_xlfn.SWITCH(AQ208, "ITM_T_HOME", "ITM_UP1", "ITM_T_END", "ITM_DOWN1", "DOCU_CHR_sub", "ITM_DOWN_ARROW", "DOCU_CHR_super", "ITM_UP_ARROW", "MNU_TAMALPHA", "ITM_alpha", "DOCU_CHR_caseFLIP", "ITM_NULL", "DOCU_CHR_numSET", "ITM_NULL", "DOCU_ITM_RADIX", "ITM_PERIOD", AQ208), ".lo", ),"MNU_", "-MNU_")</f>
        <v>ITM_P</v>
      </c>
      <c r="BC208" s="157" t="str" cm="1">
        <f t="array" ref="BC208">SUBSTITUTE(SUBSTITUTE(_xlfn.SWITCH(AR208, "ITM_T_HOME", "ITM_UP1", "ITM_T_END", "ITM_DOWN1", "DOCU_CHR_sub", "ITM_DOWN_ARROW", "DOCU_CHR_super", "ITM_UP_ARROW", "MNU_TAMALPHA", "ITM_alpha", "DOCU_CHR_caseFLIP", "ITM_NULL", "DOCU_CHR_numSET", "ITM_NULL", "DOCU_ITM_RADIX", "ITM_PERIOD", AR208), ".lo", ),"MNU_", "-MNU_")</f>
        <v>ITM_p</v>
      </c>
      <c r="BD208" s="157" t="str" cm="1">
        <f t="array" ref="BD208">SUBSTITUTE(SUBSTITUTE(_xlfn.SWITCH(AS208, "ITM_T_HOME", "ITM_UP1", "ITM_T_END", "ITM_DOWN1", "DOCU_CHR_sub", "ITM_DOWN_ARROW", "DOCU_CHR_super", "ITM_UP_ARROW", "MNU_TAMALPHA", "ITM_alpha", "DOCU_CHR_caseFLIP", "ITM_NULL", "DOCU_CHR_numSET", "ITM_NULL", "DOCU_ITM_RADIX", "ITM_PERIOD", AS208), ".lo", ),"MNU_", "-MNU_")</f>
        <v>ITM_8</v>
      </c>
      <c r="BE208" s="157" t="str" cm="1">
        <f t="array" ref="BE208">SUBSTITUTE(SUBSTITUTE(_xlfn.SWITCH(AT208, "ITM_T_HOME", "ITM_UP1", "ITM_T_END", "ITM_DOWN1", "DOCU_CHR_sub", "ITM_DOWN_ARROW", "DOCU_CHR_super", "ITM_UP_ARROW", "MNU_TAMALPHA", "ITM_alpha", "DOCU_CHR_caseFLIP", "ITM_NULL", "DOCU_CHR_numSET", "ITM_NULL", "DOCU_ITM_RADIX", "ITM_PERIOD", AT208), ".lo", ),"MNU_", "-MNU_")</f>
        <v>ITM_8</v>
      </c>
      <c r="BG208" s="75"/>
      <c r="BI208" s="13" t="str">
        <f t="shared" si="76"/>
        <v xml:space="preserve">  {53,                  ITM_8,                -MNU_ADV,             -MNU_FIN,             ITM_8,                ITM_P,                ITM_p,                ITM_8,                ITM_8               },</v>
      </c>
    </row>
    <row r="209" spans="24:61" ht="21" x14ac:dyDescent="0.2">
      <c r="X209" s="135" t="str">
        <f t="shared" si="66"/>
        <v>V47</v>
      </c>
      <c r="Y209" s="109">
        <v>5</v>
      </c>
      <c r="Z209" s="109">
        <v>4</v>
      </c>
      <c r="AA209" s="112" t="str">
        <f t="shared" si="67"/>
        <v>V47.54</v>
      </c>
      <c r="AB209" s="117">
        <v>9</v>
      </c>
      <c r="AC209" s="118" t="s">
        <v>176</v>
      </c>
      <c r="AD209" s="119" t="s">
        <v>177</v>
      </c>
      <c r="AE209" s="3"/>
      <c r="AF209" s="49" t="s">
        <v>173</v>
      </c>
      <c r="AG209" s="77" t="b">
        <f t="shared" si="77"/>
        <v>1</v>
      </c>
      <c r="AH209" s="83" t="str">
        <f t="shared" si="68"/>
        <v>q</v>
      </c>
      <c r="AI209" s="84">
        <f t="shared" si="69"/>
        <v>9</v>
      </c>
      <c r="AJ209" s="85">
        <f t="shared" si="70"/>
        <v>9</v>
      </c>
      <c r="AK209" s="6"/>
      <c r="AL209" s="8" t="str">
        <f t="shared" si="71"/>
        <v>{54</v>
      </c>
      <c r="AM209" s="27" t="str">
        <f t="shared" si="72"/>
        <v>ITM_9</v>
      </c>
      <c r="AN209" s="27" t="str">
        <f t="shared" si="73"/>
        <v>MNU_MATX</v>
      </c>
      <c r="AO209" s="27" t="str">
        <f t="shared" si="74"/>
        <v>MNU_XFN</v>
      </c>
      <c r="AP209" s="46" t="str">
        <f>IF(NOT(ISNA(MATCH(AM209,Lookups!E:E,))),VLOOKUP(AM209,Lookups!E:F,2,0),
IF(NOT(ISNA(MATCH(AN209,Lookups!E:E,))),VLOOKUP(AN209,Lookups!E:F,2,0),
IF(NOT(ISNA(MATCH(AO209,Lookups!E:E,))),VLOOKUP(AO209,Lookups!E:F,2,0),"ITM_NULL")))</f>
        <v>ITM_9</v>
      </c>
      <c r="AQ209" s="28" t="str">
        <f t="shared" si="75"/>
        <v>ITM_Q</v>
      </c>
      <c r="AR209" s="195" t="s">
        <v>174</v>
      </c>
      <c r="AS209" s="186" t="s">
        <v>180</v>
      </c>
      <c r="AT209" s="197" t="s">
        <v>180</v>
      </c>
      <c r="AW209" s="14" t="str">
        <f t="shared" si="78"/>
        <v>{54</v>
      </c>
      <c r="AX209" s="157" t="str" cm="1">
        <f t="array" ref="AX209">SUBSTITUTE(SUBSTITUTE(_xlfn.SWITCH(AM209, "ITM_T_HOME", "ITM_UP1", "ITM_T_END", "ITM_DOWN1", "DOCU_CHR_sub", "ITM_DOWN_ARROW", "DOCU_CHR_super", "ITM_UP_ARROW", "MNU_TAMALPHA", "ITM_alpha", "DOCU_CHR_caseFLIP", "ITM_NULL", "DOCU_CHR_numSET", "ITM_NULL", "DOCU_ITM_RADIX", "ITM_PERIOD", AM209), ".lo", ),"MNU_", "-MNU_")</f>
        <v>ITM_9</v>
      </c>
      <c r="AY209" s="157" t="str" cm="1">
        <f t="array" ref="AY209">SUBSTITUTE(SUBSTITUTE(_xlfn.SWITCH(AN209, "ITM_T_HOME", "ITM_UP1", "ITM_T_END", "ITM_DOWN1", "DOCU_CHR_sub", "ITM_DOWN_ARROW", "DOCU_CHR_super", "ITM_UP_ARROW", "MNU_TAMALPHA", "ITM_alpha", "DOCU_CHR_caseFLIP", "ITM_NULL", "DOCU_CHR_numSET", "ITM_NULL", "DOCU_ITM_RADIX", "ITM_PERIOD", AN209), ".lo", ),"MNU_", "-MNU_")</f>
        <v>-MNU_MATX</v>
      </c>
      <c r="AZ209" s="157" t="str" cm="1">
        <f t="array" ref="AZ209">SUBSTITUTE(SUBSTITUTE(_xlfn.SWITCH(AO209, "ITM_T_HOME", "ITM_UP1", "ITM_T_END", "ITM_DOWN1", "DOCU_CHR_sub", "ITM_DOWN_ARROW", "DOCU_CHR_super", "ITM_UP_ARROW", "MNU_TAMALPHA", "ITM_alpha", "DOCU_CHR_caseFLIP", "ITM_NULL", "DOCU_CHR_numSET", "ITM_NULL", "DOCU_ITM_RADIX", "ITM_PERIOD", AO209), ".lo", ),"MNU_", "-MNU_")</f>
        <v>-MNU_XFN</v>
      </c>
      <c r="BA209" s="173" t="str" cm="1">
        <f t="array" ref="BA209">SUBSTITUTE(SUBSTITUTE(_xlfn.SWITCH(AP209, "ITM_T_HOME", "ITM_UP1", "ITM_T_END", "ITM_DOWN1", "DOCU_CHR_sub", "ITM_DOWN_ARROW", "DOCU_CHR_super", "ITM_UP_ARROW", "MNU_TAMALPHA", "ITM_alpha", "DOCU_CHR_caseFLIP", "ITM_NULL", "DOCU_CHR_numSET", "ITM_NULL", "DOCU_ITM_RADIX", "ITM_PERIOD", AP209), ".lo", ),"MNU_", "-MNU_")</f>
        <v>ITM_9</v>
      </c>
      <c r="BB209" s="157" t="str" cm="1">
        <f t="array" ref="BB209">SUBSTITUTE(SUBSTITUTE(_xlfn.SWITCH(AQ209, "ITM_T_HOME", "ITM_UP1", "ITM_T_END", "ITM_DOWN1", "DOCU_CHR_sub", "ITM_DOWN_ARROW", "DOCU_CHR_super", "ITM_UP_ARROW", "MNU_TAMALPHA", "ITM_alpha", "DOCU_CHR_caseFLIP", "ITM_NULL", "DOCU_CHR_numSET", "ITM_NULL", "DOCU_ITM_RADIX", "ITM_PERIOD", AQ209), ".lo", ),"MNU_", "-MNU_")</f>
        <v>ITM_Q</v>
      </c>
      <c r="BC209" s="157" t="str" cm="1">
        <f t="array" ref="BC209">SUBSTITUTE(SUBSTITUTE(_xlfn.SWITCH(AR209, "ITM_T_HOME", "ITM_UP1", "ITM_T_END", "ITM_DOWN1", "DOCU_CHR_sub", "ITM_DOWN_ARROW", "DOCU_CHR_super", "ITM_UP_ARROW", "MNU_TAMALPHA", "ITM_alpha", "DOCU_CHR_caseFLIP", "ITM_NULL", "DOCU_CHR_numSET", "ITM_NULL", "DOCU_ITM_RADIX", "ITM_PERIOD", AR209), ".lo", ),"MNU_", "-MNU_")</f>
        <v>ITM_q</v>
      </c>
      <c r="BD209" s="157" t="str" cm="1">
        <f t="array" ref="BD209">SUBSTITUTE(SUBSTITUTE(_xlfn.SWITCH(AS209, "ITM_T_HOME", "ITM_UP1", "ITM_T_END", "ITM_DOWN1", "DOCU_CHR_sub", "ITM_DOWN_ARROW", "DOCU_CHR_super", "ITM_UP_ARROW", "MNU_TAMALPHA", "ITM_alpha", "DOCU_CHR_caseFLIP", "ITM_NULL", "DOCU_CHR_numSET", "ITM_NULL", "DOCU_ITM_RADIX", "ITM_PERIOD", AS209), ".lo", ),"MNU_", "-MNU_")</f>
        <v>ITM_9</v>
      </c>
      <c r="BE209" s="157" t="str" cm="1">
        <f t="array" ref="BE209">SUBSTITUTE(SUBSTITUTE(_xlfn.SWITCH(AT209, "ITM_T_HOME", "ITM_UP1", "ITM_T_END", "ITM_DOWN1", "DOCU_CHR_sub", "ITM_DOWN_ARROW", "DOCU_CHR_super", "ITM_UP_ARROW", "MNU_TAMALPHA", "ITM_alpha", "DOCU_CHR_caseFLIP", "ITM_NULL", "DOCU_CHR_numSET", "ITM_NULL", "DOCU_ITM_RADIX", "ITM_PERIOD", AT209), ".lo", ),"MNU_", "-MNU_")</f>
        <v>ITM_9</v>
      </c>
      <c r="BG209" s="75"/>
      <c r="BI209" s="13" t="str">
        <f t="shared" si="76"/>
        <v xml:space="preserve">  {54,                  ITM_9,                -MNU_MATX,            -MNU_XFN,             ITM_9,                ITM_Q,                ITM_q,                ITM_9,                ITM_9               },</v>
      </c>
    </row>
    <row r="210" spans="24:61" ht="21" x14ac:dyDescent="0.2">
      <c r="X210" s="135" t="str">
        <f t="shared" si="66"/>
        <v>V47</v>
      </c>
      <c r="Y210" s="109">
        <v>5</v>
      </c>
      <c r="Z210" s="109">
        <v>5</v>
      </c>
      <c r="AA210" s="112" t="str">
        <f t="shared" si="67"/>
        <v>V47.55</v>
      </c>
      <c r="AB210" s="117" t="s">
        <v>82</v>
      </c>
      <c r="AC210" s="118" t="s">
        <v>83</v>
      </c>
      <c r="AD210" s="119" t="s">
        <v>227</v>
      </c>
      <c r="AE210" s="3"/>
      <c r="AF210" s="49" t="s">
        <v>178</v>
      </c>
      <c r="AG210" s="77" t="b">
        <f t="shared" si="77"/>
        <v>1</v>
      </c>
      <c r="AH210" s="83" t="str">
        <f t="shared" si="68"/>
        <v>r</v>
      </c>
      <c r="AI210" s="84" t="str">
        <f t="shared" si="69"/>
        <v>alpha</v>
      </c>
      <c r="AJ210" s="85" t="str">
        <f t="shared" si="70"/>
        <v>[TAMALPHA]</v>
      </c>
      <c r="AK210" s="6"/>
      <c r="AL210" s="8" t="str">
        <f t="shared" si="71"/>
        <v>{55</v>
      </c>
      <c r="AM210" s="27" t="str">
        <f t="shared" si="72"/>
        <v>ITM_XEQ</v>
      </c>
      <c r="AN210" s="27" t="str">
        <f t="shared" si="73"/>
        <v>ITM_AIM</v>
      </c>
      <c r="AO210" s="27" t="str">
        <f t="shared" si="74"/>
        <v>ITM_USERMODE</v>
      </c>
      <c r="AP210" s="46" t="str">
        <f>IF(NOT(ISNA(MATCH(AM210,Lookups!E:E,))),VLOOKUP(AM210,Lookups!E:F,2,0),
IF(NOT(ISNA(MATCH(AN210,Lookups!E:E,))),VLOOKUP(AN210,Lookups!E:F,2,0),
IF(NOT(ISNA(MATCH(AO210,Lookups!E:E,))),VLOOKUP(AO210,Lookups!E:F,2,0),"ITM_NULL")))</f>
        <v>ITM_NULL</v>
      </c>
      <c r="AQ210" s="28" t="str">
        <f t="shared" si="75"/>
        <v>ITM_R</v>
      </c>
      <c r="AR210" s="195" t="s">
        <v>179</v>
      </c>
      <c r="AS210" s="186" t="s">
        <v>87</v>
      </c>
      <c r="AT210" s="197" t="s">
        <v>622</v>
      </c>
      <c r="AW210" s="14" t="str">
        <f t="shared" si="78"/>
        <v>{55</v>
      </c>
      <c r="AX210" s="157" t="str" cm="1">
        <f t="array" ref="AX210">SUBSTITUTE(SUBSTITUTE(_xlfn.SWITCH(AM210, "ITM_T_HOME", "ITM_UP1", "ITM_T_END", "ITM_DOWN1", "DOCU_CHR_sub", "ITM_DOWN_ARROW", "DOCU_CHR_super", "ITM_UP_ARROW", "MNU_TAMALPHA", "ITM_alpha", "DOCU_CHR_caseFLIP", "ITM_NULL", "DOCU_CHR_numSET", "ITM_NULL", "DOCU_ITM_RADIX", "ITM_PERIOD", AM210), ".lo", ),"MNU_", "-MNU_")</f>
        <v>ITM_XEQ</v>
      </c>
      <c r="AY210" s="157" t="str" cm="1">
        <f t="array" ref="AY210">SUBSTITUTE(SUBSTITUTE(_xlfn.SWITCH(AN210, "ITM_T_HOME", "ITM_UP1", "ITM_T_END", "ITM_DOWN1", "DOCU_CHR_sub", "ITM_DOWN_ARROW", "DOCU_CHR_super", "ITM_UP_ARROW", "MNU_TAMALPHA", "ITM_alpha", "DOCU_CHR_caseFLIP", "ITM_NULL", "DOCU_CHR_numSET", "ITM_NULL", "DOCU_ITM_RADIX", "ITM_PERIOD", AN210), ".lo", ),"MNU_", "-MNU_")</f>
        <v>ITM_AIM</v>
      </c>
      <c r="AZ210" s="157" t="str" cm="1">
        <f t="array" ref="AZ210">SUBSTITUTE(SUBSTITUTE(_xlfn.SWITCH(AO210, "ITM_T_HOME", "ITM_UP1", "ITM_T_END", "ITM_DOWN1", "DOCU_CHR_sub", "ITM_DOWN_ARROW", "DOCU_CHR_super", "ITM_UP_ARROW", "MNU_TAMALPHA", "ITM_alpha", "DOCU_CHR_caseFLIP", "ITM_NULL", "DOCU_CHR_numSET", "ITM_NULL", "DOCU_ITM_RADIX", "ITM_PERIOD", AO210), ".lo", ),"MNU_", "-MNU_")</f>
        <v>ITM_USERMODE</v>
      </c>
      <c r="BA210" s="173" t="str" cm="1">
        <f t="array" ref="BA210">SUBSTITUTE(SUBSTITUTE(_xlfn.SWITCH(AP210, "ITM_T_HOME", "ITM_UP1", "ITM_T_END", "ITM_DOWN1", "DOCU_CHR_sub", "ITM_DOWN_ARROW", "DOCU_CHR_super", "ITM_UP_ARROW", "MNU_TAMALPHA", "ITM_alpha", "DOCU_CHR_caseFLIP", "ITM_NULL", "DOCU_CHR_numSET", "ITM_NULL", "DOCU_ITM_RADIX", "ITM_PERIOD", AP210), ".lo", ),"MNU_", "-MNU_")</f>
        <v>ITM_NULL</v>
      </c>
      <c r="BB210" s="157" t="str" cm="1">
        <f t="array" ref="BB210">SUBSTITUTE(SUBSTITUTE(_xlfn.SWITCH(AQ210, "ITM_T_HOME", "ITM_UP1", "ITM_T_END", "ITM_DOWN1", "DOCU_CHR_sub", "ITM_DOWN_ARROW", "DOCU_CHR_super", "ITM_UP_ARROW", "MNU_TAMALPHA", "ITM_alpha", "DOCU_CHR_caseFLIP", "ITM_NULL", "DOCU_CHR_numSET", "ITM_NULL", "DOCU_ITM_RADIX", "ITM_PERIOD", AQ210), ".lo", ),"MNU_", "-MNU_")</f>
        <v>ITM_R</v>
      </c>
      <c r="BC210" s="157" t="str" cm="1">
        <f t="array" ref="BC210">SUBSTITUTE(SUBSTITUTE(_xlfn.SWITCH(AR210, "ITM_T_HOME", "ITM_UP1", "ITM_T_END", "ITM_DOWN1", "DOCU_CHR_sub", "ITM_DOWN_ARROW", "DOCU_CHR_super", "ITM_UP_ARROW", "MNU_TAMALPHA", "ITM_alpha", "DOCU_CHR_caseFLIP", "ITM_NULL", "DOCU_CHR_numSET", "ITM_NULL", "DOCU_ITM_RADIX", "ITM_PERIOD", AR210), ".lo", ),"MNU_", "-MNU_")</f>
        <v>ITM_r</v>
      </c>
      <c r="BD210" s="157" t="str" cm="1">
        <f t="array" ref="BD210">SUBSTITUTE(SUBSTITUTE(_xlfn.SWITCH(AS210, "ITM_T_HOME", "ITM_UP1", "ITM_T_END", "ITM_DOWN1", "DOCU_CHR_sub", "ITM_DOWN_ARROW", "DOCU_CHR_super", "ITM_UP_ARROW", "MNU_TAMALPHA", "ITM_alpha", "DOCU_CHR_caseFLIP", "ITM_NULL", "DOCU_CHR_numSET", "ITM_NULL", "DOCU_ITM_RADIX", "ITM_PERIOD", AS210), ".lo", ),"MNU_", "-MNU_")</f>
        <v>ITM_alpha</v>
      </c>
      <c r="BE210" s="157" t="str" cm="1">
        <f t="array" ref="BE210">SUBSTITUTE(SUBSTITUTE(_xlfn.SWITCH(AT210, "ITM_T_HOME", "ITM_UP1", "ITM_T_END", "ITM_DOWN1", "DOCU_CHR_sub", "ITM_DOWN_ARROW", "DOCU_CHR_super", "ITM_UP_ARROW", "MNU_TAMALPHA", "ITM_alpha", "DOCU_CHR_caseFLIP", "ITM_NULL", "DOCU_CHR_numSET", "ITM_NULL", "DOCU_ITM_RADIX", "ITM_PERIOD", AT210), ".lo", ),"MNU_", "-MNU_")</f>
        <v>ITM_alpha</v>
      </c>
      <c r="BG210" s="75"/>
      <c r="BI210" s="13" t="str">
        <f t="shared" si="76"/>
        <v xml:space="preserve">  {55,                  ITM_XEQ,              ITM_AIM,              ITM_USERMODE,         ITM_NULL,             ITM_R,                ITM_r,                ITM_alpha,            ITM_alpha           },</v>
      </c>
    </row>
    <row r="211" spans="24:61" ht="21" x14ac:dyDescent="0.2">
      <c r="X211" s="135" t="str">
        <f t="shared" si="66"/>
        <v>V47</v>
      </c>
      <c r="Y211" s="106">
        <v>6</v>
      </c>
      <c r="Z211" s="106">
        <v>1</v>
      </c>
      <c r="AA211" s="112" t="str">
        <f t="shared" si="67"/>
        <v>V47.61</v>
      </c>
      <c r="AB211" s="117" t="s">
        <v>263</v>
      </c>
      <c r="AC211" s="118" t="s">
        <v>211</v>
      </c>
      <c r="AD211" s="119" t="s">
        <v>212</v>
      </c>
      <c r="AE211" s="3"/>
      <c r="AF211" s="49" t="s">
        <v>184</v>
      </c>
      <c r="AG211" s="77" t="b">
        <f t="shared" si="77"/>
        <v>1</v>
      </c>
      <c r="AH211" s="83" t="str">
        <f t="shared" si="68"/>
        <v>s</v>
      </c>
      <c r="AI211" s="84" t="str">
        <f t="shared" si="69"/>
        <v>+</v>
      </c>
      <c r="AJ211" s="85" t="str">
        <f t="shared" si="70"/>
        <v>+</v>
      </c>
      <c r="AK211" s="6"/>
      <c r="AL211" s="8" t="str">
        <f t="shared" si="71"/>
        <v>{61</v>
      </c>
      <c r="AM211" s="27" t="str">
        <f t="shared" si="72"/>
        <v>ITM_ADD</v>
      </c>
      <c r="AN211" s="27" t="str">
        <f t="shared" si="73"/>
        <v>MNU_PROB</v>
      </c>
      <c r="AO211" s="27" t="str">
        <f t="shared" si="74"/>
        <v>MNU_INTS</v>
      </c>
      <c r="AP211" s="46" t="str">
        <f>IF(NOT(ISNA(MATCH(AM211,Lookups!E:E,))),VLOOKUP(AM211,Lookups!E:F,2,0),
IF(NOT(ISNA(MATCH(AN211,Lookups!E:E,))),VLOOKUP(AN211,Lookups!E:F,2,0),
IF(NOT(ISNA(MATCH(AO211,Lookups!E:E,))),VLOOKUP(AO211,Lookups!E:F,2,0),"ITM_NULL")))</f>
        <v>ITM_PLUS</v>
      </c>
      <c r="AQ211" s="28" t="str">
        <f t="shared" si="75"/>
        <v>ITM_S</v>
      </c>
      <c r="AR211" s="195" t="s">
        <v>185</v>
      </c>
      <c r="AS211" s="186" t="s">
        <v>267</v>
      </c>
      <c r="AT211" s="197" t="s">
        <v>268</v>
      </c>
      <c r="AW211" s="14" t="str">
        <f t="shared" si="78"/>
        <v>{61</v>
      </c>
      <c r="AX211" s="157" t="str" cm="1">
        <f t="array" ref="AX211">SUBSTITUTE(SUBSTITUTE(_xlfn.SWITCH(AM211, "ITM_T_HOME", "ITM_UP1", "ITM_T_END", "ITM_DOWN1", "DOCU_CHR_sub", "ITM_DOWN_ARROW", "DOCU_CHR_super", "ITM_UP_ARROW", "MNU_TAMALPHA", "ITM_alpha", "DOCU_CHR_caseFLIP", "ITM_NULL", "DOCU_CHR_numSET", "ITM_NULL", "DOCU_ITM_RADIX", "ITM_PERIOD", AM211), ".lo", ),"MNU_", "-MNU_")</f>
        <v>ITM_ADD</v>
      </c>
      <c r="AY211" s="157" t="str" cm="1">
        <f t="array" ref="AY211">SUBSTITUTE(SUBSTITUTE(_xlfn.SWITCH(AN211, "ITM_T_HOME", "ITM_UP1", "ITM_T_END", "ITM_DOWN1", "DOCU_CHR_sub", "ITM_DOWN_ARROW", "DOCU_CHR_super", "ITM_UP_ARROW", "MNU_TAMALPHA", "ITM_alpha", "DOCU_CHR_caseFLIP", "ITM_NULL", "DOCU_CHR_numSET", "ITM_NULL", "DOCU_ITM_RADIX", "ITM_PERIOD", AN211), ".lo", ),"MNU_", "-MNU_")</f>
        <v>-MNU_PROB</v>
      </c>
      <c r="AZ211" s="157" t="str" cm="1">
        <f t="array" ref="AZ211">SUBSTITUTE(SUBSTITUTE(_xlfn.SWITCH(AO211, "ITM_T_HOME", "ITM_UP1", "ITM_T_END", "ITM_DOWN1", "DOCU_CHR_sub", "ITM_DOWN_ARROW", "DOCU_CHR_super", "ITM_UP_ARROW", "MNU_TAMALPHA", "ITM_alpha", "DOCU_CHR_caseFLIP", "ITM_NULL", "DOCU_CHR_numSET", "ITM_NULL", "DOCU_ITM_RADIX", "ITM_PERIOD", AO211), ".lo", ),"MNU_", "-MNU_")</f>
        <v>-MNU_INTS</v>
      </c>
      <c r="BA211" s="173" t="str" cm="1">
        <f t="array" ref="BA211">SUBSTITUTE(SUBSTITUTE(_xlfn.SWITCH(AP211, "ITM_T_HOME", "ITM_UP1", "ITM_T_END", "ITM_DOWN1", "DOCU_CHR_sub", "ITM_DOWN_ARROW", "DOCU_CHR_super", "ITM_UP_ARROW", "MNU_TAMALPHA", "ITM_alpha", "DOCU_CHR_caseFLIP", "ITM_NULL", "DOCU_CHR_numSET", "ITM_NULL", "DOCU_ITM_RADIX", "ITM_PERIOD", AP211), ".lo", ),"MNU_", "-MNU_")</f>
        <v>ITM_PLUS</v>
      </c>
      <c r="BB211" s="157" t="str" cm="1">
        <f t="array" ref="BB211">SUBSTITUTE(SUBSTITUTE(_xlfn.SWITCH(AQ211, "ITM_T_HOME", "ITM_UP1", "ITM_T_END", "ITM_DOWN1", "DOCU_CHR_sub", "ITM_DOWN_ARROW", "DOCU_CHR_super", "ITM_UP_ARROW", "MNU_TAMALPHA", "ITM_alpha", "DOCU_CHR_caseFLIP", "ITM_NULL", "DOCU_CHR_numSET", "ITM_NULL", "DOCU_ITM_RADIX", "ITM_PERIOD", AQ211), ".lo", ),"MNU_", "-MNU_")</f>
        <v>ITM_S</v>
      </c>
      <c r="BC211" s="157" t="str" cm="1">
        <f t="array" ref="BC211">SUBSTITUTE(SUBSTITUTE(_xlfn.SWITCH(AR211, "ITM_T_HOME", "ITM_UP1", "ITM_T_END", "ITM_DOWN1", "DOCU_CHR_sub", "ITM_DOWN_ARROW", "DOCU_CHR_super", "ITM_UP_ARROW", "MNU_TAMALPHA", "ITM_alpha", "DOCU_CHR_caseFLIP", "ITM_NULL", "DOCU_CHR_numSET", "ITM_NULL", "DOCU_ITM_RADIX", "ITM_PERIOD", AR211), ".lo", ),"MNU_", "-MNU_")</f>
        <v>ITM_s</v>
      </c>
      <c r="BD211" s="157" t="str" cm="1">
        <f t="array" ref="BD211">SUBSTITUTE(SUBSTITUTE(_xlfn.SWITCH(AS211, "ITM_T_HOME", "ITM_UP1", "ITM_T_END", "ITM_DOWN1", "DOCU_CHR_sub", "ITM_DOWN_ARROW", "DOCU_CHR_super", "ITM_UP_ARROW", "MNU_TAMALPHA", "ITM_alpha", "DOCU_CHR_caseFLIP", "ITM_NULL", "DOCU_CHR_numSET", "ITM_NULL", "DOCU_ITM_RADIX", "ITM_PERIOD", AS211), ".lo", ),"MNU_", "-MNU_")</f>
        <v>ITM_PLUS</v>
      </c>
      <c r="BE211" s="157" t="str" cm="1">
        <f t="array" ref="BE211">SUBSTITUTE(SUBSTITUTE(_xlfn.SWITCH(AT211, "ITM_T_HOME", "ITM_UP1", "ITM_T_END", "ITM_DOWN1", "DOCU_CHR_sub", "ITM_DOWN_ARROW", "DOCU_CHR_super", "ITM_UP_ARROW", "MNU_TAMALPHA", "ITM_alpha", "DOCU_CHR_caseFLIP", "ITM_NULL", "DOCU_CHR_numSET", "ITM_NULL", "DOCU_ITM_RADIX", "ITM_PERIOD", AT211), ".lo", ),"MNU_", "-MNU_")</f>
        <v>ITM_ADD</v>
      </c>
      <c r="BG211" s="75"/>
      <c r="BI211" s="13" t="str">
        <f t="shared" si="76"/>
        <v xml:space="preserve">  {61,                  ITM_ADD,              -MNU_PROB,            -MNU_INTS,            ITM_PLUS,             ITM_S,                ITM_s,                ITM_PLUS,             ITM_ADD             },</v>
      </c>
    </row>
    <row r="212" spans="24:61" ht="21" x14ac:dyDescent="0.2">
      <c r="X212" s="135" t="str">
        <f t="shared" si="66"/>
        <v>V47</v>
      </c>
      <c r="Y212" s="109">
        <v>6</v>
      </c>
      <c r="Z212" s="109">
        <v>2</v>
      </c>
      <c r="AA212" s="112" t="str">
        <f t="shared" si="67"/>
        <v>V47.62</v>
      </c>
      <c r="AB212" s="117">
        <v>4</v>
      </c>
      <c r="AC212" s="118" t="s">
        <v>195</v>
      </c>
      <c r="AD212" s="119" t="s">
        <v>196</v>
      </c>
      <c r="AE212" s="3"/>
      <c r="AF212" s="49" t="s">
        <v>197</v>
      </c>
      <c r="AG212" s="77" t="b">
        <f t="shared" si="77"/>
        <v>1</v>
      </c>
      <c r="AH212" s="83" t="str">
        <f t="shared" si="68"/>
        <v>t</v>
      </c>
      <c r="AI212" s="84">
        <f t="shared" si="69"/>
        <v>4</v>
      </c>
      <c r="AJ212" s="85">
        <f t="shared" si="70"/>
        <v>4</v>
      </c>
      <c r="AK212" s="6"/>
      <c r="AL212" s="8" t="str">
        <f t="shared" si="71"/>
        <v>{62</v>
      </c>
      <c r="AM212" s="27" t="str">
        <f t="shared" si="72"/>
        <v>ITM_4</v>
      </c>
      <c r="AN212" s="27" t="str">
        <f t="shared" si="73"/>
        <v>MNU_BASE</v>
      </c>
      <c r="AO212" s="27" t="str">
        <f t="shared" si="74"/>
        <v>MNU_BITS</v>
      </c>
      <c r="AP212" s="46" t="str">
        <f>IF(NOT(ISNA(MATCH(AM212,Lookups!E:E,))),VLOOKUP(AM212,Lookups!E:F,2,0),
IF(NOT(ISNA(MATCH(AN212,Lookups!E:E,))),VLOOKUP(AN212,Lookups!E:F,2,0),
IF(NOT(ISNA(MATCH(AO212,Lookups!E:E,))),VLOOKUP(AO212,Lookups!E:F,2,0),"ITM_NULL")))</f>
        <v>ITM_4</v>
      </c>
      <c r="AQ212" s="28" t="str">
        <f t="shared" si="75"/>
        <v>ITM_T</v>
      </c>
      <c r="AR212" s="195" t="s">
        <v>198</v>
      </c>
      <c r="AS212" s="186" t="s">
        <v>199</v>
      </c>
      <c r="AT212" s="197" t="s">
        <v>199</v>
      </c>
      <c r="AW212" s="14" t="str">
        <f t="shared" si="78"/>
        <v>{62</v>
      </c>
      <c r="AX212" s="157" t="str" cm="1">
        <f t="array" ref="AX212">SUBSTITUTE(SUBSTITUTE(_xlfn.SWITCH(AM212, "ITM_T_HOME", "ITM_UP1", "ITM_T_END", "ITM_DOWN1", "DOCU_CHR_sub", "ITM_DOWN_ARROW", "DOCU_CHR_super", "ITM_UP_ARROW", "MNU_TAMALPHA", "ITM_alpha", "DOCU_CHR_caseFLIP", "ITM_NULL", "DOCU_CHR_numSET", "ITM_NULL", "DOCU_ITM_RADIX", "ITM_PERIOD", AM212), ".lo", ),"MNU_", "-MNU_")</f>
        <v>ITM_4</v>
      </c>
      <c r="AY212" s="157" t="str" cm="1">
        <f t="array" ref="AY212">SUBSTITUTE(SUBSTITUTE(_xlfn.SWITCH(AN212, "ITM_T_HOME", "ITM_UP1", "ITM_T_END", "ITM_DOWN1", "DOCU_CHR_sub", "ITM_DOWN_ARROW", "DOCU_CHR_super", "ITM_UP_ARROW", "MNU_TAMALPHA", "ITM_alpha", "DOCU_CHR_caseFLIP", "ITM_NULL", "DOCU_CHR_numSET", "ITM_NULL", "DOCU_ITM_RADIX", "ITM_PERIOD", AN212), ".lo", ),"MNU_", "-MNU_")</f>
        <v>-MNU_BASE</v>
      </c>
      <c r="AZ212" s="157" t="str" cm="1">
        <f t="array" ref="AZ212">SUBSTITUTE(SUBSTITUTE(_xlfn.SWITCH(AO212, "ITM_T_HOME", "ITM_UP1", "ITM_T_END", "ITM_DOWN1", "DOCU_CHR_sub", "ITM_DOWN_ARROW", "DOCU_CHR_super", "ITM_UP_ARROW", "MNU_TAMALPHA", "ITM_alpha", "DOCU_CHR_caseFLIP", "ITM_NULL", "DOCU_CHR_numSET", "ITM_NULL", "DOCU_ITM_RADIX", "ITM_PERIOD", AO212), ".lo", ),"MNU_", "-MNU_")</f>
        <v>-MNU_BITS</v>
      </c>
      <c r="BA212" s="173" t="str" cm="1">
        <f t="array" ref="BA212">SUBSTITUTE(SUBSTITUTE(_xlfn.SWITCH(AP212, "ITM_T_HOME", "ITM_UP1", "ITM_T_END", "ITM_DOWN1", "DOCU_CHR_sub", "ITM_DOWN_ARROW", "DOCU_CHR_super", "ITM_UP_ARROW", "MNU_TAMALPHA", "ITM_alpha", "DOCU_CHR_caseFLIP", "ITM_NULL", "DOCU_CHR_numSET", "ITM_NULL", "DOCU_ITM_RADIX", "ITM_PERIOD", AP212), ".lo", ),"MNU_", "-MNU_")</f>
        <v>ITM_4</v>
      </c>
      <c r="BB212" s="157" t="str" cm="1">
        <f t="array" ref="BB212">SUBSTITUTE(SUBSTITUTE(_xlfn.SWITCH(AQ212, "ITM_T_HOME", "ITM_UP1", "ITM_T_END", "ITM_DOWN1", "DOCU_CHR_sub", "ITM_DOWN_ARROW", "DOCU_CHR_super", "ITM_UP_ARROW", "MNU_TAMALPHA", "ITM_alpha", "DOCU_CHR_caseFLIP", "ITM_NULL", "DOCU_CHR_numSET", "ITM_NULL", "DOCU_ITM_RADIX", "ITM_PERIOD", AQ212), ".lo", ),"MNU_", "-MNU_")</f>
        <v>ITM_T</v>
      </c>
      <c r="BC212" s="157" t="str" cm="1">
        <f t="array" ref="BC212">SUBSTITUTE(SUBSTITUTE(_xlfn.SWITCH(AR212, "ITM_T_HOME", "ITM_UP1", "ITM_T_END", "ITM_DOWN1", "DOCU_CHR_sub", "ITM_DOWN_ARROW", "DOCU_CHR_super", "ITM_UP_ARROW", "MNU_TAMALPHA", "ITM_alpha", "DOCU_CHR_caseFLIP", "ITM_NULL", "DOCU_CHR_numSET", "ITM_NULL", "DOCU_ITM_RADIX", "ITM_PERIOD", AR212), ".lo", ),"MNU_", "-MNU_")</f>
        <v>ITM_t</v>
      </c>
      <c r="BD212" s="157" t="str" cm="1">
        <f t="array" ref="BD212">SUBSTITUTE(SUBSTITUTE(_xlfn.SWITCH(AS212, "ITM_T_HOME", "ITM_UP1", "ITM_T_END", "ITM_DOWN1", "DOCU_CHR_sub", "ITM_DOWN_ARROW", "DOCU_CHR_super", "ITM_UP_ARROW", "MNU_TAMALPHA", "ITM_alpha", "DOCU_CHR_caseFLIP", "ITM_NULL", "DOCU_CHR_numSET", "ITM_NULL", "DOCU_ITM_RADIX", "ITM_PERIOD", AS212), ".lo", ),"MNU_", "-MNU_")</f>
        <v>ITM_4</v>
      </c>
      <c r="BE212" s="157" t="str" cm="1">
        <f t="array" ref="BE212">SUBSTITUTE(SUBSTITUTE(_xlfn.SWITCH(AT212, "ITM_T_HOME", "ITM_UP1", "ITM_T_END", "ITM_DOWN1", "DOCU_CHR_sub", "ITM_DOWN_ARROW", "DOCU_CHR_super", "ITM_UP_ARROW", "MNU_TAMALPHA", "ITM_alpha", "DOCU_CHR_caseFLIP", "ITM_NULL", "DOCU_CHR_numSET", "ITM_NULL", "DOCU_ITM_RADIX", "ITM_PERIOD", AT212), ".lo", ),"MNU_", "-MNU_")</f>
        <v>ITM_4</v>
      </c>
      <c r="BG212" s="75"/>
      <c r="BI212" s="13" t="str">
        <f t="shared" si="76"/>
        <v xml:space="preserve">  {62,                  ITM_4,                -MNU_BASE,            -MNU_BITS,            ITM_4,                ITM_T,                ITM_t,                ITM_4,                ITM_4               },</v>
      </c>
    </row>
    <row r="213" spans="24:61" ht="21" x14ac:dyDescent="0.2">
      <c r="X213" s="135" t="str">
        <f t="shared" si="66"/>
        <v>V47</v>
      </c>
      <c r="Y213" s="109">
        <v>6</v>
      </c>
      <c r="Z213" s="109">
        <v>3</v>
      </c>
      <c r="AA213" s="112" t="str">
        <f t="shared" si="67"/>
        <v>V47.63</v>
      </c>
      <c r="AB213" s="117">
        <v>5</v>
      </c>
      <c r="AC213" s="118" t="s">
        <v>200</v>
      </c>
      <c r="AD213" s="119" t="s">
        <v>201</v>
      </c>
      <c r="AE213" s="3"/>
      <c r="AF213" s="49" t="s">
        <v>202</v>
      </c>
      <c r="AG213" s="77" t="b">
        <f t="shared" si="77"/>
        <v>1</v>
      </c>
      <c r="AH213" s="83" t="str">
        <f t="shared" si="68"/>
        <v>u</v>
      </c>
      <c r="AI213" s="84">
        <f t="shared" si="69"/>
        <v>5</v>
      </c>
      <c r="AJ213" s="85">
        <f t="shared" si="70"/>
        <v>5</v>
      </c>
      <c r="AK213" s="6"/>
      <c r="AL213" s="8" t="str">
        <f t="shared" si="71"/>
        <v>{63</v>
      </c>
      <c r="AM213" s="27" t="str">
        <f t="shared" si="72"/>
        <v>ITM_5</v>
      </c>
      <c r="AN213" s="27" t="str">
        <f t="shared" si="73"/>
        <v>MNU_UNITCONV</v>
      </c>
      <c r="AO213" s="27" t="str">
        <f t="shared" si="74"/>
        <v>MNU_CLK</v>
      </c>
      <c r="AP213" s="46" t="str">
        <f>IF(NOT(ISNA(MATCH(AM213,Lookups!E:E,))),VLOOKUP(AM213,Lookups!E:F,2,0),
IF(NOT(ISNA(MATCH(AN213,Lookups!E:E,))),VLOOKUP(AN213,Lookups!E:F,2,0),
IF(NOT(ISNA(MATCH(AO213,Lookups!E:E,))),VLOOKUP(AO213,Lookups!E:F,2,0),"ITM_NULL")))</f>
        <v>ITM_5</v>
      </c>
      <c r="AQ213" s="28" t="str">
        <f t="shared" si="75"/>
        <v>ITM_U</v>
      </c>
      <c r="AR213" s="195" t="s">
        <v>203</v>
      </c>
      <c r="AS213" s="186" t="s">
        <v>204</v>
      </c>
      <c r="AT213" s="197" t="s">
        <v>204</v>
      </c>
      <c r="AW213" s="14" t="str">
        <f t="shared" si="78"/>
        <v>{63</v>
      </c>
      <c r="AX213" s="157" t="str" cm="1">
        <f t="array" ref="AX213">SUBSTITUTE(SUBSTITUTE(_xlfn.SWITCH(AM213, "ITM_T_HOME", "ITM_UP1", "ITM_T_END", "ITM_DOWN1", "DOCU_CHR_sub", "ITM_DOWN_ARROW", "DOCU_CHR_super", "ITM_UP_ARROW", "MNU_TAMALPHA", "ITM_alpha", "DOCU_CHR_caseFLIP", "ITM_NULL", "DOCU_CHR_numSET", "ITM_NULL", "DOCU_ITM_RADIX", "ITM_PERIOD", AM213), ".lo", ),"MNU_", "-MNU_")</f>
        <v>ITM_5</v>
      </c>
      <c r="AY213" s="157" t="str" cm="1">
        <f t="array" ref="AY213">SUBSTITUTE(SUBSTITUTE(_xlfn.SWITCH(AN213, "ITM_T_HOME", "ITM_UP1", "ITM_T_END", "ITM_DOWN1", "DOCU_CHR_sub", "ITM_DOWN_ARROW", "DOCU_CHR_super", "ITM_UP_ARROW", "MNU_TAMALPHA", "ITM_alpha", "DOCU_CHR_caseFLIP", "ITM_NULL", "DOCU_CHR_numSET", "ITM_NULL", "DOCU_ITM_RADIX", "ITM_PERIOD", AN213), ".lo", ),"MNU_", "-MNU_")</f>
        <v>-MNU_UNITCONV</v>
      </c>
      <c r="AZ213" s="157" t="str" cm="1">
        <f t="array" ref="AZ213">SUBSTITUTE(SUBSTITUTE(_xlfn.SWITCH(AO213, "ITM_T_HOME", "ITM_UP1", "ITM_T_END", "ITM_DOWN1", "DOCU_CHR_sub", "ITM_DOWN_ARROW", "DOCU_CHR_super", "ITM_UP_ARROW", "MNU_TAMALPHA", "ITM_alpha", "DOCU_CHR_caseFLIP", "ITM_NULL", "DOCU_CHR_numSET", "ITM_NULL", "DOCU_ITM_RADIX", "ITM_PERIOD", AO213), ".lo", ),"MNU_", "-MNU_")</f>
        <v>-MNU_CLK</v>
      </c>
      <c r="BA213" s="173" t="str" cm="1">
        <f t="array" ref="BA213">SUBSTITUTE(SUBSTITUTE(_xlfn.SWITCH(AP213, "ITM_T_HOME", "ITM_UP1", "ITM_T_END", "ITM_DOWN1", "DOCU_CHR_sub", "ITM_DOWN_ARROW", "DOCU_CHR_super", "ITM_UP_ARROW", "MNU_TAMALPHA", "ITM_alpha", "DOCU_CHR_caseFLIP", "ITM_NULL", "DOCU_CHR_numSET", "ITM_NULL", "DOCU_ITM_RADIX", "ITM_PERIOD", AP213), ".lo", ),"MNU_", "-MNU_")</f>
        <v>ITM_5</v>
      </c>
      <c r="BB213" s="157" t="str" cm="1">
        <f t="array" ref="BB213">SUBSTITUTE(SUBSTITUTE(_xlfn.SWITCH(AQ213, "ITM_T_HOME", "ITM_UP1", "ITM_T_END", "ITM_DOWN1", "DOCU_CHR_sub", "ITM_DOWN_ARROW", "DOCU_CHR_super", "ITM_UP_ARROW", "MNU_TAMALPHA", "ITM_alpha", "DOCU_CHR_caseFLIP", "ITM_NULL", "DOCU_CHR_numSET", "ITM_NULL", "DOCU_ITM_RADIX", "ITM_PERIOD", AQ213), ".lo", ),"MNU_", "-MNU_")</f>
        <v>ITM_U</v>
      </c>
      <c r="BC213" s="157" t="str" cm="1">
        <f t="array" ref="BC213">SUBSTITUTE(SUBSTITUTE(_xlfn.SWITCH(AR213, "ITM_T_HOME", "ITM_UP1", "ITM_T_END", "ITM_DOWN1", "DOCU_CHR_sub", "ITM_DOWN_ARROW", "DOCU_CHR_super", "ITM_UP_ARROW", "MNU_TAMALPHA", "ITM_alpha", "DOCU_CHR_caseFLIP", "ITM_NULL", "DOCU_CHR_numSET", "ITM_NULL", "DOCU_ITM_RADIX", "ITM_PERIOD", AR213), ".lo", ),"MNU_", "-MNU_")</f>
        <v>ITM_u</v>
      </c>
      <c r="BD213" s="157" t="str" cm="1">
        <f t="array" ref="BD213">SUBSTITUTE(SUBSTITUTE(_xlfn.SWITCH(AS213, "ITM_T_HOME", "ITM_UP1", "ITM_T_END", "ITM_DOWN1", "DOCU_CHR_sub", "ITM_DOWN_ARROW", "DOCU_CHR_super", "ITM_UP_ARROW", "MNU_TAMALPHA", "ITM_alpha", "DOCU_CHR_caseFLIP", "ITM_NULL", "DOCU_CHR_numSET", "ITM_NULL", "DOCU_ITM_RADIX", "ITM_PERIOD", AS213), ".lo", ),"MNU_", "-MNU_")</f>
        <v>ITM_5</v>
      </c>
      <c r="BE213" s="157" t="str" cm="1">
        <f t="array" ref="BE213">SUBSTITUTE(SUBSTITUTE(_xlfn.SWITCH(AT213, "ITM_T_HOME", "ITM_UP1", "ITM_T_END", "ITM_DOWN1", "DOCU_CHR_sub", "ITM_DOWN_ARROW", "DOCU_CHR_super", "ITM_UP_ARROW", "MNU_TAMALPHA", "ITM_alpha", "DOCU_CHR_caseFLIP", "ITM_NULL", "DOCU_CHR_numSET", "ITM_NULL", "DOCU_ITM_RADIX", "ITM_PERIOD", AT213), ".lo", ),"MNU_", "-MNU_")</f>
        <v>ITM_5</v>
      </c>
      <c r="BG213" s="75"/>
      <c r="BI213" s="13" t="str">
        <f t="shared" si="76"/>
        <v xml:space="preserve">  {63,                  ITM_5,                -MNU_UNITCONV,        -MNU_CLK,             ITM_5,                ITM_U,                ITM_u,                ITM_5,                ITM_5               },</v>
      </c>
    </row>
    <row r="214" spans="24:61" ht="21" x14ac:dyDescent="0.2">
      <c r="X214" s="135" t="str">
        <f t="shared" si="66"/>
        <v>V47</v>
      </c>
      <c r="Y214" s="109">
        <v>6</v>
      </c>
      <c r="Z214" s="109">
        <v>4</v>
      </c>
      <c r="AA214" s="112" t="str">
        <f t="shared" si="67"/>
        <v>V47.64</v>
      </c>
      <c r="AB214" s="117">
        <v>6</v>
      </c>
      <c r="AC214" s="118" t="s">
        <v>205</v>
      </c>
      <c r="AD214" s="119" t="s">
        <v>206</v>
      </c>
      <c r="AE214" s="3"/>
      <c r="AF214" s="49" t="s">
        <v>207</v>
      </c>
      <c r="AG214" s="77" t="b">
        <f t="shared" si="77"/>
        <v>1</v>
      </c>
      <c r="AH214" s="83" t="str">
        <f t="shared" si="68"/>
        <v>v</v>
      </c>
      <c r="AI214" s="84">
        <f t="shared" si="69"/>
        <v>6</v>
      </c>
      <c r="AJ214" s="85">
        <f t="shared" si="70"/>
        <v>6</v>
      </c>
      <c r="AK214" s="6"/>
      <c r="AL214" s="8" t="str">
        <f t="shared" si="71"/>
        <v>{64</v>
      </c>
      <c r="AM214" s="27" t="str">
        <f t="shared" si="72"/>
        <v>ITM_6</v>
      </c>
      <c r="AN214" s="27" t="str">
        <f t="shared" si="73"/>
        <v>MNU_FLAGS</v>
      </c>
      <c r="AO214" s="27" t="str">
        <f t="shared" si="74"/>
        <v>MNU_PARTS</v>
      </c>
      <c r="AP214" s="46" t="str">
        <f>IF(NOT(ISNA(MATCH(AM214,Lookups!E:E,))),VLOOKUP(AM214,Lookups!E:F,2,0),
IF(NOT(ISNA(MATCH(AN214,Lookups!E:E,))),VLOOKUP(AN214,Lookups!E:F,2,0),
IF(NOT(ISNA(MATCH(AO214,Lookups!E:E,))),VLOOKUP(AO214,Lookups!E:F,2,0),"ITM_NULL")))</f>
        <v>ITM_6</v>
      </c>
      <c r="AQ214" s="28" t="str">
        <f t="shared" si="75"/>
        <v>ITM_V</v>
      </c>
      <c r="AR214" s="195" t="s">
        <v>208</v>
      </c>
      <c r="AS214" s="186" t="s">
        <v>209</v>
      </c>
      <c r="AT214" s="197" t="s">
        <v>209</v>
      </c>
      <c r="AW214" s="14" t="str">
        <f t="shared" si="78"/>
        <v>{64</v>
      </c>
      <c r="AX214" s="157" t="str" cm="1">
        <f t="array" ref="AX214">SUBSTITUTE(SUBSTITUTE(_xlfn.SWITCH(AM214, "ITM_T_HOME", "ITM_UP1", "ITM_T_END", "ITM_DOWN1", "DOCU_CHR_sub", "ITM_DOWN_ARROW", "DOCU_CHR_super", "ITM_UP_ARROW", "MNU_TAMALPHA", "ITM_alpha", "DOCU_CHR_caseFLIP", "ITM_NULL", "DOCU_CHR_numSET", "ITM_NULL", "DOCU_ITM_RADIX", "ITM_PERIOD", AM214), ".lo", ),"MNU_", "-MNU_")</f>
        <v>ITM_6</v>
      </c>
      <c r="AY214" s="157" t="str" cm="1">
        <f t="array" ref="AY214">SUBSTITUTE(SUBSTITUTE(_xlfn.SWITCH(AN214, "ITM_T_HOME", "ITM_UP1", "ITM_T_END", "ITM_DOWN1", "DOCU_CHR_sub", "ITM_DOWN_ARROW", "DOCU_CHR_super", "ITM_UP_ARROW", "MNU_TAMALPHA", "ITM_alpha", "DOCU_CHR_caseFLIP", "ITM_NULL", "DOCU_CHR_numSET", "ITM_NULL", "DOCU_ITM_RADIX", "ITM_PERIOD", AN214), ".lo", ),"MNU_", "-MNU_")</f>
        <v>-MNU_FLAGS</v>
      </c>
      <c r="AZ214" s="157" t="str" cm="1">
        <f t="array" ref="AZ214">SUBSTITUTE(SUBSTITUTE(_xlfn.SWITCH(AO214, "ITM_T_HOME", "ITM_UP1", "ITM_T_END", "ITM_DOWN1", "DOCU_CHR_sub", "ITM_DOWN_ARROW", "DOCU_CHR_super", "ITM_UP_ARROW", "MNU_TAMALPHA", "ITM_alpha", "DOCU_CHR_caseFLIP", "ITM_NULL", "DOCU_CHR_numSET", "ITM_NULL", "DOCU_ITM_RADIX", "ITM_PERIOD", AO214), ".lo", ),"MNU_", "-MNU_")</f>
        <v>-MNU_PARTS</v>
      </c>
      <c r="BA214" s="173" t="str" cm="1">
        <f t="array" ref="BA214">SUBSTITUTE(SUBSTITUTE(_xlfn.SWITCH(AP214, "ITM_T_HOME", "ITM_UP1", "ITM_T_END", "ITM_DOWN1", "DOCU_CHR_sub", "ITM_DOWN_ARROW", "DOCU_CHR_super", "ITM_UP_ARROW", "MNU_TAMALPHA", "ITM_alpha", "DOCU_CHR_caseFLIP", "ITM_NULL", "DOCU_CHR_numSET", "ITM_NULL", "DOCU_ITM_RADIX", "ITM_PERIOD", AP214), ".lo", ),"MNU_", "-MNU_")</f>
        <v>ITM_6</v>
      </c>
      <c r="BB214" s="157" t="str" cm="1">
        <f t="array" ref="BB214">SUBSTITUTE(SUBSTITUTE(_xlfn.SWITCH(AQ214, "ITM_T_HOME", "ITM_UP1", "ITM_T_END", "ITM_DOWN1", "DOCU_CHR_sub", "ITM_DOWN_ARROW", "DOCU_CHR_super", "ITM_UP_ARROW", "MNU_TAMALPHA", "ITM_alpha", "DOCU_CHR_caseFLIP", "ITM_NULL", "DOCU_CHR_numSET", "ITM_NULL", "DOCU_ITM_RADIX", "ITM_PERIOD", AQ214), ".lo", ),"MNU_", "-MNU_")</f>
        <v>ITM_V</v>
      </c>
      <c r="BC214" s="157" t="str" cm="1">
        <f t="array" ref="BC214">SUBSTITUTE(SUBSTITUTE(_xlfn.SWITCH(AR214, "ITM_T_HOME", "ITM_UP1", "ITM_T_END", "ITM_DOWN1", "DOCU_CHR_sub", "ITM_DOWN_ARROW", "DOCU_CHR_super", "ITM_UP_ARROW", "MNU_TAMALPHA", "ITM_alpha", "DOCU_CHR_caseFLIP", "ITM_NULL", "DOCU_CHR_numSET", "ITM_NULL", "DOCU_ITM_RADIX", "ITM_PERIOD", AR214), ".lo", ),"MNU_", "-MNU_")</f>
        <v>ITM_v</v>
      </c>
      <c r="BD214" s="157" t="str" cm="1">
        <f t="array" ref="BD214">SUBSTITUTE(SUBSTITUTE(_xlfn.SWITCH(AS214, "ITM_T_HOME", "ITM_UP1", "ITM_T_END", "ITM_DOWN1", "DOCU_CHR_sub", "ITM_DOWN_ARROW", "DOCU_CHR_super", "ITM_UP_ARROW", "MNU_TAMALPHA", "ITM_alpha", "DOCU_CHR_caseFLIP", "ITM_NULL", "DOCU_CHR_numSET", "ITM_NULL", "DOCU_ITM_RADIX", "ITM_PERIOD", AS214), ".lo", ),"MNU_", "-MNU_")</f>
        <v>ITM_6</v>
      </c>
      <c r="BE214" s="157" t="str" cm="1">
        <f t="array" ref="BE214">SUBSTITUTE(SUBSTITUTE(_xlfn.SWITCH(AT214, "ITM_T_HOME", "ITM_UP1", "ITM_T_END", "ITM_DOWN1", "DOCU_CHR_sub", "ITM_DOWN_ARROW", "DOCU_CHR_super", "ITM_UP_ARROW", "MNU_TAMALPHA", "ITM_alpha", "DOCU_CHR_caseFLIP", "ITM_NULL", "DOCU_CHR_numSET", "ITM_NULL", "DOCU_ITM_RADIX", "ITM_PERIOD", AT214), ".lo", ),"MNU_", "-MNU_")</f>
        <v>ITM_6</v>
      </c>
      <c r="BG214" s="75"/>
      <c r="BI214" s="13" t="str">
        <f t="shared" si="76"/>
        <v xml:space="preserve">  {64,                  ITM_6,                -MNU_FLAGS,           -MNU_PARTS,           ITM_6,                ITM_V,                ITM_v,                ITM_6,                ITM_6               },</v>
      </c>
    </row>
    <row r="215" spans="24:61" ht="21" x14ac:dyDescent="0.2">
      <c r="X215" s="135" t="str">
        <f t="shared" si="66"/>
        <v>V47</v>
      </c>
      <c r="Y215" s="109">
        <v>6</v>
      </c>
      <c r="Z215" s="109">
        <v>5</v>
      </c>
      <c r="AA215" s="112" t="str">
        <f t="shared" si="67"/>
        <v>V47.65</v>
      </c>
      <c r="AB215" s="117" t="s">
        <v>159</v>
      </c>
      <c r="AC215" s="118" t="s">
        <v>160</v>
      </c>
      <c r="AD215" s="119" t="s">
        <v>161</v>
      </c>
      <c r="AE215" s="3"/>
      <c r="AF215" s="49" t="s">
        <v>162</v>
      </c>
      <c r="AG215" s="77" t="b">
        <f t="shared" si="77"/>
        <v>0</v>
      </c>
      <c r="AH215" s="83" t="str">
        <f t="shared" si="68"/>
        <v>CASE UP</v>
      </c>
      <c r="AI215" s="84" t="str">
        <f t="shared" si="69"/>
        <v>Super</v>
      </c>
      <c r="AJ215" s="85" t="str">
        <f t="shared" si="70"/>
        <v>Up</v>
      </c>
      <c r="AK215" s="6"/>
      <c r="AL215" s="8" t="str">
        <f t="shared" si="71"/>
        <v>{65</v>
      </c>
      <c r="AM215" s="27" t="str">
        <f t="shared" si="72"/>
        <v>ITM_UP1</v>
      </c>
      <c r="AN215" s="27" t="str">
        <f t="shared" si="73"/>
        <v>ITM_BST</v>
      </c>
      <c r="AO215" s="27" t="str">
        <f t="shared" si="74"/>
        <v>ITM_RBR</v>
      </c>
      <c r="AP215" s="46" t="str">
        <f>IF(NOT(ISNA(MATCH(AM215,Lookups!E:E,))),VLOOKUP(AM215,Lookups!E:F,2,0),
IF(NOT(ISNA(MATCH(AN215,Lookups!E:E,))),VLOOKUP(AN215,Lookups!E:F,2,0),
IF(NOT(ISNA(MATCH(AO215,Lookups!E:E,))),VLOOKUP(AO215,Lookups!E:F,2,0),"ITM_NULL")))</f>
        <v>ITM_UP1</v>
      </c>
      <c r="AQ215" s="28" t="str">
        <f t="shared" si="75"/>
        <v>ITM_T_HOME</v>
      </c>
      <c r="AR215" s="198" t="s">
        <v>163</v>
      </c>
      <c r="AS215" s="186" t="s">
        <v>164</v>
      </c>
      <c r="AT215" s="197" t="s">
        <v>165</v>
      </c>
      <c r="AW215" s="14" t="str">
        <f t="shared" si="78"/>
        <v>{65</v>
      </c>
      <c r="AX215" s="157" t="str" cm="1">
        <f t="array" ref="AX215">SUBSTITUTE(SUBSTITUTE(_xlfn.SWITCH(AM215, "ITM_T_HOME", "ITM_UP1", "ITM_T_END", "ITM_DOWN1", "DOCU_CHR_sub", "ITM_DOWN_ARROW", "DOCU_CHR_super", "ITM_UP_ARROW", "MNU_TAMALPHA", "ITM_alpha", "DOCU_CHR_caseFLIP", "ITM_NULL", "DOCU_CHR_numSET", "ITM_NULL", "DOCU_ITM_RADIX", "ITM_PERIOD", AM215), ".lo", ),"MNU_", "-MNU_")</f>
        <v>ITM_UP1</v>
      </c>
      <c r="AY215" s="157" t="str" cm="1">
        <f t="array" ref="AY215">SUBSTITUTE(SUBSTITUTE(_xlfn.SWITCH(AN215, "ITM_T_HOME", "ITM_UP1", "ITM_T_END", "ITM_DOWN1", "DOCU_CHR_sub", "ITM_DOWN_ARROW", "DOCU_CHR_super", "ITM_UP_ARROW", "MNU_TAMALPHA", "ITM_alpha", "DOCU_CHR_caseFLIP", "ITM_NULL", "DOCU_CHR_numSET", "ITM_NULL", "DOCU_ITM_RADIX", "ITM_PERIOD", AN215), ".lo", ),"MNU_", "-MNU_")</f>
        <v>ITM_BST</v>
      </c>
      <c r="AZ215" s="157" t="str" cm="1">
        <f t="array" ref="AZ215">SUBSTITUTE(SUBSTITUTE(_xlfn.SWITCH(AO215, "ITM_T_HOME", "ITM_UP1", "ITM_T_END", "ITM_DOWN1", "DOCU_CHR_sub", "ITM_DOWN_ARROW", "DOCU_CHR_super", "ITM_UP_ARROW", "MNU_TAMALPHA", "ITM_alpha", "DOCU_CHR_caseFLIP", "ITM_NULL", "DOCU_CHR_numSET", "ITM_NULL", "DOCU_ITM_RADIX", "ITM_PERIOD", AO215), ".lo", ),"MNU_", "-MNU_")</f>
        <v>ITM_RBR</v>
      </c>
      <c r="BA215" s="173" t="str" cm="1">
        <f t="array" ref="BA215">SUBSTITUTE(SUBSTITUTE(_xlfn.SWITCH(AP215, "ITM_T_HOME", "ITM_UP1", "ITM_T_END", "ITM_DOWN1", "DOCU_CHR_sub", "ITM_DOWN_ARROW", "DOCU_CHR_super", "ITM_UP_ARROW", "MNU_TAMALPHA", "ITM_alpha", "DOCU_CHR_caseFLIP", "ITM_NULL", "DOCU_CHR_numSET", "ITM_NULL", "DOCU_ITM_RADIX", "ITM_PERIOD", AP215), ".lo", ),"MNU_", "-MNU_")</f>
        <v>ITM_UP1</v>
      </c>
      <c r="BB215" s="157" t="str" cm="1">
        <f t="array" ref="BB215">SUBSTITUTE(SUBSTITUTE(_xlfn.SWITCH(AQ215, "ITM_T_HOME", "ITM_UP1", "ITM_T_END", "ITM_DOWN1", "DOCU_CHR_sub", "ITM_DOWN_ARROW", "DOCU_CHR_super", "ITM_UP_ARROW", "MNU_TAMALPHA", "ITM_alpha", "DOCU_CHR_caseFLIP", "ITM_NULL", "DOCU_CHR_numSET", "ITM_NULL", "DOCU_ITM_RADIX", "ITM_PERIOD", AQ215), ".lo", ),"MNU_", "-MNU_")</f>
        <v>ITM_UP1</v>
      </c>
      <c r="BC215" s="157" t="str" cm="1">
        <f t="array" ref="BC215">SUBSTITUTE(SUBSTITUTE(_xlfn.SWITCH(AR215, "ITM_T_HOME", "ITM_UP1", "ITM_T_END", "ITM_DOWN1", "DOCU_CHR_sub", "ITM_DOWN_ARROW", "DOCU_CHR_super", "ITM_UP_ARROW", "MNU_TAMALPHA", "ITM_alpha", "DOCU_CHR_caseFLIP", "ITM_NULL", "DOCU_CHR_numSET", "ITM_NULL", "DOCU_ITM_RADIX", "ITM_PERIOD", AR215), ".lo", ),"MNU_", "-MNU_")</f>
        <v>CHR_caseUP</v>
      </c>
      <c r="BD215" s="157" t="str" cm="1">
        <f t="array" ref="BD215">SUBSTITUTE(SUBSTITUTE(_xlfn.SWITCH(AS215, "ITM_T_HOME", "ITM_UP1", "ITM_T_END", "ITM_DOWN1", "DOCU_CHR_sub", "ITM_DOWN_ARROW", "DOCU_CHR_super", "ITM_UP_ARROW", "MNU_TAMALPHA", "ITM_alpha", "DOCU_CHR_caseFLIP", "ITM_NULL", "DOCU_CHR_numSET", "ITM_NULL", "DOCU_ITM_RADIX", "ITM_PERIOD", AS215), ".lo", ),"MNU_", "-MNU_")</f>
        <v>ITM_UP_ARROW</v>
      </c>
      <c r="BE215" s="157" t="str" cm="1">
        <f t="array" ref="BE215">SUBSTITUTE(SUBSTITUTE(_xlfn.SWITCH(AT215, "ITM_T_HOME", "ITM_UP1", "ITM_T_END", "ITM_DOWN1", "DOCU_CHR_sub", "ITM_DOWN_ARROW", "DOCU_CHR_super", "ITM_UP_ARROW", "MNU_TAMALPHA", "ITM_alpha", "DOCU_CHR_caseFLIP", "ITM_NULL", "DOCU_CHR_numSET", "ITM_NULL", "DOCU_ITM_RADIX", "ITM_PERIOD", AT215), ".lo", ),"MNU_", "-MNU_")</f>
        <v>ITM_UP1</v>
      </c>
      <c r="BG215" s="75"/>
      <c r="BI215" s="13" t="str">
        <f t="shared" si="76"/>
        <v xml:space="preserve">  {65,                  ITM_UP1,              ITM_BST,              ITM_RBR,              ITM_UP1,              ITM_UP1,              CHR_caseUP,           ITM_UP_ARROW,         ITM_UP1             },</v>
      </c>
    </row>
    <row r="216" spans="24:61" ht="21" x14ac:dyDescent="0.2">
      <c r="X216" s="135" t="str">
        <f t="shared" si="66"/>
        <v>V47</v>
      </c>
      <c r="Y216" s="106">
        <v>7</v>
      </c>
      <c r="Z216" s="106">
        <v>1</v>
      </c>
      <c r="AA216" s="112" t="str">
        <f t="shared" si="67"/>
        <v>V47.71</v>
      </c>
      <c r="AB216" s="121" t="s">
        <v>210</v>
      </c>
      <c r="AC216" s="118" t="s">
        <v>237</v>
      </c>
      <c r="AD216" s="119" t="s">
        <v>238</v>
      </c>
      <c r="AE216" s="3"/>
      <c r="AF216" s="49" t="s">
        <v>213</v>
      </c>
      <c r="AG216" s="77" t="b">
        <f t="shared" si="77"/>
        <v>1</v>
      </c>
      <c r="AH216" s="83" t="str">
        <f t="shared" si="68"/>
        <v>w</v>
      </c>
      <c r="AI216" s="84" t="str">
        <f t="shared" si="69"/>
        <v>✕</v>
      </c>
      <c r="AJ216" s="85" t="str">
        <f t="shared" si="70"/>
        <v>✕</v>
      </c>
      <c r="AK216" s="6"/>
      <c r="AL216" s="8" t="str">
        <f t="shared" si="71"/>
        <v>{71</v>
      </c>
      <c r="AM216" s="27" t="str">
        <f t="shared" si="72"/>
        <v>ITM_MULT</v>
      </c>
      <c r="AN216" s="27" t="str">
        <f t="shared" si="73"/>
        <v>MNU_PRINT</v>
      </c>
      <c r="AO216" s="27" t="str">
        <f t="shared" si="74"/>
        <v>MNU_IO</v>
      </c>
      <c r="AP216" s="46" t="str">
        <f>IF(NOT(ISNA(MATCH(AM216,Lookups!E:E,))),VLOOKUP(AM216,Lookups!E:F,2,0),
IF(NOT(ISNA(MATCH(AN216,Lookups!E:E,))),VLOOKUP(AN216,Lookups!E:F,2,0),
IF(NOT(ISNA(MATCH(AO216,Lookups!E:E,))),VLOOKUP(AO216,Lookups!E:F,2,0),"ITM_NULL")))</f>
        <v>ITM_CROSS</v>
      </c>
      <c r="AQ216" s="28" t="str">
        <f t="shared" ref="AQ216:AQ225" si="79">VLOOKUP(AF216,labelitem,2,0)</f>
        <v>ITM_W</v>
      </c>
      <c r="AR216" s="195" t="s">
        <v>214</v>
      </c>
      <c r="AS216" s="186" t="s">
        <v>215</v>
      </c>
      <c r="AT216" s="197" t="s">
        <v>216</v>
      </c>
      <c r="AW216" s="14" t="str">
        <f t="shared" si="78"/>
        <v>{71</v>
      </c>
      <c r="AX216" s="157" t="str" cm="1">
        <f t="array" ref="AX216">SUBSTITUTE(SUBSTITUTE(_xlfn.SWITCH(AM216, "ITM_T_HOME", "ITM_UP1", "ITM_T_END", "ITM_DOWN1", "DOCU_CHR_sub", "ITM_DOWN_ARROW", "DOCU_CHR_super", "ITM_UP_ARROW", "MNU_TAMALPHA", "ITM_alpha", "DOCU_CHR_caseFLIP", "ITM_NULL", "DOCU_CHR_numSET", "ITM_NULL", "DOCU_ITM_RADIX", "ITM_PERIOD", AM216), ".lo", ),"MNU_", "-MNU_")</f>
        <v>ITM_MULT</v>
      </c>
      <c r="AY216" s="157" t="str" cm="1">
        <f t="array" ref="AY216">SUBSTITUTE(SUBSTITUTE(_xlfn.SWITCH(AN216, "ITM_T_HOME", "ITM_UP1", "ITM_T_END", "ITM_DOWN1", "DOCU_CHR_sub", "ITM_DOWN_ARROW", "DOCU_CHR_super", "ITM_UP_ARROW", "MNU_TAMALPHA", "ITM_alpha", "DOCU_CHR_caseFLIP", "ITM_NULL", "DOCU_CHR_numSET", "ITM_NULL", "DOCU_ITM_RADIX", "ITM_PERIOD", AN216), ".lo", ),"MNU_", "-MNU_")</f>
        <v>-MNU_PRINT</v>
      </c>
      <c r="AZ216" s="157" t="str" cm="1">
        <f t="array" ref="AZ216">SUBSTITUTE(SUBSTITUTE(_xlfn.SWITCH(AO216, "ITM_T_HOME", "ITM_UP1", "ITM_T_END", "ITM_DOWN1", "DOCU_CHR_sub", "ITM_DOWN_ARROW", "DOCU_CHR_super", "ITM_UP_ARROW", "MNU_TAMALPHA", "ITM_alpha", "DOCU_CHR_caseFLIP", "ITM_NULL", "DOCU_CHR_numSET", "ITM_NULL", "DOCU_ITM_RADIX", "ITM_PERIOD", AO216), ".lo", ),"MNU_", "-MNU_")</f>
        <v>-MNU_IO</v>
      </c>
      <c r="BA216" s="173" t="str" cm="1">
        <f t="array" ref="BA216">SUBSTITUTE(SUBSTITUTE(_xlfn.SWITCH(AP216, "ITM_T_HOME", "ITM_UP1", "ITM_T_END", "ITM_DOWN1", "DOCU_CHR_sub", "ITM_DOWN_ARROW", "DOCU_CHR_super", "ITM_UP_ARROW", "MNU_TAMALPHA", "ITM_alpha", "DOCU_CHR_caseFLIP", "ITM_NULL", "DOCU_CHR_numSET", "ITM_NULL", "DOCU_ITM_RADIX", "ITM_PERIOD", AP216), ".lo", ),"MNU_", "-MNU_")</f>
        <v>ITM_CROSS</v>
      </c>
      <c r="BB216" s="157" t="str" cm="1">
        <f t="array" ref="BB216">SUBSTITUTE(SUBSTITUTE(_xlfn.SWITCH(AQ216, "ITM_T_HOME", "ITM_UP1", "ITM_T_END", "ITM_DOWN1", "DOCU_CHR_sub", "ITM_DOWN_ARROW", "DOCU_CHR_super", "ITM_UP_ARROW", "MNU_TAMALPHA", "ITM_alpha", "DOCU_CHR_caseFLIP", "ITM_NULL", "DOCU_CHR_numSET", "ITM_NULL", "DOCU_ITM_RADIX", "ITM_PERIOD", AQ216), ".lo", ),"MNU_", "-MNU_")</f>
        <v>ITM_W</v>
      </c>
      <c r="BC216" s="157" t="str" cm="1">
        <f t="array" ref="BC216">SUBSTITUTE(SUBSTITUTE(_xlfn.SWITCH(AR216, "ITM_T_HOME", "ITM_UP1", "ITM_T_END", "ITM_DOWN1", "DOCU_CHR_sub", "ITM_DOWN_ARROW", "DOCU_CHR_super", "ITM_UP_ARROW", "MNU_TAMALPHA", "ITM_alpha", "DOCU_CHR_caseFLIP", "ITM_NULL", "DOCU_CHR_numSET", "ITM_NULL", "DOCU_ITM_RADIX", "ITM_PERIOD", AR216), ".lo", ),"MNU_", "-MNU_")</f>
        <v>ITM_w</v>
      </c>
      <c r="BD216" s="157" t="str" cm="1">
        <f t="array" ref="BD216">SUBSTITUTE(SUBSTITUTE(_xlfn.SWITCH(AS216, "ITM_T_HOME", "ITM_UP1", "ITM_T_END", "ITM_DOWN1", "DOCU_CHR_sub", "ITM_DOWN_ARROW", "DOCU_CHR_super", "ITM_UP_ARROW", "MNU_TAMALPHA", "ITM_alpha", "DOCU_CHR_caseFLIP", "ITM_NULL", "DOCU_CHR_numSET", "ITM_NULL", "DOCU_ITM_RADIX", "ITM_PERIOD", AS216), ".lo", ),"MNU_", "-MNU_")</f>
        <v>ITM_CROSS</v>
      </c>
      <c r="BE216" s="157" t="str" cm="1">
        <f t="array" ref="BE216">SUBSTITUTE(SUBSTITUTE(_xlfn.SWITCH(AT216, "ITM_T_HOME", "ITM_UP1", "ITM_T_END", "ITM_DOWN1", "DOCU_CHR_sub", "ITM_DOWN_ARROW", "DOCU_CHR_super", "ITM_UP_ARROW", "MNU_TAMALPHA", "ITM_alpha", "DOCU_CHR_caseFLIP", "ITM_NULL", "DOCU_CHR_numSET", "ITM_NULL", "DOCU_ITM_RADIX", "ITM_PERIOD", AT216), ".lo", ),"MNU_", "-MNU_")</f>
        <v>ITM_MULT</v>
      </c>
      <c r="BG216" s="75"/>
      <c r="BI216" s="13" t="str">
        <f t="shared" si="76"/>
        <v xml:space="preserve">  {71,                  ITM_MULT,             -MNU_PRINT,           -MNU_IO,              ITM_CROSS,            ITM_W,                ITM_w,                ITM_CROSS,            ITM_MULT            },</v>
      </c>
    </row>
    <row r="217" spans="24:61" ht="21" x14ac:dyDescent="0.2">
      <c r="X217" s="135" t="str">
        <f t="shared" si="66"/>
        <v>V47</v>
      </c>
      <c r="Y217" s="109">
        <v>7</v>
      </c>
      <c r="Z217" s="109">
        <v>2</v>
      </c>
      <c r="AA217" s="112" t="str">
        <f t="shared" si="67"/>
        <v>V47.72</v>
      </c>
      <c r="AB217" s="117">
        <v>1</v>
      </c>
      <c r="AC217" s="118" t="s">
        <v>222</v>
      </c>
      <c r="AD217" s="119" t="s">
        <v>223</v>
      </c>
      <c r="AE217" s="3"/>
      <c r="AF217" s="49" t="s">
        <v>224</v>
      </c>
      <c r="AG217" s="77" t="b">
        <f t="shared" si="77"/>
        <v>1</v>
      </c>
      <c r="AH217" s="83" t="str">
        <f t="shared" si="68"/>
        <v>x</v>
      </c>
      <c r="AI217" s="84">
        <f t="shared" si="69"/>
        <v>1</v>
      </c>
      <c r="AJ217" s="85">
        <f t="shared" si="70"/>
        <v>1</v>
      </c>
      <c r="AK217" s="6"/>
      <c r="AL217" s="8" t="str">
        <f t="shared" si="71"/>
        <v>{72</v>
      </c>
      <c r="AM217" s="27" t="str">
        <f t="shared" si="72"/>
        <v>ITM_1</v>
      </c>
      <c r="AN217" s="27" t="str">
        <f t="shared" si="73"/>
        <v>ITM_ASSIGN</v>
      </c>
      <c r="AO217" s="27" t="str">
        <f t="shared" si="74"/>
        <v>MNU_KEYS</v>
      </c>
      <c r="AP217" s="46" t="str">
        <f>IF(NOT(ISNA(MATCH(AM217,Lookups!E:E,))),VLOOKUP(AM217,Lookups!E:F,2,0),
IF(NOT(ISNA(MATCH(AN217,Lookups!E:E,))),VLOOKUP(AN217,Lookups!E:F,2,0),
IF(NOT(ISNA(MATCH(AO217,Lookups!E:E,))),VLOOKUP(AO217,Lookups!E:F,2,0),"ITM_NULL")))</f>
        <v>ITM_1</v>
      </c>
      <c r="AQ217" s="28" t="str">
        <f t="shared" si="79"/>
        <v>ITM_X</v>
      </c>
      <c r="AR217" s="195" t="s">
        <v>225</v>
      </c>
      <c r="AS217" s="186" t="s">
        <v>226</v>
      </c>
      <c r="AT217" s="197" t="s">
        <v>226</v>
      </c>
      <c r="AW217" s="14" t="str">
        <f t="shared" si="78"/>
        <v>{72</v>
      </c>
      <c r="AX217" s="157" t="str" cm="1">
        <f t="array" ref="AX217">SUBSTITUTE(SUBSTITUTE(_xlfn.SWITCH(AM217, "ITM_T_HOME", "ITM_UP1", "ITM_T_END", "ITM_DOWN1", "DOCU_CHR_sub", "ITM_DOWN_ARROW", "DOCU_CHR_super", "ITM_UP_ARROW", "MNU_TAMALPHA", "ITM_alpha", "DOCU_CHR_caseFLIP", "ITM_NULL", "DOCU_CHR_numSET", "ITM_NULL", "DOCU_ITM_RADIX", "ITM_PERIOD", AM217), ".lo", ),"MNU_", "-MNU_")</f>
        <v>ITM_1</v>
      </c>
      <c r="AY217" s="157" t="str" cm="1">
        <f t="array" ref="AY217">SUBSTITUTE(SUBSTITUTE(_xlfn.SWITCH(AN217, "ITM_T_HOME", "ITM_UP1", "ITM_T_END", "ITM_DOWN1", "DOCU_CHR_sub", "ITM_DOWN_ARROW", "DOCU_CHR_super", "ITM_UP_ARROW", "MNU_TAMALPHA", "ITM_alpha", "DOCU_CHR_caseFLIP", "ITM_NULL", "DOCU_CHR_numSET", "ITM_NULL", "DOCU_ITM_RADIX", "ITM_PERIOD", AN217), ".lo", ),"MNU_", "-MNU_")</f>
        <v>ITM_ASSIGN</v>
      </c>
      <c r="AZ217" s="157" t="str" cm="1">
        <f t="array" ref="AZ217">SUBSTITUTE(SUBSTITUTE(_xlfn.SWITCH(AO217, "ITM_T_HOME", "ITM_UP1", "ITM_T_END", "ITM_DOWN1", "DOCU_CHR_sub", "ITM_DOWN_ARROW", "DOCU_CHR_super", "ITM_UP_ARROW", "MNU_TAMALPHA", "ITM_alpha", "DOCU_CHR_caseFLIP", "ITM_NULL", "DOCU_CHR_numSET", "ITM_NULL", "DOCU_ITM_RADIX", "ITM_PERIOD", AO217), ".lo", ),"MNU_", "-MNU_")</f>
        <v>-MNU_KEYS</v>
      </c>
      <c r="BA217" s="173" t="str" cm="1">
        <f t="array" ref="BA217">SUBSTITUTE(SUBSTITUTE(_xlfn.SWITCH(AP217, "ITM_T_HOME", "ITM_UP1", "ITM_T_END", "ITM_DOWN1", "DOCU_CHR_sub", "ITM_DOWN_ARROW", "DOCU_CHR_super", "ITM_UP_ARROW", "MNU_TAMALPHA", "ITM_alpha", "DOCU_CHR_caseFLIP", "ITM_NULL", "DOCU_CHR_numSET", "ITM_NULL", "DOCU_ITM_RADIX", "ITM_PERIOD", AP217), ".lo", ),"MNU_", "-MNU_")</f>
        <v>ITM_1</v>
      </c>
      <c r="BB217" s="157" t="str" cm="1">
        <f t="array" ref="BB217">SUBSTITUTE(SUBSTITUTE(_xlfn.SWITCH(AQ217, "ITM_T_HOME", "ITM_UP1", "ITM_T_END", "ITM_DOWN1", "DOCU_CHR_sub", "ITM_DOWN_ARROW", "DOCU_CHR_super", "ITM_UP_ARROW", "MNU_TAMALPHA", "ITM_alpha", "DOCU_CHR_caseFLIP", "ITM_NULL", "DOCU_CHR_numSET", "ITM_NULL", "DOCU_ITM_RADIX", "ITM_PERIOD", AQ217), ".lo", ),"MNU_", "-MNU_")</f>
        <v>ITM_X</v>
      </c>
      <c r="BC217" s="157" t="str" cm="1">
        <f t="array" ref="BC217">SUBSTITUTE(SUBSTITUTE(_xlfn.SWITCH(AR217, "ITM_T_HOME", "ITM_UP1", "ITM_T_END", "ITM_DOWN1", "DOCU_CHR_sub", "ITM_DOWN_ARROW", "DOCU_CHR_super", "ITM_UP_ARROW", "MNU_TAMALPHA", "ITM_alpha", "DOCU_CHR_caseFLIP", "ITM_NULL", "DOCU_CHR_numSET", "ITM_NULL", "DOCU_ITM_RADIX", "ITM_PERIOD", AR217), ".lo", ),"MNU_", "-MNU_")</f>
        <v>ITM_x</v>
      </c>
      <c r="BD217" s="157" t="str" cm="1">
        <f t="array" ref="BD217">SUBSTITUTE(SUBSTITUTE(_xlfn.SWITCH(AS217, "ITM_T_HOME", "ITM_UP1", "ITM_T_END", "ITM_DOWN1", "DOCU_CHR_sub", "ITM_DOWN_ARROW", "DOCU_CHR_super", "ITM_UP_ARROW", "MNU_TAMALPHA", "ITM_alpha", "DOCU_CHR_caseFLIP", "ITM_NULL", "DOCU_CHR_numSET", "ITM_NULL", "DOCU_ITM_RADIX", "ITM_PERIOD", AS217), ".lo", ),"MNU_", "-MNU_")</f>
        <v>ITM_1</v>
      </c>
      <c r="BE217" s="157" t="str" cm="1">
        <f t="array" ref="BE217">SUBSTITUTE(SUBSTITUTE(_xlfn.SWITCH(AT217, "ITM_T_HOME", "ITM_UP1", "ITM_T_END", "ITM_DOWN1", "DOCU_CHR_sub", "ITM_DOWN_ARROW", "DOCU_CHR_super", "ITM_UP_ARROW", "MNU_TAMALPHA", "ITM_alpha", "DOCU_CHR_caseFLIP", "ITM_NULL", "DOCU_CHR_numSET", "ITM_NULL", "DOCU_ITM_RADIX", "ITM_PERIOD", AT217), ".lo", ),"MNU_", "-MNU_")</f>
        <v>ITM_1</v>
      </c>
      <c r="BG217" s="75"/>
      <c r="BI217" s="13" t="str">
        <f t="shared" si="76"/>
        <v xml:space="preserve">  {72,                  ITM_1,                ITM_ASSIGN,           -MNU_KEYS,            ITM_1,                ITM_X,                ITM_x,                ITM_1,                ITM_1               },</v>
      </c>
    </row>
    <row r="218" spans="24:61" ht="21" x14ac:dyDescent="0.2">
      <c r="X218" s="135" t="str">
        <f t="shared" si="66"/>
        <v>V47</v>
      </c>
      <c r="Y218" s="109">
        <v>7</v>
      </c>
      <c r="Z218" s="109">
        <v>3</v>
      </c>
      <c r="AA218" s="112" t="str">
        <f t="shared" si="67"/>
        <v>V47.73</v>
      </c>
      <c r="AB218" s="117">
        <v>2</v>
      </c>
      <c r="AC218" s="118" t="s">
        <v>227</v>
      </c>
      <c r="AD218" s="119" t="s">
        <v>645</v>
      </c>
      <c r="AE218" s="3"/>
      <c r="AF218" s="49" t="s">
        <v>228</v>
      </c>
      <c r="AG218" s="77" t="b">
        <f t="shared" si="77"/>
        <v>1</v>
      </c>
      <c r="AH218" s="83" t="str">
        <f t="shared" si="68"/>
        <v>y</v>
      </c>
      <c r="AI218" s="84">
        <f t="shared" si="69"/>
        <v>2</v>
      </c>
      <c r="AJ218" s="85">
        <f t="shared" si="70"/>
        <v>2</v>
      </c>
      <c r="AK218" s="6"/>
      <c r="AL218" s="8" t="str">
        <f t="shared" si="71"/>
        <v>{73</v>
      </c>
      <c r="AM218" s="27" t="str">
        <f t="shared" si="72"/>
        <v>ITM_2</v>
      </c>
      <c r="AN218" s="27" t="str">
        <f t="shared" si="73"/>
        <v>ITM_USERMODE</v>
      </c>
      <c r="AO218" s="27" t="str">
        <f t="shared" si="74"/>
        <v>MNU_ALPHAFN</v>
      </c>
      <c r="AP218" s="46" t="str">
        <f>IF(NOT(ISNA(MATCH(AM218,Lookups!E:E,))),VLOOKUP(AM218,Lookups!E:F,2,0),
IF(NOT(ISNA(MATCH(AN218,Lookups!E:E,))),VLOOKUP(AN218,Lookups!E:F,2,0),
IF(NOT(ISNA(MATCH(AO218,Lookups!E:E,))),VLOOKUP(AO218,Lookups!E:F,2,0),"ITM_NULL")))</f>
        <v>ITM_2</v>
      </c>
      <c r="AQ218" s="28" t="str">
        <f t="shared" si="79"/>
        <v>ITM_Y</v>
      </c>
      <c r="AR218" s="195" t="s">
        <v>229</v>
      </c>
      <c r="AS218" s="186" t="s">
        <v>230</v>
      </c>
      <c r="AT218" s="197" t="s">
        <v>230</v>
      </c>
      <c r="AW218" s="14" t="str">
        <f t="shared" si="78"/>
        <v>{73</v>
      </c>
      <c r="AX218" s="157" t="str" cm="1">
        <f t="array" ref="AX218">SUBSTITUTE(SUBSTITUTE(_xlfn.SWITCH(AM218, "ITM_T_HOME", "ITM_UP1", "ITM_T_END", "ITM_DOWN1", "DOCU_CHR_sub", "ITM_DOWN_ARROW", "DOCU_CHR_super", "ITM_UP_ARROW", "MNU_TAMALPHA", "ITM_alpha", "DOCU_CHR_caseFLIP", "ITM_NULL", "DOCU_CHR_numSET", "ITM_NULL", "DOCU_ITM_RADIX", "ITM_PERIOD", AM218), ".lo", ),"MNU_", "-MNU_")</f>
        <v>ITM_2</v>
      </c>
      <c r="AY218" s="157" t="str" cm="1">
        <f t="array" ref="AY218">SUBSTITUTE(SUBSTITUTE(_xlfn.SWITCH(AN218, "ITM_T_HOME", "ITM_UP1", "ITM_T_END", "ITM_DOWN1", "DOCU_CHR_sub", "ITM_DOWN_ARROW", "DOCU_CHR_super", "ITM_UP_ARROW", "MNU_TAMALPHA", "ITM_alpha", "DOCU_CHR_caseFLIP", "ITM_NULL", "DOCU_CHR_numSET", "ITM_NULL", "DOCU_ITM_RADIX", "ITM_PERIOD", AN218), ".lo", ),"MNU_", "-MNU_")</f>
        <v>ITM_USERMODE</v>
      </c>
      <c r="AZ218" s="157" t="str" cm="1">
        <f t="array" ref="AZ218">SUBSTITUTE(SUBSTITUTE(_xlfn.SWITCH(AO218, "ITM_T_HOME", "ITM_UP1", "ITM_T_END", "ITM_DOWN1", "DOCU_CHR_sub", "ITM_DOWN_ARROW", "DOCU_CHR_super", "ITM_UP_ARROW", "MNU_TAMALPHA", "ITM_alpha", "DOCU_CHR_caseFLIP", "ITM_NULL", "DOCU_CHR_numSET", "ITM_NULL", "DOCU_ITM_RADIX", "ITM_PERIOD", AO218), ".lo", ),"MNU_", "-MNU_")</f>
        <v>-MNU_ALPHAFN</v>
      </c>
      <c r="BA218" s="173" t="str" cm="1">
        <f t="array" ref="BA218">SUBSTITUTE(SUBSTITUTE(_xlfn.SWITCH(AP218, "ITM_T_HOME", "ITM_UP1", "ITM_T_END", "ITM_DOWN1", "DOCU_CHR_sub", "ITM_DOWN_ARROW", "DOCU_CHR_super", "ITM_UP_ARROW", "MNU_TAMALPHA", "ITM_alpha", "DOCU_CHR_caseFLIP", "ITM_NULL", "DOCU_CHR_numSET", "ITM_NULL", "DOCU_ITM_RADIX", "ITM_PERIOD", AP218), ".lo", ),"MNU_", "-MNU_")</f>
        <v>ITM_2</v>
      </c>
      <c r="BB218" s="157" t="str" cm="1">
        <f t="array" ref="BB218">SUBSTITUTE(SUBSTITUTE(_xlfn.SWITCH(AQ218, "ITM_T_HOME", "ITM_UP1", "ITM_T_END", "ITM_DOWN1", "DOCU_CHR_sub", "ITM_DOWN_ARROW", "DOCU_CHR_super", "ITM_UP_ARROW", "MNU_TAMALPHA", "ITM_alpha", "DOCU_CHR_caseFLIP", "ITM_NULL", "DOCU_CHR_numSET", "ITM_NULL", "DOCU_ITM_RADIX", "ITM_PERIOD", AQ218), ".lo", ),"MNU_", "-MNU_")</f>
        <v>ITM_Y</v>
      </c>
      <c r="BC218" s="157" t="str" cm="1">
        <f t="array" ref="BC218">SUBSTITUTE(SUBSTITUTE(_xlfn.SWITCH(AR218, "ITM_T_HOME", "ITM_UP1", "ITM_T_END", "ITM_DOWN1", "DOCU_CHR_sub", "ITM_DOWN_ARROW", "DOCU_CHR_super", "ITM_UP_ARROW", "MNU_TAMALPHA", "ITM_alpha", "DOCU_CHR_caseFLIP", "ITM_NULL", "DOCU_CHR_numSET", "ITM_NULL", "DOCU_ITM_RADIX", "ITM_PERIOD", AR218), ".lo", ),"MNU_", "-MNU_")</f>
        <v>ITM_y</v>
      </c>
      <c r="BD218" s="157" t="str" cm="1">
        <f t="array" ref="BD218">SUBSTITUTE(SUBSTITUTE(_xlfn.SWITCH(AS218, "ITM_T_HOME", "ITM_UP1", "ITM_T_END", "ITM_DOWN1", "DOCU_CHR_sub", "ITM_DOWN_ARROW", "DOCU_CHR_super", "ITM_UP_ARROW", "MNU_TAMALPHA", "ITM_alpha", "DOCU_CHR_caseFLIP", "ITM_NULL", "DOCU_CHR_numSET", "ITM_NULL", "DOCU_ITM_RADIX", "ITM_PERIOD", AS218), ".lo", ),"MNU_", "-MNU_")</f>
        <v>ITM_2</v>
      </c>
      <c r="BE218" s="157" t="str" cm="1">
        <f t="array" ref="BE218">SUBSTITUTE(SUBSTITUTE(_xlfn.SWITCH(AT218, "ITM_T_HOME", "ITM_UP1", "ITM_T_END", "ITM_DOWN1", "DOCU_CHR_sub", "ITM_DOWN_ARROW", "DOCU_CHR_super", "ITM_UP_ARROW", "MNU_TAMALPHA", "ITM_alpha", "DOCU_CHR_caseFLIP", "ITM_NULL", "DOCU_CHR_numSET", "ITM_NULL", "DOCU_ITM_RADIX", "ITM_PERIOD", AT218), ".lo", ),"MNU_", "-MNU_")</f>
        <v>ITM_2</v>
      </c>
      <c r="BG218" s="75"/>
      <c r="BI218" s="13" t="str">
        <f t="shared" si="76"/>
        <v xml:space="preserve">  {73,                  ITM_2,                ITM_USERMODE,         -MNU_ALPHAFN,         ITM_2,                ITM_Y,                ITM_y,                ITM_2,                ITM_2               },</v>
      </c>
    </row>
    <row r="219" spans="24:61" ht="21" x14ac:dyDescent="0.2">
      <c r="X219" s="135" t="str">
        <f t="shared" si="66"/>
        <v>V47</v>
      </c>
      <c r="Y219" s="109">
        <v>7</v>
      </c>
      <c r="Z219" s="109">
        <v>4</v>
      </c>
      <c r="AA219" s="112" t="str">
        <f t="shared" si="67"/>
        <v>V47.74</v>
      </c>
      <c r="AB219" s="117">
        <v>3</v>
      </c>
      <c r="AC219" s="118" t="s">
        <v>231</v>
      </c>
      <c r="AD219" s="119" t="s">
        <v>232</v>
      </c>
      <c r="AE219" s="3"/>
      <c r="AF219" s="49" t="s">
        <v>233</v>
      </c>
      <c r="AG219" s="77" t="b">
        <f t="shared" si="77"/>
        <v>1</v>
      </c>
      <c r="AH219" s="83" t="str">
        <f t="shared" si="68"/>
        <v>z</v>
      </c>
      <c r="AI219" s="84">
        <f t="shared" si="69"/>
        <v>3</v>
      </c>
      <c r="AJ219" s="85">
        <f t="shared" si="70"/>
        <v>3</v>
      </c>
      <c r="AK219" s="6"/>
      <c r="AL219" s="8" t="str">
        <f t="shared" si="71"/>
        <v>{74</v>
      </c>
      <c r="AM219" s="27" t="str">
        <f t="shared" si="72"/>
        <v>ITM_3</v>
      </c>
      <c r="AN219" s="27" t="str">
        <f t="shared" si="73"/>
        <v>MNU_PFN</v>
      </c>
      <c r="AO219" s="27" t="str">
        <f t="shared" si="74"/>
        <v>MNU_LOOP</v>
      </c>
      <c r="AP219" s="46" t="str">
        <f>IF(NOT(ISNA(MATCH(AM219,Lookups!E:E,))),VLOOKUP(AM219,Lookups!E:F,2,0),
IF(NOT(ISNA(MATCH(AN219,Lookups!E:E,))),VLOOKUP(AN219,Lookups!E:F,2,0),
IF(NOT(ISNA(MATCH(AO219,Lookups!E:E,))),VLOOKUP(AO219,Lookups!E:F,2,0),"ITM_NULL")))</f>
        <v>ITM_3</v>
      </c>
      <c r="AQ219" s="28" t="str">
        <f t="shared" si="79"/>
        <v>ITM_Z</v>
      </c>
      <c r="AR219" s="195" t="s">
        <v>234</v>
      </c>
      <c r="AS219" s="186" t="s">
        <v>235</v>
      </c>
      <c r="AT219" s="197" t="s">
        <v>235</v>
      </c>
      <c r="AW219" s="14" t="str">
        <f t="shared" si="78"/>
        <v>{74</v>
      </c>
      <c r="AX219" s="157" t="str" cm="1">
        <f t="array" ref="AX219">SUBSTITUTE(SUBSTITUTE(_xlfn.SWITCH(AM219, "ITM_T_HOME", "ITM_UP1", "ITM_T_END", "ITM_DOWN1", "DOCU_CHR_sub", "ITM_DOWN_ARROW", "DOCU_CHR_super", "ITM_UP_ARROW", "MNU_TAMALPHA", "ITM_alpha", "DOCU_CHR_caseFLIP", "ITM_NULL", "DOCU_CHR_numSET", "ITM_NULL", "DOCU_ITM_RADIX", "ITM_PERIOD", AM219), ".lo", ),"MNU_", "-MNU_")</f>
        <v>ITM_3</v>
      </c>
      <c r="AY219" s="157" t="str" cm="1">
        <f t="array" ref="AY219">SUBSTITUTE(SUBSTITUTE(_xlfn.SWITCH(AN219, "ITM_T_HOME", "ITM_UP1", "ITM_T_END", "ITM_DOWN1", "DOCU_CHR_sub", "ITM_DOWN_ARROW", "DOCU_CHR_super", "ITM_UP_ARROW", "MNU_TAMALPHA", "ITM_alpha", "DOCU_CHR_caseFLIP", "ITM_NULL", "DOCU_CHR_numSET", "ITM_NULL", "DOCU_ITM_RADIX", "ITM_PERIOD", AN219), ".lo", ),"MNU_", "-MNU_")</f>
        <v>-MNU_PFN</v>
      </c>
      <c r="AZ219" s="157" t="str" cm="1">
        <f t="array" ref="AZ219">SUBSTITUTE(SUBSTITUTE(_xlfn.SWITCH(AO219, "ITM_T_HOME", "ITM_UP1", "ITM_T_END", "ITM_DOWN1", "DOCU_CHR_sub", "ITM_DOWN_ARROW", "DOCU_CHR_super", "ITM_UP_ARROW", "MNU_TAMALPHA", "ITM_alpha", "DOCU_CHR_caseFLIP", "ITM_NULL", "DOCU_CHR_numSET", "ITM_NULL", "DOCU_ITM_RADIX", "ITM_PERIOD", AO219), ".lo", ),"MNU_", "-MNU_")</f>
        <v>-MNU_LOOP</v>
      </c>
      <c r="BA219" s="173" t="str" cm="1">
        <f t="array" ref="BA219">SUBSTITUTE(SUBSTITUTE(_xlfn.SWITCH(AP219, "ITM_T_HOME", "ITM_UP1", "ITM_T_END", "ITM_DOWN1", "DOCU_CHR_sub", "ITM_DOWN_ARROW", "DOCU_CHR_super", "ITM_UP_ARROW", "MNU_TAMALPHA", "ITM_alpha", "DOCU_CHR_caseFLIP", "ITM_NULL", "DOCU_CHR_numSET", "ITM_NULL", "DOCU_ITM_RADIX", "ITM_PERIOD", AP219), ".lo", ),"MNU_", "-MNU_")</f>
        <v>ITM_3</v>
      </c>
      <c r="BB219" s="157" t="str" cm="1">
        <f t="array" ref="BB219">SUBSTITUTE(SUBSTITUTE(_xlfn.SWITCH(AQ219, "ITM_T_HOME", "ITM_UP1", "ITM_T_END", "ITM_DOWN1", "DOCU_CHR_sub", "ITM_DOWN_ARROW", "DOCU_CHR_super", "ITM_UP_ARROW", "MNU_TAMALPHA", "ITM_alpha", "DOCU_CHR_caseFLIP", "ITM_NULL", "DOCU_CHR_numSET", "ITM_NULL", "DOCU_ITM_RADIX", "ITM_PERIOD", AQ219), ".lo", ),"MNU_", "-MNU_")</f>
        <v>ITM_Z</v>
      </c>
      <c r="BC219" s="157" t="str" cm="1">
        <f t="array" ref="BC219">SUBSTITUTE(SUBSTITUTE(_xlfn.SWITCH(AR219, "ITM_T_HOME", "ITM_UP1", "ITM_T_END", "ITM_DOWN1", "DOCU_CHR_sub", "ITM_DOWN_ARROW", "DOCU_CHR_super", "ITM_UP_ARROW", "MNU_TAMALPHA", "ITM_alpha", "DOCU_CHR_caseFLIP", "ITM_NULL", "DOCU_CHR_numSET", "ITM_NULL", "DOCU_ITM_RADIX", "ITM_PERIOD", AR219), ".lo", ),"MNU_", "-MNU_")</f>
        <v>ITM_z</v>
      </c>
      <c r="BD219" s="157" t="str" cm="1">
        <f t="array" ref="BD219">SUBSTITUTE(SUBSTITUTE(_xlfn.SWITCH(AS219, "ITM_T_HOME", "ITM_UP1", "ITM_T_END", "ITM_DOWN1", "DOCU_CHR_sub", "ITM_DOWN_ARROW", "DOCU_CHR_super", "ITM_UP_ARROW", "MNU_TAMALPHA", "ITM_alpha", "DOCU_CHR_caseFLIP", "ITM_NULL", "DOCU_CHR_numSET", "ITM_NULL", "DOCU_ITM_RADIX", "ITM_PERIOD", AS219), ".lo", ),"MNU_", "-MNU_")</f>
        <v>ITM_3</v>
      </c>
      <c r="BE219" s="157" t="str" cm="1">
        <f t="array" ref="BE219">SUBSTITUTE(SUBSTITUTE(_xlfn.SWITCH(AT219, "ITM_T_HOME", "ITM_UP1", "ITM_T_END", "ITM_DOWN1", "DOCU_CHR_sub", "ITM_DOWN_ARROW", "DOCU_CHR_super", "ITM_UP_ARROW", "MNU_TAMALPHA", "ITM_alpha", "DOCU_CHR_caseFLIP", "ITM_NULL", "DOCU_CHR_numSET", "ITM_NULL", "DOCU_ITM_RADIX", "ITM_PERIOD", AT219), ".lo", ),"MNU_", "-MNU_")</f>
        <v>ITM_3</v>
      </c>
      <c r="BG219" s="75"/>
      <c r="BI219" s="13" t="str">
        <f t="shared" si="76"/>
        <v xml:space="preserve">  {74,                  ITM_3,                -MNU_PFN,             -MNU_LOOP,            ITM_3,                ITM_Z,                ITM_z,                ITM_3,                ITM_3               },</v>
      </c>
    </row>
    <row r="220" spans="24:61" ht="21" x14ac:dyDescent="0.2">
      <c r="X220" s="135" t="str">
        <f t="shared" si="66"/>
        <v>V47</v>
      </c>
      <c r="Y220" s="109">
        <v>7</v>
      </c>
      <c r="Z220" s="109">
        <v>5</v>
      </c>
      <c r="AA220" s="112" t="str">
        <f t="shared" si="67"/>
        <v>V47.75</v>
      </c>
      <c r="AB220" s="117" t="s">
        <v>188</v>
      </c>
      <c r="AC220" s="118" t="s">
        <v>189</v>
      </c>
      <c r="AD220" s="119" t="s">
        <v>190</v>
      </c>
      <c r="AE220" s="3"/>
      <c r="AF220" s="49" t="s">
        <v>191</v>
      </c>
      <c r="AG220" s="77" t="b">
        <f t="shared" si="77"/>
        <v>0</v>
      </c>
      <c r="AH220" s="83" t="str">
        <f t="shared" si="68"/>
        <v>CASE DN</v>
      </c>
      <c r="AI220" s="84" t="str">
        <f t="shared" si="69"/>
        <v>Sub</v>
      </c>
      <c r="AJ220" s="85" t="str">
        <f t="shared" si="70"/>
        <v>Dn</v>
      </c>
      <c r="AK220" s="6"/>
      <c r="AL220" s="8" t="str">
        <f t="shared" si="71"/>
        <v>{75</v>
      </c>
      <c r="AM220" s="27" t="str">
        <f t="shared" si="72"/>
        <v>ITM_DOWN1</v>
      </c>
      <c r="AN220" s="27" t="str">
        <f t="shared" si="73"/>
        <v>ITM_SST</v>
      </c>
      <c r="AO220" s="27" t="str">
        <f t="shared" si="74"/>
        <v>ITM_FLGSV</v>
      </c>
      <c r="AP220" s="46" t="str">
        <f>IF(NOT(ISNA(MATCH(AM220,Lookups!E:E,))),VLOOKUP(AM220,Lookups!E:F,2,0),
IF(NOT(ISNA(MATCH(AN220,Lookups!E:E,))),VLOOKUP(AN220,Lookups!E:F,2,0),
IF(NOT(ISNA(MATCH(AO220,Lookups!E:E,))),VLOOKUP(AO220,Lookups!E:F,2,0),"ITM_NULL")))</f>
        <v>ITM_DOWN1</v>
      </c>
      <c r="AQ220" s="28" t="str">
        <f t="shared" si="79"/>
        <v>ITM_T_END</v>
      </c>
      <c r="AR220" s="198" t="s">
        <v>192</v>
      </c>
      <c r="AS220" s="186" t="s">
        <v>193</v>
      </c>
      <c r="AT220" s="197" t="s">
        <v>194</v>
      </c>
      <c r="AW220" s="14" t="str">
        <f t="shared" si="78"/>
        <v>{75</v>
      </c>
      <c r="AX220" s="157" t="str" cm="1">
        <f t="array" ref="AX220">SUBSTITUTE(SUBSTITUTE(_xlfn.SWITCH(AM220, "ITM_T_HOME", "ITM_UP1", "ITM_T_END", "ITM_DOWN1", "DOCU_CHR_sub", "ITM_DOWN_ARROW", "DOCU_CHR_super", "ITM_UP_ARROW", "MNU_TAMALPHA", "ITM_alpha", "DOCU_CHR_caseFLIP", "ITM_NULL", "DOCU_CHR_numSET", "ITM_NULL", "DOCU_ITM_RADIX", "ITM_PERIOD", AM220), ".lo", ),"MNU_", "-MNU_")</f>
        <v>ITM_DOWN1</v>
      </c>
      <c r="AY220" s="157" t="str" cm="1">
        <f t="array" ref="AY220">SUBSTITUTE(SUBSTITUTE(_xlfn.SWITCH(AN220, "ITM_T_HOME", "ITM_UP1", "ITM_T_END", "ITM_DOWN1", "DOCU_CHR_sub", "ITM_DOWN_ARROW", "DOCU_CHR_super", "ITM_UP_ARROW", "MNU_TAMALPHA", "ITM_alpha", "DOCU_CHR_caseFLIP", "ITM_NULL", "DOCU_CHR_numSET", "ITM_NULL", "DOCU_ITM_RADIX", "ITM_PERIOD", AN220), ".lo", ),"MNU_", "-MNU_")</f>
        <v>ITM_SST</v>
      </c>
      <c r="AZ220" s="157" t="str" cm="1">
        <f t="array" ref="AZ220">SUBSTITUTE(SUBSTITUTE(_xlfn.SWITCH(AO220, "ITM_T_HOME", "ITM_UP1", "ITM_T_END", "ITM_DOWN1", "DOCU_CHR_sub", "ITM_DOWN_ARROW", "DOCU_CHR_super", "ITM_UP_ARROW", "MNU_TAMALPHA", "ITM_alpha", "DOCU_CHR_caseFLIP", "ITM_NULL", "DOCU_CHR_numSET", "ITM_NULL", "DOCU_ITM_RADIX", "ITM_PERIOD", AO220), ".lo", ),"MNU_", "-MNU_")</f>
        <v>ITM_FLGSV</v>
      </c>
      <c r="BA220" s="173" t="str" cm="1">
        <f t="array" ref="BA220">SUBSTITUTE(SUBSTITUTE(_xlfn.SWITCH(AP220, "ITM_T_HOME", "ITM_UP1", "ITM_T_END", "ITM_DOWN1", "DOCU_CHR_sub", "ITM_DOWN_ARROW", "DOCU_CHR_super", "ITM_UP_ARROW", "MNU_TAMALPHA", "ITM_alpha", "DOCU_CHR_caseFLIP", "ITM_NULL", "DOCU_CHR_numSET", "ITM_NULL", "DOCU_ITM_RADIX", "ITM_PERIOD", AP220), ".lo", ),"MNU_", "-MNU_")</f>
        <v>ITM_DOWN1</v>
      </c>
      <c r="BB220" s="157" t="str" cm="1">
        <f t="array" ref="BB220">SUBSTITUTE(SUBSTITUTE(_xlfn.SWITCH(AQ220, "ITM_T_HOME", "ITM_UP1", "ITM_T_END", "ITM_DOWN1", "DOCU_CHR_sub", "ITM_DOWN_ARROW", "DOCU_CHR_super", "ITM_UP_ARROW", "MNU_TAMALPHA", "ITM_alpha", "DOCU_CHR_caseFLIP", "ITM_NULL", "DOCU_CHR_numSET", "ITM_NULL", "DOCU_ITM_RADIX", "ITM_PERIOD", AQ220), ".lo", ),"MNU_", "-MNU_")</f>
        <v>ITM_DOWN1</v>
      </c>
      <c r="BC220" s="157" t="str" cm="1">
        <f t="array" ref="BC220">SUBSTITUTE(SUBSTITUTE(_xlfn.SWITCH(AR220, "ITM_T_HOME", "ITM_UP1", "ITM_T_END", "ITM_DOWN1", "DOCU_CHR_sub", "ITM_DOWN_ARROW", "DOCU_CHR_super", "ITM_UP_ARROW", "MNU_TAMALPHA", "ITM_alpha", "DOCU_CHR_caseFLIP", "ITM_NULL", "DOCU_CHR_numSET", "ITM_NULL", "DOCU_ITM_RADIX", "ITM_PERIOD", AR220), ".lo", ),"MNU_", "-MNU_")</f>
        <v>CHR_caseDN</v>
      </c>
      <c r="BD220" s="157" t="str" cm="1">
        <f t="array" ref="BD220">SUBSTITUTE(SUBSTITUTE(_xlfn.SWITCH(AS220, "ITM_T_HOME", "ITM_UP1", "ITM_T_END", "ITM_DOWN1", "DOCU_CHR_sub", "ITM_DOWN_ARROW", "DOCU_CHR_super", "ITM_UP_ARROW", "MNU_TAMALPHA", "ITM_alpha", "DOCU_CHR_caseFLIP", "ITM_NULL", "DOCU_CHR_numSET", "ITM_NULL", "DOCU_ITM_RADIX", "ITM_PERIOD", AS220), ".lo", ),"MNU_", "-MNU_")</f>
        <v>ITM_DOWN_ARROW</v>
      </c>
      <c r="BE220" s="157" t="str" cm="1">
        <f t="array" ref="BE220">SUBSTITUTE(SUBSTITUTE(_xlfn.SWITCH(AT220, "ITM_T_HOME", "ITM_UP1", "ITM_T_END", "ITM_DOWN1", "DOCU_CHR_sub", "ITM_DOWN_ARROW", "DOCU_CHR_super", "ITM_UP_ARROW", "MNU_TAMALPHA", "ITM_alpha", "DOCU_CHR_caseFLIP", "ITM_NULL", "DOCU_CHR_numSET", "ITM_NULL", "DOCU_ITM_RADIX", "ITM_PERIOD", AT220), ".lo", ),"MNU_", "-MNU_")</f>
        <v>ITM_DOWN1</v>
      </c>
      <c r="BG220" s="75"/>
      <c r="BI220" s="13" t="str">
        <f t="shared" si="76"/>
        <v xml:space="preserve">  {75,                  ITM_DOWN1,            ITM_SST,              ITM_FLGSV,            ITM_DOWN1,            ITM_DOWN1,            CHR_caseDN,           ITM_DOWN_ARROW,       ITM_DOWN1           },</v>
      </c>
    </row>
    <row r="221" spans="24:61" ht="21" x14ac:dyDescent="0.2">
      <c r="X221" s="135" t="str">
        <f t="shared" si="66"/>
        <v>V47</v>
      </c>
      <c r="Y221" s="106">
        <v>8</v>
      </c>
      <c r="Z221" s="106">
        <v>1</v>
      </c>
      <c r="AA221" s="112" t="str">
        <f t="shared" si="67"/>
        <v>V47.81</v>
      </c>
      <c r="AB221" s="121" t="s">
        <v>181</v>
      </c>
      <c r="AC221" s="118" t="s">
        <v>264</v>
      </c>
      <c r="AD221" s="119" t="s">
        <v>265</v>
      </c>
      <c r="AE221" s="3"/>
      <c r="AF221" s="49" t="s">
        <v>266</v>
      </c>
      <c r="AG221" s="77" t="b">
        <f t="shared" si="77"/>
        <v>0</v>
      </c>
      <c r="AH221" s="83" t="str">
        <f t="shared" si="68"/>
        <v>÷</v>
      </c>
      <c r="AI221" s="84" t="str">
        <f t="shared" si="69"/>
        <v>÷</v>
      </c>
      <c r="AJ221" s="85" t="str">
        <f t="shared" si="70"/>
        <v>÷</v>
      </c>
      <c r="AK221" s="6"/>
      <c r="AL221" s="8" t="str">
        <f t="shared" si="71"/>
        <v>{81</v>
      </c>
      <c r="AM221" s="27" t="str">
        <f t="shared" si="72"/>
        <v>ITM_DIV</v>
      </c>
      <c r="AN221" s="27" t="str">
        <f t="shared" si="73"/>
        <v>MNU_CATALOG</v>
      </c>
      <c r="AO221" s="27" t="str">
        <f t="shared" si="74"/>
        <v>MNU_CONST</v>
      </c>
      <c r="AP221" s="46" t="str">
        <f>IF(NOT(ISNA(MATCH(AM221,Lookups!E:E,))),VLOOKUP(AM221,Lookups!E:F,2,0),
IF(NOT(ISNA(MATCH(AN221,Lookups!E:E,))),VLOOKUP(AN221,Lookups!E:F,2,0),
IF(NOT(ISNA(MATCH(AO221,Lookups!E:E,))),VLOOKUP(AO221,Lookups!E:F,2,0),"ITM_NULL")))</f>
        <v>ITM_OBELUS</v>
      </c>
      <c r="AQ221" s="28" t="str">
        <f t="shared" si="79"/>
        <v>ITM_SPACE</v>
      </c>
      <c r="AR221" s="198" t="s">
        <v>186</v>
      </c>
      <c r="AS221" s="186" t="s">
        <v>186</v>
      </c>
      <c r="AT221" s="197" t="s">
        <v>187</v>
      </c>
      <c r="AW221" s="14" t="str">
        <f t="shared" si="78"/>
        <v>{81</v>
      </c>
      <c r="AX221" s="157" t="str" cm="1">
        <f t="array" ref="AX221">SUBSTITUTE(SUBSTITUTE(_xlfn.SWITCH(AM221, "ITM_T_HOME", "ITM_UP1", "ITM_T_END", "ITM_DOWN1", "DOCU_CHR_sub", "ITM_DOWN_ARROW", "DOCU_CHR_super", "ITM_UP_ARROW", "MNU_TAMALPHA", "ITM_alpha", "DOCU_CHR_caseFLIP", "ITM_NULL", "DOCU_CHR_numSET", "ITM_NULL", "DOCU_ITM_RADIX", "ITM_PERIOD", AM221), ".lo", ),"MNU_", "-MNU_")</f>
        <v>ITM_DIV</v>
      </c>
      <c r="AY221" s="157" t="str" cm="1">
        <f t="array" ref="AY221">SUBSTITUTE(SUBSTITUTE(_xlfn.SWITCH(AN221, "ITM_T_HOME", "ITM_UP1", "ITM_T_END", "ITM_DOWN1", "DOCU_CHR_sub", "ITM_DOWN_ARROW", "DOCU_CHR_super", "ITM_UP_ARROW", "MNU_TAMALPHA", "ITM_alpha", "DOCU_CHR_caseFLIP", "ITM_NULL", "DOCU_CHR_numSET", "ITM_NULL", "DOCU_ITM_RADIX", "ITM_PERIOD", AN221), ".lo", ),"MNU_", "-MNU_")</f>
        <v>-MNU_CATALOG</v>
      </c>
      <c r="AZ221" s="157" t="str" cm="1">
        <f t="array" ref="AZ221">SUBSTITUTE(SUBSTITUTE(_xlfn.SWITCH(AO221, "ITM_T_HOME", "ITM_UP1", "ITM_T_END", "ITM_DOWN1", "DOCU_CHR_sub", "ITM_DOWN_ARROW", "DOCU_CHR_super", "ITM_UP_ARROW", "MNU_TAMALPHA", "ITM_alpha", "DOCU_CHR_caseFLIP", "ITM_NULL", "DOCU_CHR_numSET", "ITM_NULL", "DOCU_ITM_RADIX", "ITM_PERIOD", AO221), ".lo", ),"MNU_", "-MNU_")</f>
        <v>-MNU_CONST</v>
      </c>
      <c r="BA221" s="173" t="str" cm="1">
        <f t="array" ref="BA221">SUBSTITUTE(SUBSTITUTE(_xlfn.SWITCH(AP221, "ITM_T_HOME", "ITM_UP1", "ITM_T_END", "ITM_DOWN1", "DOCU_CHR_sub", "ITM_DOWN_ARROW", "DOCU_CHR_super", "ITM_UP_ARROW", "MNU_TAMALPHA", "ITM_alpha", "DOCU_CHR_caseFLIP", "ITM_NULL", "DOCU_CHR_numSET", "ITM_NULL", "DOCU_ITM_RADIX", "ITM_PERIOD", AP221), ".lo", ),"MNU_", "-MNU_")</f>
        <v>ITM_OBELUS</v>
      </c>
      <c r="BB221" s="157" t="str" cm="1">
        <f t="array" ref="BB221">SUBSTITUTE(SUBSTITUTE(_xlfn.SWITCH(AQ221, "ITM_T_HOME", "ITM_UP1", "ITM_T_END", "ITM_DOWN1", "DOCU_CHR_sub", "ITM_DOWN_ARROW", "DOCU_CHR_super", "ITM_UP_ARROW", "MNU_TAMALPHA", "ITM_alpha", "DOCU_CHR_caseFLIP", "ITM_NULL", "DOCU_CHR_numSET", "ITM_NULL", "DOCU_ITM_RADIX", "ITM_PERIOD", AQ221), ".lo", ),"MNU_", "-MNU_")</f>
        <v>ITM_SPACE</v>
      </c>
      <c r="BC221" s="157" t="str" cm="1">
        <f t="array" ref="BC221">SUBSTITUTE(SUBSTITUTE(_xlfn.SWITCH(AR221, "ITM_T_HOME", "ITM_UP1", "ITM_T_END", "ITM_DOWN1", "DOCU_CHR_sub", "ITM_DOWN_ARROW", "DOCU_CHR_super", "ITM_UP_ARROW", "MNU_TAMALPHA", "ITM_alpha", "DOCU_CHR_caseFLIP", "ITM_NULL", "DOCU_CHR_numSET", "ITM_NULL", "DOCU_ITM_RADIX", "ITM_PERIOD", AR221), ".lo", ),"MNU_", "-MNU_")</f>
        <v>ITM_OBELUS</v>
      </c>
      <c r="BD221" s="157" t="str" cm="1">
        <f t="array" ref="BD221">SUBSTITUTE(SUBSTITUTE(_xlfn.SWITCH(AS221, "ITM_T_HOME", "ITM_UP1", "ITM_T_END", "ITM_DOWN1", "DOCU_CHR_sub", "ITM_DOWN_ARROW", "DOCU_CHR_super", "ITM_UP_ARROW", "MNU_TAMALPHA", "ITM_alpha", "DOCU_CHR_caseFLIP", "ITM_NULL", "DOCU_CHR_numSET", "ITM_NULL", "DOCU_ITM_RADIX", "ITM_PERIOD", AS221), ".lo", ),"MNU_", "-MNU_")</f>
        <v>ITM_OBELUS</v>
      </c>
      <c r="BE221" s="157" t="str" cm="1">
        <f t="array" ref="BE221">SUBSTITUTE(SUBSTITUTE(_xlfn.SWITCH(AT221, "ITM_T_HOME", "ITM_UP1", "ITM_T_END", "ITM_DOWN1", "DOCU_CHR_sub", "ITM_DOWN_ARROW", "DOCU_CHR_super", "ITM_UP_ARROW", "MNU_TAMALPHA", "ITM_alpha", "DOCU_CHR_caseFLIP", "ITM_NULL", "DOCU_CHR_numSET", "ITM_NULL", "DOCU_ITM_RADIX", "ITM_PERIOD", AT221), ".lo", ),"MNU_", "-MNU_")</f>
        <v>ITM_DIV</v>
      </c>
      <c r="BG221" s="75"/>
      <c r="BI221" s="13" t="str">
        <f t="shared" si="76"/>
        <v xml:space="preserve">  {81,                  ITM_DIV,              -MNU_CATALOG,         -MNU_CONST,           ITM_OBELUS,           ITM_SPACE,            ITM_OBELUS,           ITM_OBELUS,           ITM_DIV             },</v>
      </c>
    </row>
    <row r="222" spans="24:61" ht="21" x14ac:dyDescent="0.2">
      <c r="X222" s="135" t="str">
        <f t="shared" si="66"/>
        <v>V47</v>
      </c>
      <c r="Y222" s="109">
        <v>8</v>
      </c>
      <c r="Z222" s="109">
        <v>2</v>
      </c>
      <c r="AA222" s="112" t="str">
        <f t="shared" si="67"/>
        <v>V47.82</v>
      </c>
      <c r="AB222" s="117">
        <v>0</v>
      </c>
      <c r="AC222" s="118" t="s">
        <v>248</v>
      </c>
      <c r="AD222" s="119" t="s">
        <v>249</v>
      </c>
      <c r="AE222" s="3"/>
      <c r="AF222" s="49" t="s">
        <v>250</v>
      </c>
      <c r="AG222" s="77" t="b">
        <f t="shared" si="77"/>
        <v>0</v>
      </c>
      <c r="AH222" s="83" t="str">
        <f t="shared" si="68"/>
        <v>;</v>
      </c>
      <c r="AI222" s="84">
        <f t="shared" si="69"/>
        <v>0</v>
      </c>
      <c r="AJ222" s="85">
        <f t="shared" si="70"/>
        <v>0</v>
      </c>
      <c r="AK222" s="6"/>
      <c r="AL222" s="8" t="str">
        <f t="shared" si="71"/>
        <v>{82</v>
      </c>
      <c r="AM222" s="27" t="str">
        <f t="shared" si="72"/>
        <v>ITM_0</v>
      </c>
      <c r="AN222" s="27" t="str">
        <f t="shared" si="73"/>
        <v>ITM_VIEW</v>
      </c>
      <c r="AO222" s="27" t="str">
        <f t="shared" si="74"/>
        <v>ITM_TIMER</v>
      </c>
      <c r="AP222" s="46" t="str">
        <f>IF(NOT(ISNA(MATCH(AM222,Lookups!E:E,))),VLOOKUP(AM222,Lookups!E:F,2,0),
IF(NOT(ISNA(MATCH(AN222,Lookups!E:E,))),VLOOKUP(AN222,Lookups!E:F,2,0),
IF(NOT(ISNA(MATCH(AO222,Lookups!E:E,))),VLOOKUP(AO222,Lookups!E:F,2,0),"ITM_NULL")))</f>
        <v>ITM_0</v>
      </c>
      <c r="AQ222" s="28" t="str">
        <f t="shared" si="79"/>
        <v>ITM_COLON</v>
      </c>
      <c r="AR222" s="214" t="s">
        <v>251</v>
      </c>
      <c r="AS222" s="186" t="s">
        <v>252</v>
      </c>
      <c r="AT222" s="197" t="s">
        <v>252</v>
      </c>
      <c r="AW222" s="14" t="str">
        <f t="shared" si="78"/>
        <v>{82</v>
      </c>
      <c r="AX222" s="157" t="str" cm="1">
        <f t="array" ref="AX222">SUBSTITUTE(SUBSTITUTE(_xlfn.SWITCH(AM222, "ITM_T_HOME", "ITM_UP1", "ITM_T_END", "ITM_DOWN1", "DOCU_CHR_sub", "ITM_DOWN_ARROW", "DOCU_CHR_super", "ITM_UP_ARROW", "MNU_TAMALPHA", "ITM_alpha", "DOCU_CHR_caseFLIP", "ITM_NULL", "DOCU_CHR_numSET", "ITM_NULL", "DOCU_ITM_RADIX", "ITM_PERIOD", AM222), ".lo", ),"MNU_", "-MNU_")</f>
        <v>ITM_0</v>
      </c>
      <c r="AY222" s="157" t="str" cm="1">
        <f t="array" ref="AY222">SUBSTITUTE(SUBSTITUTE(_xlfn.SWITCH(AN222, "ITM_T_HOME", "ITM_UP1", "ITM_T_END", "ITM_DOWN1", "DOCU_CHR_sub", "ITM_DOWN_ARROW", "DOCU_CHR_super", "ITM_UP_ARROW", "MNU_TAMALPHA", "ITM_alpha", "DOCU_CHR_caseFLIP", "ITM_NULL", "DOCU_CHR_numSET", "ITM_NULL", "DOCU_ITM_RADIX", "ITM_PERIOD", AN222), ".lo", ),"MNU_", "-MNU_")</f>
        <v>ITM_VIEW</v>
      </c>
      <c r="AZ222" s="157" t="str" cm="1">
        <f t="array" ref="AZ222">SUBSTITUTE(SUBSTITUTE(_xlfn.SWITCH(AO222, "ITM_T_HOME", "ITM_UP1", "ITM_T_END", "ITM_DOWN1", "DOCU_CHR_sub", "ITM_DOWN_ARROW", "DOCU_CHR_super", "ITM_UP_ARROW", "MNU_TAMALPHA", "ITM_alpha", "DOCU_CHR_caseFLIP", "ITM_NULL", "DOCU_CHR_numSET", "ITM_NULL", "DOCU_ITM_RADIX", "ITM_PERIOD", AO222), ".lo", ),"MNU_", "-MNU_")</f>
        <v>ITM_TIMER</v>
      </c>
      <c r="BA222" s="173" t="str" cm="1">
        <f t="array" ref="BA222">SUBSTITUTE(SUBSTITUTE(_xlfn.SWITCH(AP222, "ITM_T_HOME", "ITM_UP1", "ITM_T_END", "ITM_DOWN1", "DOCU_CHR_sub", "ITM_DOWN_ARROW", "DOCU_CHR_super", "ITM_UP_ARROW", "MNU_TAMALPHA", "ITM_alpha", "DOCU_CHR_caseFLIP", "ITM_NULL", "DOCU_CHR_numSET", "ITM_NULL", "DOCU_ITM_RADIX", "ITM_PERIOD", AP222), ".lo", ),"MNU_", "-MNU_")</f>
        <v>ITM_0</v>
      </c>
      <c r="BB222" s="157" t="str" cm="1">
        <f t="array" ref="BB222">SUBSTITUTE(SUBSTITUTE(_xlfn.SWITCH(AQ222, "ITM_T_HOME", "ITM_UP1", "ITM_T_END", "ITM_DOWN1", "DOCU_CHR_sub", "ITM_DOWN_ARROW", "DOCU_CHR_super", "ITM_UP_ARROW", "MNU_TAMALPHA", "ITM_alpha", "DOCU_CHR_caseFLIP", "ITM_NULL", "DOCU_CHR_numSET", "ITM_NULL", "DOCU_ITM_RADIX", "ITM_PERIOD", AQ222), ".lo", ),"MNU_", "-MNU_")</f>
        <v>ITM_COLON</v>
      </c>
      <c r="BC222" s="215" t="str" cm="1">
        <f t="array" ref="BC222">SUBSTITUTE(SUBSTITUTE(_xlfn.SWITCH(AR222, "ITM_T_HOME", "ITM_UP1", "ITM_T_END", "ITM_DOWN1", "DOCU_CHR_sub", "ITM_DOWN_ARROW", "DOCU_CHR_super", "ITM_UP_ARROW", "MNU_TAMALPHA", "ITM_alpha", "DOCU_CHR_caseFLIP", "ITM_NULL", "DOCU_CHR_numSET", "ITM_NULL", "DOCU_ITM_RADIX", "ITM_PERIOD", AR222), ".lo", ),"MNU_", "-MNU_")</f>
        <v>ITM_SEMICOLON</v>
      </c>
      <c r="BD222" s="157" t="str" cm="1">
        <f t="array" ref="BD222">SUBSTITUTE(SUBSTITUTE(_xlfn.SWITCH(AS222, "ITM_T_HOME", "ITM_UP1", "ITM_T_END", "ITM_DOWN1", "DOCU_CHR_sub", "ITM_DOWN_ARROW", "DOCU_CHR_super", "ITM_UP_ARROW", "MNU_TAMALPHA", "ITM_alpha", "DOCU_CHR_caseFLIP", "ITM_NULL", "DOCU_CHR_numSET", "ITM_NULL", "DOCU_ITM_RADIX", "ITM_PERIOD", AS222), ".lo", ),"MNU_", "-MNU_")</f>
        <v>ITM_0</v>
      </c>
      <c r="BE222" s="157" t="str" cm="1">
        <f t="array" ref="BE222">SUBSTITUTE(SUBSTITUTE(_xlfn.SWITCH(AT222, "ITM_T_HOME", "ITM_UP1", "ITM_T_END", "ITM_DOWN1", "DOCU_CHR_sub", "ITM_DOWN_ARROW", "DOCU_CHR_super", "ITM_UP_ARROW", "MNU_TAMALPHA", "ITM_alpha", "DOCU_CHR_caseFLIP", "ITM_NULL", "DOCU_CHR_numSET", "ITM_NULL", "DOCU_ITM_RADIX", "ITM_PERIOD", AT222), ".lo", ),"MNU_", "-MNU_")</f>
        <v>ITM_0</v>
      </c>
      <c r="BG222" s="75"/>
      <c r="BI222" s="13" t="str">
        <f t="shared" si="76"/>
        <v xml:space="preserve">  {82,                  ITM_0,                ITM_VIEW,             ITM_TIMER,            ITM_0,                ITM_COLON,            ITM_SEMICOLON,        ITM_0,                ITM_0               },</v>
      </c>
    </row>
    <row r="223" spans="24:61" ht="21" x14ac:dyDescent="0.2">
      <c r="X223" s="135" t="str">
        <f t="shared" si="66"/>
        <v>V47</v>
      </c>
      <c r="Y223" s="109">
        <v>8</v>
      </c>
      <c r="Z223" s="109">
        <v>3</v>
      </c>
      <c r="AA223" s="112" t="str">
        <f t="shared" si="67"/>
        <v>V47.83</v>
      </c>
      <c r="AB223" s="117" t="s">
        <v>253</v>
      </c>
      <c r="AC223" s="118" t="s">
        <v>254</v>
      </c>
      <c r="AD223" s="119" t="s">
        <v>255</v>
      </c>
      <c r="AE223" s="3"/>
      <c r="AF223" s="49" t="s">
        <v>256</v>
      </c>
      <c r="AG223" s="77" t="b">
        <f t="shared" si="77"/>
        <v>0</v>
      </c>
      <c r="AH223" s="83" t="str">
        <f t="shared" si="68"/>
        <v>.</v>
      </c>
      <c r="AI223" s="84" t="str">
        <f t="shared" si="69"/>
        <v>.</v>
      </c>
      <c r="AJ223" s="85" t="str">
        <f t="shared" si="70"/>
        <v>.</v>
      </c>
      <c r="AK223" s="6"/>
      <c r="AL223" s="8" t="str">
        <f t="shared" si="71"/>
        <v>{83</v>
      </c>
      <c r="AM223" s="27" t="str">
        <f t="shared" si="72"/>
        <v>DOCU_ITM_RADIX</v>
      </c>
      <c r="AN223" s="27" t="str">
        <f t="shared" si="73"/>
        <v>ITM_SHOW</v>
      </c>
      <c r="AO223" s="27" t="str">
        <f t="shared" si="74"/>
        <v>MNU_INFO</v>
      </c>
      <c r="AP223" s="46" t="str">
        <f>IF(NOT(ISNA(MATCH(AM223,Lookups!E:E,))),VLOOKUP(AM223,Lookups!E:F,2,0),
IF(NOT(ISNA(MATCH(AN223,Lookups!E:E,))),VLOOKUP(AN223,Lookups!E:F,2,0),
IF(NOT(ISNA(MATCH(AO223,Lookups!E:E,))),VLOOKUP(AO223,Lookups!E:F,2,0),"ITM_NULL")))</f>
        <v>ITM_PERIOD</v>
      </c>
      <c r="AQ223" s="28" t="str">
        <f t="shared" si="79"/>
        <v>ITM_COMMA</v>
      </c>
      <c r="AR223" s="198" t="s">
        <v>257</v>
      </c>
      <c r="AS223" s="186" t="s">
        <v>257</v>
      </c>
      <c r="AT223" s="197" t="s">
        <v>257</v>
      </c>
      <c r="AW223" s="14" t="str">
        <f t="shared" si="78"/>
        <v>{83</v>
      </c>
      <c r="AX223" s="157" t="str" cm="1">
        <f t="array" ref="AX223">SUBSTITUTE(SUBSTITUTE(_xlfn.SWITCH(AM223, "ITM_T_HOME", "ITM_UP1", "ITM_T_END", "ITM_DOWN1", "DOCU_CHR_sub", "ITM_DOWN_ARROW", "DOCU_CHR_super", "ITM_UP_ARROW", "MNU_TAMALPHA", "ITM_alpha", "DOCU_CHR_caseFLIP", "ITM_NULL", "DOCU_CHR_numSET", "ITM_NULL", "DOCU_ITM_RADIX", "ITM_PERIOD", AM223), ".lo", ),"MNU_", "-MNU_")</f>
        <v>ITM_PERIOD</v>
      </c>
      <c r="AY223" s="157" t="str" cm="1">
        <f t="array" ref="AY223">SUBSTITUTE(SUBSTITUTE(_xlfn.SWITCH(AN223, "ITM_T_HOME", "ITM_UP1", "ITM_T_END", "ITM_DOWN1", "DOCU_CHR_sub", "ITM_DOWN_ARROW", "DOCU_CHR_super", "ITM_UP_ARROW", "MNU_TAMALPHA", "ITM_alpha", "DOCU_CHR_caseFLIP", "ITM_NULL", "DOCU_CHR_numSET", "ITM_NULL", "DOCU_ITM_RADIX", "ITM_PERIOD", AN223), ".lo", ),"MNU_", "-MNU_")</f>
        <v>ITM_SHOW</v>
      </c>
      <c r="AZ223" s="157" t="str" cm="1">
        <f t="array" ref="AZ223">SUBSTITUTE(SUBSTITUTE(_xlfn.SWITCH(AO223, "ITM_T_HOME", "ITM_UP1", "ITM_T_END", "ITM_DOWN1", "DOCU_CHR_sub", "ITM_DOWN_ARROW", "DOCU_CHR_super", "ITM_UP_ARROW", "MNU_TAMALPHA", "ITM_alpha", "DOCU_CHR_caseFLIP", "ITM_NULL", "DOCU_CHR_numSET", "ITM_NULL", "DOCU_ITM_RADIX", "ITM_PERIOD", AO223), ".lo", ),"MNU_", "-MNU_")</f>
        <v>-MNU_INFO</v>
      </c>
      <c r="BA223" s="173" t="str" cm="1">
        <f t="array" ref="BA223">SUBSTITUTE(SUBSTITUTE(_xlfn.SWITCH(AP223, "ITM_T_HOME", "ITM_UP1", "ITM_T_END", "ITM_DOWN1", "DOCU_CHR_sub", "ITM_DOWN_ARROW", "DOCU_CHR_super", "ITM_UP_ARROW", "MNU_TAMALPHA", "ITM_alpha", "DOCU_CHR_caseFLIP", "ITM_NULL", "DOCU_CHR_numSET", "ITM_NULL", "DOCU_ITM_RADIX", "ITM_PERIOD", AP223), ".lo", ),"MNU_", "-MNU_")</f>
        <v>ITM_PERIOD</v>
      </c>
      <c r="BB223" s="157" t="str" cm="1">
        <f t="array" ref="BB223">SUBSTITUTE(SUBSTITUTE(_xlfn.SWITCH(AQ223, "ITM_T_HOME", "ITM_UP1", "ITM_T_END", "ITM_DOWN1", "DOCU_CHR_sub", "ITM_DOWN_ARROW", "DOCU_CHR_super", "ITM_UP_ARROW", "MNU_TAMALPHA", "ITM_alpha", "DOCU_CHR_caseFLIP", "ITM_NULL", "DOCU_CHR_numSET", "ITM_NULL", "DOCU_ITM_RADIX", "ITM_PERIOD", AQ223), ".lo", ),"MNU_", "-MNU_")</f>
        <v>ITM_COMMA</v>
      </c>
      <c r="BC223" s="157" t="str" cm="1">
        <f t="array" ref="BC223">SUBSTITUTE(SUBSTITUTE(_xlfn.SWITCH(AR223, "ITM_T_HOME", "ITM_UP1", "ITM_T_END", "ITM_DOWN1", "DOCU_CHR_sub", "ITM_DOWN_ARROW", "DOCU_CHR_super", "ITM_UP_ARROW", "MNU_TAMALPHA", "ITM_alpha", "DOCU_CHR_caseFLIP", "ITM_NULL", "DOCU_CHR_numSET", "ITM_NULL", "DOCU_ITM_RADIX", "ITM_PERIOD", AR223), ".lo", ),"MNU_", "-MNU_")</f>
        <v>ITM_PERIOD</v>
      </c>
      <c r="BD223" s="157" t="str" cm="1">
        <f t="array" ref="BD223">SUBSTITUTE(SUBSTITUTE(_xlfn.SWITCH(AS223, "ITM_T_HOME", "ITM_UP1", "ITM_T_END", "ITM_DOWN1", "DOCU_CHR_sub", "ITM_DOWN_ARROW", "DOCU_CHR_super", "ITM_UP_ARROW", "MNU_TAMALPHA", "ITM_alpha", "DOCU_CHR_caseFLIP", "ITM_NULL", "DOCU_CHR_numSET", "ITM_NULL", "DOCU_ITM_RADIX", "ITM_PERIOD", AS223), ".lo", ),"MNU_", "-MNU_")</f>
        <v>ITM_PERIOD</v>
      </c>
      <c r="BE223" s="157" t="str" cm="1">
        <f t="array" ref="BE223">SUBSTITUTE(SUBSTITUTE(_xlfn.SWITCH(AT223, "ITM_T_HOME", "ITM_UP1", "ITM_T_END", "ITM_DOWN1", "DOCU_CHR_sub", "ITM_DOWN_ARROW", "DOCU_CHR_super", "ITM_UP_ARROW", "MNU_TAMALPHA", "ITM_alpha", "DOCU_CHR_caseFLIP", "ITM_NULL", "DOCU_CHR_numSET", "ITM_NULL", "DOCU_ITM_RADIX", "ITM_PERIOD", AT223), ".lo", ),"MNU_", "-MNU_")</f>
        <v>ITM_PERIOD</v>
      </c>
      <c r="BG223" s="75"/>
      <c r="BI223" s="13" t="str">
        <f t="shared" si="76"/>
        <v xml:space="preserve">  {83,                  ITM_PERIOD,           ITM_SHOW,             -MNU_INFO,            ITM_PERIOD,           ITM_COMMA,            ITM_PERIOD,           ITM_PERIOD,           ITM_PERIOD          },</v>
      </c>
    </row>
    <row r="224" spans="24:61" ht="21" x14ac:dyDescent="0.2">
      <c r="X224" s="135" t="str">
        <f t="shared" si="66"/>
        <v>V47</v>
      </c>
      <c r="Y224" s="109">
        <v>8</v>
      </c>
      <c r="Z224" s="109">
        <v>4</v>
      </c>
      <c r="AA224" s="112" t="str">
        <f t="shared" si="67"/>
        <v>V47.84</v>
      </c>
      <c r="AB224" s="117" t="s">
        <v>258</v>
      </c>
      <c r="AC224" s="118" t="s">
        <v>259</v>
      </c>
      <c r="AD224" s="119" t="s">
        <v>260</v>
      </c>
      <c r="AE224" s="3"/>
      <c r="AF224" s="53" t="s">
        <v>261</v>
      </c>
      <c r="AG224" s="77" t="b">
        <f t="shared" si="77"/>
        <v>0</v>
      </c>
      <c r="AH224" s="83" t="str">
        <f t="shared" si="68"/>
        <v>/</v>
      </c>
      <c r="AI224" s="84" t="str">
        <f t="shared" si="69"/>
        <v>/</v>
      </c>
      <c r="AJ224" s="85" t="str">
        <f t="shared" si="70"/>
        <v xml:space="preserve"> </v>
      </c>
      <c r="AK224" s="6"/>
      <c r="AL224" s="8" t="str">
        <f t="shared" si="71"/>
        <v>{84</v>
      </c>
      <c r="AM224" s="27" t="str">
        <f t="shared" si="72"/>
        <v>ITM_RS</v>
      </c>
      <c r="AN224" s="27" t="str">
        <f t="shared" si="73"/>
        <v>ITM_PR</v>
      </c>
      <c r="AO224" s="27" t="str">
        <f t="shared" si="74"/>
        <v>MNU_TEST</v>
      </c>
      <c r="AP224" s="46" t="str">
        <f>IF(NOT(ISNA(MATCH(AM224,Lookups!E:E,))),VLOOKUP(AM224,Lookups!E:F,2,0),
IF(NOT(ISNA(MATCH(AN224,Lookups!E:E,))),VLOOKUP(AN224,Lookups!E:F,2,0),
IF(NOT(ISNA(MATCH(AO224,Lookups!E:E,))),VLOOKUP(AO224,Lookups!E:F,2,0),"ITM_NULL")))</f>
        <v>ITM_NULL</v>
      </c>
      <c r="AQ224" s="28" t="str">
        <f t="shared" si="79"/>
        <v>ITM_QUESTION_MARK</v>
      </c>
      <c r="AR224" s="198" t="s">
        <v>262</v>
      </c>
      <c r="AS224" s="186" t="s">
        <v>262</v>
      </c>
      <c r="AT224" s="197" t="s">
        <v>81</v>
      </c>
      <c r="AW224" s="14" t="str">
        <f t="shared" si="78"/>
        <v>{84</v>
      </c>
      <c r="AX224" s="157" t="str" cm="1">
        <f t="array" ref="AX224">SUBSTITUTE(SUBSTITUTE(_xlfn.SWITCH(AM224, "ITM_T_HOME", "ITM_UP1", "ITM_T_END", "ITM_DOWN1", "DOCU_CHR_sub", "ITM_DOWN_ARROW", "DOCU_CHR_super", "ITM_UP_ARROW", "MNU_TAMALPHA", "ITM_alpha", "DOCU_CHR_caseFLIP", "ITM_NULL", "DOCU_CHR_numSET", "ITM_NULL", "DOCU_ITM_RADIX", "ITM_PERIOD", AM224), ".lo", ),"MNU_", "-MNU_")</f>
        <v>ITM_RS</v>
      </c>
      <c r="AY224" s="157" t="str" cm="1">
        <f t="array" ref="AY224">SUBSTITUTE(SUBSTITUTE(_xlfn.SWITCH(AN224, "ITM_T_HOME", "ITM_UP1", "ITM_T_END", "ITM_DOWN1", "DOCU_CHR_sub", "ITM_DOWN_ARROW", "DOCU_CHR_super", "ITM_UP_ARROW", "MNU_TAMALPHA", "ITM_alpha", "DOCU_CHR_caseFLIP", "ITM_NULL", "DOCU_CHR_numSET", "ITM_NULL", "DOCU_ITM_RADIX", "ITM_PERIOD", AN224), ".lo", ),"MNU_", "-MNU_")</f>
        <v>ITM_PR</v>
      </c>
      <c r="AZ224" s="157" t="str" cm="1">
        <f t="array" ref="AZ224">SUBSTITUTE(SUBSTITUTE(_xlfn.SWITCH(AO224, "ITM_T_HOME", "ITM_UP1", "ITM_T_END", "ITM_DOWN1", "DOCU_CHR_sub", "ITM_DOWN_ARROW", "DOCU_CHR_super", "ITM_UP_ARROW", "MNU_TAMALPHA", "ITM_alpha", "DOCU_CHR_caseFLIP", "ITM_NULL", "DOCU_CHR_numSET", "ITM_NULL", "DOCU_ITM_RADIX", "ITM_PERIOD", AO224), ".lo", ),"MNU_", "-MNU_")</f>
        <v>-MNU_TEST</v>
      </c>
      <c r="BA224" s="173" t="str" cm="1">
        <f t="array" ref="BA224">SUBSTITUTE(SUBSTITUTE(_xlfn.SWITCH(AP224, "ITM_T_HOME", "ITM_UP1", "ITM_T_END", "ITM_DOWN1", "DOCU_CHR_sub", "ITM_DOWN_ARROW", "DOCU_CHR_super", "ITM_UP_ARROW", "MNU_TAMALPHA", "ITM_alpha", "DOCU_CHR_caseFLIP", "ITM_NULL", "DOCU_CHR_numSET", "ITM_NULL", "DOCU_ITM_RADIX", "ITM_PERIOD", AP224), ".lo", ),"MNU_", "-MNU_")</f>
        <v>ITM_NULL</v>
      </c>
      <c r="BB224" s="157" t="str" cm="1">
        <f t="array" ref="BB224">SUBSTITUTE(SUBSTITUTE(_xlfn.SWITCH(AQ224, "ITM_T_HOME", "ITM_UP1", "ITM_T_END", "ITM_DOWN1", "DOCU_CHR_sub", "ITM_DOWN_ARROW", "DOCU_CHR_super", "ITM_UP_ARROW", "MNU_TAMALPHA", "ITM_alpha", "DOCU_CHR_caseFLIP", "ITM_NULL", "DOCU_CHR_numSET", "ITM_NULL", "DOCU_ITM_RADIX", "ITM_PERIOD", AQ224), ".lo", ),"MNU_", "-MNU_")</f>
        <v>ITM_QUESTION_MARK</v>
      </c>
      <c r="BC224" s="157" t="str" cm="1">
        <f t="array" ref="BC224">SUBSTITUTE(SUBSTITUTE(_xlfn.SWITCH(AR224, "ITM_T_HOME", "ITM_UP1", "ITM_T_END", "ITM_DOWN1", "DOCU_CHR_sub", "ITM_DOWN_ARROW", "DOCU_CHR_super", "ITM_UP_ARROW", "MNU_TAMALPHA", "ITM_alpha", "DOCU_CHR_caseFLIP", "ITM_NULL", "DOCU_CHR_numSET", "ITM_NULL", "DOCU_ITM_RADIX", "ITM_PERIOD", AR224), ".lo", ),"MNU_", "-MNU_")</f>
        <v>ITM_SLASH</v>
      </c>
      <c r="BD224" s="157" t="str" cm="1">
        <f t="array" ref="BD224">SUBSTITUTE(SUBSTITUTE(_xlfn.SWITCH(AS224, "ITM_T_HOME", "ITM_UP1", "ITM_T_END", "ITM_DOWN1", "DOCU_CHR_sub", "ITM_DOWN_ARROW", "DOCU_CHR_super", "ITM_UP_ARROW", "MNU_TAMALPHA", "ITM_alpha", "DOCU_CHR_caseFLIP", "ITM_NULL", "DOCU_CHR_numSET", "ITM_NULL", "DOCU_ITM_RADIX", "ITM_PERIOD", AS224), ".lo", ),"MNU_", "-MNU_")</f>
        <v>ITM_SLASH</v>
      </c>
      <c r="BE224" s="157" t="str" cm="1">
        <f t="array" ref="BE224">SUBSTITUTE(SUBSTITUTE(_xlfn.SWITCH(AT224, "ITM_T_HOME", "ITM_UP1", "ITM_T_END", "ITM_DOWN1", "DOCU_CHR_sub", "ITM_DOWN_ARROW", "DOCU_CHR_super", "ITM_UP_ARROW", "MNU_TAMALPHA", "ITM_alpha", "DOCU_CHR_caseFLIP", "ITM_NULL", "DOCU_CHR_numSET", "ITM_NULL", "DOCU_ITM_RADIX", "ITM_PERIOD", AT224), ".lo", ),"MNU_", "-MNU_")</f>
        <v>ITM_NULL</v>
      </c>
      <c r="BG224" s="75"/>
      <c r="BI224" s="13" t="str">
        <f t="shared" si="76"/>
        <v xml:space="preserve">  {84,                  ITM_RS,               ITM_PR,               -MNU_TEST,            ITM_NULL,             ITM_QUESTION_MARK,    ITM_SLASH,            ITM_SLASH,            ITM_NULL            },</v>
      </c>
    </row>
    <row r="225" spans="24:61" ht="22" thickBot="1" x14ac:dyDescent="0.25">
      <c r="X225" s="135" t="str">
        <f t="shared" si="66"/>
        <v>V47</v>
      </c>
      <c r="Y225" s="109">
        <v>8</v>
      </c>
      <c r="Z225" s="109">
        <v>5</v>
      </c>
      <c r="AA225" s="112" t="str">
        <f t="shared" si="67"/>
        <v>V47.85</v>
      </c>
      <c r="AB225" s="122" t="s">
        <v>242</v>
      </c>
      <c r="AC225" s="123" t="s">
        <v>243</v>
      </c>
      <c r="AD225" s="124" t="s">
        <v>244</v>
      </c>
      <c r="AE225" s="125"/>
      <c r="AF225" s="50" t="s">
        <v>242</v>
      </c>
      <c r="AG225" s="77" t="b">
        <f t="shared" si="77"/>
        <v>0</v>
      </c>
      <c r="AH225" s="86" t="str">
        <f t="shared" si="68"/>
        <v>OFF</v>
      </c>
      <c r="AI225" s="87" t="str">
        <f t="shared" si="69"/>
        <v>SNAP</v>
      </c>
      <c r="AJ225" s="88" t="str">
        <f t="shared" si="70"/>
        <v>EXIT</v>
      </c>
      <c r="AK225" s="6"/>
      <c r="AL225" s="8" t="str">
        <f t="shared" si="71"/>
        <v>{85</v>
      </c>
      <c r="AM225" s="27" t="str">
        <f t="shared" si="72"/>
        <v>ITM_EXIT1</v>
      </c>
      <c r="AN225" s="27" t="str">
        <f t="shared" si="73"/>
        <v>ITM_OFF</v>
      </c>
      <c r="AO225" s="27" t="str">
        <f t="shared" si="74"/>
        <v>ITM_SNAP</v>
      </c>
      <c r="AP225" s="46" t="str">
        <f>IF(NOT(ISNA(MATCH(AM225,Lookups!E:E,))),VLOOKUP(AM225,Lookups!E:F,2,0),
IF(NOT(ISNA(MATCH(AN225,Lookups!E:E,))),VLOOKUP(AN225,Lookups!E:F,2,0),
IF(NOT(ISNA(MATCH(AO225,Lookups!E:E,))),VLOOKUP(AO225,Lookups!E:F,2,0),"ITM_NULL")))</f>
        <v>ITM_EXIT1</v>
      </c>
      <c r="AQ225" s="28" t="str">
        <f t="shared" si="79"/>
        <v>ITM_EXIT1</v>
      </c>
      <c r="AR225" s="199" t="s">
        <v>245</v>
      </c>
      <c r="AS225" s="200" t="s">
        <v>246</v>
      </c>
      <c r="AT225" s="201" t="s">
        <v>247</v>
      </c>
      <c r="AW225" s="14" t="str">
        <f t="shared" si="78"/>
        <v>{85</v>
      </c>
      <c r="AX225" s="157" t="str" cm="1">
        <f t="array" ref="AX225">SUBSTITUTE(SUBSTITUTE(_xlfn.SWITCH(AM225, "ITM_T_HOME", "ITM_UP1", "ITM_T_END", "ITM_DOWN1", "DOCU_CHR_sub", "ITM_DOWN_ARROW", "DOCU_CHR_super", "ITM_UP_ARROW", "MNU_TAMALPHA", "ITM_alpha", "DOCU_CHR_caseFLIP", "ITM_NULL", "DOCU_CHR_numSET", "ITM_NULL", "DOCU_ITM_RADIX", "ITM_PERIOD", AM225), ".lo", ),"MNU_", "-MNU_")</f>
        <v>ITM_EXIT1</v>
      </c>
      <c r="AY225" s="157" t="str" cm="1">
        <f t="array" ref="AY225">SUBSTITUTE(SUBSTITUTE(_xlfn.SWITCH(AN225, "ITM_T_HOME", "ITM_UP1", "ITM_T_END", "ITM_DOWN1", "DOCU_CHR_sub", "ITM_DOWN_ARROW", "DOCU_CHR_super", "ITM_UP_ARROW", "MNU_TAMALPHA", "ITM_alpha", "DOCU_CHR_caseFLIP", "ITM_NULL", "DOCU_CHR_numSET", "ITM_NULL", "DOCU_ITM_RADIX", "ITM_PERIOD", AN225), ".lo", ),"MNU_", "-MNU_")</f>
        <v>ITM_OFF</v>
      </c>
      <c r="AZ225" s="157" t="str" cm="1">
        <f t="array" ref="AZ225">SUBSTITUTE(SUBSTITUTE(_xlfn.SWITCH(AO225, "ITM_T_HOME", "ITM_UP1", "ITM_T_END", "ITM_DOWN1", "DOCU_CHR_sub", "ITM_DOWN_ARROW", "DOCU_CHR_super", "ITM_UP_ARROW", "MNU_TAMALPHA", "ITM_alpha", "DOCU_CHR_caseFLIP", "ITM_NULL", "DOCU_CHR_numSET", "ITM_NULL", "DOCU_ITM_RADIX", "ITM_PERIOD", AO225), ".lo", ),"MNU_", "-MNU_")</f>
        <v>ITM_SNAP</v>
      </c>
      <c r="BA225" s="173" t="str" cm="1">
        <f t="array" ref="BA225">SUBSTITUTE(SUBSTITUTE(_xlfn.SWITCH(AP225, "ITM_T_HOME", "ITM_UP1", "ITM_T_END", "ITM_DOWN1", "DOCU_CHR_sub", "ITM_DOWN_ARROW", "DOCU_CHR_super", "ITM_UP_ARROW", "MNU_TAMALPHA", "ITM_alpha", "DOCU_CHR_caseFLIP", "ITM_NULL", "DOCU_CHR_numSET", "ITM_NULL", "DOCU_ITM_RADIX", "ITM_PERIOD", AP225), ".lo", ),"MNU_", "-MNU_")</f>
        <v>ITM_EXIT1</v>
      </c>
      <c r="BB225" s="157" t="str" cm="1">
        <f t="array" ref="BB225">SUBSTITUTE(SUBSTITUTE(_xlfn.SWITCH(AQ225, "ITM_T_HOME", "ITM_UP1", "ITM_T_END", "ITM_DOWN1", "DOCU_CHR_sub", "ITM_DOWN_ARROW", "DOCU_CHR_super", "ITM_UP_ARROW", "MNU_TAMALPHA", "ITM_alpha", "DOCU_CHR_caseFLIP", "ITM_NULL", "DOCU_CHR_numSET", "ITM_NULL", "DOCU_ITM_RADIX", "ITM_PERIOD", AQ225), ".lo", ),"MNU_", "-MNU_")</f>
        <v>ITM_EXIT1</v>
      </c>
      <c r="BC225" s="157" t="str" cm="1">
        <f t="array" ref="BC225">SUBSTITUTE(SUBSTITUTE(_xlfn.SWITCH(AR225, "ITM_T_HOME", "ITM_UP1", "ITM_T_END", "ITM_DOWN1", "DOCU_CHR_sub", "ITM_DOWN_ARROW", "DOCU_CHR_super", "ITM_UP_ARROW", "MNU_TAMALPHA", "ITM_alpha", "DOCU_CHR_caseFLIP", "ITM_NULL", "DOCU_CHR_numSET", "ITM_NULL", "DOCU_ITM_RADIX", "ITM_PERIOD", AR225), ".lo", ),"MNU_", "-MNU_")</f>
        <v>ITM_OFF</v>
      </c>
      <c r="BD225" s="157" t="str" cm="1">
        <f t="array" ref="BD225">SUBSTITUTE(SUBSTITUTE(_xlfn.SWITCH(AS225, "ITM_T_HOME", "ITM_UP1", "ITM_T_END", "ITM_DOWN1", "DOCU_CHR_sub", "ITM_DOWN_ARROW", "DOCU_CHR_super", "ITM_UP_ARROW", "MNU_TAMALPHA", "ITM_alpha", "DOCU_CHR_caseFLIP", "ITM_NULL", "DOCU_CHR_numSET", "ITM_NULL", "DOCU_ITM_RADIX", "ITM_PERIOD", AS225), ".lo", ),"MNU_", "-MNU_")</f>
        <v>ITM_SNAP</v>
      </c>
      <c r="BE225" s="157" t="str" cm="1">
        <f t="array" ref="BE225">SUBSTITUTE(SUBSTITUTE(_xlfn.SWITCH(AT225, "ITM_T_HOME", "ITM_UP1", "ITM_T_END", "ITM_DOWN1", "DOCU_CHR_sub", "ITM_DOWN_ARROW", "DOCU_CHR_super", "ITM_UP_ARROW", "MNU_TAMALPHA", "ITM_alpha", "DOCU_CHR_caseFLIP", "ITM_NULL", "DOCU_CHR_numSET", "ITM_NULL", "DOCU_ITM_RADIX", "ITM_PERIOD", AT225), ".lo", ),"MNU_", "-MNU_")</f>
        <v>ITM_EXIT1</v>
      </c>
      <c r="BG225" s="75"/>
      <c r="BI225" s="73" t="str">
        <f>"  "&amp;AW225&amp;", "&amp;REPT(" ",$BH$54-LEN(AW225))&amp;
AX225&amp;", "&amp;REPT(" ",$BH$54-LEN(AX225))&amp;
AY225&amp;", "&amp;REPT(" ",$BH$54-LEN(AY225))&amp;
AZ225&amp;", "&amp;REPT(" ",$BH$54-LEN(AZ225))&amp;
BA225&amp;", "&amp;REPT(" ",$BH$54-LEN(BA225))&amp;
BB225&amp;", "&amp;REPT(" ",$BH$54-LEN(BB225))&amp;
BC225&amp;", "&amp;REPT(" ",$BH$54-LEN(BC225))&amp;
BD225&amp;", "&amp;REPT(" ",$BH$54-LEN(BD225))&amp;
BE225&amp;REPT(" ",$BH$54-LEN(BE225))&amp;
"}"</f>
        <v xml:space="preserve">  {85,                  ITM_EXIT1,            ITM_OFF,              ITM_SNAP,             ITM_EXIT1,            ITM_EXIT1,            ITM_OFF,              ITM_SNAP,             ITM_EXIT1           }</v>
      </c>
    </row>
    <row r="226" spans="24:61" ht="21" x14ac:dyDescent="0.2">
      <c r="AK226" s="6"/>
      <c r="BG226" s="75"/>
      <c r="BI226" s="16" t="s">
        <v>269</v>
      </c>
    </row>
    <row r="227" spans="24:61" ht="21" x14ac:dyDescent="0.2">
      <c r="AK227" s="6"/>
      <c r="BG227" s="75"/>
      <c r="BI227" s="13" t="s">
        <v>270</v>
      </c>
    </row>
    <row r="228" spans="24:61" ht="21" x14ac:dyDescent="0.2">
      <c r="X228" s="136" t="s">
        <v>449</v>
      </c>
      <c r="Y228" s="106">
        <v>1</v>
      </c>
      <c r="Z228" s="106">
        <v>1</v>
      </c>
      <c r="AA228" s="107" t="str">
        <f t="shared" ref="AA228:AA270" si="80">X228&amp;"."&amp;Y228&amp;Z228</f>
        <v>N47.11</v>
      </c>
      <c r="AB228" s="108" t="s">
        <v>31</v>
      </c>
      <c r="AC228" s="15"/>
      <c r="AD228" s="15"/>
      <c r="AE228" s="102"/>
      <c r="AF228" s="15"/>
      <c r="AH228" s="90"/>
      <c r="AI228" s="90"/>
      <c r="AJ228" s="90"/>
      <c r="AK228" s="6"/>
      <c r="BI228" s="13"/>
    </row>
    <row r="229" spans="24:61" ht="21" x14ac:dyDescent="0.2">
      <c r="X229" s="120" t="str">
        <f>X228</f>
        <v>N47</v>
      </c>
      <c r="Y229" s="109">
        <v>1</v>
      </c>
      <c r="Z229" s="109">
        <v>2</v>
      </c>
      <c r="AA229" s="107" t="str">
        <f t="shared" si="80"/>
        <v>N47.12</v>
      </c>
      <c r="AB229" s="108" t="s">
        <v>32</v>
      </c>
      <c r="AC229" s="15"/>
      <c r="AD229" s="15"/>
      <c r="AE229" s="102"/>
      <c r="AF229" s="15"/>
      <c r="AH229" s="90"/>
      <c r="AI229" s="90"/>
      <c r="AJ229" s="90"/>
      <c r="AK229" s="6"/>
    </row>
    <row r="230" spans="24:61" ht="21" x14ac:dyDescent="0.2">
      <c r="X230" s="120" t="str">
        <f t="shared" ref="X230:X270" si="81">X229</f>
        <v>N47</v>
      </c>
      <c r="Y230" s="109">
        <v>1</v>
      </c>
      <c r="Z230" s="109">
        <v>3</v>
      </c>
      <c r="AA230" s="107" t="str">
        <f t="shared" si="80"/>
        <v>N47.13</v>
      </c>
      <c r="AB230" s="108" t="s">
        <v>33</v>
      </c>
      <c r="AC230" s="15"/>
      <c r="AD230" s="15"/>
      <c r="AE230" s="102"/>
      <c r="AF230" s="15"/>
      <c r="AH230" s="90"/>
      <c r="AI230" s="90"/>
      <c r="AJ230" s="90"/>
      <c r="AK230" s="6"/>
      <c r="AM230" s="72" t="s">
        <v>34</v>
      </c>
      <c r="AX230" s="72" t="s">
        <v>35</v>
      </c>
      <c r="AY230" s="27" t="s">
        <v>36</v>
      </c>
      <c r="BG230" s="75"/>
      <c r="BI230" s="17" t="str">
        <f>"// "&amp;X230&amp;" Layout from Layout_template_automation template: Do not change manually"</f>
        <v>// N47 Layout from Layout_template_automation template: Do not change manually</v>
      </c>
    </row>
    <row r="231" spans="24:61" ht="22" thickBot="1" x14ac:dyDescent="0.25">
      <c r="X231" s="120" t="str">
        <f t="shared" si="81"/>
        <v>N47</v>
      </c>
      <c r="Y231" s="109">
        <v>1</v>
      </c>
      <c r="Z231" s="109">
        <v>4</v>
      </c>
      <c r="AA231" s="107" t="str">
        <f t="shared" si="80"/>
        <v>N47.14</v>
      </c>
      <c r="AB231" s="108" t="s">
        <v>37</v>
      </c>
      <c r="AC231" s="15"/>
      <c r="AD231" s="15"/>
      <c r="AE231" s="102"/>
      <c r="AF231" s="15"/>
      <c r="AH231" s="90"/>
      <c r="AI231" s="90"/>
      <c r="AJ231" s="90"/>
      <c r="AK231" s="6"/>
      <c r="BG231" s="75"/>
      <c r="BI231" s="16" t="s">
        <v>38</v>
      </c>
    </row>
    <row r="232" spans="24:61" ht="22" thickBot="1" x14ac:dyDescent="0.25">
      <c r="X232" s="120" t="str">
        <f t="shared" si="81"/>
        <v>N47</v>
      </c>
      <c r="Y232" s="109">
        <v>1</v>
      </c>
      <c r="Z232" s="109">
        <v>5</v>
      </c>
      <c r="AA232" s="107" t="str">
        <f t="shared" si="80"/>
        <v>N47.15</v>
      </c>
      <c r="AB232" s="108" t="s">
        <v>37</v>
      </c>
      <c r="AC232" s="15"/>
      <c r="AD232" s="15"/>
      <c r="AE232" s="102"/>
      <c r="AF232" s="15"/>
      <c r="AH232" s="90"/>
      <c r="AI232" s="90"/>
      <c r="AJ232" s="90"/>
      <c r="AK232" s="6"/>
      <c r="AL232" s="185" t="str">
        <f>X232</f>
        <v>N47</v>
      </c>
      <c r="AM232" s="224" t="s">
        <v>39</v>
      </c>
      <c r="AN232" s="224"/>
      <c r="AO232" s="224"/>
      <c r="AP232" s="71" t="s">
        <v>40</v>
      </c>
      <c r="AQ232" s="31" t="s">
        <v>41</v>
      </c>
      <c r="AR232" s="189" t="s">
        <v>42</v>
      </c>
      <c r="AS232" s="190" t="s">
        <v>42</v>
      </c>
      <c r="AT232" s="191" t="s">
        <v>42</v>
      </c>
      <c r="BG232" s="75"/>
      <c r="BI232" s="16" t="str">
        <f>"TO_QSPI const calcKey_t kbd_std_"&amp;X233&amp;"[37] = {"</f>
        <v>TO_QSPI const calcKey_t kbd_std_N47[37] = {</v>
      </c>
    </row>
    <row r="233" spans="24:61" ht="22" thickBot="1" x14ac:dyDescent="0.25">
      <c r="X233" s="120" t="str">
        <f t="shared" si="81"/>
        <v>N47</v>
      </c>
      <c r="Y233" s="109">
        <v>1</v>
      </c>
      <c r="Z233" s="109">
        <v>6</v>
      </c>
      <c r="AA233" s="107" t="str">
        <f t="shared" si="80"/>
        <v>N47.16</v>
      </c>
      <c r="AB233" s="110" t="s">
        <v>43</v>
      </c>
      <c r="AC233" s="30"/>
      <c r="AD233" s="30"/>
      <c r="AE233" s="102"/>
      <c r="AF233" s="30"/>
      <c r="AH233" s="90"/>
      <c r="AI233" s="90"/>
      <c r="AJ233" s="90"/>
      <c r="AK233" s="6"/>
      <c r="BG233" s="75"/>
      <c r="BI233" s="16" t="s">
        <v>44</v>
      </c>
    </row>
    <row r="234" spans="24:61" ht="21" x14ac:dyDescent="0.2">
      <c r="X234" s="120" t="str">
        <f t="shared" si="81"/>
        <v>N47</v>
      </c>
      <c r="Y234" s="106">
        <v>2</v>
      </c>
      <c r="Z234" s="106">
        <v>1</v>
      </c>
      <c r="AA234" s="112" t="str">
        <f t="shared" si="80"/>
        <v>N47.21</v>
      </c>
      <c r="AB234" s="113" t="s">
        <v>108</v>
      </c>
      <c r="AC234" s="114" t="s">
        <v>109</v>
      </c>
      <c r="AD234" s="115" t="s">
        <v>49</v>
      </c>
      <c r="AE234" s="116"/>
      <c r="AF234" s="48" t="s">
        <v>50</v>
      </c>
      <c r="AG234" s="77" t="b">
        <f>AF234=AH234</f>
        <v>1</v>
      </c>
      <c r="AH234" s="80" t="str">
        <f t="shared" ref="AH234:AH270" si="82">INDEX(labelitem,MATCH(AR234,items,0),1)</f>
        <v>a</v>
      </c>
      <c r="AI234" s="81" t="str">
        <f t="shared" ref="AI234:AI270" si="83">INDEX(labelitem,MATCH(AS234,items,0),1)</f>
        <v>SIN</v>
      </c>
      <c r="AJ234" s="82" t="str">
        <f t="shared" ref="AJ234:AJ270" si="84">INDEX(labelitem,MATCH(AT234,items,0),1)</f>
        <v>Reg A</v>
      </c>
      <c r="AK234" s="6"/>
      <c r="AL234" s="8" t="str">
        <f t="shared" ref="AL234:AL270" si="85">"{"&amp;Y234*10+Z234</f>
        <v>{21</v>
      </c>
      <c r="AM234" s="27" t="str">
        <f t="shared" ref="AM234:AM270" si="86">VLOOKUP(AB234,labelitem,2,0)</f>
        <v>ITM_sin</v>
      </c>
      <c r="AN234" s="27" t="str">
        <f t="shared" ref="AN234:AN270" si="87">VLOOKUP(AC234,labelitem,2,0)</f>
        <v>ITM_arcsin</v>
      </c>
      <c r="AO234" s="27" t="str">
        <f t="shared" ref="AO234:AO270" si="88">VLOOKUP(AD234,labelitem,2,0)</f>
        <v>ITM_TGLFRT</v>
      </c>
      <c r="AP234" s="46" t="str">
        <f>IF(NOT(ISNA(MATCH(AM234,Lookups!E:E,))),VLOOKUP(AM234,Lookups!E:F,2,0),
IF(NOT(ISNA(MATCH(AN234,Lookups!E:E,))),VLOOKUP(AN234,Lookups!E:F,2,0),
IF(NOT(ISNA(MATCH(AO234,Lookups!E:E,))),VLOOKUP(AO234,Lookups!E:F,2,0),"ITM_NULL")))</f>
        <v>ITM_NULL</v>
      </c>
      <c r="AQ234" s="28" t="str">
        <f>VLOOKUP(AF234,labelitem,2,0)</f>
        <v>ITM_A</v>
      </c>
      <c r="AR234" s="192" t="s">
        <v>51</v>
      </c>
      <c r="AS234" s="193" t="s">
        <v>113</v>
      </c>
      <c r="AT234" s="194" t="s">
        <v>53</v>
      </c>
      <c r="AW234" s="14" t="str">
        <f>AL234</f>
        <v>{21</v>
      </c>
      <c r="AX234" s="157" t="str" cm="1">
        <f t="array" ref="AX234">SUBSTITUTE(SUBSTITUTE(_xlfn.SWITCH(AM234, "ITM_T_HOME", "ITM_UP1", "ITM_T_END", "ITM_DOWN1", "DOCU_CHR_sub", "ITM_DOWN_ARROW", "DOCU_CHR_super", "ITM_UP_ARROW", "MNU_TAMALPHA", "ITM_alpha", "DOCU_CHR_caseFLIP", "ITM_NULL", "DOCU_CHR_numSET", "ITM_NULL", "DOCU_ITM_RADIX", "ITM_PERIOD", AM234), ".lo", ),"MNU_", "-MNU_")</f>
        <v>ITM_sin</v>
      </c>
      <c r="AY234" s="157" t="str" cm="1">
        <f t="array" ref="AY234">SUBSTITUTE(SUBSTITUTE(_xlfn.SWITCH(AN234, "ITM_T_HOME", "ITM_UP1", "ITM_T_END", "ITM_DOWN1", "DOCU_CHR_sub", "ITM_DOWN_ARROW", "DOCU_CHR_super", "ITM_UP_ARROW", "MNU_TAMALPHA", "ITM_alpha", "DOCU_CHR_caseFLIP", "ITM_NULL", "DOCU_CHR_numSET", "ITM_NULL", "DOCU_ITM_RADIX", "ITM_PERIOD", AN234), ".lo", ),"MNU_", "-MNU_")</f>
        <v>ITM_arcsin</v>
      </c>
      <c r="AZ234" s="157" t="str" cm="1">
        <f t="array" ref="AZ234">SUBSTITUTE(SUBSTITUTE(_xlfn.SWITCH(AO234, "ITM_T_HOME", "ITM_UP1", "ITM_T_END", "ITM_DOWN1", "DOCU_CHR_sub", "ITM_DOWN_ARROW", "DOCU_CHR_super", "ITM_UP_ARROW", "MNU_TAMALPHA", "ITM_alpha", "DOCU_CHR_caseFLIP", "ITM_NULL", "DOCU_CHR_numSET", "ITM_NULL", "DOCU_ITM_RADIX", "ITM_PERIOD", AO234), ".lo", ),"MNU_", "-MNU_")</f>
        <v>ITM_TGLFRT</v>
      </c>
      <c r="BA234" s="173" t="str" cm="1">
        <f t="array" ref="BA234">SUBSTITUTE(SUBSTITUTE(_xlfn.SWITCH(AP234, "ITM_T_HOME", "ITM_UP1", "ITM_T_END", "ITM_DOWN1", "DOCU_CHR_sub", "ITM_DOWN_ARROW", "DOCU_CHR_super", "ITM_UP_ARROW", "MNU_TAMALPHA", "ITM_alpha", "DOCU_CHR_caseFLIP", "ITM_NULL", "DOCU_CHR_numSET", "ITM_NULL", "DOCU_ITM_RADIX", "ITM_PERIOD", AP234), ".lo", ),"MNU_", "-MNU_")</f>
        <v>ITM_NULL</v>
      </c>
      <c r="BB234" s="157" t="str" cm="1">
        <f t="array" ref="BB234">SUBSTITUTE(SUBSTITUTE(_xlfn.SWITCH(AQ234, "ITM_T_HOME", "ITM_UP1", "ITM_T_END", "ITM_DOWN1", "DOCU_CHR_sub", "ITM_DOWN_ARROW", "DOCU_CHR_super", "ITM_UP_ARROW", "MNU_TAMALPHA", "ITM_alpha", "DOCU_CHR_caseFLIP", "ITM_NULL", "DOCU_CHR_numSET", "ITM_NULL", "DOCU_ITM_RADIX", "ITM_PERIOD", AQ234), ".lo", ),"MNU_", "-MNU_")</f>
        <v>ITM_A</v>
      </c>
      <c r="BC234" s="157" t="str" cm="1">
        <f t="array" ref="BC234">SUBSTITUTE(SUBSTITUTE(_xlfn.SWITCH(AR234, "ITM_T_HOME", "ITM_UP1", "ITM_T_END", "ITM_DOWN1", "DOCU_CHR_sub", "ITM_DOWN_ARROW", "DOCU_CHR_super", "ITM_UP_ARROW", "MNU_TAMALPHA", "ITM_alpha", "DOCU_CHR_caseFLIP", "ITM_NULL", "DOCU_CHR_numSET", "ITM_NULL", "DOCU_ITM_RADIX", "ITM_PERIOD", AR234), ".lo", ),"MNU_", "-MNU_")</f>
        <v>ITM_a</v>
      </c>
      <c r="BD234" s="157" t="str" cm="1">
        <f t="array" ref="BD234">SUBSTITUTE(SUBSTITUTE(_xlfn.SWITCH(AS234, "ITM_T_HOME", "ITM_UP1", "ITM_T_END", "ITM_DOWN1", "DOCU_CHR_sub", "ITM_DOWN_ARROW", "DOCU_CHR_super", "ITM_UP_ARROW", "MNU_TAMALPHA", "ITM_alpha", "DOCU_CHR_caseFLIP", "ITM_NULL", "DOCU_CHR_numSET", "ITM_NULL", "DOCU_ITM_RADIX", "ITM_PERIOD", AS234), ".lo", ),"MNU_", "-MNU_")</f>
        <v>ITM_SIN_SIGN</v>
      </c>
      <c r="BE234" s="157" t="str" cm="1">
        <f t="array" ref="BE234">SUBSTITUTE(SUBSTITUTE(_xlfn.SWITCH(AT234, "ITM_T_HOME", "ITM_UP1", "ITM_T_END", "ITM_DOWN1", "DOCU_CHR_sub", "ITM_DOWN_ARROW", "DOCU_CHR_super", "ITM_UP_ARROW", "MNU_TAMALPHA", "ITM_alpha", "DOCU_CHR_caseFLIP", "ITM_NULL", "DOCU_CHR_numSET", "ITM_NULL", "DOCU_ITM_RADIX", "ITM_PERIOD", AT234), ".lo", ),"MNU_", "-MNU_")</f>
        <v>ITM_REG_A</v>
      </c>
      <c r="BG234" s="75"/>
      <c r="BI234" s="13" t="str">
        <f t="shared" ref="BI234:BI269" si="89">"  "&amp;AW234&amp;", "&amp;REPT(" ",$BH$54-LEN(AW234))&amp;
AX234&amp;", "&amp;REPT(" ",$BH$54-LEN(AX234))&amp;
AY234&amp;", "&amp;REPT(" ",$BH$54-LEN(AY234))&amp;
AZ234&amp;", "&amp;REPT(" ",$BH$54-LEN(AZ234))&amp;
BA234&amp;", "&amp;REPT(" ",$BH$54-LEN(BA234))&amp;
BB234&amp;", "&amp;REPT(" ",$BH$54-LEN(BB234))&amp;
BC234&amp;", "&amp;REPT(" ",$BH$54-LEN(BC234))&amp;
BD234&amp;", "&amp;REPT(" ",$BH$54-LEN(BD234))&amp;
BE234&amp;REPT(" ",$BH$54-LEN(BE234))&amp;
"},"</f>
        <v xml:space="preserve">  {21,                  ITM_sin,              ITM_arcsin,           ITM_TGLFRT,           ITM_NULL,             ITM_A,                ITM_a,                ITM_SIN_SIGN,         ITM_REG_A           },</v>
      </c>
    </row>
    <row r="235" spans="24:61" ht="21" x14ac:dyDescent="0.2">
      <c r="X235" s="120" t="str">
        <f t="shared" si="81"/>
        <v>N47</v>
      </c>
      <c r="Y235" s="109">
        <v>2</v>
      </c>
      <c r="Z235" s="109">
        <v>2</v>
      </c>
      <c r="AA235" s="112" t="str">
        <f t="shared" si="80"/>
        <v>N47.22</v>
      </c>
      <c r="AB235" s="117" t="s">
        <v>115</v>
      </c>
      <c r="AC235" s="118" t="s">
        <v>116</v>
      </c>
      <c r="AD235" s="119" t="s">
        <v>56</v>
      </c>
      <c r="AE235" s="3"/>
      <c r="AF235" s="49" t="s">
        <v>57</v>
      </c>
      <c r="AG235" s="77" t="b">
        <f t="shared" ref="AG235:AG270" si="90">AF235=AH235</f>
        <v>1</v>
      </c>
      <c r="AH235" s="83" t="str">
        <f t="shared" si="82"/>
        <v>b</v>
      </c>
      <c r="AI235" s="84" t="str">
        <f t="shared" si="83"/>
        <v>COS</v>
      </c>
      <c r="AJ235" s="85" t="str">
        <f t="shared" si="84"/>
        <v>Reg B</v>
      </c>
      <c r="AK235" s="6"/>
      <c r="AL235" s="8" t="str">
        <f t="shared" si="85"/>
        <v>{22</v>
      </c>
      <c r="AM235" s="27" t="str">
        <f t="shared" si="86"/>
        <v>ITM_cos</v>
      </c>
      <c r="AN235" s="27" t="str">
        <f t="shared" si="87"/>
        <v>ITM_arccos</v>
      </c>
      <c r="AO235" s="27" t="str">
        <f t="shared" si="88"/>
        <v>ITM_HASH_JM</v>
      </c>
      <c r="AP235" s="46" t="str">
        <f>IF(NOT(ISNA(MATCH(AM235,Lookups!E:E,))),VLOOKUP(AM235,Lookups!E:F,2,0),
IF(NOT(ISNA(MATCH(AN235,Lookups!E:E,))),VLOOKUP(AN235,Lookups!E:F,2,0),
IF(NOT(ISNA(MATCH(AO235,Lookups!E:E,))),VLOOKUP(AO235,Lookups!E:F,2,0),"ITM_NULL")))</f>
        <v>ITM_NUMBER_SIGN</v>
      </c>
      <c r="AQ235" s="28" t="str">
        <f>VLOOKUP(AF235,labelitem,2,0)</f>
        <v>ITM_B</v>
      </c>
      <c r="AR235" s="195" t="s">
        <v>58</v>
      </c>
      <c r="AS235" s="186" t="s">
        <v>120</v>
      </c>
      <c r="AT235" s="196" t="s">
        <v>60</v>
      </c>
      <c r="AW235" s="14" t="str">
        <f t="shared" ref="AW235:AW270" si="91">AL235</f>
        <v>{22</v>
      </c>
      <c r="AX235" s="157" t="str" cm="1">
        <f t="array" ref="AX235">SUBSTITUTE(SUBSTITUTE(_xlfn.SWITCH(AM235, "ITM_T_HOME", "ITM_UP1", "ITM_T_END", "ITM_DOWN1", "DOCU_CHR_sub", "ITM_DOWN_ARROW", "DOCU_CHR_super", "ITM_UP_ARROW", "MNU_TAMALPHA", "ITM_alpha", "DOCU_CHR_caseFLIP", "ITM_NULL", "DOCU_CHR_numSET", "ITM_NULL", "DOCU_ITM_RADIX", "ITM_PERIOD", AM235), ".lo", ),"MNU_", "-MNU_")</f>
        <v>ITM_cos</v>
      </c>
      <c r="AY235" s="157" t="str" cm="1">
        <f t="array" ref="AY235">SUBSTITUTE(SUBSTITUTE(_xlfn.SWITCH(AN235, "ITM_T_HOME", "ITM_UP1", "ITM_T_END", "ITM_DOWN1", "DOCU_CHR_sub", "ITM_DOWN_ARROW", "DOCU_CHR_super", "ITM_UP_ARROW", "MNU_TAMALPHA", "ITM_alpha", "DOCU_CHR_caseFLIP", "ITM_NULL", "DOCU_CHR_numSET", "ITM_NULL", "DOCU_ITM_RADIX", "ITM_PERIOD", AN235), ".lo", ),"MNU_", "-MNU_")</f>
        <v>ITM_arccos</v>
      </c>
      <c r="AZ235" s="157" t="str" cm="1">
        <f t="array" ref="AZ235">SUBSTITUTE(SUBSTITUTE(_xlfn.SWITCH(AO235, "ITM_T_HOME", "ITM_UP1", "ITM_T_END", "ITM_DOWN1", "DOCU_CHR_sub", "ITM_DOWN_ARROW", "DOCU_CHR_super", "ITM_UP_ARROW", "MNU_TAMALPHA", "ITM_alpha", "DOCU_CHR_caseFLIP", "ITM_NULL", "DOCU_CHR_numSET", "ITM_NULL", "DOCU_ITM_RADIX", "ITM_PERIOD", AO235), ".lo", ),"MNU_", "-MNU_")</f>
        <v>ITM_HASH_JM</v>
      </c>
      <c r="BA235" s="173" t="str" cm="1">
        <f t="array" ref="BA235">SUBSTITUTE(SUBSTITUTE(_xlfn.SWITCH(AP235, "ITM_T_HOME", "ITM_UP1", "ITM_T_END", "ITM_DOWN1", "DOCU_CHR_sub", "ITM_DOWN_ARROW", "DOCU_CHR_super", "ITM_UP_ARROW", "MNU_TAMALPHA", "ITM_alpha", "DOCU_CHR_caseFLIP", "ITM_NULL", "DOCU_CHR_numSET", "ITM_NULL", "DOCU_ITM_RADIX", "ITM_PERIOD", AP235), ".lo", ),"MNU_", "-MNU_")</f>
        <v>ITM_NUMBER_SIGN</v>
      </c>
      <c r="BB235" s="157" t="str" cm="1">
        <f t="array" ref="BB235">SUBSTITUTE(SUBSTITUTE(_xlfn.SWITCH(AQ235, "ITM_T_HOME", "ITM_UP1", "ITM_T_END", "ITM_DOWN1", "DOCU_CHR_sub", "ITM_DOWN_ARROW", "DOCU_CHR_super", "ITM_UP_ARROW", "MNU_TAMALPHA", "ITM_alpha", "DOCU_CHR_caseFLIP", "ITM_NULL", "DOCU_CHR_numSET", "ITM_NULL", "DOCU_ITM_RADIX", "ITM_PERIOD", AQ235), ".lo", ),"MNU_", "-MNU_")</f>
        <v>ITM_B</v>
      </c>
      <c r="BC235" s="157" t="str" cm="1">
        <f t="array" ref="BC235">SUBSTITUTE(SUBSTITUTE(_xlfn.SWITCH(AR235, "ITM_T_HOME", "ITM_UP1", "ITM_T_END", "ITM_DOWN1", "DOCU_CHR_sub", "ITM_DOWN_ARROW", "DOCU_CHR_super", "ITM_UP_ARROW", "MNU_TAMALPHA", "ITM_alpha", "DOCU_CHR_caseFLIP", "ITM_NULL", "DOCU_CHR_numSET", "ITM_NULL", "DOCU_ITM_RADIX", "ITM_PERIOD", AR235), ".lo", ),"MNU_", "-MNU_")</f>
        <v>ITM_b</v>
      </c>
      <c r="BD235" s="157" t="str" cm="1">
        <f t="array" ref="BD235">SUBSTITUTE(SUBSTITUTE(_xlfn.SWITCH(AS235, "ITM_T_HOME", "ITM_UP1", "ITM_T_END", "ITM_DOWN1", "DOCU_CHR_sub", "ITM_DOWN_ARROW", "DOCU_CHR_super", "ITM_UP_ARROW", "MNU_TAMALPHA", "ITM_alpha", "DOCU_CHR_caseFLIP", "ITM_NULL", "DOCU_CHR_numSET", "ITM_NULL", "DOCU_ITM_RADIX", "ITM_PERIOD", AS235), ".lo", ),"MNU_", "-MNU_")</f>
        <v>ITM_COS_SIGN</v>
      </c>
      <c r="BE235" s="157" t="str" cm="1">
        <f t="array" ref="BE235">SUBSTITUTE(SUBSTITUTE(_xlfn.SWITCH(AT235, "ITM_T_HOME", "ITM_UP1", "ITM_T_END", "ITM_DOWN1", "DOCU_CHR_sub", "ITM_DOWN_ARROW", "DOCU_CHR_super", "ITM_UP_ARROW", "MNU_TAMALPHA", "ITM_alpha", "DOCU_CHR_caseFLIP", "ITM_NULL", "DOCU_CHR_numSET", "ITM_NULL", "DOCU_ITM_RADIX", "ITM_PERIOD", AT235), ".lo", ),"MNU_", "-MNU_")</f>
        <v>ITM_REG_B</v>
      </c>
      <c r="BG235" s="75"/>
      <c r="BI235" s="13" t="str">
        <f t="shared" si="89"/>
        <v xml:space="preserve">  {22,                  ITM_cos,              ITM_arccos,           ITM_HASH_JM,          ITM_NUMBER_SIGN,      ITM_B,                ITM_b,                ITM_COS_SIGN,         ITM_REG_B           },</v>
      </c>
    </row>
    <row r="236" spans="24:61" ht="21" x14ac:dyDescent="0.2">
      <c r="X236" s="120" t="str">
        <f t="shared" si="81"/>
        <v>N47</v>
      </c>
      <c r="Y236" s="109">
        <v>2</v>
      </c>
      <c r="Z236" s="109">
        <v>3</v>
      </c>
      <c r="AA236" s="112" t="str">
        <f t="shared" si="80"/>
        <v>N47.23</v>
      </c>
      <c r="AB236" s="117" t="s">
        <v>122</v>
      </c>
      <c r="AC236" s="118" t="s">
        <v>123</v>
      </c>
      <c r="AD236" s="119" t="s">
        <v>63</v>
      </c>
      <c r="AE236" s="3"/>
      <c r="AF236" s="49" t="s">
        <v>64</v>
      </c>
      <c r="AG236" s="77" t="b">
        <f t="shared" si="90"/>
        <v>1</v>
      </c>
      <c r="AH236" s="83" t="str">
        <f t="shared" si="82"/>
        <v>c</v>
      </c>
      <c r="AI236" s="84" t="str">
        <f t="shared" si="83"/>
        <v>TAN</v>
      </c>
      <c r="AJ236" s="85" t="str">
        <f t="shared" si="84"/>
        <v>Reg C</v>
      </c>
      <c r="AK236" s="6"/>
      <c r="AL236" s="8" t="str">
        <f t="shared" si="85"/>
        <v>{23</v>
      </c>
      <c r="AM236" s="27" t="str">
        <f t="shared" si="86"/>
        <v>ITM_tan</v>
      </c>
      <c r="AN236" s="27" t="str">
        <f t="shared" si="87"/>
        <v>ITM_arctan</v>
      </c>
      <c r="AO236" s="27" t="str">
        <f t="shared" si="88"/>
        <v>ITM_ms</v>
      </c>
      <c r="AP236" s="46" t="str">
        <f>IF(NOT(ISNA(MATCH(AM236,Lookups!E:E,))),VLOOKUP(AM236,Lookups!E:F,2,0),
IF(NOT(ISNA(MATCH(AN236,Lookups!E:E,))),VLOOKUP(AN236,Lookups!E:F,2,0),
IF(NOT(ISNA(MATCH(AO236,Lookups!E:E,))),VLOOKUP(AO236,Lookups!E:F,2,0),"ITM_NULL")))</f>
        <v>ITM_NULL</v>
      </c>
      <c r="AQ236" s="28" t="str">
        <f>VLOOKUP(AF236,labelitem,2,0)</f>
        <v>ITM_C</v>
      </c>
      <c r="AR236" s="195" t="s">
        <v>65</v>
      </c>
      <c r="AS236" s="186" t="s">
        <v>127</v>
      </c>
      <c r="AT236" s="196" t="s">
        <v>67</v>
      </c>
      <c r="AW236" s="14" t="str">
        <f t="shared" si="91"/>
        <v>{23</v>
      </c>
      <c r="AX236" s="157" t="str" cm="1">
        <f t="array" ref="AX236">SUBSTITUTE(SUBSTITUTE(_xlfn.SWITCH(AM236, "ITM_T_HOME", "ITM_UP1", "ITM_T_END", "ITM_DOWN1", "DOCU_CHR_sub", "ITM_DOWN_ARROW", "DOCU_CHR_super", "ITM_UP_ARROW", "MNU_TAMALPHA", "ITM_alpha", "DOCU_CHR_caseFLIP", "ITM_NULL", "DOCU_CHR_numSET", "ITM_NULL", "DOCU_ITM_RADIX", "ITM_PERIOD", AM236), ".lo", ),"MNU_", "-MNU_")</f>
        <v>ITM_tan</v>
      </c>
      <c r="AY236" s="157" t="str" cm="1">
        <f t="array" ref="AY236">SUBSTITUTE(SUBSTITUTE(_xlfn.SWITCH(AN236, "ITM_T_HOME", "ITM_UP1", "ITM_T_END", "ITM_DOWN1", "DOCU_CHR_sub", "ITM_DOWN_ARROW", "DOCU_CHR_super", "ITM_UP_ARROW", "MNU_TAMALPHA", "ITM_alpha", "DOCU_CHR_caseFLIP", "ITM_NULL", "DOCU_CHR_numSET", "ITM_NULL", "DOCU_ITM_RADIX", "ITM_PERIOD", AN236), ".lo", ),"MNU_", "-MNU_")</f>
        <v>ITM_arctan</v>
      </c>
      <c r="AZ236" s="157" t="str" cm="1">
        <f t="array" ref="AZ236">SUBSTITUTE(SUBSTITUTE(_xlfn.SWITCH(AO236, "ITM_T_HOME", "ITM_UP1", "ITM_T_END", "ITM_DOWN1", "DOCU_CHR_sub", "ITM_DOWN_ARROW", "DOCU_CHR_super", "ITM_UP_ARROW", "MNU_TAMALPHA", "ITM_alpha", "DOCU_CHR_caseFLIP", "ITM_NULL", "DOCU_CHR_numSET", "ITM_NULL", "DOCU_ITM_RADIX", "ITM_PERIOD", AO236), ".lo", ),"MNU_", "-MNU_")</f>
        <v>ITM_ms</v>
      </c>
      <c r="BA236" s="173" t="str" cm="1">
        <f t="array" ref="BA236">SUBSTITUTE(SUBSTITUTE(_xlfn.SWITCH(AP236, "ITM_T_HOME", "ITM_UP1", "ITM_T_END", "ITM_DOWN1", "DOCU_CHR_sub", "ITM_DOWN_ARROW", "DOCU_CHR_super", "ITM_UP_ARROW", "MNU_TAMALPHA", "ITM_alpha", "DOCU_CHR_caseFLIP", "ITM_NULL", "DOCU_CHR_numSET", "ITM_NULL", "DOCU_ITM_RADIX", "ITM_PERIOD", AP236), ".lo", ),"MNU_", "-MNU_")</f>
        <v>ITM_NULL</v>
      </c>
      <c r="BB236" s="157" t="str" cm="1">
        <f t="array" ref="BB236">SUBSTITUTE(SUBSTITUTE(_xlfn.SWITCH(AQ236, "ITM_T_HOME", "ITM_UP1", "ITM_T_END", "ITM_DOWN1", "DOCU_CHR_sub", "ITM_DOWN_ARROW", "DOCU_CHR_super", "ITM_UP_ARROW", "MNU_TAMALPHA", "ITM_alpha", "DOCU_CHR_caseFLIP", "ITM_NULL", "DOCU_CHR_numSET", "ITM_NULL", "DOCU_ITM_RADIX", "ITM_PERIOD", AQ236), ".lo", ),"MNU_", "-MNU_")</f>
        <v>ITM_C</v>
      </c>
      <c r="BC236" s="157" t="str" cm="1">
        <f t="array" ref="BC236">SUBSTITUTE(SUBSTITUTE(_xlfn.SWITCH(AR236, "ITM_T_HOME", "ITM_UP1", "ITM_T_END", "ITM_DOWN1", "DOCU_CHR_sub", "ITM_DOWN_ARROW", "DOCU_CHR_super", "ITM_UP_ARROW", "MNU_TAMALPHA", "ITM_alpha", "DOCU_CHR_caseFLIP", "ITM_NULL", "DOCU_CHR_numSET", "ITM_NULL", "DOCU_ITM_RADIX", "ITM_PERIOD", AR236), ".lo", ),"MNU_", "-MNU_")</f>
        <v>ITM_c</v>
      </c>
      <c r="BD236" s="157" t="str" cm="1">
        <f t="array" ref="BD236">SUBSTITUTE(SUBSTITUTE(_xlfn.SWITCH(AS236, "ITM_T_HOME", "ITM_UP1", "ITM_T_END", "ITM_DOWN1", "DOCU_CHR_sub", "ITM_DOWN_ARROW", "DOCU_CHR_super", "ITM_UP_ARROW", "MNU_TAMALPHA", "ITM_alpha", "DOCU_CHR_caseFLIP", "ITM_NULL", "DOCU_CHR_numSET", "ITM_NULL", "DOCU_ITM_RADIX", "ITM_PERIOD", AS236), ".lo", ),"MNU_", "-MNU_")</f>
        <v>ITM_TAN_SIGN</v>
      </c>
      <c r="BE236" s="157" t="str" cm="1">
        <f t="array" ref="BE236">SUBSTITUTE(SUBSTITUTE(_xlfn.SWITCH(AT236, "ITM_T_HOME", "ITM_UP1", "ITM_T_END", "ITM_DOWN1", "DOCU_CHR_sub", "ITM_DOWN_ARROW", "DOCU_CHR_super", "ITM_UP_ARROW", "MNU_TAMALPHA", "ITM_alpha", "DOCU_CHR_caseFLIP", "ITM_NULL", "DOCU_CHR_numSET", "ITM_NULL", "DOCU_ITM_RADIX", "ITM_PERIOD", AT236), ".lo", ),"MNU_", "-MNU_")</f>
        <v>ITM_REG_C</v>
      </c>
      <c r="BG236" s="75"/>
      <c r="BI236" s="13" t="str">
        <f t="shared" si="89"/>
        <v xml:space="preserve">  {23,                  ITM_tan,              ITM_arctan,           ITM_ms,               ITM_NULL,             ITM_C,                ITM_c,                ITM_TAN_SIGN,         ITM_REG_C           },</v>
      </c>
    </row>
    <row r="237" spans="24:61" ht="21" x14ac:dyDescent="0.2">
      <c r="X237" s="120" t="str">
        <f t="shared" si="81"/>
        <v>N47</v>
      </c>
      <c r="Y237" s="109">
        <v>2</v>
      </c>
      <c r="Z237" s="109">
        <v>4</v>
      </c>
      <c r="AA237" s="112" t="str">
        <f t="shared" si="80"/>
        <v>N47.24</v>
      </c>
      <c r="AB237" s="117" t="s">
        <v>54</v>
      </c>
      <c r="AC237" s="118" t="s">
        <v>55</v>
      </c>
      <c r="AD237" s="119" t="s">
        <v>70</v>
      </c>
      <c r="AE237" s="3"/>
      <c r="AF237" s="49" t="s">
        <v>71</v>
      </c>
      <c r="AG237" s="77" t="b">
        <f t="shared" si="90"/>
        <v>1</v>
      </c>
      <c r="AH237" s="83" t="str">
        <f t="shared" si="82"/>
        <v>d</v>
      </c>
      <c r="AI237" s="84" t="str">
        <f t="shared" si="83"/>
        <v>^</v>
      </c>
      <c r="AJ237" s="85" t="str">
        <f t="shared" si="84"/>
        <v>Reg D</v>
      </c>
      <c r="AK237" s="6"/>
      <c r="AL237" s="8" t="str">
        <f t="shared" si="85"/>
        <v>{24</v>
      </c>
      <c r="AM237" s="27" t="str">
        <f t="shared" si="86"/>
        <v>ITM_1ONX</v>
      </c>
      <c r="AN237" s="27" t="str">
        <f t="shared" si="87"/>
        <v>ITM_YX</v>
      </c>
      <c r="AO237" s="27" t="str">
        <f t="shared" si="88"/>
        <v>ITM_dotD</v>
      </c>
      <c r="AP237" s="46" t="str">
        <f>IF(NOT(ISNA(MATCH(AM237,Lookups!E:E,))),VLOOKUP(AM237,Lookups!E:F,2,0),
IF(NOT(ISNA(MATCH(AN237,Lookups!E:E,))),VLOOKUP(AN237,Lookups!E:F,2,0),
IF(NOT(ISNA(MATCH(AO237,Lookups!E:E,))),VLOOKUP(AO237,Lookups!E:F,2,0),"ITM_NULL")))</f>
        <v>ITM_NULL</v>
      </c>
      <c r="AQ237" s="28" t="str">
        <f>VLOOKUP(AF237,labelitem,2,0)</f>
        <v>ITM_D</v>
      </c>
      <c r="AR237" s="195" t="s">
        <v>72</v>
      </c>
      <c r="AS237" s="186" t="s">
        <v>59</v>
      </c>
      <c r="AT237" s="196" t="s">
        <v>74</v>
      </c>
      <c r="AW237" s="14" t="str">
        <f t="shared" si="91"/>
        <v>{24</v>
      </c>
      <c r="AX237" s="157" t="str" cm="1">
        <f t="array" ref="AX237">SUBSTITUTE(SUBSTITUTE(_xlfn.SWITCH(AM237, "ITM_T_HOME", "ITM_UP1", "ITM_T_END", "ITM_DOWN1", "DOCU_CHR_sub", "ITM_DOWN_ARROW", "DOCU_CHR_super", "ITM_UP_ARROW", "MNU_TAMALPHA", "ITM_alpha", "DOCU_CHR_caseFLIP", "ITM_NULL", "DOCU_CHR_numSET", "ITM_NULL", "DOCU_ITM_RADIX", "ITM_PERIOD", AM237), ".lo", ),"MNU_", "-MNU_")</f>
        <v>ITM_1ONX</v>
      </c>
      <c r="AY237" s="157" t="str" cm="1">
        <f t="array" ref="AY237">SUBSTITUTE(SUBSTITUTE(_xlfn.SWITCH(AN237, "ITM_T_HOME", "ITM_UP1", "ITM_T_END", "ITM_DOWN1", "DOCU_CHR_sub", "ITM_DOWN_ARROW", "DOCU_CHR_super", "ITM_UP_ARROW", "MNU_TAMALPHA", "ITM_alpha", "DOCU_CHR_caseFLIP", "ITM_NULL", "DOCU_CHR_numSET", "ITM_NULL", "DOCU_ITM_RADIX", "ITM_PERIOD", AN237), ".lo", ),"MNU_", "-MNU_")</f>
        <v>ITM_YX</v>
      </c>
      <c r="AZ237" s="157" t="str" cm="1">
        <f t="array" ref="AZ237">SUBSTITUTE(SUBSTITUTE(_xlfn.SWITCH(AO237, "ITM_T_HOME", "ITM_UP1", "ITM_T_END", "ITM_DOWN1", "DOCU_CHR_sub", "ITM_DOWN_ARROW", "DOCU_CHR_super", "ITM_UP_ARROW", "MNU_TAMALPHA", "ITM_alpha", "DOCU_CHR_caseFLIP", "ITM_NULL", "DOCU_CHR_numSET", "ITM_NULL", "DOCU_ITM_RADIX", "ITM_PERIOD", AO237), ".lo", ),"MNU_", "-MNU_")</f>
        <v>ITM_dotD</v>
      </c>
      <c r="BA237" s="173" t="str" cm="1">
        <f t="array" ref="BA237">SUBSTITUTE(SUBSTITUTE(_xlfn.SWITCH(AP237, "ITM_T_HOME", "ITM_UP1", "ITM_T_END", "ITM_DOWN1", "DOCU_CHR_sub", "ITM_DOWN_ARROW", "DOCU_CHR_super", "ITM_UP_ARROW", "MNU_TAMALPHA", "ITM_alpha", "DOCU_CHR_caseFLIP", "ITM_NULL", "DOCU_CHR_numSET", "ITM_NULL", "DOCU_ITM_RADIX", "ITM_PERIOD", AP237), ".lo", ),"MNU_", "-MNU_")</f>
        <v>ITM_NULL</v>
      </c>
      <c r="BB237" s="157" t="str" cm="1">
        <f t="array" ref="BB237">SUBSTITUTE(SUBSTITUTE(_xlfn.SWITCH(AQ237, "ITM_T_HOME", "ITM_UP1", "ITM_T_END", "ITM_DOWN1", "DOCU_CHR_sub", "ITM_DOWN_ARROW", "DOCU_CHR_super", "ITM_UP_ARROW", "MNU_TAMALPHA", "ITM_alpha", "DOCU_CHR_caseFLIP", "ITM_NULL", "DOCU_CHR_numSET", "ITM_NULL", "DOCU_ITM_RADIX", "ITM_PERIOD", AQ237), ".lo", ),"MNU_", "-MNU_")</f>
        <v>ITM_D</v>
      </c>
      <c r="BC237" s="157" t="str" cm="1">
        <f t="array" ref="BC237">SUBSTITUTE(SUBSTITUTE(_xlfn.SWITCH(AR237, "ITM_T_HOME", "ITM_UP1", "ITM_T_END", "ITM_DOWN1", "DOCU_CHR_sub", "ITM_DOWN_ARROW", "DOCU_CHR_super", "ITM_UP_ARROW", "MNU_TAMALPHA", "ITM_alpha", "DOCU_CHR_caseFLIP", "ITM_NULL", "DOCU_CHR_numSET", "ITM_NULL", "DOCU_ITM_RADIX", "ITM_PERIOD", AR237), ".lo", ),"MNU_", "-MNU_")</f>
        <v>ITM_d</v>
      </c>
      <c r="BD237" s="157" t="str" cm="1">
        <f t="array" ref="BD237">SUBSTITUTE(SUBSTITUTE(_xlfn.SWITCH(AS237, "ITM_T_HOME", "ITM_UP1", "ITM_T_END", "ITM_DOWN1", "DOCU_CHR_sub", "ITM_DOWN_ARROW", "DOCU_CHR_super", "ITM_UP_ARROW", "MNU_TAMALPHA", "ITM_alpha", "DOCU_CHR_caseFLIP", "ITM_NULL", "DOCU_CHR_numSET", "ITM_NULL", "DOCU_ITM_RADIX", "ITM_PERIOD", AS237), ".lo", ),"MNU_", "-MNU_")</f>
        <v>ITM_CIRCUMFLEX</v>
      </c>
      <c r="BE237" s="157" t="str" cm="1">
        <f t="array" ref="BE237">SUBSTITUTE(SUBSTITUTE(_xlfn.SWITCH(AT237, "ITM_T_HOME", "ITM_UP1", "ITM_T_END", "ITM_DOWN1", "DOCU_CHR_sub", "ITM_DOWN_ARROW", "DOCU_CHR_super", "ITM_UP_ARROW", "MNU_TAMALPHA", "ITM_alpha", "DOCU_CHR_caseFLIP", "ITM_NULL", "DOCU_CHR_numSET", "ITM_NULL", "DOCU_ITM_RADIX", "ITM_PERIOD", AT237), ".lo", ),"MNU_", "-MNU_")</f>
        <v>ITM_REG_D</v>
      </c>
      <c r="BG237" s="75"/>
      <c r="BI237" s="13" t="str">
        <f t="shared" si="89"/>
        <v xml:space="preserve">  {24,                  ITM_1ONX,             ITM_YX,               ITM_dotD,             ITM_NULL,             ITM_D,                ITM_d,                ITM_CIRCUMFLEX,       ITM_REG_D           },</v>
      </c>
    </row>
    <row r="238" spans="24:61" ht="21" x14ac:dyDescent="0.2">
      <c r="X238" s="120" t="str">
        <f t="shared" si="81"/>
        <v>N47</v>
      </c>
      <c r="Y238" s="109">
        <v>2</v>
      </c>
      <c r="Z238" s="109">
        <v>5</v>
      </c>
      <c r="AA238" s="112" t="str">
        <f t="shared" si="80"/>
        <v>N47.25</v>
      </c>
      <c r="AB238" s="117" t="s">
        <v>61</v>
      </c>
      <c r="AC238" s="118" t="s">
        <v>62</v>
      </c>
      <c r="AD238" s="119" t="s">
        <v>48</v>
      </c>
      <c r="AE238" s="3"/>
      <c r="AF238" s="49" t="s">
        <v>78</v>
      </c>
      <c r="AG238" s="77" t="b">
        <f t="shared" si="90"/>
        <v>1</v>
      </c>
      <c r="AH238" s="83" t="str">
        <f t="shared" si="82"/>
        <v>e</v>
      </c>
      <c r="AI238" s="84" t="str">
        <f t="shared" si="83"/>
        <v>√</v>
      </c>
      <c r="AJ238" s="85" t="str">
        <f t="shared" si="84"/>
        <v xml:space="preserve"> </v>
      </c>
      <c r="AK238" s="6"/>
      <c r="AL238" s="8" t="str">
        <f t="shared" si="85"/>
        <v>{25</v>
      </c>
      <c r="AM238" s="27" t="str">
        <f t="shared" si="86"/>
        <v>ITM_SQUAREROOTX</v>
      </c>
      <c r="AN238" s="27" t="str">
        <f t="shared" si="87"/>
        <v>ITM_SQUARE</v>
      </c>
      <c r="AO238" s="27" t="str">
        <f t="shared" si="88"/>
        <v>ITM_RI</v>
      </c>
      <c r="AP238" s="46" t="str">
        <f>IF(NOT(ISNA(MATCH(AM238,Lookups!E:E,))),VLOOKUP(AM238,Lookups!E:F,2,0),
IF(NOT(ISNA(MATCH(AN238,Lookups!E:E,))),VLOOKUP(AN238,Lookups!E:F,2,0),
IF(NOT(ISNA(MATCH(AO238,Lookups!E:E,))),VLOOKUP(AO238,Lookups!E:F,2,0),"ITM_NULL")))</f>
        <v>ITM_ROOT_SIGN</v>
      </c>
      <c r="AQ238" s="28" t="str">
        <f>VLOOKUP(AF238,labelitem,2,0)</f>
        <v>ITM_E</v>
      </c>
      <c r="AR238" s="195" t="s">
        <v>79</v>
      </c>
      <c r="AS238" s="186" t="s">
        <v>66</v>
      </c>
      <c r="AT238" s="197" t="s">
        <v>81</v>
      </c>
      <c r="AW238" s="14" t="str">
        <f t="shared" si="91"/>
        <v>{25</v>
      </c>
      <c r="AX238" s="157" t="str" cm="1">
        <f t="array" ref="AX238">SUBSTITUTE(SUBSTITUTE(_xlfn.SWITCH(AM238, "ITM_T_HOME", "ITM_UP1", "ITM_T_END", "ITM_DOWN1", "DOCU_CHR_sub", "ITM_DOWN_ARROW", "DOCU_CHR_super", "ITM_UP_ARROW", "MNU_TAMALPHA", "ITM_alpha", "DOCU_CHR_caseFLIP", "ITM_NULL", "DOCU_CHR_numSET", "ITM_NULL", "DOCU_ITM_RADIX", "ITM_PERIOD", AM238), ".lo", ),"MNU_", "-MNU_")</f>
        <v>ITM_SQUAREROOTX</v>
      </c>
      <c r="AY238" s="157" t="str" cm="1">
        <f t="array" ref="AY238">SUBSTITUTE(SUBSTITUTE(_xlfn.SWITCH(AN238, "ITM_T_HOME", "ITM_UP1", "ITM_T_END", "ITM_DOWN1", "DOCU_CHR_sub", "ITM_DOWN_ARROW", "DOCU_CHR_super", "ITM_UP_ARROW", "MNU_TAMALPHA", "ITM_alpha", "DOCU_CHR_caseFLIP", "ITM_NULL", "DOCU_CHR_numSET", "ITM_NULL", "DOCU_ITM_RADIX", "ITM_PERIOD", AN238), ".lo", ),"MNU_", "-MNU_")</f>
        <v>ITM_SQUARE</v>
      </c>
      <c r="AZ238" s="157" t="str" cm="1">
        <f t="array" ref="AZ238">SUBSTITUTE(SUBSTITUTE(_xlfn.SWITCH(AO238, "ITM_T_HOME", "ITM_UP1", "ITM_T_END", "ITM_DOWN1", "DOCU_CHR_sub", "ITM_DOWN_ARROW", "DOCU_CHR_super", "ITM_UP_ARROW", "MNU_TAMALPHA", "ITM_alpha", "DOCU_CHR_caseFLIP", "ITM_NULL", "DOCU_CHR_numSET", "ITM_NULL", "DOCU_ITM_RADIX", "ITM_PERIOD", AO238), ".lo", ),"MNU_", "-MNU_")</f>
        <v>ITM_RI</v>
      </c>
      <c r="BA238" s="173" t="str" cm="1">
        <f t="array" ref="BA238">SUBSTITUTE(SUBSTITUTE(_xlfn.SWITCH(AP238, "ITM_T_HOME", "ITM_UP1", "ITM_T_END", "ITM_DOWN1", "DOCU_CHR_sub", "ITM_DOWN_ARROW", "DOCU_CHR_super", "ITM_UP_ARROW", "MNU_TAMALPHA", "ITM_alpha", "DOCU_CHR_caseFLIP", "ITM_NULL", "DOCU_CHR_numSET", "ITM_NULL", "DOCU_ITM_RADIX", "ITM_PERIOD", AP238), ".lo", ),"MNU_", "-MNU_")</f>
        <v>ITM_ROOT_SIGN</v>
      </c>
      <c r="BB238" s="157" t="str" cm="1">
        <f t="array" ref="BB238">SUBSTITUTE(SUBSTITUTE(_xlfn.SWITCH(AQ238, "ITM_T_HOME", "ITM_UP1", "ITM_T_END", "ITM_DOWN1", "DOCU_CHR_sub", "ITM_DOWN_ARROW", "DOCU_CHR_super", "ITM_UP_ARROW", "MNU_TAMALPHA", "ITM_alpha", "DOCU_CHR_caseFLIP", "ITM_NULL", "DOCU_CHR_numSET", "ITM_NULL", "DOCU_ITM_RADIX", "ITM_PERIOD", AQ238), ".lo", ),"MNU_", "-MNU_")</f>
        <v>ITM_E</v>
      </c>
      <c r="BC238" s="157" t="str" cm="1">
        <f t="array" ref="BC238">SUBSTITUTE(SUBSTITUTE(_xlfn.SWITCH(AR238, "ITM_T_HOME", "ITM_UP1", "ITM_T_END", "ITM_DOWN1", "DOCU_CHR_sub", "ITM_DOWN_ARROW", "DOCU_CHR_super", "ITM_UP_ARROW", "MNU_TAMALPHA", "ITM_alpha", "DOCU_CHR_caseFLIP", "ITM_NULL", "DOCU_CHR_numSET", "ITM_NULL", "DOCU_ITM_RADIX", "ITM_PERIOD", AR238), ".lo", ),"MNU_", "-MNU_")</f>
        <v>ITM_e</v>
      </c>
      <c r="BD238" s="157" t="str" cm="1">
        <f t="array" ref="BD238">SUBSTITUTE(SUBSTITUTE(_xlfn.SWITCH(AS238, "ITM_T_HOME", "ITM_UP1", "ITM_T_END", "ITM_DOWN1", "DOCU_CHR_sub", "ITM_DOWN_ARROW", "DOCU_CHR_super", "ITM_UP_ARROW", "MNU_TAMALPHA", "ITM_alpha", "DOCU_CHR_caseFLIP", "ITM_NULL", "DOCU_CHR_numSET", "ITM_NULL", "DOCU_ITM_RADIX", "ITM_PERIOD", AS238), ".lo", ),"MNU_", "-MNU_")</f>
        <v>ITM_ROOT_SIGN</v>
      </c>
      <c r="BE238" s="157" t="str" cm="1">
        <f t="array" ref="BE238">SUBSTITUTE(SUBSTITUTE(_xlfn.SWITCH(AT238, "ITM_T_HOME", "ITM_UP1", "ITM_T_END", "ITM_DOWN1", "DOCU_CHR_sub", "ITM_DOWN_ARROW", "DOCU_CHR_super", "ITM_UP_ARROW", "MNU_TAMALPHA", "ITM_alpha", "DOCU_CHR_caseFLIP", "ITM_NULL", "DOCU_CHR_numSET", "ITM_NULL", "DOCU_ITM_RADIX", "ITM_PERIOD", AT238), ".lo", ),"MNU_", "-MNU_")</f>
        <v>ITM_NULL</v>
      </c>
      <c r="BG238" s="75"/>
      <c r="BI238" s="13" t="str">
        <f t="shared" si="89"/>
        <v xml:space="preserve">  {25,                  ITM_SQUAREROOTX,      ITM_SQUARE,           ITM_RI,               ITM_ROOT_SIGN,        ITM_E,                ITM_e,                ITM_ROOT_SIGN,        ITM_NULL            },</v>
      </c>
    </row>
    <row r="239" spans="24:61" ht="21" x14ac:dyDescent="0.2">
      <c r="X239" s="120" t="str">
        <f t="shared" si="81"/>
        <v>N47</v>
      </c>
      <c r="Y239" s="109">
        <v>2</v>
      </c>
      <c r="Z239" s="109">
        <v>6</v>
      </c>
      <c r="AA239" s="112" t="str">
        <f t="shared" si="80"/>
        <v>N47.26</v>
      </c>
      <c r="AB239" s="117" t="s">
        <v>159</v>
      </c>
      <c r="AC239" s="118" t="s">
        <v>160</v>
      </c>
      <c r="AD239" s="119" t="s">
        <v>161</v>
      </c>
      <c r="AE239" s="3"/>
      <c r="AF239" s="49" t="s">
        <v>162</v>
      </c>
      <c r="AG239" s="77" t="b">
        <f t="shared" si="90"/>
        <v>0</v>
      </c>
      <c r="AH239" s="83" t="str">
        <f t="shared" si="82"/>
        <v>CASE UP</v>
      </c>
      <c r="AI239" s="84" t="str">
        <f t="shared" si="83"/>
        <v>Super</v>
      </c>
      <c r="AJ239" s="85" t="str">
        <f t="shared" si="84"/>
        <v>Up</v>
      </c>
      <c r="AK239" s="6"/>
      <c r="AL239" s="8" t="str">
        <f t="shared" si="85"/>
        <v>{26</v>
      </c>
      <c r="AM239" s="27" t="str">
        <f t="shared" si="86"/>
        <v>ITM_UP1</v>
      </c>
      <c r="AN239" s="27" t="str">
        <f t="shared" si="87"/>
        <v>ITM_BST</v>
      </c>
      <c r="AO239" s="27" t="str">
        <f t="shared" si="88"/>
        <v>ITM_RBR</v>
      </c>
      <c r="AP239" s="46" t="str">
        <f>IF(NOT(ISNA(MATCH(AM239,Lookups!E:E,))),VLOOKUP(AM239,Lookups!E:F,2,0),
IF(NOT(ISNA(MATCH(AN239,Lookups!E:E,))),VLOOKUP(AN239,Lookups!E:F,2,0),
IF(NOT(ISNA(MATCH(AO239,Lookups!E:E,))),VLOOKUP(AO239,Lookups!E:F,2,0),"ITM_NULL")))</f>
        <v>ITM_UP1</v>
      </c>
      <c r="AQ239" s="28" t="str">
        <f t="shared" ref="AQ239" si="92">VLOOKUP(AF239,labelitem,2,0)</f>
        <v>ITM_T_HOME</v>
      </c>
      <c r="AR239" s="198" t="s">
        <v>163</v>
      </c>
      <c r="AS239" s="186" t="s">
        <v>164</v>
      </c>
      <c r="AT239" s="197" t="s">
        <v>165</v>
      </c>
      <c r="AW239" s="14" t="str">
        <f t="shared" si="91"/>
        <v>{26</v>
      </c>
      <c r="AX239" s="157" t="str" cm="1">
        <f t="array" ref="AX239">SUBSTITUTE(SUBSTITUTE(_xlfn.SWITCH(AM239, "ITM_T_HOME", "ITM_UP1", "ITM_T_END", "ITM_DOWN1", "DOCU_CHR_sub", "ITM_DOWN_ARROW", "DOCU_CHR_super", "ITM_UP_ARROW", "MNU_TAMALPHA", "ITM_alpha", "DOCU_CHR_caseFLIP", "ITM_NULL", "DOCU_CHR_numSET", "ITM_NULL", "DOCU_ITM_RADIX", "ITM_PERIOD", AM239), ".lo", ),"MNU_", "-MNU_")</f>
        <v>ITM_UP1</v>
      </c>
      <c r="AY239" s="157" t="str" cm="1">
        <f t="array" ref="AY239">SUBSTITUTE(SUBSTITUTE(_xlfn.SWITCH(AN239, "ITM_T_HOME", "ITM_UP1", "ITM_T_END", "ITM_DOWN1", "DOCU_CHR_sub", "ITM_DOWN_ARROW", "DOCU_CHR_super", "ITM_UP_ARROW", "MNU_TAMALPHA", "ITM_alpha", "DOCU_CHR_caseFLIP", "ITM_NULL", "DOCU_CHR_numSET", "ITM_NULL", "DOCU_ITM_RADIX", "ITM_PERIOD", AN239), ".lo", ),"MNU_", "-MNU_")</f>
        <v>ITM_BST</v>
      </c>
      <c r="AZ239" s="157" t="str" cm="1">
        <f t="array" ref="AZ239">SUBSTITUTE(SUBSTITUTE(_xlfn.SWITCH(AO239, "ITM_T_HOME", "ITM_UP1", "ITM_T_END", "ITM_DOWN1", "DOCU_CHR_sub", "ITM_DOWN_ARROW", "DOCU_CHR_super", "ITM_UP_ARROW", "MNU_TAMALPHA", "ITM_alpha", "DOCU_CHR_caseFLIP", "ITM_NULL", "DOCU_CHR_numSET", "ITM_NULL", "DOCU_ITM_RADIX", "ITM_PERIOD", AO239), ".lo", ),"MNU_", "-MNU_")</f>
        <v>ITM_RBR</v>
      </c>
      <c r="BA239" s="173" t="str" cm="1">
        <f t="array" ref="BA239">SUBSTITUTE(SUBSTITUTE(_xlfn.SWITCH(AP239, "ITM_T_HOME", "ITM_UP1", "ITM_T_END", "ITM_DOWN1", "DOCU_CHR_sub", "ITM_DOWN_ARROW", "DOCU_CHR_super", "ITM_UP_ARROW", "MNU_TAMALPHA", "ITM_alpha", "DOCU_CHR_caseFLIP", "ITM_NULL", "DOCU_CHR_numSET", "ITM_NULL", "DOCU_ITM_RADIX", "ITM_PERIOD", AP239), ".lo", ),"MNU_", "-MNU_")</f>
        <v>ITM_UP1</v>
      </c>
      <c r="BB239" s="157" t="str" cm="1">
        <f t="array" ref="BB239">SUBSTITUTE(SUBSTITUTE(_xlfn.SWITCH(AQ239, "ITM_T_HOME", "ITM_UP1", "ITM_T_END", "ITM_DOWN1", "DOCU_CHR_sub", "ITM_DOWN_ARROW", "DOCU_CHR_super", "ITM_UP_ARROW", "MNU_TAMALPHA", "ITM_alpha", "DOCU_CHR_caseFLIP", "ITM_NULL", "DOCU_CHR_numSET", "ITM_NULL", "DOCU_ITM_RADIX", "ITM_PERIOD", AQ239), ".lo", ),"MNU_", "-MNU_")</f>
        <v>ITM_UP1</v>
      </c>
      <c r="BC239" s="157" t="str" cm="1">
        <f t="array" ref="BC239">SUBSTITUTE(SUBSTITUTE(_xlfn.SWITCH(AR239, "ITM_T_HOME", "ITM_UP1", "ITM_T_END", "ITM_DOWN1", "DOCU_CHR_sub", "ITM_DOWN_ARROW", "DOCU_CHR_super", "ITM_UP_ARROW", "MNU_TAMALPHA", "ITM_alpha", "DOCU_CHR_caseFLIP", "ITM_NULL", "DOCU_CHR_numSET", "ITM_NULL", "DOCU_ITM_RADIX", "ITM_PERIOD", AR239), ".lo", ),"MNU_", "-MNU_")</f>
        <v>CHR_caseUP</v>
      </c>
      <c r="BD239" s="157" t="str" cm="1">
        <f t="array" ref="BD239">SUBSTITUTE(SUBSTITUTE(_xlfn.SWITCH(AS239, "ITM_T_HOME", "ITM_UP1", "ITM_T_END", "ITM_DOWN1", "DOCU_CHR_sub", "ITM_DOWN_ARROW", "DOCU_CHR_super", "ITM_UP_ARROW", "MNU_TAMALPHA", "ITM_alpha", "DOCU_CHR_caseFLIP", "ITM_NULL", "DOCU_CHR_numSET", "ITM_NULL", "DOCU_ITM_RADIX", "ITM_PERIOD", AS239), ".lo", ),"MNU_", "-MNU_")</f>
        <v>ITM_UP_ARROW</v>
      </c>
      <c r="BE239" s="157" t="str" cm="1">
        <f t="array" ref="BE239">SUBSTITUTE(SUBSTITUTE(_xlfn.SWITCH(AT239, "ITM_T_HOME", "ITM_UP1", "ITM_T_END", "ITM_DOWN1", "DOCU_CHR_sub", "ITM_DOWN_ARROW", "DOCU_CHR_super", "ITM_UP_ARROW", "MNU_TAMALPHA", "ITM_alpha", "DOCU_CHR_caseFLIP", "ITM_NULL", "DOCU_CHR_numSET", "ITM_NULL", "DOCU_ITM_RADIX", "ITM_PERIOD", AT239), ".lo", ),"MNU_", "-MNU_")</f>
        <v>ITM_UP1</v>
      </c>
      <c r="BG239" s="75"/>
      <c r="BI239" s="13" t="str">
        <f t="shared" si="89"/>
        <v xml:space="preserve">  {26,                  ITM_UP1,              ITM_BST,              ITM_RBR,              ITM_UP1,              ITM_UP1,              CHR_caseUP,           ITM_UP_ARROW,         ITM_UP1             },</v>
      </c>
    </row>
    <row r="240" spans="24:61" ht="21" x14ac:dyDescent="0.2">
      <c r="X240" s="120" t="str">
        <f t="shared" si="81"/>
        <v>N47</v>
      </c>
      <c r="Y240" s="106">
        <v>3</v>
      </c>
      <c r="Z240" s="106">
        <v>1</v>
      </c>
      <c r="AA240" s="112" t="str">
        <f t="shared" si="80"/>
        <v>N47.31</v>
      </c>
      <c r="AB240" s="117" t="s">
        <v>88</v>
      </c>
      <c r="AC240" s="118" t="s">
        <v>102</v>
      </c>
      <c r="AD240" s="119" t="s">
        <v>95</v>
      </c>
      <c r="AE240" s="3"/>
      <c r="AF240" s="49" t="s">
        <v>85</v>
      </c>
      <c r="AG240" s="77" t="b">
        <f t="shared" si="90"/>
        <v>1</v>
      </c>
      <c r="AH240" s="83" t="str">
        <f t="shared" si="82"/>
        <v>f</v>
      </c>
      <c r="AI240" s="84" t="str">
        <f t="shared" si="83"/>
        <v>pi</v>
      </c>
      <c r="AJ240" s="85" t="str">
        <f t="shared" si="84"/>
        <v xml:space="preserve"> </v>
      </c>
      <c r="AK240" s="6"/>
      <c r="AL240" s="8" t="str">
        <f t="shared" si="85"/>
        <v>{31</v>
      </c>
      <c r="AM240" s="27" t="str">
        <f t="shared" si="86"/>
        <v>ITM_STO</v>
      </c>
      <c r="AN240" s="64" t="str">
        <f t="shared" si="87"/>
        <v>ITM_CONSTpi</v>
      </c>
      <c r="AO240" s="27" t="str">
        <f t="shared" si="88"/>
        <v>ITM_PC</v>
      </c>
      <c r="AP240" s="46" t="str">
        <f>IF(NOT(ISNA(MATCH(AM240,Lookups!E:E,))),VLOOKUP(AM240,Lookups!E:F,2,0),
IF(NOT(ISNA(MATCH(AN240,Lookups!E:E,))),VLOOKUP(AN240,Lookups!E:F,2,0),
IF(NOT(ISNA(MATCH(AO240,Lookups!E:E,))),VLOOKUP(AO240,Lookups!E:F,2,0),"ITM_NULL")))</f>
        <v>ITM_NULL</v>
      </c>
      <c r="AQ240" s="28" t="str">
        <f t="shared" ref="AQ240:AQ245" si="93">VLOOKUP(AF240,labelitem,2,0)</f>
        <v>ITM_F</v>
      </c>
      <c r="AR240" s="195" t="s">
        <v>86</v>
      </c>
      <c r="AS240" s="186" t="s">
        <v>106</v>
      </c>
      <c r="AT240" s="197" t="s">
        <v>81</v>
      </c>
      <c r="AW240" s="14" t="str">
        <f t="shared" si="91"/>
        <v>{31</v>
      </c>
      <c r="AX240" s="157" t="str" cm="1">
        <f t="array" ref="AX240">SUBSTITUTE(SUBSTITUTE(_xlfn.SWITCH(AM240, "ITM_T_HOME", "ITM_UP1", "ITM_T_END", "ITM_DOWN1", "DOCU_CHR_sub", "ITM_DOWN_ARROW", "DOCU_CHR_super", "ITM_UP_ARROW", "MNU_TAMALPHA", "ITM_alpha", "DOCU_CHR_caseFLIP", "ITM_NULL", "DOCU_CHR_numSET", "ITM_NULL", "DOCU_ITM_RADIX", "ITM_PERIOD", AM240), ".lo", ),"MNU_", "-MNU_")</f>
        <v>ITM_STO</v>
      </c>
      <c r="AY240" s="157" t="str" cm="1">
        <f t="array" ref="AY240">SUBSTITUTE(SUBSTITUTE(_xlfn.SWITCH(AN240, "ITM_T_HOME", "ITM_UP1", "ITM_T_END", "ITM_DOWN1", "DOCU_CHR_sub", "ITM_DOWN_ARROW", "DOCU_CHR_super", "ITM_UP_ARROW", "MNU_TAMALPHA", "ITM_alpha", "DOCU_CHR_caseFLIP", "ITM_NULL", "DOCU_CHR_numSET", "ITM_NULL", "DOCU_ITM_RADIX", "ITM_PERIOD", AN240), ".lo", ),"MNU_", "-MNU_")</f>
        <v>ITM_CONSTpi</v>
      </c>
      <c r="AZ240" s="157" t="str" cm="1">
        <f t="array" ref="AZ240">SUBSTITUTE(SUBSTITUTE(_xlfn.SWITCH(AO240, "ITM_T_HOME", "ITM_UP1", "ITM_T_END", "ITM_DOWN1", "DOCU_CHR_sub", "ITM_DOWN_ARROW", "DOCU_CHR_super", "ITM_UP_ARROW", "MNU_TAMALPHA", "ITM_alpha", "DOCU_CHR_caseFLIP", "ITM_NULL", "DOCU_CHR_numSET", "ITM_NULL", "DOCU_ITM_RADIX", "ITM_PERIOD", AO240), ".lo", ),"MNU_", "-MNU_")</f>
        <v>ITM_PC</v>
      </c>
      <c r="BA240" s="173" t="str" cm="1">
        <f t="array" ref="BA240">SUBSTITUTE(SUBSTITUTE(_xlfn.SWITCH(AP240, "ITM_T_HOME", "ITM_UP1", "ITM_T_END", "ITM_DOWN1", "DOCU_CHR_sub", "ITM_DOWN_ARROW", "DOCU_CHR_super", "ITM_UP_ARROW", "MNU_TAMALPHA", "ITM_alpha", "DOCU_CHR_caseFLIP", "ITM_NULL", "DOCU_CHR_numSET", "ITM_NULL", "DOCU_ITM_RADIX", "ITM_PERIOD", AP240), ".lo", ),"MNU_", "-MNU_")</f>
        <v>ITM_NULL</v>
      </c>
      <c r="BB240" s="157" t="str" cm="1">
        <f t="array" ref="BB240">SUBSTITUTE(SUBSTITUTE(_xlfn.SWITCH(AQ240, "ITM_T_HOME", "ITM_UP1", "ITM_T_END", "ITM_DOWN1", "DOCU_CHR_sub", "ITM_DOWN_ARROW", "DOCU_CHR_super", "ITM_UP_ARROW", "MNU_TAMALPHA", "ITM_alpha", "DOCU_CHR_caseFLIP", "ITM_NULL", "DOCU_CHR_numSET", "ITM_NULL", "DOCU_ITM_RADIX", "ITM_PERIOD", AQ240), ".lo", ),"MNU_", "-MNU_")</f>
        <v>ITM_F</v>
      </c>
      <c r="BC240" s="157" t="str" cm="1">
        <f t="array" ref="BC240">SUBSTITUTE(SUBSTITUTE(_xlfn.SWITCH(AR240, "ITM_T_HOME", "ITM_UP1", "ITM_T_END", "ITM_DOWN1", "DOCU_CHR_sub", "ITM_DOWN_ARROW", "DOCU_CHR_super", "ITM_UP_ARROW", "MNU_TAMALPHA", "ITM_alpha", "DOCU_CHR_caseFLIP", "ITM_NULL", "DOCU_CHR_numSET", "ITM_NULL", "DOCU_ITM_RADIX", "ITM_PERIOD", AR240), ".lo", ),"MNU_", "-MNU_")</f>
        <v>ITM_f</v>
      </c>
      <c r="BD240" s="157" t="str" cm="1">
        <f t="array" ref="BD240">SUBSTITUTE(SUBSTITUTE(_xlfn.SWITCH(AS240, "ITM_T_HOME", "ITM_UP1", "ITM_T_END", "ITM_DOWN1", "DOCU_CHR_sub", "ITM_DOWN_ARROW", "DOCU_CHR_super", "ITM_UP_ARROW", "MNU_TAMALPHA", "ITM_alpha", "DOCU_CHR_caseFLIP", "ITM_NULL", "DOCU_CHR_numSET", "ITM_NULL", "DOCU_ITM_RADIX", "ITM_PERIOD", AS240), ".lo", ),"MNU_", "-MNU_")</f>
        <v>ITM_pi</v>
      </c>
      <c r="BE240" s="157" t="str" cm="1">
        <f t="array" ref="BE240">SUBSTITUTE(SUBSTITUTE(_xlfn.SWITCH(AT240, "ITM_T_HOME", "ITM_UP1", "ITM_T_END", "ITM_DOWN1", "DOCU_CHR_sub", "ITM_DOWN_ARROW", "DOCU_CHR_super", "ITM_UP_ARROW", "MNU_TAMALPHA", "ITM_alpha", "DOCU_CHR_caseFLIP", "ITM_NULL", "DOCU_CHR_numSET", "ITM_NULL", "DOCU_ITM_RADIX", "ITM_PERIOD", AT240), ".lo", ),"MNU_", "-MNU_")</f>
        <v>ITM_NULL</v>
      </c>
      <c r="BG240" s="75"/>
      <c r="BI240" s="13" t="str">
        <f t="shared" si="89"/>
        <v xml:space="preserve">  {31,                  ITM_STO,              ITM_CONSTpi,          ITM_PC,               ITM_NULL,             ITM_F,                ITM_f,                ITM_pi,               ITM_NULL            },</v>
      </c>
    </row>
    <row r="241" spans="24:61" ht="21" x14ac:dyDescent="0.2">
      <c r="X241" s="120" t="str">
        <f t="shared" si="81"/>
        <v>N47</v>
      </c>
      <c r="Y241" s="109">
        <v>3</v>
      </c>
      <c r="Z241" s="109">
        <v>2</v>
      </c>
      <c r="AA241" s="112" t="str">
        <f t="shared" si="80"/>
        <v>N47.32</v>
      </c>
      <c r="AB241" s="117" t="s">
        <v>94</v>
      </c>
      <c r="AC241" s="118" t="s">
        <v>89</v>
      </c>
      <c r="AD241" s="119" t="s">
        <v>90</v>
      </c>
      <c r="AE241" s="3"/>
      <c r="AF241" s="49" t="s">
        <v>91</v>
      </c>
      <c r="AG241" s="77" t="b">
        <f t="shared" si="90"/>
        <v>1</v>
      </c>
      <c r="AH241" s="83" t="str">
        <f t="shared" si="82"/>
        <v>g</v>
      </c>
      <c r="AI241" s="84" t="str">
        <f t="shared" si="83"/>
        <v>|</v>
      </c>
      <c r="AJ241" s="85" t="str">
        <f t="shared" si="84"/>
        <v>HEX</v>
      </c>
      <c r="AK241" s="6"/>
      <c r="AL241" s="8" t="str">
        <f t="shared" si="85"/>
        <v>{32</v>
      </c>
      <c r="AM241" s="27" t="str">
        <f t="shared" si="86"/>
        <v>ITM_RCL</v>
      </c>
      <c r="AN241" s="27" t="str">
        <f t="shared" si="87"/>
        <v>ITM_MAGNITUDE</v>
      </c>
      <c r="AO241" s="64" t="str">
        <f t="shared" si="88"/>
        <v>ITM_ARG</v>
      </c>
      <c r="AP241" s="46" t="str">
        <f>IF(NOT(ISNA(MATCH(AM241,Lookups!E:E,))),VLOOKUP(AM241,Lookups!E:F,2,0),
IF(NOT(ISNA(MATCH(AN241,Lookups!E:E,))),VLOOKUP(AN241,Lookups!E:F,2,0),
IF(NOT(ISNA(MATCH(AO241,Lookups!E:E,))),VLOOKUP(AO241,Lookups!E:F,2,0),"ITM_NULL")))</f>
        <v>ITM_NULL</v>
      </c>
      <c r="AQ241" s="28" t="str">
        <f t="shared" si="93"/>
        <v>ITM_G</v>
      </c>
      <c r="AR241" s="195" t="s">
        <v>92</v>
      </c>
      <c r="AS241" s="186" t="s">
        <v>93</v>
      </c>
      <c r="AT241" s="197" t="s">
        <v>667</v>
      </c>
      <c r="AW241" s="14" t="str">
        <f t="shared" si="91"/>
        <v>{32</v>
      </c>
      <c r="AX241" s="157" t="str" cm="1">
        <f t="array" ref="AX241">SUBSTITUTE(SUBSTITUTE(_xlfn.SWITCH(AM241, "ITM_T_HOME", "ITM_UP1", "ITM_T_END", "ITM_DOWN1", "DOCU_CHR_sub", "ITM_DOWN_ARROW", "DOCU_CHR_super", "ITM_UP_ARROW", "MNU_TAMALPHA", "ITM_alpha", "DOCU_CHR_caseFLIP", "ITM_NULL", "DOCU_CHR_numSET", "ITM_NULL", "DOCU_ITM_RADIX", "ITM_PERIOD", AM241), ".lo", ),"MNU_", "-MNU_")</f>
        <v>ITM_RCL</v>
      </c>
      <c r="AY241" s="157" t="str" cm="1">
        <f t="array" ref="AY241">SUBSTITUTE(SUBSTITUTE(_xlfn.SWITCH(AN241, "ITM_T_HOME", "ITM_UP1", "ITM_T_END", "ITM_DOWN1", "DOCU_CHR_sub", "ITM_DOWN_ARROW", "DOCU_CHR_super", "ITM_UP_ARROW", "MNU_TAMALPHA", "ITM_alpha", "DOCU_CHR_caseFLIP", "ITM_NULL", "DOCU_CHR_numSET", "ITM_NULL", "DOCU_ITM_RADIX", "ITM_PERIOD", AN241), ".lo", ),"MNU_", "-MNU_")</f>
        <v>ITM_MAGNITUDE</v>
      </c>
      <c r="AZ241" s="157" t="str" cm="1">
        <f t="array" ref="AZ241">SUBSTITUTE(SUBSTITUTE(_xlfn.SWITCH(AO241, "ITM_T_HOME", "ITM_UP1", "ITM_T_END", "ITM_DOWN1", "DOCU_CHR_sub", "ITM_DOWN_ARROW", "DOCU_CHR_super", "ITM_UP_ARROW", "MNU_TAMALPHA", "ITM_alpha", "DOCU_CHR_caseFLIP", "ITM_NULL", "DOCU_CHR_numSET", "ITM_NULL", "DOCU_ITM_RADIX", "ITM_PERIOD", AO241), ".lo", ),"MNU_", "-MNU_")</f>
        <v>ITM_ARG</v>
      </c>
      <c r="BA241" s="173" t="str" cm="1">
        <f t="array" ref="BA241">SUBSTITUTE(SUBSTITUTE(_xlfn.SWITCH(AP241, "ITM_T_HOME", "ITM_UP1", "ITM_T_END", "ITM_DOWN1", "DOCU_CHR_sub", "ITM_DOWN_ARROW", "DOCU_CHR_super", "ITM_UP_ARROW", "MNU_TAMALPHA", "ITM_alpha", "DOCU_CHR_caseFLIP", "ITM_NULL", "DOCU_CHR_numSET", "ITM_NULL", "DOCU_ITM_RADIX", "ITM_PERIOD", AP241), ".lo", ),"MNU_", "-MNU_")</f>
        <v>ITM_NULL</v>
      </c>
      <c r="BB241" s="157" t="str" cm="1">
        <f t="array" ref="BB241">SUBSTITUTE(SUBSTITUTE(_xlfn.SWITCH(AQ241, "ITM_T_HOME", "ITM_UP1", "ITM_T_END", "ITM_DOWN1", "DOCU_CHR_sub", "ITM_DOWN_ARROW", "DOCU_CHR_super", "ITM_UP_ARROW", "MNU_TAMALPHA", "ITM_alpha", "DOCU_CHR_caseFLIP", "ITM_NULL", "DOCU_CHR_numSET", "ITM_NULL", "DOCU_ITM_RADIX", "ITM_PERIOD", AQ241), ".lo", ),"MNU_", "-MNU_")</f>
        <v>ITM_G</v>
      </c>
      <c r="BC241" s="157" t="str" cm="1">
        <f t="array" ref="BC241">SUBSTITUTE(SUBSTITUTE(_xlfn.SWITCH(AR241, "ITM_T_HOME", "ITM_UP1", "ITM_T_END", "ITM_DOWN1", "DOCU_CHR_sub", "ITM_DOWN_ARROW", "DOCU_CHR_super", "ITM_UP_ARROW", "MNU_TAMALPHA", "ITM_alpha", "DOCU_CHR_caseFLIP", "ITM_NULL", "DOCU_CHR_numSET", "ITM_NULL", "DOCU_ITM_RADIX", "ITM_PERIOD", AR241), ".lo", ),"MNU_", "-MNU_")</f>
        <v>ITM_g</v>
      </c>
      <c r="BD241" s="157" t="str" cm="1">
        <f t="array" ref="BD241">SUBSTITUTE(SUBSTITUTE(_xlfn.SWITCH(AS241, "ITM_T_HOME", "ITM_UP1", "ITM_T_END", "ITM_DOWN1", "DOCU_CHR_sub", "ITM_DOWN_ARROW", "DOCU_CHR_super", "ITM_UP_ARROW", "MNU_TAMALPHA", "ITM_alpha", "DOCU_CHR_caseFLIP", "ITM_NULL", "DOCU_CHR_numSET", "ITM_NULL", "DOCU_ITM_RADIX", "ITM_PERIOD", AS241), ".lo", ),"MNU_", "-MNU_")</f>
        <v>ITM_VERTICAL_BAR</v>
      </c>
      <c r="BE241" s="157" t="str" cm="1">
        <f t="array" ref="BE241">SUBSTITUTE(SUBSTITUTE(_xlfn.SWITCH(AT241, "ITM_T_HOME", "ITM_UP1", "ITM_T_END", "ITM_DOWN1", "DOCU_CHR_sub", "ITM_DOWN_ARROW", "DOCU_CHR_super", "ITM_UP_ARROW", "MNU_TAMALPHA", "ITM_alpha", "DOCU_CHR_caseFLIP", "ITM_NULL", "DOCU_CHR_numSET", "ITM_NULL", "DOCU_ITM_RADIX", "ITM_PERIOD", AT241), ".lo", ),"MNU_", "-MNU_")</f>
        <v>ITM_2HEX</v>
      </c>
      <c r="BG241" s="75"/>
      <c r="BI241" s="13" t="str">
        <f t="shared" si="89"/>
        <v xml:space="preserve">  {32,                  ITM_RCL,              ITM_MAGNITUDE,        ITM_ARG,              ITM_NULL,             ITM_G,                ITM_g,                ITM_VERTICAL_BAR,     ITM_2HEX            },</v>
      </c>
    </row>
    <row r="242" spans="24:61" ht="21" x14ac:dyDescent="0.2">
      <c r="X242" s="120" t="str">
        <f t="shared" si="81"/>
        <v>N47</v>
      </c>
      <c r="Y242" s="109">
        <v>3</v>
      </c>
      <c r="Z242" s="109">
        <v>3</v>
      </c>
      <c r="AA242" s="112" t="str">
        <f t="shared" si="80"/>
        <v>N47.33</v>
      </c>
      <c r="AB242" s="117" t="s">
        <v>101</v>
      </c>
      <c r="AC242" s="118" t="s">
        <v>103</v>
      </c>
      <c r="AD242" s="119" t="s">
        <v>445</v>
      </c>
      <c r="AE242" s="3"/>
      <c r="AF242" s="49" t="s">
        <v>97</v>
      </c>
      <c r="AG242" s="77" t="b">
        <f t="shared" si="90"/>
        <v>1</v>
      </c>
      <c r="AH242" s="83" t="str">
        <f t="shared" si="82"/>
        <v>h</v>
      </c>
      <c r="AI242" s="84" t="str">
        <f t="shared" si="83"/>
        <v xml:space="preserve"> </v>
      </c>
      <c r="AJ242" s="85" t="str">
        <f t="shared" si="84"/>
        <v xml:space="preserve"> </v>
      </c>
      <c r="AK242" s="6"/>
      <c r="AL242" s="8" t="str">
        <f t="shared" si="85"/>
        <v>{33</v>
      </c>
      <c r="AM242" s="27" t="str">
        <f t="shared" si="86"/>
        <v>ITM_Rdown</v>
      </c>
      <c r="AN242" s="27" t="str">
        <f t="shared" si="87"/>
        <v>ITM_XTHROOT</v>
      </c>
      <c r="AO242" s="27" t="str">
        <f t="shared" si="88"/>
        <v>ITM_Rup</v>
      </c>
      <c r="AP242" s="46" t="str">
        <f>IF(NOT(ISNA(MATCH(AM242,Lookups!E:E,))),VLOOKUP(AM242,Lookups!E:F,2,0),
IF(NOT(ISNA(MATCH(AN242,Lookups!E:E,))),VLOOKUP(AN242,Lookups!E:F,2,0),
IF(NOT(ISNA(MATCH(AO242,Lookups!E:E,))),VLOOKUP(AO242,Lookups!E:F,2,0),"ITM_NULL")))</f>
        <v>ITM_NULL</v>
      </c>
      <c r="AQ242" s="28" t="str">
        <f t="shared" si="93"/>
        <v>ITM_H</v>
      </c>
      <c r="AR242" s="195" t="s">
        <v>98</v>
      </c>
      <c r="AS242" s="186" t="s">
        <v>81</v>
      </c>
      <c r="AT242" s="197" t="s">
        <v>81</v>
      </c>
      <c r="AW242" s="14" t="str">
        <f t="shared" si="91"/>
        <v>{33</v>
      </c>
      <c r="AX242" s="157" t="str" cm="1">
        <f t="array" ref="AX242">SUBSTITUTE(SUBSTITUTE(_xlfn.SWITCH(AM242, "ITM_T_HOME", "ITM_UP1", "ITM_T_END", "ITM_DOWN1", "DOCU_CHR_sub", "ITM_DOWN_ARROW", "DOCU_CHR_super", "ITM_UP_ARROW", "MNU_TAMALPHA", "ITM_alpha", "DOCU_CHR_caseFLIP", "ITM_NULL", "DOCU_CHR_numSET", "ITM_NULL", "DOCU_ITM_RADIX", "ITM_PERIOD", AM242), ".lo", ),"MNU_", "-MNU_")</f>
        <v>ITM_Rdown</v>
      </c>
      <c r="AY242" s="157" t="str" cm="1">
        <f t="array" ref="AY242">SUBSTITUTE(SUBSTITUTE(_xlfn.SWITCH(AN242, "ITM_T_HOME", "ITM_UP1", "ITM_T_END", "ITM_DOWN1", "DOCU_CHR_sub", "ITM_DOWN_ARROW", "DOCU_CHR_super", "ITM_UP_ARROW", "MNU_TAMALPHA", "ITM_alpha", "DOCU_CHR_caseFLIP", "ITM_NULL", "DOCU_CHR_numSET", "ITM_NULL", "DOCU_ITM_RADIX", "ITM_PERIOD", AN242), ".lo", ),"MNU_", "-MNU_")</f>
        <v>ITM_XTHROOT</v>
      </c>
      <c r="AZ242" s="157" t="str" cm="1">
        <f t="array" ref="AZ242">SUBSTITUTE(SUBSTITUTE(_xlfn.SWITCH(AO242, "ITM_T_HOME", "ITM_UP1", "ITM_T_END", "ITM_DOWN1", "DOCU_CHR_sub", "ITM_DOWN_ARROW", "DOCU_CHR_super", "ITM_UP_ARROW", "MNU_TAMALPHA", "ITM_alpha", "DOCU_CHR_caseFLIP", "ITM_NULL", "DOCU_CHR_numSET", "ITM_NULL", "DOCU_ITM_RADIX", "ITM_PERIOD", AO242), ".lo", ),"MNU_", "-MNU_")</f>
        <v>ITM_Rup</v>
      </c>
      <c r="BA242" s="173" t="str" cm="1">
        <f t="array" ref="BA242">SUBSTITUTE(SUBSTITUTE(_xlfn.SWITCH(AP242, "ITM_T_HOME", "ITM_UP1", "ITM_T_END", "ITM_DOWN1", "DOCU_CHR_sub", "ITM_DOWN_ARROW", "DOCU_CHR_super", "ITM_UP_ARROW", "MNU_TAMALPHA", "ITM_alpha", "DOCU_CHR_caseFLIP", "ITM_NULL", "DOCU_CHR_numSET", "ITM_NULL", "DOCU_ITM_RADIX", "ITM_PERIOD", AP242), ".lo", ),"MNU_", "-MNU_")</f>
        <v>ITM_NULL</v>
      </c>
      <c r="BB242" s="157" t="str" cm="1">
        <f t="array" ref="BB242">SUBSTITUTE(SUBSTITUTE(_xlfn.SWITCH(AQ242, "ITM_T_HOME", "ITM_UP1", "ITM_T_END", "ITM_DOWN1", "DOCU_CHR_sub", "ITM_DOWN_ARROW", "DOCU_CHR_super", "ITM_UP_ARROW", "MNU_TAMALPHA", "ITM_alpha", "DOCU_CHR_caseFLIP", "ITM_NULL", "DOCU_CHR_numSET", "ITM_NULL", "DOCU_ITM_RADIX", "ITM_PERIOD", AQ242), ".lo", ),"MNU_", "-MNU_")</f>
        <v>ITM_H</v>
      </c>
      <c r="BC242" s="157" t="str" cm="1">
        <f t="array" ref="BC242">SUBSTITUTE(SUBSTITUTE(_xlfn.SWITCH(AR242, "ITM_T_HOME", "ITM_UP1", "ITM_T_END", "ITM_DOWN1", "DOCU_CHR_sub", "ITM_DOWN_ARROW", "DOCU_CHR_super", "ITM_UP_ARROW", "MNU_TAMALPHA", "ITM_alpha", "DOCU_CHR_caseFLIP", "ITM_NULL", "DOCU_CHR_numSET", "ITM_NULL", "DOCU_ITM_RADIX", "ITM_PERIOD", AR242), ".lo", ),"MNU_", "-MNU_")</f>
        <v>ITM_h</v>
      </c>
      <c r="BD242" s="157" t="str" cm="1">
        <f t="array" ref="BD242">SUBSTITUTE(SUBSTITUTE(_xlfn.SWITCH(AS242, "ITM_T_HOME", "ITM_UP1", "ITM_T_END", "ITM_DOWN1", "DOCU_CHR_sub", "ITM_DOWN_ARROW", "DOCU_CHR_super", "ITM_UP_ARROW", "MNU_TAMALPHA", "ITM_alpha", "DOCU_CHR_caseFLIP", "ITM_NULL", "DOCU_CHR_numSET", "ITM_NULL", "DOCU_ITM_RADIX", "ITM_PERIOD", AS242), ".lo", ),"MNU_", "-MNU_")</f>
        <v>ITM_NULL</v>
      </c>
      <c r="BE242" s="157" t="str" cm="1">
        <f t="array" ref="BE242">SUBSTITUTE(SUBSTITUTE(_xlfn.SWITCH(AT242, "ITM_T_HOME", "ITM_UP1", "ITM_T_END", "ITM_DOWN1", "DOCU_CHR_sub", "ITM_DOWN_ARROW", "DOCU_CHR_super", "ITM_UP_ARROW", "MNU_TAMALPHA", "ITM_alpha", "DOCU_CHR_caseFLIP", "ITM_NULL", "DOCU_CHR_numSET", "ITM_NULL", "DOCU_ITM_RADIX", "ITM_PERIOD", AT242), ".lo", ),"MNU_", "-MNU_")</f>
        <v>ITM_NULL</v>
      </c>
      <c r="BG242" s="75"/>
      <c r="BI242" s="13" t="str">
        <f t="shared" si="89"/>
        <v xml:space="preserve">  {33,                  ITM_Rdown,            ITM_XTHROOT,          ITM_Rup,              ITM_NULL,             ITM_H,                ITM_h,                ITM_NULL,             ITM_NULL            },</v>
      </c>
    </row>
    <row r="243" spans="24:61" ht="21" x14ac:dyDescent="0.2">
      <c r="X243" s="120" t="str">
        <f t="shared" si="81"/>
        <v>N47</v>
      </c>
      <c r="Y243" s="109">
        <v>3</v>
      </c>
      <c r="Z243" s="109">
        <v>4</v>
      </c>
      <c r="AA243" s="112" t="str">
        <f t="shared" si="80"/>
        <v>N47.34</v>
      </c>
      <c r="AB243" s="117" t="s">
        <v>68</v>
      </c>
      <c r="AC243" s="118" t="s">
        <v>69</v>
      </c>
      <c r="AD243" s="119" t="s">
        <v>117</v>
      </c>
      <c r="AE243" s="3"/>
      <c r="AF243" s="49" t="s">
        <v>104</v>
      </c>
      <c r="AG243" s="77" t="b">
        <f t="shared" si="90"/>
        <v>1</v>
      </c>
      <c r="AH243" s="83" t="str">
        <f t="shared" si="82"/>
        <v>i</v>
      </c>
      <c r="AI243" s="84" t="str">
        <f t="shared" si="83"/>
        <v>LN</v>
      </c>
      <c r="AJ243" s="85" t="str">
        <f t="shared" si="84"/>
        <v>Reg I</v>
      </c>
      <c r="AK243" s="6"/>
      <c r="AL243" s="8" t="str">
        <f t="shared" si="85"/>
        <v>{34</v>
      </c>
      <c r="AM243" s="27" t="str">
        <f t="shared" si="86"/>
        <v>ITM_LOG10</v>
      </c>
      <c r="AN243" s="27" t="str">
        <f t="shared" si="87"/>
        <v>ITM_10x</v>
      </c>
      <c r="AO243" s="27" t="str">
        <f t="shared" si="88"/>
        <v>ITM_toREC2</v>
      </c>
      <c r="AP243" s="46" t="str">
        <f>IF(NOT(ISNA(MATCH(AM243,Lookups!E:E,))),VLOOKUP(AM243,Lookups!E:F,2,0),
IF(NOT(ISNA(MATCH(AN243,Lookups!E:E,))),VLOOKUP(AN243,Lookups!E:F,2,0),
IF(NOT(ISNA(MATCH(AO243,Lookups!E:E,))),VLOOKUP(AO243,Lookups!E:F,2,0),"ITM_NULL")))</f>
        <v>ITM_NULL</v>
      </c>
      <c r="AQ243" s="28" t="str">
        <f t="shared" si="93"/>
        <v>ITM_I</v>
      </c>
      <c r="AR243" s="195" t="s">
        <v>105</v>
      </c>
      <c r="AS243" s="186" t="s">
        <v>80</v>
      </c>
      <c r="AT243" s="196" t="s">
        <v>107</v>
      </c>
      <c r="AW243" s="14" t="str">
        <f t="shared" si="91"/>
        <v>{34</v>
      </c>
      <c r="AX243" s="157" t="str" cm="1">
        <f t="array" ref="AX243">SUBSTITUTE(SUBSTITUTE(_xlfn.SWITCH(AM243, "ITM_T_HOME", "ITM_UP1", "ITM_T_END", "ITM_DOWN1", "DOCU_CHR_sub", "ITM_DOWN_ARROW", "DOCU_CHR_super", "ITM_UP_ARROW", "MNU_TAMALPHA", "ITM_alpha", "DOCU_CHR_caseFLIP", "ITM_NULL", "DOCU_CHR_numSET", "ITM_NULL", "DOCU_ITM_RADIX", "ITM_PERIOD", AM243), ".lo", ),"MNU_", "-MNU_")</f>
        <v>ITM_LOG10</v>
      </c>
      <c r="AY243" s="157" t="str" cm="1">
        <f t="array" ref="AY243">SUBSTITUTE(SUBSTITUTE(_xlfn.SWITCH(AN243, "ITM_T_HOME", "ITM_UP1", "ITM_T_END", "ITM_DOWN1", "DOCU_CHR_sub", "ITM_DOWN_ARROW", "DOCU_CHR_super", "ITM_UP_ARROW", "MNU_TAMALPHA", "ITM_alpha", "DOCU_CHR_caseFLIP", "ITM_NULL", "DOCU_CHR_numSET", "ITM_NULL", "DOCU_ITM_RADIX", "ITM_PERIOD", AN243), ".lo", ),"MNU_", "-MNU_")</f>
        <v>ITM_10x</v>
      </c>
      <c r="AZ243" s="157" t="str" cm="1">
        <f t="array" ref="AZ243">SUBSTITUTE(SUBSTITUTE(_xlfn.SWITCH(AO243, "ITM_T_HOME", "ITM_UP1", "ITM_T_END", "ITM_DOWN1", "DOCU_CHR_sub", "ITM_DOWN_ARROW", "DOCU_CHR_super", "ITM_UP_ARROW", "MNU_TAMALPHA", "ITM_alpha", "DOCU_CHR_caseFLIP", "ITM_NULL", "DOCU_CHR_numSET", "ITM_NULL", "DOCU_ITM_RADIX", "ITM_PERIOD", AO243), ".lo", ),"MNU_", "-MNU_")</f>
        <v>ITM_toREC2</v>
      </c>
      <c r="BA243" s="173" t="str" cm="1">
        <f t="array" ref="BA243">SUBSTITUTE(SUBSTITUTE(_xlfn.SWITCH(AP243, "ITM_T_HOME", "ITM_UP1", "ITM_T_END", "ITM_DOWN1", "DOCU_CHR_sub", "ITM_DOWN_ARROW", "DOCU_CHR_super", "ITM_UP_ARROW", "MNU_TAMALPHA", "ITM_alpha", "DOCU_CHR_caseFLIP", "ITM_NULL", "DOCU_CHR_numSET", "ITM_NULL", "DOCU_ITM_RADIX", "ITM_PERIOD", AP243), ".lo", ),"MNU_", "-MNU_")</f>
        <v>ITM_NULL</v>
      </c>
      <c r="BB243" s="157" t="str" cm="1">
        <f t="array" ref="BB243">SUBSTITUTE(SUBSTITUTE(_xlfn.SWITCH(AQ243, "ITM_T_HOME", "ITM_UP1", "ITM_T_END", "ITM_DOWN1", "DOCU_CHR_sub", "ITM_DOWN_ARROW", "DOCU_CHR_super", "ITM_UP_ARROW", "MNU_TAMALPHA", "ITM_alpha", "DOCU_CHR_caseFLIP", "ITM_NULL", "DOCU_CHR_numSET", "ITM_NULL", "DOCU_ITM_RADIX", "ITM_PERIOD", AQ243), ".lo", ),"MNU_", "-MNU_")</f>
        <v>ITM_I</v>
      </c>
      <c r="BC243" s="157" t="str" cm="1">
        <f t="array" ref="BC243">SUBSTITUTE(SUBSTITUTE(_xlfn.SWITCH(AR243, "ITM_T_HOME", "ITM_UP1", "ITM_T_END", "ITM_DOWN1", "DOCU_CHR_sub", "ITM_DOWN_ARROW", "DOCU_CHR_super", "ITM_UP_ARROW", "MNU_TAMALPHA", "ITM_alpha", "DOCU_CHR_caseFLIP", "ITM_NULL", "DOCU_CHR_numSET", "ITM_NULL", "DOCU_ITM_RADIX", "ITM_PERIOD", AR243), ".lo", ),"MNU_", "-MNU_")</f>
        <v>ITM_i</v>
      </c>
      <c r="BD243" s="157" t="str" cm="1">
        <f t="array" ref="BD243">SUBSTITUTE(SUBSTITUTE(_xlfn.SWITCH(AS243, "ITM_T_HOME", "ITM_UP1", "ITM_T_END", "ITM_DOWN1", "DOCU_CHR_sub", "ITM_DOWN_ARROW", "DOCU_CHR_super", "ITM_UP_ARROW", "MNU_TAMALPHA", "ITM_alpha", "DOCU_CHR_caseFLIP", "ITM_NULL", "DOCU_CHR_numSET", "ITM_NULL", "DOCU_ITM_RADIX", "ITM_PERIOD", AS243), ".lo", ),"MNU_", "-MNU_")</f>
        <v>ITM_LN_SIGN</v>
      </c>
      <c r="BE243" s="157" t="str" cm="1">
        <f t="array" ref="BE243">SUBSTITUTE(SUBSTITUTE(_xlfn.SWITCH(AT243, "ITM_T_HOME", "ITM_UP1", "ITM_T_END", "ITM_DOWN1", "DOCU_CHR_sub", "ITM_DOWN_ARROW", "DOCU_CHR_super", "ITM_UP_ARROW", "MNU_TAMALPHA", "ITM_alpha", "DOCU_CHR_caseFLIP", "ITM_NULL", "DOCU_CHR_numSET", "ITM_NULL", "DOCU_ITM_RADIX", "ITM_PERIOD", AT243), ".lo", ),"MNU_", "-MNU_")</f>
        <v>ITM_REG_I</v>
      </c>
      <c r="BG243" s="75"/>
      <c r="BI243" s="13" t="str">
        <f t="shared" si="89"/>
        <v xml:space="preserve">  {34,                  ITM_LOG10,            ITM_10x,              ITM_toREC2,           ITM_NULL,             ITM_I,                ITM_i,                ITM_LN_SIGN,          ITM_REG_I           },</v>
      </c>
    </row>
    <row r="244" spans="24:61" ht="21" x14ac:dyDescent="0.2">
      <c r="X244" s="120" t="str">
        <f t="shared" si="81"/>
        <v>N47</v>
      </c>
      <c r="Y244" s="109">
        <v>3</v>
      </c>
      <c r="Z244" s="109">
        <v>5</v>
      </c>
      <c r="AA244" s="112" t="str">
        <f t="shared" si="80"/>
        <v>N47.35</v>
      </c>
      <c r="AB244" s="117" t="s">
        <v>75</v>
      </c>
      <c r="AC244" s="118" t="s">
        <v>76</v>
      </c>
      <c r="AD244" s="119" t="s">
        <v>124</v>
      </c>
      <c r="AE244" s="3"/>
      <c r="AF244" s="49" t="s">
        <v>111</v>
      </c>
      <c r="AG244" s="77" t="b">
        <f t="shared" si="90"/>
        <v>1</v>
      </c>
      <c r="AH244" s="83" t="str">
        <f t="shared" si="82"/>
        <v>j</v>
      </c>
      <c r="AI244" s="84" t="str">
        <f t="shared" si="83"/>
        <v xml:space="preserve"> </v>
      </c>
      <c r="AJ244" s="85" t="str">
        <f t="shared" si="84"/>
        <v>Reg J</v>
      </c>
      <c r="AK244" s="6"/>
      <c r="AL244" s="8" t="str">
        <f t="shared" si="85"/>
        <v>{35</v>
      </c>
      <c r="AM244" s="27" t="str">
        <f t="shared" si="86"/>
        <v>ITM_LN</v>
      </c>
      <c r="AN244" s="27" t="str">
        <f t="shared" si="87"/>
        <v>ITM_EXP</v>
      </c>
      <c r="AO244" s="27" t="str">
        <f t="shared" si="88"/>
        <v>ITM_toPOL2</v>
      </c>
      <c r="AP244" s="46" t="str">
        <f>IF(NOT(ISNA(MATCH(AM244,Lookups!E:E,))),VLOOKUP(AM244,Lookups!E:F,2,0),
IF(NOT(ISNA(MATCH(AN244,Lookups!E:E,))),VLOOKUP(AN244,Lookups!E:F,2,0),
IF(NOT(ISNA(MATCH(AO244,Lookups!E:E,))),VLOOKUP(AO244,Lookups!E:F,2,0),"ITM_NULL")))</f>
        <v>ITM_NULL</v>
      </c>
      <c r="AQ244" s="28" t="str">
        <f t="shared" si="93"/>
        <v>ITM_J</v>
      </c>
      <c r="AR244" s="195" t="s">
        <v>112</v>
      </c>
      <c r="AS244" s="186" t="s">
        <v>81</v>
      </c>
      <c r="AT244" s="196" t="s">
        <v>114</v>
      </c>
      <c r="AW244" s="14" t="str">
        <f t="shared" si="91"/>
        <v>{35</v>
      </c>
      <c r="AX244" s="157" t="str" cm="1">
        <f t="array" ref="AX244">SUBSTITUTE(SUBSTITUTE(_xlfn.SWITCH(AM244, "ITM_T_HOME", "ITM_UP1", "ITM_T_END", "ITM_DOWN1", "DOCU_CHR_sub", "ITM_DOWN_ARROW", "DOCU_CHR_super", "ITM_UP_ARROW", "MNU_TAMALPHA", "ITM_alpha", "DOCU_CHR_caseFLIP", "ITM_NULL", "DOCU_CHR_numSET", "ITM_NULL", "DOCU_ITM_RADIX", "ITM_PERIOD", AM244), ".lo", ),"MNU_", "-MNU_")</f>
        <v>ITM_LN</v>
      </c>
      <c r="AY244" s="157" t="str" cm="1">
        <f t="array" ref="AY244">SUBSTITUTE(SUBSTITUTE(_xlfn.SWITCH(AN244, "ITM_T_HOME", "ITM_UP1", "ITM_T_END", "ITM_DOWN1", "DOCU_CHR_sub", "ITM_DOWN_ARROW", "DOCU_CHR_super", "ITM_UP_ARROW", "MNU_TAMALPHA", "ITM_alpha", "DOCU_CHR_caseFLIP", "ITM_NULL", "DOCU_CHR_numSET", "ITM_NULL", "DOCU_ITM_RADIX", "ITM_PERIOD", AN244), ".lo", ),"MNU_", "-MNU_")</f>
        <v>ITM_EXP</v>
      </c>
      <c r="AZ244" s="157" t="str" cm="1">
        <f t="array" ref="AZ244">SUBSTITUTE(SUBSTITUTE(_xlfn.SWITCH(AO244, "ITM_T_HOME", "ITM_UP1", "ITM_T_END", "ITM_DOWN1", "DOCU_CHR_sub", "ITM_DOWN_ARROW", "DOCU_CHR_super", "ITM_UP_ARROW", "MNU_TAMALPHA", "ITM_alpha", "DOCU_CHR_caseFLIP", "ITM_NULL", "DOCU_CHR_numSET", "ITM_NULL", "DOCU_ITM_RADIX", "ITM_PERIOD", AO244), ".lo", ),"MNU_", "-MNU_")</f>
        <v>ITM_toPOL2</v>
      </c>
      <c r="BA244" s="173" t="str" cm="1">
        <f t="array" ref="BA244">SUBSTITUTE(SUBSTITUTE(_xlfn.SWITCH(AP244, "ITM_T_HOME", "ITM_UP1", "ITM_T_END", "ITM_DOWN1", "DOCU_CHR_sub", "ITM_DOWN_ARROW", "DOCU_CHR_super", "ITM_UP_ARROW", "MNU_TAMALPHA", "ITM_alpha", "DOCU_CHR_caseFLIP", "ITM_NULL", "DOCU_CHR_numSET", "ITM_NULL", "DOCU_ITM_RADIX", "ITM_PERIOD", AP244), ".lo", ),"MNU_", "-MNU_")</f>
        <v>ITM_NULL</v>
      </c>
      <c r="BB244" s="157" t="str" cm="1">
        <f t="array" ref="BB244">SUBSTITUTE(SUBSTITUTE(_xlfn.SWITCH(AQ244, "ITM_T_HOME", "ITM_UP1", "ITM_T_END", "ITM_DOWN1", "DOCU_CHR_sub", "ITM_DOWN_ARROW", "DOCU_CHR_super", "ITM_UP_ARROW", "MNU_TAMALPHA", "ITM_alpha", "DOCU_CHR_caseFLIP", "ITM_NULL", "DOCU_CHR_numSET", "ITM_NULL", "DOCU_ITM_RADIX", "ITM_PERIOD", AQ244), ".lo", ),"MNU_", "-MNU_")</f>
        <v>ITM_J</v>
      </c>
      <c r="BC244" s="157" t="str" cm="1">
        <f t="array" ref="BC244">SUBSTITUTE(SUBSTITUTE(_xlfn.SWITCH(AR244, "ITM_T_HOME", "ITM_UP1", "ITM_T_END", "ITM_DOWN1", "DOCU_CHR_sub", "ITM_DOWN_ARROW", "DOCU_CHR_super", "ITM_UP_ARROW", "MNU_TAMALPHA", "ITM_alpha", "DOCU_CHR_caseFLIP", "ITM_NULL", "DOCU_CHR_numSET", "ITM_NULL", "DOCU_ITM_RADIX", "ITM_PERIOD", AR244), ".lo", ),"MNU_", "-MNU_")</f>
        <v>ITM_j</v>
      </c>
      <c r="BD244" s="157" t="str" cm="1">
        <f t="array" ref="BD244">SUBSTITUTE(SUBSTITUTE(_xlfn.SWITCH(AS244, "ITM_T_HOME", "ITM_UP1", "ITM_T_END", "ITM_DOWN1", "DOCU_CHR_sub", "ITM_DOWN_ARROW", "DOCU_CHR_super", "ITM_UP_ARROW", "MNU_TAMALPHA", "ITM_alpha", "DOCU_CHR_caseFLIP", "ITM_NULL", "DOCU_CHR_numSET", "ITM_NULL", "DOCU_ITM_RADIX", "ITM_PERIOD", AS244), ".lo", ),"MNU_", "-MNU_")</f>
        <v>ITM_NULL</v>
      </c>
      <c r="BE244" s="157" t="str" cm="1">
        <f t="array" ref="BE244">SUBSTITUTE(SUBSTITUTE(_xlfn.SWITCH(AT244, "ITM_T_HOME", "ITM_UP1", "ITM_T_END", "ITM_DOWN1", "DOCU_CHR_sub", "ITM_DOWN_ARROW", "DOCU_CHR_super", "ITM_UP_ARROW", "MNU_TAMALPHA", "ITM_alpha", "DOCU_CHR_caseFLIP", "ITM_NULL", "DOCU_CHR_numSET", "ITM_NULL", "DOCU_ITM_RADIX", "ITM_PERIOD", AT244), ".lo", ),"MNU_", "-MNU_")</f>
        <v>ITM_REG_J</v>
      </c>
      <c r="BG244" s="75"/>
      <c r="BI244" s="13" t="str">
        <f t="shared" si="89"/>
        <v xml:space="preserve">  {35,                  ITM_LN,               ITM_EXP,              ITM_toPOL2,           ITM_NULL,             ITM_J,                ITM_j,                ITM_NULL,             ITM_REG_J           },</v>
      </c>
    </row>
    <row r="245" spans="24:61" ht="21" x14ac:dyDescent="0.2">
      <c r="X245" s="120" t="str">
        <f t="shared" si="81"/>
        <v>N47</v>
      </c>
      <c r="Y245" s="109">
        <v>3</v>
      </c>
      <c r="Z245" s="109">
        <v>6</v>
      </c>
      <c r="AA245" s="112" t="str">
        <f t="shared" si="80"/>
        <v>N47.36</v>
      </c>
      <c r="AB245" s="117" t="s">
        <v>188</v>
      </c>
      <c r="AC245" s="118" t="s">
        <v>189</v>
      </c>
      <c r="AD245" s="119" t="s">
        <v>190</v>
      </c>
      <c r="AE245" s="3"/>
      <c r="AF245" s="49" t="s">
        <v>191</v>
      </c>
      <c r="AG245" s="77" t="b">
        <f t="shared" si="90"/>
        <v>0</v>
      </c>
      <c r="AH245" s="83" t="str">
        <f t="shared" si="82"/>
        <v>CASE DN</v>
      </c>
      <c r="AI245" s="84" t="str">
        <f t="shared" si="83"/>
        <v>Sub</v>
      </c>
      <c r="AJ245" s="85" t="str">
        <f t="shared" si="84"/>
        <v>Dn</v>
      </c>
      <c r="AK245" s="6"/>
      <c r="AL245" s="8" t="str">
        <f t="shared" si="85"/>
        <v>{36</v>
      </c>
      <c r="AM245" s="27" t="str">
        <f t="shared" si="86"/>
        <v>ITM_DOWN1</v>
      </c>
      <c r="AN245" s="27" t="str">
        <f t="shared" si="87"/>
        <v>ITM_SST</v>
      </c>
      <c r="AO245" s="27" t="str">
        <f t="shared" si="88"/>
        <v>ITM_FLGSV</v>
      </c>
      <c r="AP245" s="46" t="str">
        <f>IF(NOT(ISNA(MATCH(AM245,Lookups!E:E,))),VLOOKUP(AM245,Lookups!E:F,2,0),
IF(NOT(ISNA(MATCH(AN245,Lookups!E:E,))),VLOOKUP(AN245,Lookups!E:F,2,0),
IF(NOT(ISNA(MATCH(AO245,Lookups!E:E,))),VLOOKUP(AO245,Lookups!E:F,2,0),"ITM_NULL")))</f>
        <v>ITM_DOWN1</v>
      </c>
      <c r="AQ245" s="28" t="str">
        <f t="shared" si="93"/>
        <v>ITM_T_END</v>
      </c>
      <c r="AR245" s="198" t="s">
        <v>192</v>
      </c>
      <c r="AS245" s="186" t="s">
        <v>193</v>
      </c>
      <c r="AT245" s="197" t="s">
        <v>194</v>
      </c>
      <c r="AW245" s="14" t="str">
        <f t="shared" si="91"/>
        <v>{36</v>
      </c>
      <c r="AX245" s="157" t="str" cm="1">
        <f t="array" ref="AX245">SUBSTITUTE(SUBSTITUTE(_xlfn.SWITCH(AM245, "ITM_T_HOME", "ITM_UP1", "ITM_T_END", "ITM_DOWN1", "DOCU_CHR_sub", "ITM_DOWN_ARROW", "DOCU_CHR_super", "ITM_UP_ARROW", "MNU_TAMALPHA", "ITM_alpha", "DOCU_CHR_caseFLIP", "ITM_NULL", "DOCU_CHR_numSET", "ITM_NULL", "DOCU_ITM_RADIX", "ITM_PERIOD", AM245), ".lo", ),"MNU_", "-MNU_")</f>
        <v>ITM_DOWN1</v>
      </c>
      <c r="AY245" s="157" t="str" cm="1">
        <f t="array" ref="AY245">SUBSTITUTE(SUBSTITUTE(_xlfn.SWITCH(AN245, "ITM_T_HOME", "ITM_UP1", "ITM_T_END", "ITM_DOWN1", "DOCU_CHR_sub", "ITM_DOWN_ARROW", "DOCU_CHR_super", "ITM_UP_ARROW", "MNU_TAMALPHA", "ITM_alpha", "DOCU_CHR_caseFLIP", "ITM_NULL", "DOCU_CHR_numSET", "ITM_NULL", "DOCU_ITM_RADIX", "ITM_PERIOD", AN245), ".lo", ),"MNU_", "-MNU_")</f>
        <v>ITM_SST</v>
      </c>
      <c r="AZ245" s="157" t="str" cm="1">
        <f t="array" ref="AZ245">SUBSTITUTE(SUBSTITUTE(_xlfn.SWITCH(AO245, "ITM_T_HOME", "ITM_UP1", "ITM_T_END", "ITM_DOWN1", "DOCU_CHR_sub", "ITM_DOWN_ARROW", "DOCU_CHR_super", "ITM_UP_ARROW", "MNU_TAMALPHA", "ITM_alpha", "DOCU_CHR_caseFLIP", "ITM_NULL", "DOCU_CHR_numSET", "ITM_NULL", "DOCU_ITM_RADIX", "ITM_PERIOD", AO245), ".lo", ),"MNU_", "-MNU_")</f>
        <v>ITM_FLGSV</v>
      </c>
      <c r="BA245" s="173" t="str" cm="1">
        <f t="array" ref="BA245">SUBSTITUTE(SUBSTITUTE(_xlfn.SWITCH(AP245, "ITM_T_HOME", "ITM_UP1", "ITM_T_END", "ITM_DOWN1", "DOCU_CHR_sub", "ITM_DOWN_ARROW", "DOCU_CHR_super", "ITM_UP_ARROW", "MNU_TAMALPHA", "ITM_alpha", "DOCU_CHR_caseFLIP", "ITM_NULL", "DOCU_CHR_numSET", "ITM_NULL", "DOCU_ITM_RADIX", "ITM_PERIOD", AP245), ".lo", ),"MNU_", "-MNU_")</f>
        <v>ITM_DOWN1</v>
      </c>
      <c r="BB245" s="157" t="str" cm="1">
        <f t="array" ref="BB245">SUBSTITUTE(SUBSTITUTE(_xlfn.SWITCH(AQ245, "ITM_T_HOME", "ITM_UP1", "ITM_T_END", "ITM_DOWN1", "DOCU_CHR_sub", "ITM_DOWN_ARROW", "DOCU_CHR_super", "ITM_UP_ARROW", "MNU_TAMALPHA", "ITM_alpha", "DOCU_CHR_caseFLIP", "ITM_NULL", "DOCU_CHR_numSET", "ITM_NULL", "DOCU_ITM_RADIX", "ITM_PERIOD", AQ245), ".lo", ),"MNU_", "-MNU_")</f>
        <v>ITM_DOWN1</v>
      </c>
      <c r="BC245" s="157" t="str" cm="1">
        <f t="array" ref="BC245">SUBSTITUTE(SUBSTITUTE(_xlfn.SWITCH(AR245, "ITM_T_HOME", "ITM_UP1", "ITM_T_END", "ITM_DOWN1", "DOCU_CHR_sub", "ITM_DOWN_ARROW", "DOCU_CHR_super", "ITM_UP_ARROW", "MNU_TAMALPHA", "ITM_alpha", "DOCU_CHR_caseFLIP", "ITM_NULL", "DOCU_CHR_numSET", "ITM_NULL", "DOCU_ITM_RADIX", "ITM_PERIOD", AR245), ".lo", ),"MNU_", "-MNU_")</f>
        <v>CHR_caseDN</v>
      </c>
      <c r="BD245" s="157" t="str" cm="1">
        <f t="array" ref="BD245">SUBSTITUTE(SUBSTITUTE(_xlfn.SWITCH(AS245, "ITM_T_HOME", "ITM_UP1", "ITM_T_END", "ITM_DOWN1", "DOCU_CHR_sub", "ITM_DOWN_ARROW", "DOCU_CHR_super", "ITM_UP_ARROW", "MNU_TAMALPHA", "ITM_alpha", "DOCU_CHR_caseFLIP", "ITM_NULL", "DOCU_CHR_numSET", "ITM_NULL", "DOCU_ITM_RADIX", "ITM_PERIOD", AS245), ".lo", ),"MNU_", "-MNU_")</f>
        <v>ITM_DOWN_ARROW</v>
      </c>
      <c r="BE245" s="157" t="str" cm="1">
        <f t="array" ref="BE245">SUBSTITUTE(SUBSTITUTE(_xlfn.SWITCH(AT245, "ITM_T_HOME", "ITM_UP1", "ITM_T_END", "ITM_DOWN1", "DOCU_CHR_sub", "ITM_DOWN_ARROW", "DOCU_CHR_super", "ITM_UP_ARROW", "MNU_TAMALPHA", "ITM_alpha", "DOCU_CHR_caseFLIP", "ITM_NULL", "DOCU_CHR_numSET", "ITM_NULL", "DOCU_ITM_RADIX", "ITM_PERIOD", AT245), ".lo", ),"MNU_", "-MNU_")</f>
        <v>ITM_DOWN1</v>
      </c>
      <c r="BG245" s="75"/>
      <c r="BI245" s="13" t="str">
        <f t="shared" si="89"/>
        <v xml:space="preserve">  {36,                  ITM_DOWN1,            ITM_SST,              ITM_FLGSV,            ITM_DOWN1,            ITM_DOWN1,            CHR_caseDN,           ITM_DOWN_ARROW,       ITM_DOWN1           },</v>
      </c>
    </row>
    <row r="246" spans="24:61" ht="21" x14ac:dyDescent="0.2">
      <c r="X246" s="120" t="str">
        <f t="shared" si="81"/>
        <v>N47</v>
      </c>
      <c r="Y246" s="106">
        <v>4</v>
      </c>
      <c r="Z246" s="106">
        <v>1</v>
      </c>
      <c r="AA246" s="112" t="str">
        <f t="shared" si="80"/>
        <v>N47.41</v>
      </c>
      <c r="AB246" s="117" t="s">
        <v>129</v>
      </c>
      <c r="AC246" s="118" t="s">
        <v>130</v>
      </c>
      <c r="AD246" s="119" t="s">
        <v>131</v>
      </c>
      <c r="AE246" s="3"/>
      <c r="AF246" s="49" t="s">
        <v>129</v>
      </c>
      <c r="AG246" s="77" t="b">
        <f t="shared" si="90"/>
        <v>0</v>
      </c>
      <c r="AH246" s="83" t="str">
        <f t="shared" si="82"/>
        <v>X.SWAP</v>
      </c>
      <c r="AI246" s="84" t="str">
        <f t="shared" si="83"/>
        <v>a.PARSE</v>
      </c>
      <c r="AJ246" s="85" t="str">
        <f t="shared" si="84"/>
        <v>ENTER</v>
      </c>
      <c r="AK246" s="6"/>
      <c r="AL246" s="8" t="str">
        <f t="shared" si="85"/>
        <v>{41</v>
      </c>
      <c r="AM246" s="27" t="str">
        <f t="shared" si="86"/>
        <v>ITM_ENTER</v>
      </c>
      <c r="AN246" s="27" t="str">
        <f t="shared" si="87"/>
        <v>KEY_COMPLEX</v>
      </c>
      <c r="AO246" s="27" t="str">
        <f t="shared" si="88"/>
        <v>MNU_CPX</v>
      </c>
      <c r="AP246" s="46" t="str">
        <f>IF(NOT(ISNA(MATCH(AM246,Lookups!E:E,))),VLOOKUP(AM246,Lookups!E:F,2,0),
IF(NOT(ISNA(MATCH(AN246,Lookups!E:E,))),VLOOKUP(AN246,Lookups!E:F,2,0),
IF(NOT(ISNA(MATCH(AO246,Lookups!E:E,))),VLOOKUP(AO246,Lookups!E:F,2,0),"ITM_NULL")))</f>
        <v>ITM_ENTER</v>
      </c>
      <c r="AQ246" s="28" t="str">
        <f t="shared" ref="AQ246" si="94">VLOOKUP(AF246,labelitem,2,0)</f>
        <v>ITM_ENTER</v>
      </c>
      <c r="AR246" s="198" t="s">
        <v>132</v>
      </c>
      <c r="AS246" s="186" t="s">
        <v>133</v>
      </c>
      <c r="AT246" s="197" t="s">
        <v>134</v>
      </c>
      <c r="AW246" s="14" t="str">
        <f t="shared" si="91"/>
        <v>{41</v>
      </c>
      <c r="AX246" s="157" t="str" cm="1">
        <f t="array" ref="AX246">SUBSTITUTE(SUBSTITUTE(_xlfn.SWITCH(AM246, "ITM_T_HOME", "ITM_UP1", "ITM_T_END", "ITM_DOWN1", "DOCU_CHR_sub", "ITM_DOWN_ARROW", "DOCU_CHR_super", "ITM_UP_ARROW", "MNU_TAMALPHA", "ITM_alpha", "DOCU_CHR_caseFLIP", "ITM_NULL", "DOCU_CHR_numSET", "ITM_NULL", "DOCU_ITM_RADIX", "ITM_PERIOD", AM246), ".lo", ),"MNU_", "-MNU_")</f>
        <v>ITM_ENTER</v>
      </c>
      <c r="AY246" s="157" t="str" cm="1">
        <f t="array" ref="AY246">SUBSTITUTE(SUBSTITUTE(_xlfn.SWITCH(AN246, "ITM_T_HOME", "ITM_UP1", "ITM_T_END", "ITM_DOWN1", "DOCU_CHR_sub", "ITM_DOWN_ARROW", "DOCU_CHR_super", "ITM_UP_ARROW", "MNU_TAMALPHA", "ITM_alpha", "DOCU_CHR_caseFLIP", "ITM_NULL", "DOCU_CHR_numSET", "ITM_NULL", "DOCU_ITM_RADIX", "ITM_PERIOD", AN246), ".lo", ),"MNU_", "-MNU_")</f>
        <v>KEY_COMPLEX</v>
      </c>
      <c r="AZ246" s="157" t="str" cm="1">
        <f t="array" ref="AZ246">SUBSTITUTE(SUBSTITUTE(_xlfn.SWITCH(AO246, "ITM_T_HOME", "ITM_UP1", "ITM_T_END", "ITM_DOWN1", "DOCU_CHR_sub", "ITM_DOWN_ARROW", "DOCU_CHR_super", "ITM_UP_ARROW", "MNU_TAMALPHA", "ITM_alpha", "DOCU_CHR_caseFLIP", "ITM_NULL", "DOCU_CHR_numSET", "ITM_NULL", "DOCU_ITM_RADIX", "ITM_PERIOD", AO246), ".lo", ),"MNU_", "-MNU_")</f>
        <v>-MNU_CPX</v>
      </c>
      <c r="BA246" s="173" t="str" cm="1">
        <f t="array" ref="BA246">SUBSTITUTE(SUBSTITUTE(_xlfn.SWITCH(AP246, "ITM_T_HOME", "ITM_UP1", "ITM_T_END", "ITM_DOWN1", "DOCU_CHR_sub", "ITM_DOWN_ARROW", "DOCU_CHR_super", "ITM_UP_ARROW", "MNU_TAMALPHA", "ITM_alpha", "DOCU_CHR_caseFLIP", "ITM_NULL", "DOCU_CHR_numSET", "ITM_NULL", "DOCU_ITM_RADIX", "ITM_PERIOD", AP246), ".lo", ),"MNU_", "-MNU_")</f>
        <v>ITM_ENTER</v>
      </c>
      <c r="BB246" s="157" t="str" cm="1">
        <f t="array" ref="BB246">SUBSTITUTE(SUBSTITUTE(_xlfn.SWITCH(AQ246, "ITM_T_HOME", "ITM_UP1", "ITM_T_END", "ITM_DOWN1", "DOCU_CHR_sub", "ITM_DOWN_ARROW", "DOCU_CHR_super", "ITM_UP_ARROW", "MNU_TAMALPHA", "ITM_alpha", "DOCU_CHR_caseFLIP", "ITM_NULL", "DOCU_CHR_numSET", "ITM_NULL", "DOCU_ITM_RADIX", "ITM_PERIOD", AQ246), ".lo", ),"MNU_", "-MNU_")</f>
        <v>ITM_ENTER</v>
      </c>
      <c r="BC246" s="157" t="str" cm="1">
        <f t="array" ref="BC246">SUBSTITUTE(SUBSTITUTE(_xlfn.SWITCH(AR246, "ITM_T_HOME", "ITM_UP1", "ITM_T_END", "ITM_DOWN1", "DOCU_CHR_sub", "ITM_DOWN_ARROW", "DOCU_CHR_super", "ITM_UP_ARROW", "MNU_TAMALPHA", "ITM_alpha", "DOCU_CHR_caseFLIP", "ITM_NULL", "DOCU_CHR_numSET", "ITM_NULL", "DOCU_ITM_RADIX", "ITM_PERIOD", AR246), ".lo", ),"MNU_", "-MNU_")</f>
        <v>ITM_XSWAP</v>
      </c>
      <c r="BD246" s="157" t="str" cm="1">
        <f t="array" ref="BD246">SUBSTITUTE(SUBSTITUTE(_xlfn.SWITCH(AS246, "ITM_T_HOME", "ITM_UP1", "ITM_T_END", "ITM_DOWN1", "DOCU_CHR_sub", "ITM_DOWN_ARROW", "DOCU_CHR_super", "ITM_UP_ARROW", "MNU_TAMALPHA", "ITM_alpha", "DOCU_CHR_caseFLIP", "ITM_NULL", "DOCU_CHR_numSET", "ITM_NULL", "DOCU_ITM_RADIX", "ITM_PERIOD", AS246), ".lo", ),"MNU_", "-MNU_")</f>
        <v>ITM_XPARSE</v>
      </c>
      <c r="BE246" s="157" t="str" cm="1">
        <f t="array" ref="BE246">SUBSTITUTE(SUBSTITUTE(_xlfn.SWITCH(AT246, "ITM_T_HOME", "ITM_UP1", "ITM_T_END", "ITM_DOWN1", "DOCU_CHR_sub", "ITM_DOWN_ARROW", "DOCU_CHR_super", "ITM_UP_ARROW", "MNU_TAMALPHA", "ITM_alpha", "DOCU_CHR_caseFLIP", "ITM_NULL", "DOCU_CHR_numSET", "ITM_NULL", "DOCU_ITM_RADIX", "ITM_PERIOD", AT246), ".lo", ),"MNU_", "-MNU_")</f>
        <v>ITM_ENTER</v>
      </c>
      <c r="BG246" s="75"/>
      <c r="BI246" s="13" t="str">
        <f t="shared" si="89"/>
        <v xml:space="preserve">  {41,                  ITM_ENTER,            KEY_COMPLEX,          -MNU_CPX,             ITM_ENTER,            ITM_ENTER,            ITM_XSWAP,            ITM_XPARSE,           ITM_ENTER           },</v>
      </c>
    </row>
    <row r="247" spans="24:61" ht="21" x14ac:dyDescent="0.2">
      <c r="X247" s="120" t="str">
        <f t="shared" si="81"/>
        <v>N47</v>
      </c>
      <c r="Y247" s="109">
        <v>4</v>
      </c>
      <c r="Z247" s="109">
        <v>2</v>
      </c>
      <c r="AA247" s="112" t="str">
        <f t="shared" si="80"/>
        <v>N47.42</v>
      </c>
      <c r="AB247" s="117" t="s">
        <v>135</v>
      </c>
      <c r="AC247" s="118" t="s">
        <v>136</v>
      </c>
      <c r="AD247" s="119" t="s">
        <v>137</v>
      </c>
      <c r="AE247" s="3"/>
      <c r="AF247" s="49" t="s">
        <v>118</v>
      </c>
      <c r="AG247" s="77" t="b">
        <f t="shared" si="90"/>
        <v>1</v>
      </c>
      <c r="AH247" s="83" t="str">
        <f t="shared" si="82"/>
        <v>k</v>
      </c>
      <c r="AI247" s="84" t="str">
        <f t="shared" si="83"/>
        <v>&lt;&gt;</v>
      </c>
      <c r="AJ247" s="85" t="str">
        <f t="shared" si="84"/>
        <v>Reg K</v>
      </c>
      <c r="AK247" s="6"/>
      <c r="AL247" s="8" t="str">
        <f t="shared" si="85"/>
        <v>{42</v>
      </c>
      <c r="AM247" s="27" t="str">
        <f t="shared" si="86"/>
        <v>ITM_XexY</v>
      </c>
      <c r="AN247" s="27" t="str">
        <f t="shared" si="87"/>
        <v>ITM_LASTX</v>
      </c>
      <c r="AO247" s="27" t="str">
        <f t="shared" si="88"/>
        <v>MNU_STK</v>
      </c>
      <c r="AP247" s="46" t="str">
        <f>IF(NOT(ISNA(MATCH(AM247,Lookups!E:E,))),VLOOKUP(AM247,Lookups!E:F,2,0),
IF(NOT(ISNA(MATCH(AN247,Lookups!E:E,))),VLOOKUP(AN247,Lookups!E:F,2,0),
IF(NOT(ISNA(MATCH(AO247,Lookups!E:E,))),VLOOKUP(AO247,Lookups!E:F,2,0),"ITM_NULL")))</f>
        <v>ITM_ex</v>
      </c>
      <c r="AQ247" s="28" t="str">
        <f t="shared" ref="AQ247:AQ270" si="95">VLOOKUP(AF247,labelitem,2,0)</f>
        <v>ITM_K</v>
      </c>
      <c r="AR247" s="195" t="s">
        <v>119</v>
      </c>
      <c r="AS247" s="186" t="s">
        <v>140</v>
      </c>
      <c r="AT247" s="196" t="s">
        <v>121</v>
      </c>
      <c r="AW247" s="14" t="str">
        <f t="shared" si="91"/>
        <v>{42</v>
      </c>
      <c r="AX247" s="157" t="str" cm="1">
        <f t="array" ref="AX247">SUBSTITUTE(SUBSTITUTE(_xlfn.SWITCH(AM247, "ITM_T_HOME", "ITM_UP1", "ITM_T_END", "ITM_DOWN1", "DOCU_CHR_sub", "ITM_DOWN_ARROW", "DOCU_CHR_super", "ITM_UP_ARROW", "MNU_TAMALPHA", "ITM_alpha", "DOCU_CHR_caseFLIP", "ITM_NULL", "DOCU_CHR_numSET", "ITM_NULL", "DOCU_ITM_RADIX", "ITM_PERIOD", AM247), ".lo", ),"MNU_", "-MNU_")</f>
        <v>ITM_XexY</v>
      </c>
      <c r="AY247" s="157" t="str" cm="1">
        <f t="array" ref="AY247">SUBSTITUTE(SUBSTITUTE(_xlfn.SWITCH(AN247, "ITM_T_HOME", "ITM_UP1", "ITM_T_END", "ITM_DOWN1", "DOCU_CHR_sub", "ITM_DOWN_ARROW", "DOCU_CHR_super", "ITM_UP_ARROW", "MNU_TAMALPHA", "ITM_alpha", "DOCU_CHR_caseFLIP", "ITM_NULL", "DOCU_CHR_numSET", "ITM_NULL", "DOCU_ITM_RADIX", "ITM_PERIOD", AN247), ".lo", ),"MNU_", "-MNU_")</f>
        <v>ITM_LASTX</v>
      </c>
      <c r="AZ247" s="157" t="str" cm="1">
        <f t="array" ref="AZ247">SUBSTITUTE(SUBSTITUTE(_xlfn.SWITCH(AO247, "ITM_T_HOME", "ITM_UP1", "ITM_T_END", "ITM_DOWN1", "DOCU_CHR_sub", "ITM_DOWN_ARROW", "DOCU_CHR_super", "ITM_UP_ARROW", "MNU_TAMALPHA", "ITM_alpha", "DOCU_CHR_caseFLIP", "ITM_NULL", "DOCU_CHR_numSET", "ITM_NULL", "DOCU_ITM_RADIX", "ITM_PERIOD", AO247), ".lo", ),"MNU_", "-MNU_")</f>
        <v>-MNU_STK</v>
      </c>
      <c r="BA247" s="173" t="str" cm="1">
        <f t="array" ref="BA247">SUBSTITUTE(SUBSTITUTE(_xlfn.SWITCH(AP247, "ITM_T_HOME", "ITM_UP1", "ITM_T_END", "ITM_DOWN1", "DOCU_CHR_sub", "ITM_DOWN_ARROW", "DOCU_CHR_super", "ITM_UP_ARROW", "MNU_TAMALPHA", "ITM_alpha", "DOCU_CHR_caseFLIP", "ITM_NULL", "DOCU_CHR_numSET", "ITM_NULL", "DOCU_ITM_RADIX", "ITM_PERIOD", AP247), ".lo", ),"MNU_", "-MNU_")</f>
        <v>ITM_ex</v>
      </c>
      <c r="BB247" s="157" t="str" cm="1">
        <f t="array" ref="BB247">SUBSTITUTE(SUBSTITUTE(_xlfn.SWITCH(AQ247, "ITM_T_HOME", "ITM_UP1", "ITM_T_END", "ITM_DOWN1", "DOCU_CHR_sub", "ITM_DOWN_ARROW", "DOCU_CHR_super", "ITM_UP_ARROW", "MNU_TAMALPHA", "ITM_alpha", "DOCU_CHR_caseFLIP", "ITM_NULL", "DOCU_CHR_numSET", "ITM_NULL", "DOCU_ITM_RADIX", "ITM_PERIOD", AQ247), ".lo", ),"MNU_", "-MNU_")</f>
        <v>ITM_K</v>
      </c>
      <c r="BC247" s="157" t="str" cm="1">
        <f t="array" ref="BC247">SUBSTITUTE(SUBSTITUTE(_xlfn.SWITCH(AR247, "ITM_T_HOME", "ITM_UP1", "ITM_T_END", "ITM_DOWN1", "DOCU_CHR_sub", "ITM_DOWN_ARROW", "DOCU_CHR_super", "ITM_UP_ARROW", "MNU_TAMALPHA", "ITM_alpha", "DOCU_CHR_caseFLIP", "ITM_NULL", "DOCU_CHR_numSET", "ITM_NULL", "DOCU_ITM_RADIX", "ITM_PERIOD", AR247), ".lo", ),"MNU_", "-MNU_")</f>
        <v>ITM_k</v>
      </c>
      <c r="BD247" s="157" t="str" cm="1">
        <f t="array" ref="BD247">SUBSTITUTE(SUBSTITUTE(_xlfn.SWITCH(AS247, "ITM_T_HOME", "ITM_UP1", "ITM_T_END", "ITM_DOWN1", "DOCU_CHR_sub", "ITM_DOWN_ARROW", "DOCU_CHR_super", "ITM_UP_ARROW", "MNU_TAMALPHA", "ITM_alpha", "DOCU_CHR_caseFLIP", "ITM_NULL", "DOCU_CHR_numSET", "ITM_NULL", "DOCU_ITM_RADIX", "ITM_PERIOD", AS247), ".lo", ),"MNU_", "-MNU_")</f>
        <v>ITM_ex</v>
      </c>
      <c r="BE247" s="157" t="str" cm="1">
        <f t="array" ref="BE247">SUBSTITUTE(SUBSTITUTE(_xlfn.SWITCH(AT247, "ITM_T_HOME", "ITM_UP1", "ITM_T_END", "ITM_DOWN1", "DOCU_CHR_sub", "ITM_DOWN_ARROW", "DOCU_CHR_super", "ITM_UP_ARROW", "MNU_TAMALPHA", "ITM_alpha", "DOCU_CHR_caseFLIP", "ITM_NULL", "DOCU_CHR_numSET", "ITM_NULL", "DOCU_ITM_RADIX", "ITM_PERIOD", AT247), ".lo", ),"MNU_", "-MNU_")</f>
        <v>ITM_REG_K</v>
      </c>
      <c r="BG247" s="75"/>
      <c r="BI247" s="13" t="str">
        <f t="shared" si="89"/>
        <v xml:space="preserve">  {42,                  ITM_XexY,             ITM_LASTX,            -MNU_STK,             ITM_ex,               ITM_K,                ITM_k,                ITM_ex,               ITM_REG_K           },</v>
      </c>
    </row>
    <row r="248" spans="24:61" ht="21" x14ac:dyDescent="0.2">
      <c r="X248" s="120" t="str">
        <f t="shared" si="81"/>
        <v>N47</v>
      </c>
      <c r="Y248" s="109">
        <v>4</v>
      </c>
      <c r="Z248" s="109">
        <v>3</v>
      </c>
      <c r="AA248" s="112" t="str">
        <f t="shared" si="80"/>
        <v>N47.43</v>
      </c>
      <c r="AB248" s="117" t="s">
        <v>141</v>
      </c>
      <c r="AC248" s="118" t="s">
        <v>446</v>
      </c>
      <c r="AD248" s="119" t="s">
        <v>143</v>
      </c>
      <c r="AE248" s="3"/>
      <c r="AF248" s="49" t="s">
        <v>125</v>
      </c>
      <c r="AG248" s="77" t="b">
        <f t="shared" si="90"/>
        <v>1</v>
      </c>
      <c r="AH248" s="83" t="str">
        <f t="shared" si="82"/>
        <v>l</v>
      </c>
      <c r="AI248" s="84" t="str">
        <f t="shared" si="83"/>
        <v>+/-</v>
      </c>
      <c r="AJ248" s="85" t="str">
        <f t="shared" si="84"/>
        <v>Reg L</v>
      </c>
      <c r="AK248" s="6"/>
      <c r="AL248" s="8" t="str">
        <f t="shared" si="85"/>
        <v>{43</v>
      </c>
      <c r="AM248" s="27" t="str">
        <f t="shared" si="86"/>
        <v>ITM_CHS</v>
      </c>
      <c r="AN248" s="27" t="str">
        <f t="shared" si="87"/>
        <v>ITM_DRG</v>
      </c>
      <c r="AO248" s="27" t="str">
        <f t="shared" si="88"/>
        <v>MNU_TRG_C47</v>
      </c>
      <c r="AP248" s="46" t="str">
        <f>IF(NOT(ISNA(MATCH(AM248,Lookups!E:E,))),VLOOKUP(AM248,Lookups!E:F,2,0),
IF(NOT(ISNA(MATCH(AN248,Lookups!E:E,))),VLOOKUP(AN248,Lookups!E:F,2,0),
IF(NOT(ISNA(MATCH(AO248,Lookups!E:E,))),VLOOKUP(AO248,Lookups!E:F,2,0),"ITM_NULL")))</f>
        <v>ITM_PLUS_MINUS</v>
      </c>
      <c r="AQ248" s="28" t="str">
        <f t="shared" si="95"/>
        <v>ITM_L</v>
      </c>
      <c r="AR248" s="195" t="s">
        <v>126</v>
      </c>
      <c r="AS248" s="186" t="s">
        <v>146</v>
      </c>
      <c r="AT248" s="196" t="s">
        <v>128</v>
      </c>
      <c r="AW248" s="14" t="str">
        <f t="shared" si="91"/>
        <v>{43</v>
      </c>
      <c r="AX248" s="157" t="str" cm="1">
        <f t="array" ref="AX248">SUBSTITUTE(SUBSTITUTE(_xlfn.SWITCH(AM248, "ITM_T_HOME", "ITM_UP1", "ITM_T_END", "ITM_DOWN1", "DOCU_CHR_sub", "ITM_DOWN_ARROW", "DOCU_CHR_super", "ITM_UP_ARROW", "MNU_TAMALPHA", "ITM_alpha", "DOCU_CHR_caseFLIP", "ITM_NULL", "DOCU_CHR_numSET", "ITM_NULL", "DOCU_ITM_RADIX", "ITM_PERIOD", AM248), ".lo", ),"MNU_", "-MNU_")</f>
        <v>ITM_CHS</v>
      </c>
      <c r="AY248" s="157" t="str" cm="1">
        <f t="array" ref="AY248">SUBSTITUTE(SUBSTITUTE(_xlfn.SWITCH(AN248, "ITM_T_HOME", "ITM_UP1", "ITM_T_END", "ITM_DOWN1", "DOCU_CHR_sub", "ITM_DOWN_ARROW", "DOCU_CHR_super", "ITM_UP_ARROW", "MNU_TAMALPHA", "ITM_alpha", "DOCU_CHR_caseFLIP", "ITM_NULL", "DOCU_CHR_numSET", "ITM_NULL", "DOCU_ITM_RADIX", "ITM_PERIOD", AN248), ".lo", ),"MNU_", "-MNU_")</f>
        <v>ITM_DRG</v>
      </c>
      <c r="AZ248" s="157" t="str" cm="1">
        <f t="array" ref="AZ248">SUBSTITUTE(SUBSTITUTE(_xlfn.SWITCH(AO248, "ITM_T_HOME", "ITM_UP1", "ITM_T_END", "ITM_DOWN1", "DOCU_CHR_sub", "ITM_DOWN_ARROW", "DOCU_CHR_super", "ITM_UP_ARROW", "MNU_TAMALPHA", "ITM_alpha", "DOCU_CHR_caseFLIP", "ITM_NULL", "DOCU_CHR_numSET", "ITM_NULL", "DOCU_ITM_RADIX", "ITM_PERIOD", AO248), ".lo", ),"MNU_", "-MNU_")</f>
        <v>-MNU_TRG_C47</v>
      </c>
      <c r="BA248" s="173" t="str" cm="1">
        <f t="array" ref="BA248">SUBSTITUTE(SUBSTITUTE(_xlfn.SWITCH(AP248, "ITM_T_HOME", "ITM_UP1", "ITM_T_END", "ITM_DOWN1", "DOCU_CHR_sub", "ITM_DOWN_ARROW", "DOCU_CHR_super", "ITM_UP_ARROW", "MNU_TAMALPHA", "ITM_alpha", "DOCU_CHR_caseFLIP", "ITM_NULL", "DOCU_CHR_numSET", "ITM_NULL", "DOCU_ITM_RADIX", "ITM_PERIOD", AP248), ".lo", ),"MNU_", "-MNU_")</f>
        <v>ITM_PLUS_MINUS</v>
      </c>
      <c r="BB248" s="157" t="str" cm="1">
        <f t="array" ref="BB248">SUBSTITUTE(SUBSTITUTE(_xlfn.SWITCH(AQ248, "ITM_T_HOME", "ITM_UP1", "ITM_T_END", "ITM_DOWN1", "DOCU_CHR_sub", "ITM_DOWN_ARROW", "DOCU_CHR_super", "ITM_UP_ARROW", "MNU_TAMALPHA", "ITM_alpha", "DOCU_CHR_caseFLIP", "ITM_NULL", "DOCU_CHR_numSET", "ITM_NULL", "DOCU_ITM_RADIX", "ITM_PERIOD", AQ248), ".lo", ),"MNU_", "-MNU_")</f>
        <v>ITM_L</v>
      </c>
      <c r="BC248" s="157" t="str" cm="1">
        <f t="array" ref="BC248">SUBSTITUTE(SUBSTITUTE(_xlfn.SWITCH(AR248, "ITM_T_HOME", "ITM_UP1", "ITM_T_END", "ITM_DOWN1", "DOCU_CHR_sub", "ITM_DOWN_ARROW", "DOCU_CHR_super", "ITM_UP_ARROW", "MNU_TAMALPHA", "ITM_alpha", "DOCU_CHR_caseFLIP", "ITM_NULL", "DOCU_CHR_numSET", "ITM_NULL", "DOCU_ITM_RADIX", "ITM_PERIOD", AR248), ".lo", ),"MNU_", "-MNU_")</f>
        <v>ITM_l</v>
      </c>
      <c r="BD248" s="157" t="str" cm="1">
        <f t="array" ref="BD248">SUBSTITUTE(SUBSTITUTE(_xlfn.SWITCH(AS248, "ITM_T_HOME", "ITM_UP1", "ITM_T_END", "ITM_DOWN1", "DOCU_CHR_sub", "ITM_DOWN_ARROW", "DOCU_CHR_super", "ITM_UP_ARROW", "MNU_TAMALPHA", "ITM_alpha", "DOCU_CHR_caseFLIP", "ITM_NULL", "DOCU_CHR_numSET", "ITM_NULL", "DOCU_ITM_RADIX", "ITM_PERIOD", AS248), ".lo", ),"MNU_", "-MNU_")</f>
        <v>ITM_PLUS_MINUS</v>
      </c>
      <c r="BE248" s="157" t="str" cm="1">
        <f t="array" ref="BE248">SUBSTITUTE(SUBSTITUTE(_xlfn.SWITCH(AT248, "ITM_T_HOME", "ITM_UP1", "ITM_T_END", "ITM_DOWN1", "DOCU_CHR_sub", "ITM_DOWN_ARROW", "DOCU_CHR_super", "ITM_UP_ARROW", "MNU_TAMALPHA", "ITM_alpha", "DOCU_CHR_caseFLIP", "ITM_NULL", "DOCU_CHR_numSET", "ITM_NULL", "DOCU_ITM_RADIX", "ITM_PERIOD", AT248), ".lo", ),"MNU_", "-MNU_")</f>
        <v>ITM_REG_L</v>
      </c>
      <c r="BG248" s="75"/>
      <c r="BI248" s="13" t="str">
        <f t="shared" si="89"/>
        <v xml:space="preserve">  {43,                  ITM_CHS,              ITM_DRG,              -MNU_TRG_C47,         ITM_PLUS_MINUS,       ITM_L,                ITM_l,                ITM_PLUS_MINUS,       ITM_REG_L           },</v>
      </c>
    </row>
    <row r="249" spans="24:61" ht="21" x14ac:dyDescent="0.2">
      <c r="X249" s="120" t="str">
        <f t="shared" si="81"/>
        <v>N47</v>
      </c>
      <c r="Y249" s="109">
        <v>4</v>
      </c>
      <c r="Z249" s="109">
        <v>4</v>
      </c>
      <c r="AA249" s="112" t="str">
        <f t="shared" si="80"/>
        <v>N47.44</v>
      </c>
      <c r="AB249" s="117" t="s">
        <v>147</v>
      </c>
      <c r="AC249" s="118" t="s">
        <v>149</v>
      </c>
      <c r="AD249" s="119" t="s">
        <v>148</v>
      </c>
      <c r="AE249" s="3"/>
      <c r="AF249" s="49" t="s">
        <v>138</v>
      </c>
      <c r="AG249" s="77" t="b">
        <f t="shared" si="90"/>
        <v>1</v>
      </c>
      <c r="AH249" s="83" t="str">
        <f t="shared" si="82"/>
        <v>m</v>
      </c>
      <c r="AI249" s="84" t="str">
        <f t="shared" si="83"/>
        <v>&lt;E&gt;</v>
      </c>
      <c r="AJ249" s="85" t="str">
        <f t="shared" si="84"/>
        <v>OCT</v>
      </c>
      <c r="AK249" s="6"/>
      <c r="AL249" s="8" t="str">
        <f t="shared" si="85"/>
        <v>{44</v>
      </c>
      <c r="AM249" s="27" t="str">
        <f t="shared" si="86"/>
        <v>ITM_EXPONENT</v>
      </c>
      <c r="AN249" s="27" t="str">
        <f t="shared" si="87"/>
        <v>MNU_EXP</v>
      </c>
      <c r="AO249" s="27" t="str">
        <f t="shared" si="88"/>
        <v>MNU_DISP</v>
      </c>
      <c r="AP249" s="46" t="str">
        <f>IF(NOT(ISNA(MATCH(AM249,Lookups!E:E,))),VLOOKUP(AM249,Lookups!E:F,2,0),
IF(NOT(ISNA(MATCH(AN249,Lookups!E:E,))),VLOOKUP(AN249,Lookups!E:F,2,0),
IF(NOT(ISNA(MATCH(AO249,Lookups!E:E,))),VLOOKUP(AO249,Lookups!E:F,2,0),"ITM_NULL")))</f>
        <v>ITM_NULL</v>
      </c>
      <c r="AQ249" s="28" t="str">
        <f t="shared" si="95"/>
        <v>ITM_M</v>
      </c>
      <c r="AR249" s="195" t="s">
        <v>139</v>
      </c>
      <c r="AS249" s="186" t="s">
        <v>152</v>
      </c>
      <c r="AT249" s="197" t="s">
        <v>668</v>
      </c>
      <c r="AW249" s="14" t="str">
        <f t="shared" si="91"/>
        <v>{44</v>
      </c>
      <c r="AX249" s="157" t="str" cm="1">
        <f t="array" ref="AX249">SUBSTITUTE(SUBSTITUTE(_xlfn.SWITCH(AM249, "ITM_T_HOME", "ITM_UP1", "ITM_T_END", "ITM_DOWN1", "DOCU_CHR_sub", "ITM_DOWN_ARROW", "DOCU_CHR_super", "ITM_UP_ARROW", "MNU_TAMALPHA", "ITM_alpha", "DOCU_CHR_caseFLIP", "ITM_NULL", "DOCU_CHR_numSET", "ITM_NULL", "DOCU_ITM_RADIX", "ITM_PERIOD", AM249), ".lo", ),"MNU_", "-MNU_")</f>
        <v>ITM_EXPONENT</v>
      </c>
      <c r="AY249" s="157" t="str" cm="1">
        <f t="array" ref="AY249">SUBSTITUTE(SUBSTITUTE(_xlfn.SWITCH(AN249, "ITM_T_HOME", "ITM_UP1", "ITM_T_END", "ITM_DOWN1", "DOCU_CHR_sub", "ITM_DOWN_ARROW", "DOCU_CHR_super", "ITM_UP_ARROW", "MNU_TAMALPHA", "ITM_alpha", "DOCU_CHR_caseFLIP", "ITM_NULL", "DOCU_CHR_numSET", "ITM_NULL", "DOCU_ITM_RADIX", "ITM_PERIOD", AN249), ".lo", ),"MNU_", "-MNU_")</f>
        <v>-MNU_EXP</v>
      </c>
      <c r="AZ249" s="157" t="str" cm="1">
        <f t="array" ref="AZ249">SUBSTITUTE(SUBSTITUTE(_xlfn.SWITCH(AO249, "ITM_T_HOME", "ITM_UP1", "ITM_T_END", "ITM_DOWN1", "DOCU_CHR_sub", "ITM_DOWN_ARROW", "DOCU_CHR_super", "ITM_UP_ARROW", "MNU_TAMALPHA", "ITM_alpha", "DOCU_CHR_caseFLIP", "ITM_NULL", "DOCU_CHR_numSET", "ITM_NULL", "DOCU_ITM_RADIX", "ITM_PERIOD", AO249), ".lo", ),"MNU_", "-MNU_")</f>
        <v>-MNU_DISP</v>
      </c>
      <c r="BA249" s="173" t="str" cm="1">
        <f t="array" ref="BA249">SUBSTITUTE(SUBSTITUTE(_xlfn.SWITCH(AP249, "ITM_T_HOME", "ITM_UP1", "ITM_T_END", "ITM_DOWN1", "DOCU_CHR_sub", "ITM_DOWN_ARROW", "DOCU_CHR_super", "ITM_UP_ARROW", "MNU_TAMALPHA", "ITM_alpha", "DOCU_CHR_caseFLIP", "ITM_NULL", "DOCU_CHR_numSET", "ITM_NULL", "DOCU_ITM_RADIX", "ITM_PERIOD", AP249), ".lo", ),"MNU_", "-MNU_")</f>
        <v>ITM_NULL</v>
      </c>
      <c r="BB249" s="157" t="str" cm="1">
        <f t="array" ref="BB249">SUBSTITUTE(SUBSTITUTE(_xlfn.SWITCH(AQ249, "ITM_T_HOME", "ITM_UP1", "ITM_T_END", "ITM_DOWN1", "DOCU_CHR_sub", "ITM_DOWN_ARROW", "DOCU_CHR_super", "ITM_UP_ARROW", "MNU_TAMALPHA", "ITM_alpha", "DOCU_CHR_caseFLIP", "ITM_NULL", "DOCU_CHR_numSET", "ITM_NULL", "DOCU_ITM_RADIX", "ITM_PERIOD", AQ249), ".lo", ),"MNU_", "-MNU_")</f>
        <v>ITM_M</v>
      </c>
      <c r="BC249" s="157" t="str" cm="1">
        <f t="array" ref="BC249">SUBSTITUTE(SUBSTITUTE(_xlfn.SWITCH(AR249, "ITM_T_HOME", "ITM_UP1", "ITM_T_END", "ITM_DOWN1", "DOCU_CHR_sub", "ITM_DOWN_ARROW", "DOCU_CHR_super", "ITM_UP_ARROW", "MNU_TAMALPHA", "ITM_alpha", "DOCU_CHR_caseFLIP", "ITM_NULL", "DOCU_CHR_numSET", "ITM_NULL", "DOCU_ITM_RADIX", "ITM_PERIOD", AR249), ".lo", ),"MNU_", "-MNU_")</f>
        <v>ITM_m</v>
      </c>
      <c r="BD249" s="157" t="str" cm="1">
        <f t="array" ref="BD249">SUBSTITUTE(SUBSTITUTE(_xlfn.SWITCH(AS249, "ITM_T_HOME", "ITM_UP1", "ITM_T_END", "ITM_DOWN1", "DOCU_CHR_sub", "ITM_DOWN_ARROW", "DOCU_CHR_super", "ITM_UP_ARROW", "MNU_TAMALPHA", "ITM_alpha", "DOCU_CHR_caseFLIP", "ITM_NULL", "DOCU_CHR_numSET", "ITM_NULL", "DOCU_ITM_RADIX", "ITM_PERIOD", AS249), ".lo", ),"MNU_", "-MNU_")</f>
        <v>ITM_EEXCHR</v>
      </c>
      <c r="BE249" s="157" t="str" cm="1">
        <f t="array" ref="BE249">SUBSTITUTE(SUBSTITUTE(_xlfn.SWITCH(AT249, "ITM_T_HOME", "ITM_UP1", "ITM_T_END", "ITM_DOWN1", "DOCU_CHR_sub", "ITM_DOWN_ARROW", "DOCU_CHR_super", "ITM_UP_ARROW", "MNU_TAMALPHA", "ITM_alpha", "DOCU_CHR_caseFLIP", "ITM_NULL", "DOCU_CHR_numSET", "ITM_NULL", "DOCU_ITM_RADIX", "ITM_PERIOD", AT249), ".lo", ),"MNU_", "-MNU_")</f>
        <v>ITM_2OCT</v>
      </c>
      <c r="BG249" s="75"/>
      <c r="BI249" s="13" t="str">
        <f t="shared" si="89"/>
        <v xml:space="preserve">  {44,                  ITM_EXPONENT,         -MNU_EXP,             -MNU_DISP,            ITM_NULL,             ITM_M,                ITM_m,                ITM_EEXCHR,           ITM_2OCT            },</v>
      </c>
    </row>
    <row r="250" spans="24:61" ht="21" x14ac:dyDescent="0.2">
      <c r="X250" s="120" t="str">
        <f t="shared" si="81"/>
        <v>N47</v>
      </c>
      <c r="Y250" s="109">
        <v>4</v>
      </c>
      <c r="Z250" s="109">
        <v>5</v>
      </c>
      <c r="AA250" s="112" t="str">
        <f t="shared" si="80"/>
        <v>N47.45</v>
      </c>
      <c r="AB250" s="117" t="s">
        <v>154</v>
      </c>
      <c r="AC250" s="118" t="s">
        <v>155</v>
      </c>
      <c r="AD250" s="119" t="s">
        <v>156</v>
      </c>
      <c r="AE250" s="3"/>
      <c r="AF250" s="49" t="s">
        <v>154</v>
      </c>
      <c r="AG250" s="77" t="b">
        <f t="shared" si="90"/>
        <v>0</v>
      </c>
      <c r="AH250" s="83" t="str">
        <f t="shared" si="82"/>
        <v>CLA</v>
      </c>
      <c r="AI250" s="84" t="str">
        <f t="shared" si="83"/>
        <v>CLA</v>
      </c>
      <c r="AJ250" s="85" t="str">
        <f t="shared" si="84"/>
        <v>&lt;=</v>
      </c>
      <c r="AK250" s="6"/>
      <c r="AL250" s="8" t="str">
        <f t="shared" si="85"/>
        <v>{45</v>
      </c>
      <c r="AM250" s="27" t="str">
        <f t="shared" si="86"/>
        <v>ITM_BACKSPACE</v>
      </c>
      <c r="AN250" s="27" t="str">
        <f t="shared" si="87"/>
        <v>ITM_UNDO</v>
      </c>
      <c r="AO250" s="27" t="str">
        <f t="shared" si="88"/>
        <v>MNU_CLR</v>
      </c>
      <c r="AP250" s="46" t="str">
        <f>IF(NOT(ISNA(MATCH(AM250,Lookups!E:E,))),VLOOKUP(AM250,Lookups!E:F,2,0),
IF(NOT(ISNA(MATCH(AN250,Lookups!E:E,))),VLOOKUP(AN250,Lookups!E:F,2,0),
IF(NOT(ISNA(MATCH(AO250,Lookups!E:E,))),VLOOKUP(AO250,Lookups!E:F,2,0),"ITM_NULL")))</f>
        <v>ITM_BACKSPACE</v>
      </c>
      <c r="AQ250" s="28" t="str">
        <f t="shared" si="95"/>
        <v>ITM_BACKSPACE</v>
      </c>
      <c r="AR250" s="198" t="s">
        <v>157</v>
      </c>
      <c r="AS250" s="186" t="s">
        <v>157</v>
      </c>
      <c r="AT250" s="197" t="s">
        <v>158</v>
      </c>
      <c r="AW250" s="14" t="str">
        <f t="shared" si="91"/>
        <v>{45</v>
      </c>
      <c r="AX250" s="157" t="str" cm="1">
        <f t="array" ref="AX250">SUBSTITUTE(SUBSTITUTE(_xlfn.SWITCH(AM250, "ITM_T_HOME", "ITM_UP1", "ITM_T_END", "ITM_DOWN1", "DOCU_CHR_sub", "ITM_DOWN_ARROW", "DOCU_CHR_super", "ITM_UP_ARROW", "MNU_TAMALPHA", "ITM_alpha", "DOCU_CHR_caseFLIP", "ITM_NULL", "DOCU_CHR_numSET", "ITM_NULL", "DOCU_ITM_RADIX", "ITM_PERIOD", AM250), ".lo", ),"MNU_", "-MNU_")</f>
        <v>ITM_BACKSPACE</v>
      </c>
      <c r="AY250" s="157" t="str" cm="1">
        <f t="array" ref="AY250">SUBSTITUTE(SUBSTITUTE(_xlfn.SWITCH(AN250, "ITM_T_HOME", "ITM_UP1", "ITM_T_END", "ITM_DOWN1", "DOCU_CHR_sub", "ITM_DOWN_ARROW", "DOCU_CHR_super", "ITM_UP_ARROW", "MNU_TAMALPHA", "ITM_alpha", "DOCU_CHR_caseFLIP", "ITM_NULL", "DOCU_CHR_numSET", "ITM_NULL", "DOCU_ITM_RADIX", "ITM_PERIOD", AN250), ".lo", ),"MNU_", "-MNU_")</f>
        <v>ITM_UNDO</v>
      </c>
      <c r="AZ250" s="157" t="str" cm="1">
        <f t="array" ref="AZ250">SUBSTITUTE(SUBSTITUTE(_xlfn.SWITCH(AO250, "ITM_T_HOME", "ITM_UP1", "ITM_T_END", "ITM_DOWN1", "DOCU_CHR_sub", "ITM_DOWN_ARROW", "DOCU_CHR_super", "ITM_UP_ARROW", "MNU_TAMALPHA", "ITM_alpha", "DOCU_CHR_caseFLIP", "ITM_NULL", "DOCU_CHR_numSET", "ITM_NULL", "DOCU_ITM_RADIX", "ITM_PERIOD", AO250), ".lo", ),"MNU_", "-MNU_")</f>
        <v>-MNU_CLR</v>
      </c>
      <c r="BA250" s="173" t="str" cm="1">
        <f t="array" ref="BA250">SUBSTITUTE(SUBSTITUTE(_xlfn.SWITCH(AP250, "ITM_T_HOME", "ITM_UP1", "ITM_T_END", "ITM_DOWN1", "DOCU_CHR_sub", "ITM_DOWN_ARROW", "DOCU_CHR_super", "ITM_UP_ARROW", "MNU_TAMALPHA", "ITM_alpha", "DOCU_CHR_caseFLIP", "ITM_NULL", "DOCU_CHR_numSET", "ITM_NULL", "DOCU_ITM_RADIX", "ITM_PERIOD", AP250), ".lo", ),"MNU_", "-MNU_")</f>
        <v>ITM_BACKSPACE</v>
      </c>
      <c r="BB250" s="157" t="str" cm="1">
        <f t="array" ref="BB250">SUBSTITUTE(SUBSTITUTE(_xlfn.SWITCH(AQ250, "ITM_T_HOME", "ITM_UP1", "ITM_T_END", "ITM_DOWN1", "DOCU_CHR_sub", "ITM_DOWN_ARROW", "DOCU_CHR_super", "ITM_UP_ARROW", "MNU_TAMALPHA", "ITM_alpha", "DOCU_CHR_caseFLIP", "ITM_NULL", "DOCU_CHR_numSET", "ITM_NULL", "DOCU_ITM_RADIX", "ITM_PERIOD", AQ250), ".lo", ),"MNU_", "-MNU_")</f>
        <v>ITM_BACKSPACE</v>
      </c>
      <c r="BC250" s="157" t="str" cm="1">
        <f t="array" ref="BC250">SUBSTITUTE(SUBSTITUTE(_xlfn.SWITCH(AR250, "ITM_T_HOME", "ITM_UP1", "ITM_T_END", "ITM_DOWN1", "DOCU_CHR_sub", "ITM_DOWN_ARROW", "DOCU_CHR_super", "ITM_UP_ARROW", "MNU_TAMALPHA", "ITM_alpha", "DOCU_CHR_caseFLIP", "ITM_NULL", "DOCU_CHR_numSET", "ITM_NULL", "DOCU_ITM_RADIX", "ITM_PERIOD", AR250), ".lo", ),"MNU_", "-MNU_")</f>
        <v>ITM_CLA</v>
      </c>
      <c r="BD250" s="157" t="str" cm="1">
        <f t="array" ref="BD250">SUBSTITUTE(SUBSTITUTE(_xlfn.SWITCH(AS250, "ITM_T_HOME", "ITM_UP1", "ITM_T_END", "ITM_DOWN1", "DOCU_CHR_sub", "ITM_DOWN_ARROW", "DOCU_CHR_super", "ITM_UP_ARROW", "MNU_TAMALPHA", "ITM_alpha", "DOCU_CHR_caseFLIP", "ITM_NULL", "DOCU_CHR_numSET", "ITM_NULL", "DOCU_ITM_RADIX", "ITM_PERIOD", AS250), ".lo", ),"MNU_", "-MNU_")</f>
        <v>ITM_CLA</v>
      </c>
      <c r="BE250" s="157" t="str" cm="1">
        <f t="array" ref="BE250">SUBSTITUTE(SUBSTITUTE(_xlfn.SWITCH(AT250, "ITM_T_HOME", "ITM_UP1", "ITM_T_END", "ITM_DOWN1", "DOCU_CHR_sub", "ITM_DOWN_ARROW", "DOCU_CHR_super", "ITM_UP_ARROW", "MNU_TAMALPHA", "ITM_alpha", "DOCU_CHR_caseFLIP", "ITM_NULL", "DOCU_CHR_numSET", "ITM_NULL", "DOCU_ITM_RADIX", "ITM_PERIOD", AT250), ".lo", ),"MNU_", "-MNU_")</f>
        <v>ITM_BACKSPACE</v>
      </c>
      <c r="BG250" s="75"/>
      <c r="BI250" s="13" t="str">
        <f t="shared" si="89"/>
        <v xml:space="preserve">  {45,                  ITM_BACKSPACE,        ITM_UNDO,             -MNU_CLR,             ITM_BACKSPACE,        ITM_BACKSPACE,        ITM_CLA,              ITM_CLA,              ITM_BACKSPACE       },</v>
      </c>
    </row>
    <row r="251" spans="24:61" ht="21" x14ac:dyDescent="0.2">
      <c r="X251" s="120" t="str">
        <f t="shared" si="81"/>
        <v>N47</v>
      </c>
      <c r="Y251" s="106">
        <v>5</v>
      </c>
      <c r="Z251" s="106">
        <v>1</v>
      </c>
      <c r="AA251" s="112" t="str">
        <f t="shared" si="80"/>
        <v>N47.51</v>
      </c>
      <c r="AB251" s="117" t="s">
        <v>82</v>
      </c>
      <c r="AC251" s="118" t="s">
        <v>83</v>
      </c>
      <c r="AD251" s="119" t="s">
        <v>227</v>
      </c>
      <c r="AE251" s="3"/>
      <c r="AF251" s="49" t="s">
        <v>144</v>
      </c>
      <c r="AG251" s="77" t="b">
        <f t="shared" si="90"/>
        <v>1</v>
      </c>
      <c r="AH251" s="83" t="str">
        <f t="shared" si="82"/>
        <v>n</v>
      </c>
      <c r="AI251" s="84" t="str">
        <f t="shared" si="83"/>
        <v>alpha</v>
      </c>
      <c r="AJ251" s="85" t="str">
        <f t="shared" si="84"/>
        <v>[TAMALPHA]</v>
      </c>
      <c r="AK251" s="6"/>
      <c r="AL251" s="8" t="str">
        <f t="shared" si="85"/>
        <v>{51</v>
      </c>
      <c r="AM251" s="27" t="str">
        <f t="shared" si="86"/>
        <v>ITM_XEQ</v>
      </c>
      <c r="AN251" s="27" t="str">
        <f t="shared" si="87"/>
        <v>ITM_AIM</v>
      </c>
      <c r="AO251" s="27" t="str">
        <f t="shared" si="88"/>
        <v>ITM_USERMODE</v>
      </c>
      <c r="AP251" s="46" t="str">
        <f>IF(NOT(ISNA(MATCH(AM251,Lookups!E:E,))),VLOOKUP(AM251,Lookups!E:F,2,0),
IF(NOT(ISNA(MATCH(AN251,Lookups!E:E,))),VLOOKUP(AN251,Lookups!E:F,2,0),
IF(NOT(ISNA(MATCH(AO251,Lookups!E:E,))),VLOOKUP(AO251,Lookups!E:F,2,0),"ITM_NULL")))</f>
        <v>ITM_NULL</v>
      </c>
      <c r="AQ251" s="28" t="str">
        <f t="shared" si="95"/>
        <v>ITM_N</v>
      </c>
      <c r="AR251" s="195" t="s">
        <v>145</v>
      </c>
      <c r="AS251" s="186" t="s">
        <v>87</v>
      </c>
      <c r="AT251" s="197" t="s">
        <v>622</v>
      </c>
      <c r="AW251" s="14" t="str">
        <f t="shared" si="91"/>
        <v>{51</v>
      </c>
      <c r="AX251" s="157" t="str" cm="1">
        <f t="array" ref="AX251">SUBSTITUTE(SUBSTITUTE(_xlfn.SWITCH(AM251, "ITM_T_HOME", "ITM_UP1", "ITM_T_END", "ITM_DOWN1", "DOCU_CHR_sub", "ITM_DOWN_ARROW", "DOCU_CHR_super", "ITM_UP_ARROW", "MNU_TAMALPHA", "ITM_alpha", "DOCU_CHR_caseFLIP", "ITM_NULL", "DOCU_CHR_numSET", "ITM_NULL", "DOCU_ITM_RADIX", "ITM_PERIOD", AM251), ".lo", ),"MNU_", "-MNU_")</f>
        <v>ITM_XEQ</v>
      </c>
      <c r="AY251" s="157" t="str" cm="1">
        <f t="array" ref="AY251">SUBSTITUTE(SUBSTITUTE(_xlfn.SWITCH(AN251, "ITM_T_HOME", "ITM_UP1", "ITM_T_END", "ITM_DOWN1", "DOCU_CHR_sub", "ITM_DOWN_ARROW", "DOCU_CHR_super", "ITM_UP_ARROW", "MNU_TAMALPHA", "ITM_alpha", "DOCU_CHR_caseFLIP", "ITM_NULL", "DOCU_CHR_numSET", "ITM_NULL", "DOCU_ITM_RADIX", "ITM_PERIOD", AN251), ".lo", ),"MNU_", "-MNU_")</f>
        <v>ITM_AIM</v>
      </c>
      <c r="AZ251" s="157" t="str" cm="1">
        <f t="array" ref="AZ251">SUBSTITUTE(SUBSTITUTE(_xlfn.SWITCH(AO251, "ITM_T_HOME", "ITM_UP1", "ITM_T_END", "ITM_DOWN1", "DOCU_CHR_sub", "ITM_DOWN_ARROW", "DOCU_CHR_super", "ITM_UP_ARROW", "MNU_TAMALPHA", "ITM_alpha", "DOCU_CHR_caseFLIP", "ITM_NULL", "DOCU_CHR_numSET", "ITM_NULL", "DOCU_ITM_RADIX", "ITM_PERIOD", AO251), ".lo", ),"MNU_", "-MNU_")</f>
        <v>ITM_USERMODE</v>
      </c>
      <c r="BA251" s="173" t="str" cm="1">
        <f t="array" ref="BA251">SUBSTITUTE(SUBSTITUTE(_xlfn.SWITCH(AP251, "ITM_T_HOME", "ITM_UP1", "ITM_T_END", "ITM_DOWN1", "DOCU_CHR_sub", "ITM_DOWN_ARROW", "DOCU_CHR_super", "ITM_UP_ARROW", "MNU_TAMALPHA", "ITM_alpha", "DOCU_CHR_caseFLIP", "ITM_NULL", "DOCU_CHR_numSET", "ITM_NULL", "DOCU_ITM_RADIX", "ITM_PERIOD", AP251), ".lo", ),"MNU_", "-MNU_")</f>
        <v>ITM_NULL</v>
      </c>
      <c r="BB251" s="157" t="str" cm="1">
        <f t="array" ref="BB251">SUBSTITUTE(SUBSTITUTE(_xlfn.SWITCH(AQ251, "ITM_T_HOME", "ITM_UP1", "ITM_T_END", "ITM_DOWN1", "DOCU_CHR_sub", "ITM_DOWN_ARROW", "DOCU_CHR_super", "ITM_UP_ARROW", "MNU_TAMALPHA", "ITM_alpha", "DOCU_CHR_caseFLIP", "ITM_NULL", "DOCU_CHR_numSET", "ITM_NULL", "DOCU_ITM_RADIX", "ITM_PERIOD", AQ251), ".lo", ),"MNU_", "-MNU_")</f>
        <v>ITM_N</v>
      </c>
      <c r="BC251" s="157" t="str" cm="1">
        <f t="array" ref="BC251">SUBSTITUTE(SUBSTITUTE(_xlfn.SWITCH(AR251, "ITM_T_HOME", "ITM_UP1", "ITM_T_END", "ITM_DOWN1", "DOCU_CHR_sub", "ITM_DOWN_ARROW", "DOCU_CHR_super", "ITM_UP_ARROW", "MNU_TAMALPHA", "ITM_alpha", "DOCU_CHR_caseFLIP", "ITM_NULL", "DOCU_CHR_numSET", "ITM_NULL", "DOCU_ITM_RADIX", "ITM_PERIOD", AR251), ".lo", ),"MNU_", "-MNU_")</f>
        <v>ITM_n</v>
      </c>
      <c r="BD251" s="157" t="str" cm="1">
        <f t="array" ref="BD251">SUBSTITUTE(SUBSTITUTE(_xlfn.SWITCH(AS251, "ITM_T_HOME", "ITM_UP1", "ITM_T_END", "ITM_DOWN1", "DOCU_CHR_sub", "ITM_DOWN_ARROW", "DOCU_CHR_super", "ITM_UP_ARROW", "MNU_TAMALPHA", "ITM_alpha", "DOCU_CHR_caseFLIP", "ITM_NULL", "DOCU_CHR_numSET", "ITM_NULL", "DOCU_ITM_RADIX", "ITM_PERIOD", AS251), ".lo", ),"MNU_", "-MNU_")</f>
        <v>ITM_alpha</v>
      </c>
      <c r="BE251" s="157" t="str" cm="1">
        <f t="array" ref="BE251">SUBSTITUTE(SUBSTITUTE(_xlfn.SWITCH(AT251, "ITM_T_HOME", "ITM_UP1", "ITM_T_END", "ITM_DOWN1", "DOCU_CHR_sub", "ITM_DOWN_ARROW", "DOCU_CHR_super", "ITM_UP_ARROW", "MNU_TAMALPHA", "ITM_alpha", "DOCU_CHR_caseFLIP", "ITM_NULL", "DOCU_CHR_numSET", "ITM_NULL", "DOCU_ITM_RADIX", "ITM_PERIOD", AT251), ".lo", ),"MNU_", "-MNU_")</f>
        <v>ITM_alpha</v>
      </c>
      <c r="BG251" s="75"/>
      <c r="BI251" s="13" t="str">
        <f t="shared" si="89"/>
        <v xml:space="preserve">  {51,                  ITM_XEQ,              ITM_AIM,              ITM_USERMODE,         ITM_NULL,             ITM_N,                ITM_n,                ITM_alpha,            ITM_alpha           },</v>
      </c>
    </row>
    <row r="252" spans="24:61" ht="21" x14ac:dyDescent="0.2">
      <c r="X252" s="120" t="str">
        <f t="shared" si="81"/>
        <v>N47</v>
      </c>
      <c r="Y252" s="109">
        <v>5</v>
      </c>
      <c r="Z252" s="109">
        <v>2</v>
      </c>
      <c r="AA252" s="112" t="str">
        <f t="shared" si="80"/>
        <v>N47.52</v>
      </c>
      <c r="AB252" s="117">
        <v>7</v>
      </c>
      <c r="AC252" s="118" t="s">
        <v>84</v>
      </c>
      <c r="AD252" s="119" t="s">
        <v>167</v>
      </c>
      <c r="AE252" s="3"/>
      <c r="AF252" s="49" t="s">
        <v>150</v>
      </c>
      <c r="AG252" s="77" t="b">
        <f t="shared" si="90"/>
        <v>1</v>
      </c>
      <c r="AH252" s="83" t="str">
        <f t="shared" si="82"/>
        <v>o</v>
      </c>
      <c r="AI252" s="84">
        <f t="shared" si="83"/>
        <v>7</v>
      </c>
      <c r="AJ252" s="85">
        <f t="shared" si="84"/>
        <v>7</v>
      </c>
      <c r="AK252" s="6"/>
      <c r="AL252" s="8" t="str">
        <f t="shared" si="85"/>
        <v>{52</v>
      </c>
      <c r="AM252" s="27" t="str">
        <f t="shared" si="86"/>
        <v>ITM_7</v>
      </c>
      <c r="AN252" s="27" t="str">
        <f t="shared" si="87"/>
        <v>ITM_GTO</v>
      </c>
      <c r="AO252" s="27" t="str">
        <f t="shared" si="88"/>
        <v>MNU_HOME</v>
      </c>
      <c r="AP252" s="46" t="str">
        <f>IF(NOT(ISNA(MATCH(AM252,Lookups!E:E,))),VLOOKUP(AM252,Lookups!E:F,2,0),
IF(NOT(ISNA(MATCH(AN252,Lookups!E:E,))),VLOOKUP(AN252,Lookups!E:F,2,0),
IF(NOT(ISNA(MATCH(AO252,Lookups!E:E,))),VLOOKUP(AO252,Lookups!E:F,2,0),"ITM_NULL")))</f>
        <v>ITM_7</v>
      </c>
      <c r="AQ252" s="28" t="str">
        <f t="shared" si="95"/>
        <v>ITM_O</v>
      </c>
      <c r="AR252" s="195" t="s">
        <v>151</v>
      </c>
      <c r="AS252" s="186" t="s">
        <v>170</v>
      </c>
      <c r="AT252" s="197" t="s">
        <v>170</v>
      </c>
      <c r="AW252" s="14" t="str">
        <f t="shared" si="91"/>
        <v>{52</v>
      </c>
      <c r="AX252" s="157" t="str" cm="1">
        <f t="array" ref="AX252">SUBSTITUTE(SUBSTITUTE(_xlfn.SWITCH(AM252, "ITM_T_HOME", "ITM_UP1", "ITM_T_END", "ITM_DOWN1", "DOCU_CHR_sub", "ITM_DOWN_ARROW", "DOCU_CHR_super", "ITM_UP_ARROW", "MNU_TAMALPHA", "ITM_alpha", "DOCU_CHR_caseFLIP", "ITM_NULL", "DOCU_CHR_numSET", "ITM_NULL", "DOCU_ITM_RADIX", "ITM_PERIOD", AM252), ".lo", ),"MNU_", "-MNU_")</f>
        <v>ITM_7</v>
      </c>
      <c r="AY252" s="157" t="str" cm="1">
        <f t="array" ref="AY252">SUBSTITUTE(SUBSTITUTE(_xlfn.SWITCH(AN252, "ITM_T_HOME", "ITM_UP1", "ITM_T_END", "ITM_DOWN1", "DOCU_CHR_sub", "ITM_DOWN_ARROW", "DOCU_CHR_super", "ITM_UP_ARROW", "MNU_TAMALPHA", "ITM_alpha", "DOCU_CHR_caseFLIP", "ITM_NULL", "DOCU_CHR_numSET", "ITM_NULL", "DOCU_ITM_RADIX", "ITM_PERIOD", AN252), ".lo", ),"MNU_", "-MNU_")</f>
        <v>ITM_GTO</v>
      </c>
      <c r="AZ252" s="157" t="str" cm="1">
        <f t="array" ref="AZ252">SUBSTITUTE(SUBSTITUTE(_xlfn.SWITCH(AO252, "ITM_T_HOME", "ITM_UP1", "ITM_T_END", "ITM_DOWN1", "DOCU_CHR_sub", "ITM_DOWN_ARROW", "DOCU_CHR_super", "ITM_UP_ARROW", "MNU_TAMALPHA", "ITM_alpha", "DOCU_CHR_caseFLIP", "ITM_NULL", "DOCU_CHR_numSET", "ITM_NULL", "DOCU_ITM_RADIX", "ITM_PERIOD", AO252), ".lo", ),"MNU_", "-MNU_")</f>
        <v>-MNU_HOME</v>
      </c>
      <c r="BA252" s="173" t="str" cm="1">
        <f t="array" ref="BA252">SUBSTITUTE(SUBSTITUTE(_xlfn.SWITCH(AP252, "ITM_T_HOME", "ITM_UP1", "ITM_T_END", "ITM_DOWN1", "DOCU_CHR_sub", "ITM_DOWN_ARROW", "DOCU_CHR_super", "ITM_UP_ARROW", "MNU_TAMALPHA", "ITM_alpha", "DOCU_CHR_caseFLIP", "ITM_NULL", "DOCU_CHR_numSET", "ITM_NULL", "DOCU_ITM_RADIX", "ITM_PERIOD", AP252), ".lo", ),"MNU_", "-MNU_")</f>
        <v>ITM_7</v>
      </c>
      <c r="BB252" s="157" t="str" cm="1">
        <f t="array" ref="BB252">SUBSTITUTE(SUBSTITUTE(_xlfn.SWITCH(AQ252, "ITM_T_HOME", "ITM_UP1", "ITM_T_END", "ITM_DOWN1", "DOCU_CHR_sub", "ITM_DOWN_ARROW", "DOCU_CHR_super", "ITM_UP_ARROW", "MNU_TAMALPHA", "ITM_alpha", "DOCU_CHR_caseFLIP", "ITM_NULL", "DOCU_CHR_numSET", "ITM_NULL", "DOCU_ITM_RADIX", "ITM_PERIOD", AQ252), ".lo", ),"MNU_", "-MNU_")</f>
        <v>ITM_O</v>
      </c>
      <c r="BC252" s="157" t="str" cm="1">
        <f t="array" ref="BC252">SUBSTITUTE(SUBSTITUTE(_xlfn.SWITCH(AR252, "ITM_T_HOME", "ITM_UP1", "ITM_T_END", "ITM_DOWN1", "DOCU_CHR_sub", "ITM_DOWN_ARROW", "DOCU_CHR_super", "ITM_UP_ARROW", "MNU_TAMALPHA", "ITM_alpha", "DOCU_CHR_caseFLIP", "ITM_NULL", "DOCU_CHR_numSET", "ITM_NULL", "DOCU_ITM_RADIX", "ITM_PERIOD", AR252), ".lo", ),"MNU_", "-MNU_")</f>
        <v>ITM_o</v>
      </c>
      <c r="BD252" s="157" t="str" cm="1">
        <f t="array" ref="BD252">SUBSTITUTE(SUBSTITUTE(_xlfn.SWITCH(AS252, "ITM_T_HOME", "ITM_UP1", "ITM_T_END", "ITM_DOWN1", "DOCU_CHR_sub", "ITM_DOWN_ARROW", "DOCU_CHR_super", "ITM_UP_ARROW", "MNU_TAMALPHA", "ITM_alpha", "DOCU_CHR_caseFLIP", "ITM_NULL", "DOCU_CHR_numSET", "ITM_NULL", "DOCU_ITM_RADIX", "ITM_PERIOD", AS252), ".lo", ),"MNU_", "-MNU_")</f>
        <v>ITM_7</v>
      </c>
      <c r="BE252" s="157" t="str" cm="1">
        <f t="array" ref="BE252">SUBSTITUTE(SUBSTITUTE(_xlfn.SWITCH(AT252, "ITM_T_HOME", "ITM_UP1", "ITM_T_END", "ITM_DOWN1", "DOCU_CHR_sub", "ITM_DOWN_ARROW", "DOCU_CHR_super", "ITM_UP_ARROW", "MNU_TAMALPHA", "ITM_alpha", "DOCU_CHR_caseFLIP", "ITM_NULL", "DOCU_CHR_numSET", "ITM_NULL", "DOCU_ITM_RADIX", "ITM_PERIOD", AT252), ".lo", ),"MNU_", "-MNU_")</f>
        <v>ITM_7</v>
      </c>
      <c r="BG252" s="75"/>
      <c r="BI252" s="13" t="str">
        <f t="shared" si="89"/>
        <v xml:space="preserve">  {52,                  ITM_7,                ITM_GTO,              -MNU_HOME,            ITM_7,                ITM_O,                ITM_o,                ITM_7,                ITM_7               },</v>
      </c>
    </row>
    <row r="253" spans="24:61" ht="21" x14ac:dyDescent="0.2">
      <c r="X253" s="120" t="str">
        <f t="shared" si="81"/>
        <v>N47</v>
      </c>
      <c r="Y253" s="109">
        <v>5</v>
      </c>
      <c r="Z253" s="109">
        <v>3</v>
      </c>
      <c r="AA253" s="112" t="str">
        <f t="shared" si="80"/>
        <v>N47.53</v>
      </c>
      <c r="AB253" s="117">
        <v>8</v>
      </c>
      <c r="AC253" s="118" t="s">
        <v>166</v>
      </c>
      <c r="AD253" s="119" t="s">
        <v>171</v>
      </c>
      <c r="AE253" s="3"/>
      <c r="AF253" s="49" t="s">
        <v>168</v>
      </c>
      <c r="AG253" s="77" t="b">
        <f t="shared" si="90"/>
        <v>1</v>
      </c>
      <c r="AH253" s="83" t="str">
        <f t="shared" si="82"/>
        <v>p</v>
      </c>
      <c r="AI253" s="84">
        <f t="shared" si="83"/>
        <v>8</v>
      </c>
      <c r="AJ253" s="85">
        <f t="shared" si="84"/>
        <v>8</v>
      </c>
      <c r="AK253" s="6"/>
      <c r="AL253" s="8" t="str">
        <f t="shared" si="85"/>
        <v>{53</v>
      </c>
      <c r="AM253" s="27" t="str">
        <f t="shared" si="86"/>
        <v>ITM_8</v>
      </c>
      <c r="AN253" s="27" t="str">
        <f t="shared" si="87"/>
        <v>MNU_EQN</v>
      </c>
      <c r="AO253" s="27" t="str">
        <f t="shared" si="88"/>
        <v>MNU_ADV</v>
      </c>
      <c r="AP253" s="46" t="str">
        <f>IF(NOT(ISNA(MATCH(AM253,Lookups!E:E,))),VLOOKUP(AM253,Lookups!E:F,2,0),
IF(NOT(ISNA(MATCH(AN253,Lookups!E:E,))),VLOOKUP(AN253,Lookups!E:F,2,0),
IF(NOT(ISNA(MATCH(AO253,Lookups!E:E,))),VLOOKUP(AO253,Lookups!E:F,2,0),"ITM_NULL")))</f>
        <v>ITM_8</v>
      </c>
      <c r="AQ253" s="28" t="str">
        <f t="shared" si="95"/>
        <v>ITM_P</v>
      </c>
      <c r="AR253" s="195" t="s">
        <v>169</v>
      </c>
      <c r="AS253" s="186" t="s">
        <v>175</v>
      </c>
      <c r="AT253" s="197" t="s">
        <v>175</v>
      </c>
      <c r="AW253" s="14" t="str">
        <f t="shared" si="91"/>
        <v>{53</v>
      </c>
      <c r="AX253" s="157" t="str" cm="1">
        <f t="array" ref="AX253">SUBSTITUTE(SUBSTITUTE(_xlfn.SWITCH(AM253, "ITM_T_HOME", "ITM_UP1", "ITM_T_END", "ITM_DOWN1", "DOCU_CHR_sub", "ITM_DOWN_ARROW", "DOCU_CHR_super", "ITM_UP_ARROW", "MNU_TAMALPHA", "ITM_alpha", "DOCU_CHR_caseFLIP", "ITM_NULL", "DOCU_CHR_numSET", "ITM_NULL", "DOCU_ITM_RADIX", "ITM_PERIOD", AM253), ".lo", ),"MNU_", "-MNU_")</f>
        <v>ITM_8</v>
      </c>
      <c r="AY253" s="157" t="str" cm="1">
        <f t="array" ref="AY253">SUBSTITUTE(SUBSTITUTE(_xlfn.SWITCH(AN253, "ITM_T_HOME", "ITM_UP1", "ITM_T_END", "ITM_DOWN1", "DOCU_CHR_sub", "ITM_DOWN_ARROW", "DOCU_CHR_super", "ITM_UP_ARROW", "MNU_TAMALPHA", "ITM_alpha", "DOCU_CHR_caseFLIP", "ITM_NULL", "DOCU_CHR_numSET", "ITM_NULL", "DOCU_ITM_RADIX", "ITM_PERIOD", AN253), ".lo", ),"MNU_", "-MNU_")</f>
        <v>-MNU_EQN</v>
      </c>
      <c r="AZ253" s="157" t="str" cm="1">
        <f t="array" ref="AZ253">SUBSTITUTE(SUBSTITUTE(_xlfn.SWITCH(AO253, "ITM_T_HOME", "ITM_UP1", "ITM_T_END", "ITM_DOWN1", "DOCU_CHR_sub", "ITM_DOWN_ARROW", "DOCU_CHR_super", "ITM_UP_ARROW", "MNU_TAMALPHA", "ITM_alpha", "DOCU_CHR_caseFLIP", "ITM_NULL", "DOCU_CHR_numSET", "ITM_NULL", "DOCU_ITM_RADIX", "ITM_PERIOD", AO253), ".lo", ),"MNU_", "-MNU_")</f>
        <v>-MNU_ADV</v>
      </c>
      <c r="BA253" s="173" t="str" cm="1">
        <f t="array" ref="BA253">SUBSTITUTE(SUBSTITUTE(_xlfn.SWITCH(AP253, "ITM_T_HOME", "ITM_UP1", "ITM_T_END", "ITM_DOWN1", "DOCU_CHR_sub", "ITM_DOWN_ARROW", "DOCU_CHR_super", "ITM_UP_ARROW", "MNU_TAMALPHA", "ITM_alpha", "DOCU_CHR_caseFLIP", "ITM_NULL", "DOCU_CHR_numSET", "ITM_NULL", "DOCU_ITM_RADIX", "ITM_PERIOD", AP253), ".lo", ),"MNU_", "-MNU_")</f>
        <v>ITM_8</v>
      </c>
      <c r="BB253" s="157" t="str" cm="1">
        <f t="array" ref="BB253">SUBSTITUTE(SUBSTITUTE(_xlfn.SWITCH(AQ253, "ITM_T_HOME", "ITM_UP1", "ITM_T_END", "ITM_DOWN1", "DOCU_CHR_sub", "ITM_DOWN_ARROW", "DOCU_CHR_super", "ITM_UP_ARROW", "MNU_TAMALPHA", "ITM_alpha", "DOCU_CHR_caseFLIP", "ITM_NULL", "DOCU_CHR_numSET", "ITM_NULL", "DOCU_ITM_RADIX", "ITM_PERIOD", AQ253), ".lo", ),"MNU_", "-MNU_")</f>
        <v>ITM_P</v>
      </c>
      <c r="BC253" s="157" t="str" cm="1">
        <f t="array" ref="BC253">SUBSTITUTE(SUBSTITUTE(_xlfn.SWITCH(AR253, "ITM_T_HOME", "ITM_UP1", "ITM_T_END", "ITM_DOWN1", "DOCU_CHR_sub", "ITM_DOWN_ARROW", "DOCU_CHR_super", "ITM_UP_ARROW", "MNU_TAMALPHA", "ITM_alpha", "DOCU_CHR_caseFLIP", "ITM_NULL", "DOCU_CHR_numSET", "ITM_NULL", "DOCU_ITM_RADIX", "ITM_PERIOD", AR253), ".lo", ),"MNU_", "-MNU_")</f>
        <v>ITM_p</v>
      </c>
      <c r="BD253" s="157" t="str" cm="1">
        <f t="array" ref="BD253">SUBSTITUTE(SUBSTITUTE(_xlfn.SWITCH(AS253, "ITM_T_HOME", "ITM_UP1", "ITM_T_END", "ITM_DOWN1", "DOCU_CHR_sub", "ITM_DOWN_ARROW", "DOCU_CHR_super", "ITM_UP_ARROW", "MNU_TAMALPHA", "ITM_alpha", "DOCU_CHR_caseFLIP", "ITM_NULL", "DOCU_CHR_numSET", "ITM_NULL", "DOCU_ITM_RADIX", "ITM_PERIOD", AS253), ".lo", ),"MNU_", "-MNU_")</f>
        <v>ITM_8</v>
      </c>
      <c r="BE253" s="157" t="str" cm="1">
        <f t="array" ref="BE253">SUBSTITUTE(SUBSTITUTE(_xlfn.SWITCH(AT253, "ITM_T_HOME", "ITM_UP1", "ITM_T_END", "ITM_DOWN1", "DOCU_CHR_sub", "ITM_DOWN_ARROW", "DOCU_CHR_super", "ITM_UP_ARROW", "MNU_TAMALPHA", "ITM_alpha", "DOCU_CHR_caseFLIP", "ITM_NULL", "DOCU_CHR_numSET", "ITM_NULL", "DOCU_ITM_RADIX", "ITM_PERIOD", AT253), ".lo", ),"MNU_", "-MNU_")</f>
        <v>ITM_8</v>
      </c>
      <c r="BG253" s="75"/>
      <c r="BI253" s="13" t="str">
        <f t="shared" si="89"/>
        <v xml:space="preserve">  {53,                  ITM_8,                -MNU_EQN,             -MNU_ADV,             ITM_8,                ITM_P,                ITM_p,                ITM_8,                ITM_8               },</v>
      </c>
    </row>
    <row r="254" spans="24:61" ht="21" x14ac:dyDescent="0.2">
      <c r="X254" s="120" t="str">
        <f t="shared" si="81"/>
        <v>N47</v>
      </c>
      <c r="Y254" s="109">
        <v>5</v>
      </c>
      <c r="Z254" s="109">
        <v>4</v>
      </c>
      <c r="AA254" s="112" t="str">
        <f t="shared" si="80"/>
        <v>N47.54</v>
      </c>
      <c r="AB254" s="117">
        <v>9</v>
      </c>
      <c r="AC254" s="118" t="s">
        <v>176</v>
      </c>
      <c r="AD254" s="119" t="s">
        <v>177</v>
      </c>
      <c r="AE254" s="3"/>
      <c r="AF254" s="49" t="s">
        <v>173</v>
      </c>
      <c r="AG254" s="77" t="b">
        <f t="shared" si="90"/>
        <v>1</v>
      </c>
      <c r="AH254" s="83" t="str">
        <f t="shared" si="82"/>
        <v>q</v>
      </c>
      <c r="AI254" s="84">
        <f t="shared" si="83"/>
        <v>9</v>
      </c>
      <c r="AJ254" s="85">
        <f t="shared" si="84"/>
        <v>9</v>
      </c>
      <c r="AK254" s="6"/>
      <c r="AL254" s="8" t="str">
        <f t="shared" si="85"/>
        <v>{54</v>
      </c>
      <c r="AM254" s="27" t="str">
        <f t="shared" si="86"/>
        <v>ITM_9</v>
      </c>
      <c r="AN254" s="27" t="str">
        <f t="shared" si="87"/>
        <v>MNU_MATX</v>
      </c>
      <c r="AO254" s="27" t="str">
        <f t="shared" si="88"/>
        <v>MNU_XFN</v>
      </c>
      <c r="AP254" s="46" t="str">
        <f>IF(NOT(ISNA(MATCH(AM254,Lookups!E:E,))),VLOOKUP(AM254,Lookups!E:F,2,0),
IF(NOT(ISNA(MATCH(AN254,Lookups!E:E,))),VLOOKUP(AN254,Lookups!E:F,2,0),
IF(NOT(ISNA(MATCH(AO254,Lookups!E:E,))),VLOOKUP(AO254,Lookups!E:F,2,0),"ITM_NULL")))</f>
        <v>ITM_9</v>
      </c>
      <c r="AQ254" s="28" t="str">
        <f t="shared" si="95"/>
        <v>ITM_Q</v>
      </c>
      <c r="AR254" s="195" t="s">
        <v>174</v>
      </c>
      <c r="AS254" s="186" t="s">
        <v>180</v>
      </c>
      <c r="AT254" s="197" t="s">
        <v>180</v>
      </c>
      <c r="AW254" s="14" t="str">
        <f t="shared" si="91"/>
        <v>{54</v>
      </c>
      <c r="AX254" s="157" t="str" cm="1">
        <f t="array" ref="AX254">SUBSTITUTE(SUBSTITUTE(_xlfn.SWITCH(AM254, "ITM_T_HOME", "ITM_UP1", "ITM_T_END", "ITM_DOWN1", "DOCU_CHR_sub", "ITM_DOWN_ARROW", "DOCU_CHR_super", "ITM_UP_ARROW", "MNU_TAMALPHA", "ITM_alpha", "DOCU_CHR_caseFLIP", "ITM_NULL", "DOCU_CHR_numSET", "ITM_NULL", "DOCU_ITM_RADIX", "ITM_PERIOD", AM254), ".lo", ),"MNU_", "-MNU_")</f>
        <v>ITM_9</v>
      </c>
      <c r="AY254" s="157" t="str" cm="1">
        <f t="array" ref="AY254">SUBSTITUTE(SUBSTITUTE(_xlfn.SWITCH(AN254, "ITM_T_HOME", "ITM_UP1", "ITM_T_END", "ITM_DOWN1", "DOCU_CHR_sub", "ITM_DOWN_ARROW", "DOCU_CHR_super", "ITM_UP_ARROW", "MNU_TAMALPHA", "ITM_alpha", "DOCU_CHR_caseFLIP", "ITM_NULL", "DOCU_CHR_numSET", "ITM_NULL", "DOCU_ITM_RADIX", "ITM_PERIOD", AN254), ".lo", ),"MNU_", "-MNU_")</f>
        <v>-MNU_MATX</v>
      </c>
      <c r="AZ254" s="157" t="str" cm="1">
        <f t="array" ref="AZ254">SUBSTITUTE(SUBSTITUTE(_xlfn.SWITCH(AO254, "ITM_T_HOME", "ITM_UP1", "ITM_T_END", "ITM_DOWN1", "DOCU_CHR_sub", "ITM_DOWN_ARROW", "DOCU_CHR_super", "ITM_UP_ARROW", "MNU_TAMALPHA", "ITM_alpha", "DOCU_CHR_caseFLIP", "ITM_NULL", "DOCU_CHR_numSET", "ITM_NULL", "DOCU_ITM_RADIX", "ITM_PERIOD", AO254), ".lo", ),"MNU_", "-MNU_")</f>
        <v>-MNU_XFN</v>
      </c>
      <c r="BA254" s="173" t="str" cm="1">
        <f t="array" ref="BA254">SUBSTITUTE(SUBSTITUTE(_xlfn.SWITCH(AP254, "ITM_T_HOME", "ITM_UP1", "ITM_T_END", "ITM_DOWN1", "DOCU_CHR_sub", "ITM_DOWN_ARROW", "DOCU_CHR_super", "ITM_UP_ARROW", "MNU_TAMALPHA", "ITM_alpha", "DOCU_CHR_caseFLIP", "ITM_NULL", "DOCU_CHR_numSET", "ITM_NULL", "DOCU_ITM_RADIX", "ITM_PERIOD", AP254), ".lo", ),"MNU_", "-MNU_")</f>
        <v>ITM_9</v>
      </c>
      <c r="BB254" s="157" t="str" cm="1">
        <f t="array" ref="BB254">SUBSTITUTE(SUBSTITUTE(_xlfn.SWITCH(AQ254, "ITM_T_HOME", "ITM_UP1", "ITM_T_END", "ITM_DOWN1", "DOCU_CHR_sub", "ITM_DOWN_ARROW", "DOCU_CHR_super", "ITM_UP_ARROW", "MNU_TAMALPHA", "ITM_alpha", "DOCU_CHR_caseFLIP", "ITM_NULL", "DOCU_CHR_numSET", "ITM_NULL", "DOCU_ITM_RADIX", "ITM_PERIOD", AQ254), ".lo", ),"MNU_", "-MNU_")</f>
        <v>ITM_Q</v>
      </c>
      <c r="BC254" s="157" t="str" cm="1">
        <f t="array" ref="BC254">SUBSTITUTE(SUBSTITUTE(_xlfn.SWITCH(AR254, "ITM_T_HOME", "ITM_UP1", "ITM_T_END", "ITM_DOWN1", "DOCU_CHR_sub", "ITM_DOWN_ARROW", "DOCU_CHR_super", "ITM_UP_ARROW", "MNU_TAMALPHA", "ITM_alpha", "DOCU_CHR_caseFLIP", "ITM_NULL", "DOCU_CHR_numSET", "ITM_NULL", "DOCU_ITM_RADIX", "ITM_PERIOD", AR254), ".lo", ),"MNU_", "-MNU_")</f>
        <v>ITM_q</v>
      </c>
      <c r="BD254" s="157" t="str" cm="1">
        <f t="array" ref="BD254">SUBSTITUTE(SUBSTITUTE(_xlfn.SWITCH(AS254, "ITM_T_HOME", "ITM_UP1", "ITM_T_END", "ITM_DOWN1", "DOCU_CHR_sub", "ITM_DOWN_ARROW", "DOCU_CHR_super", "ITM_UP_ARROW", "MNU_TAMALPHA", "ITM_alpha", "DOCU_CHR_caseFLIP", "ITM_NULL", "DOCU_CHR_numSET", "ITM_NULL", "DOCU_ITM_RADIX", "ITM_PERIOD", AS254), ".lo", ),"MNU_", "-MNU_")</f>
        <v>ITM_9</v>
      </c>
      <c r="BE254" s="157" t="str" cm="1">
        <f t="array" ref="BE254">SUBSTITUTE(SUBSTITUTE(_xlfn.SWITCH(AT254, "ITM_T_HOME", "ITM_UP1", "ITM_T_END", "ITM_DOWN1", "DOCU_CHR_sub", "ITM_DOWN_ARROW", "DOCU_CHR_super", "ITM_UP_ARROW", "MNU_TAMALPHA", "ITM_alpha", "DOCU_CHR_caseFLIP", "ITM_NULL", "DOCU_CHR_numSET", "ITM_NULL", "DOCU_ITM_RADIX", "ITM_PERIOD", AT254), ".lo", ),"MNU_", "-MNU_")</f>
        <v>ITM_9</v>
      </c>
      <c r="BG254" s="75"/>
      <c r="BI254" s="13" t="str">
        <f t="shared" si="89"/>
        <v xml:space="preserve">  {54,                  ITM_9,                -MNU_MATX,            -MNU_XFN,             ITM_9,                ITM_Q,                ITM_q,                ITM_9,                ITM_9               },</v>
      </c>
    </row>
    <row r="255" spans="24:61" ht="21" x14ac:dyDescent="0.2">
      <c r="X255" s="120" t="str">
        <f t="shared" si="81"/>
        <v>N47</v>
      </c>
      <c r="Y255" s="109">
        <v>5</v>
      </c>
      <c r="Z255" s="109">
        <v>5</v>
      </c>
      <c r="AA255" s="112" t="str">
        <f t="shared" si="80"/>
        <v>N47.55</v>
      </c>
      <c r="AB255" s="121" t="s">
        <v>181</v>
      </c>
      <c r="AC255" s="118" t="s">
        <v>182</v>
      </c>
      <c r="AD255" s="119" t="s">
        <v>183</v>
      </c>
      <c r="AE255" s="3"/>
      <c r="AF255" s="49" t="s">
        <v>178</v>
      </c>
      <c r="AG255" s="77" t="b">
        <f t="shared" si="90"/>
        <v>1</v>
      </c>
      <c r="AH255" s="83" t="str">
        <f t="shared" si="82"/>
        <v>r</v>
      </c>
      <c r="AI255" s="84" t="str">
        <f t="shared" si="83"/>
        <v>÷</v>
      </c>
      <c r="AJ255" s="85" t="str">
        <f t="shared" si="84"/>
        <v>÷</v>
      </c>
      <c r="AK255" s="6"/>
      <c r="AL255" s="8" t="str">
        <f t="shared" si="85"/>
        <v>{55</v>
      </c>
      <c r="AM255" s="27" t="str">
        <f t="shared" si="86"/>
        <v>ITM_DIV</v>
      </c>
      <c r="AN255" s="27" t="str">
        <f t="shared" si="87"/>
        <v>MNU_STAT</v>
      </c>
      <c r="AO255" s="27" t="str">
        <f t="shared" si="88"/>
        <v>MNU_PLOTTING</v>
      </c>
      <c r="AP255" s="46" t="str">
        <f>IF(NOT(ISNA(MATCH(AM255,Lookups!E:E,))),VLOOKUP(AM255,Lookups!E:F,2,0),
IF(NOT(ISNA(MATCH(AN255,Lookups!E:E,))),VLOOKUP(AN255,Lookups!E:F,2,0),
IF(NOT(ISNA(MATCH(AO255,Lookups!E:E,))),VLOOKUP(AO255,Lookups!E:F,2,0),"ITM_NULL")))</f>
        <v>ITM_OBELUS</v>
      </c>
      <c r="AQ255" s="28" t="str">
        <f t="shared" si="95"/>
        <v>ITM_R</v>
      </c>
      <c r="AR255" s="195" t="s">
        <v>179</v>
      </c>
      <c r="AS255" s="186" t="s">
        <v>186</v>
      </c>
      <c r="AT255" s="197" t="s">
        <v>187</v>
      </c>
      <c r="AW255" s="14" t="str">
        <f t="shared" si="91"/>
        <v>{55</v>
      </c>
      <c r="AX255" s="157" t="str" cm="1">
        <f t="array" ref="AX255">SUBSTITUTE(SUBSTITUTE(_xlfn.SWITCH(AM255, "ITM_T_HOME", "ITM_UP1", "ITM_T_END", "ITM_DOWN1", "DOCU_CHR_sub", "ITM_DOWN_ARROW", "DOCU_CHR_super", "ITM_UP_ARROW", "MNU_TAMALPHA", "ITM_alpha", "DOCU_CHR_caseFLIP", "ITM_NULL", "DOCU_CHR_numSET", "ITM_NULL", "DOCU_ITM_RADIX", "ITM_PERIOD", AM255), ".lo", ),"MNU_", "-MNU_")</f>
        <v>ITM_DIV</v>
      </c>
      <c r="AY255" s="157" t="str" cm="1">
        <f t="array" ref="AY255">SUBSTITUTE(SUBSTITUTE(_xlfn.SWITCH(AN255, "ITM_T_HOME", "ITM_UP1", "ITM_T_END", "ITM_DOWN1", "DOCU_CHR_sub", "ITM_DOWN_ARROW", "DOCU_CHR_super", "ITM_UP_ARROW", "MNU_TAMALPHA", "ITM_alpha", "DOCU_CHR_caseFLIP", "ITM_NULL", "DOCU_CHR_numSET", "ITM_NULL", "DOCU_ITM_RADIX", "ITM_PERIOD", AN255), ".lo", ),"MNU_", "-MNU_")</f>
        <v>-MNU_STAT</v>
      </c>
      <c r="AZ255" s="157" t="str" cm="1">
        <f t="array" ref="AZ255">SUBSTITUTE(SUBSTITUTE(_xlfn.SWITCH(AO255, "ITM_T_HOME", "ITM_UP1", "ITM_T_END", "ITM_DOWN1", "DOCU_CHR_sub", "ITM_DOWN_ARROW", "DOCU_CHR_super", "ITM_UP_ARROW", "MNU_TAMALPHA", "ITM_alpha", "DOCU_CHR_caseFLIP", "ITM_NULL", "DOCU_CHR_numSET", "ITM_NULL", "DOCU_ITM_RADIX", "ITM_PERIOD", AO255), ".lo", ),"MNU_", "-MNU_")</f>
        <v>-MNU_PLOTTING</v>
      </c>
      <c r="BA255" s="173" t="str" cm="1">
        <f t="array" ref="BA255">SUBSTITUTE(SUBSTITUTE(_xlfn.SWITCH(AP255, "ITM_T_HOME", "ITM_UP1", "ITM_T_END", "ITM_DOWN1", "DOCU_CHR_sub", "ITM_DOWN_ARROW", "DOCU_CHR_super", "ITM_UP_ARROW", "MNU_TAMALPHA", "ITM_alpha", "DOCU_CHR_caseFLIP", "ITM_NULL", "DOCU_CHR_numSET", "ITM_NULL", "DOCU_ITM_RADIX", "ITM_PERIOD", AP255), ".lo", ),"MNU_", "-MNU_")</f>
        <v>ITM_OBELUS</v>
      </c>
      <c r="BB255" s="157" t="str" cm="1">
        <f t="array" ref="BB255">SUBSTITUTE(SUBSTITUTE(_xlfn.SWITCH(AQ255, "ITM_T_HOME", "ITM_UP1", "ITM_T_END", "ITM_DOWN1", "DOCU_CHR_sub", "ITM_DOWN_ARROW", "DOCU_CHR_super", "ITM_UP_ARROW", "MNU_TAMALPHA", "ITM_alpha", "DOCU_CHR_caseFLIP", "ITM_NULL", "DOCU_CHR_numSET", "ITM_NULL", "DOCU_ITM_RADIX", "ITM_PERIOD", AQ255), ".lo", ),"MNU_", "-MNU_")</f>
        <v>ITM_R</v>
      </c>
      <c r="BC255" s="157" t="str" cm="1">
        <f t="array" ref="BC255">SUBSTITUTE(SUBSTITUTE(_xlfn.SWITCH(AR255, "ITM_T_HOME", "ITM_UP1", "ITM_T_END", "ITM_DOWN1", "DOCU_CHR_sub", "ITM_DOWN_ARROW", "DOCU_CHR_super", "ITM_UP_ARROW", "MNU_TAMALPHA", "ITM_alpha", "DOCU_CHR_caseFLIP", "ITM_NULL", "DOCU_CHR_numSET", "ITM_NULL", "DOCU_ITM_RADIX", "ITM_PERIOD", AR255), ".lo", ),"MNU_", "-MNU_")</f>
        <v>ITM_r</v>
      </c>
      <c r="BD255" s="157" t="str" cm="1">
        <f t="array" ref="BD255">SUBSTITUTE(SUBSTITUTE(_xlfn.SWITCH(AS255, "ITM_T_HOME", "ITM_UP1", "ITM_T_END", "ITM_DOWN1", "DOCU_CHR_sub", "ITM_DOWN_ARROW", "DOCU_CHR_super", "ITM_UP_ARROW", "MNU_TAMALPHA", "ITM_alpha", "DOCU_CHR_caseFLIP", "ITM_NULL", "DOCU_CHR_numSET", "ITM_NULL", "DOCU_ITM_RADIX", "ITM_PERIOD", AS255), ".lo", ),"MNU_", "-MNU_")</f>
        <v>ITM_OBELUS</v>
      </c>
      <c r="BE255" s="157" t="str" cm="1">
        <f t="array" ref="BE255">SUBSTITUTE(SUBSTITUTE(_xlfn.SWITCH(AT255, "ITM_T_HOME", "ITM_UP1", "ITM_T_END", "ITM_DOWN1", "DOCU_CHR_sub", "ITM_DOWN_ARROW", "DOCU_CHR_super", "ITM_UP_ARROW", "MNU_TAMALPHA", "ITM_alpha", "DOCU_CHR_caseFLIP", "ITM_NULL", "DOCU_CHR_numSET", "ITM_NULL", "DOCU_ITM_RADIX", "ITM_PERIOD", AT255), ".lo", ),"MNU_", "-MNU_")</f>
        <v>ITM_DIV</v>
      </c>
      <c r="BG255" s="75"/>
      <c r="BI255" s="13" t="str">
        <f t="shared" si="89"/>
        <v xml:space="preserve">  {55,                  ITM_DIV,              -MNU_STAT,            -MNU_PLOTTING,        ITM_OBELUS,           ITM_R,                ITM_r,                ITM_OBELUS,           ITM_DIV             },</v>
      </c>
    </row>
    <row r="256" spans="24:61" ht="21" x14ac:dyDescent="0.2">
      <c r="X256" s="120" t="str">
        <f t="shared" si="81"/>
        <v>N47</v>
      </c>
      <c r="Y256" s="106">
        <v>6</v>
      </c>
      <c r="Z256" s="106">
        <v>1</v>
      </c>
      <c r="AA256" s="112" t="str">
        <f t="shared" si="80"/>
        <v>N47.61</v>
      </c>
      <c r="AB256" s="121" t="s">
        <v>339</v>
      </c>
      <c r="AC256" s="118" t="s">
        <v>218</v>
      </c>
      <c r="AD256" s="119" t="s">
        <v>218</v>
      </c>
      <c r="AE256" s="3"/>
      <c r="AF256" s="121" t="s">
        <v>339</v>
      </c>
      <c r="AG256" s="77" t="b">
        <f t="shared" si="90"/>
        <v>0</v>
      </c>
      <c r="AH256" s="83" t="str">
        <f t="shared" si="82"/>
        <v xml:space="preserve"> </v>
      </c>
      <c r="AI256" s="84" t="str">
        <f t="shared" si="83"/>
        <v xml:space="preserve"> </v>
      </c>
      <c r="AJ256" s="85" t="str">
        <f t="shared" si="84"/>
        <v xml:space="preserve"> f </v>
      </c>
      <c r="AK256" s="6"/>
      <c r="AL256" s="8" t="str">
        <f t="shared" si="85"/>
        <v>{61</v>
      </c>
      <c r="AM256" s="27" t="str">
        <f t="shared" si="86"/>
        <v>ITM_SHIFTf</v>
      </c>
      <c r="AN256" s="27" t="str">
        <f t="shared" si="87"/>
        <v>ITM_NULL</v>
      </c>
      <c r="AO256" s="27" t="str">
        <f t="shared" si="88"/>
        <v>ITM_NULL</v>
      </c>
      <c r="AP256" s="46" t="str">
        <f>IF(NOT(ISNA(MATCH(AM256,Lookups!E:E,))),VLOOKUP(AM256,Lookups!E:F,2,0),
IF(NOT(ISNA(MATCH(AN256,Lookups!E:E,))),VLOOKUP(AN256,Lookups!E:F,2,0),
IF(NOT(ISNA(MATCH(AO256,Lookups!E:E,))),VLOOKUP(AO256,Lookups!E:F,2,0),"ITM_NULL")))</f>
        <v>ITM_SHIFTf</v>
      </c>
      <c r="AQ256" s="28" t="str">
        <f t="shared" si="95"/>
        <v>ITM_SHIFTf</v>
      </c>
      <c r="AR256" s="198" t="s">
        <v>81</v>
      </c>
      <c r="AS256" s="186" t="s">
        <v>81</v>
      </c>
      <c r="AT256" s="197" t="s">
        <v>340</v>
      </c>
      <c r="AW256" s="14" t="str">
        <f t="shared" si="91"/>
        <v>{61</v>
      </c>
      <c r="AX256" s="157" t="str" cm="1">
        <f t="array" ref="AX256">SUBSTITUTE(SUBSTITUTE(_xlfn.SWITCH(AM256, "ITM_T_HOME", "ITM_UP1", "ITM_T_END", "ITM_DOWN1", "DOCU_CHR_sub", "ITM_DOWN_ARROW", "DOCU_CHR_super", "ITM_UP_ARROW", "MNU_TAMALPHA", "ITM_alpha", "DOCU_CHR_caseFLIP", "ITM_NULL", "DOCU_CHR_numSET", "ITM_NULL", "DOCU_ITM_RADIX", "ITM_PERIOD", AM256), ".lo", ),"MNU_", "-MNU_")</f>
        <v>ITM_SHIFTf</v>
      </c>
      <c r="AY256" s="157" t="str" cm="1">
        <f t="array" ref="AY256">SUBSTITUTE(SUBSTITUTE(_xlfn.SWITCH(AN256, "ITM_T_HOME", "ITM_UP1", "ITM_T_END", "ITM_DOWN1", "DOCU_CHR_sub", "ITM_DOWN_ARROW", "DOCU_CHR_super", "ITM_UP_ARROW", "MNU_TAMALPHA", "ITM_alpha", "DOCU_CHR_caseFLIP", "ITM_NULL", "DOCU_CHR_numSET", "ITM_NULL", "DOCU_ITM_RADIX", "ITM_PERIOD", AN256), ".lo", ),"MNU_", "-MNU_")</f>
        <v>ITM_NULL</v>
      </c>
      <c r="AZ256" s="157" t="str" cm="1">
        <f t="array" ref="AZ256">SUBSTITUTE(SUBSTITUTE(_xlfn.SWITCH(AO256, "ITM_T_HOME", "ITM_UP1", "ITM_T_END", "ITM_DOWN1", "DOCU_CHR_sub", "ITM_DOWN_ARROW", "DOCU_CHR_super", "ITM_UP_ARROW", "MNU_TAMALPHA", "ITM_alpha", "DOCU_CHR_caseFLIP", "ITM_NULL", "DOCU_CHR_numSET", "ITM_NULL", "DOCU_ITM_RADIX", "ITM_PERIOD", AO256), ".lo", ),"MNU_", "-MNU_")</f>
        <v>ITM_NULL</v>
      </c>
      <c r="BA256" s="173" t="str" cm="1">
        <f t="array" ref="BA256">SUBSTITUTE(SUBSTITUTE(_xlfn.SWITCH(AP256, "ITM_T_HOME", "ITM_UP1", "ITM_T_END", "ITM_DOWN1", "DOCU_CHR_sub", "ITM_DOWN_ARROW", "DOCU_CHR_super", "ITM_UP_ARROW", "MNU_TAMALPHA", "ITM_alpha", "DOCU_CHR_caseFLIP", "ITM_NULL", "DOCU_CHR_numSET", "ITM_NULL", "DOCU_ITM_RADIX", "ITM_PERIOD", AP256), ".lo", ),"MNU_", "-MNU_")</f>
        <v>ITM_SHIFTf</v>
      </c>
      <c r="BB256" s="157" t="str" cm="1">
        <f t="array" ref="BB256">SUBSTITUTE(SUBSTITUTE(_xlfn.SWITCH(AQ256, "ITM_T_HOME", "ITM_UP1", "ITM_T_END", "ITM_DOWN1", "DOCU_CHR_sub", "ITM_DOWN_ARROW", "DOCU_CHR_super", "ITM_UP_ARROW", "MNU_TAMALPHA", "ITM_alpha", "DOCU_CHR_caseFLIP", "ITM_NULL", "DOCU_CHR_numSET", "ITM_NULL", "DOCU_ITM_RADIX", "ITM_PERIOD", AQ256), ".lo", ),"MNU_", "-MNU_")</f>
        <v>ITM_SHIFTf</v>
      </c>
      <c r="BC256" s="157" t="str" cm="1">
        <f t="array" ref="BC256">SUBSTITUTE(SUBSTITUTE(_xlfn.SWITCH(AR256, "ITM_T_HOME", "ITM_UP1", "ITM_T_END", "ITM_DOWN1", "DOCU_CHR_sub", "ITM_DOWN_ARROW", "DOCU_CHR_super", "ITM_UP_ARROW", "MNU_TAMALPHA", "ITM_alpha", "DOCU_CHR_caseFLIP", "ITM_NULL", "DOCU_CHR_numSET", "ITM_NULL", "DOCU_ITM_RADIX", "ITM_PERIOD", AR256), ".lo", ),"MNU_", "-MNU_")</f>
        <v>ITM_NULL</v>
      </c>
      <c r="BD256" s="157" t="str" cm="1">
        <f t="array" ref="BD256">SUBSTITUTE(SUBSTITUTE(_xlfn.SWITCH(AS256, "ITM_T_HOME", "ITM_UP1", "ITM_T_END", "ITM_DOWN1", "DOCU_CHR_sub", "ITM_DOWN_ARROW", "DOCU_CHR_super", "ITM_UP_ARROW", "MNU_TAMALPHA", "ITM_alpha", "DOCU_CHR_caseFLIP", "ITM_NULL", "DOCU_CHR_numSET", "ITM_NULL", "DOCU_ITM_RADIX", "ITM_PERIOD", AS256), ".lo", ),"MNU_", "-MNU_")</f>
        <v>ITM_NULL</v>
      </c>
      <c r="BE256" s="157" t="str" cm="1">
        <f t="array" ref="BE256">SUBSTITUTE(SUBSTITUTE(_xlfn.SWITCH(AT256, "ITM_T_HOME", "ITM_UP1", "ITM_T_END", "ITM_DOWN1", "DOCU_CHR_sub", "ITM_DOWN_ARROW", "DOCU_CHR_super", "ITM_UP_ARROW", "MNU_TAMALPHA", "ITM_alpha", "DOCU_CHR_caseFLIP", "ITM_NULL", "DOCU_CHR_numSET", "ITM_NULL", "DOCU_ITM_RADIX", "ITM_PERIOD", AT256), ".lo", ),"MNU_", "-MNU_")</f>
        <v>ITM_SHIFTf</v>
      </c>
      <c r="BG256" s="75"/>
      <c r="BI256" s="13" t="str">
        <f t="shared" si="89"/>
        <v xml:space="preserve">  {61,                  ITM_SHIFTf,           ITM_NULL,             ITM_NULL,             ITM_SHIFTf,           ITM_SHIFTf,           ITM_NULL,             ITM_NULL,             ITM_SHIFTf          },</v>
      </c>
    </row>
    <row r="257" spans="24:61" ht="21" x14ac:dyDescent="0.2">
      <c r="X257" s="120" t="str">
        <f t="shared" si="81"/>
        <v>N47</v>
      </c>
      <c r="Y257" s="109">
        <v>6</v>
      </c>
      <c r="Z257" s="109">
        <v>2</v>
      </c>
      <c r="AA257" s="112" t="str">
        <f t="shared" si="80"/>
        <v>N47.62</v>
      </c>
      <c r="AB257" s="117">
        <v>4</v>
      </c>
      <c r="AC257" s="118" t="s">
        <v>195</v>
      </c>
      <c r="AD257" s="119" t="s">
        <v>196</v>
      </c>
      <c r="AE257" s="3"/>
      <c r="AF257" s="49" t="s">
        <v>184</v>
      </c>
      <c r="AG257" s="77" t="b">
        <f t="shared" si="90"/>
        <v>1</v>
      </c>
      <c r="AH257" s="83" t="str">
        <f t="shared" si="82"/>
        <v>s</v>
      </c>
      <c r="AI257" s="84">
        <f t="shared" si="83"/>
        <v>4</v>
      </c>
      <c r="AJ257" s="85">
        <f t="shared" si="84"/>
        <v>4</v>
      </c>
      <c r="AK257" s="6"/>
      <c r="AL257" s="8" t="str">
        <f t="shared" si="85"/>
        <v>{62</v>
      </c>
      <c r="AM257" s="27" t="str">
        <f t="shared" si="86"/>
        <v>ITM_4</v>
      </c>
      <c r="AN257" s="27" t="str">
        <f t="shared" si="87"/>
        <v>MNU_BASE</v>
      </c>
      <c r="AO257" s="27" t="str">
        <f t="shared" si="88"/>
        <v>MNU_BITS</v>
      </c>
      <c r="AP257" s="46" t="str">
        <f>IF(NOT(ISNA(MATCH(AM257,Lookups!E:E,))),VLOOKUP(AM257,Lookups!E:F,2,0),
IF(NOT(ISNA(MATCH(AN257,Lookups!E:E,))),VLOOKUP(AN257,Lookups!E:F,2,0),
IF(NOT(ISNA(MATCH(AO257,Lookups!E:E,))),VLOOKUP(AO257,Lookups!E:F,2,0),"ITM_NULL")))</f>
        <v>ITM_4</v>
      </c>
      <c r="AQ257" s="28" t="str">
        <f t="shared" si="95"/>
        <v>ITM_S</v>
      </c>
      <c r="AR257" s="195" t="s">
        <v>185</v>
      </c>
      <c r="AS257" s="186" t="s">
        <v>199</v>
      </c>
      <c r="AT257" s="197" t="s">
        <v>199</v>
      </c>
      <c r="AW257" s="14" t="str">
        <f t="shared" si="91"/>
        <v>{62</v>
      </c>
      <c r="AX257" s="157" t="str" cm="1">
        <f t="array" ref="AX257">SUBSTITUTE(SUBSTITUTE(_xlfn.SWITCH(AM257, "ITM_T_HOME", "ITM_UP1", "ITM_T_END", "ITM_DOWN1", "DOCU_CHR_sub", "ITM_DOWN_ARROW", "DOCU_CHR_super", "ITM_UP_ARROW", "MNU_TAMALPHA", "ITM_alpha", "DOCU_CHR_caseFLIP", "ITM_NULL", "DOCU_CHR_numSET", "ITM_NULL", "DOCU_ITM_RADIX", "ITM_PERIOD", AM257), ".lo", ),"MNU_", "-MNU_")</f>
        <v>ITM_4</v>
      </c>
      <c r="AY257" s="157" t="str" cm="1">
        <f t="array" ref="AY257">SUBSTITUTE(SUBSTITUTE(_xlfn.SWITCH(AN257, "ITM_T_HOME", "ITM_UP1", "ITM_T_END", "ITM_DOWN1", "DOCU_CHR_sub", "ITM_DOWN_ARROW", "DOCU_CHR_super", "ITM_UP_ARROW", "MNU_TAMALPHA", "ITM_alpha", "DOCU_CHR_caseFLIP", "ITM_NULL", "DOCU_CHR_numSET", "ITM_NULL", "DOCU_ITM_RADIX", "ITM_PERIOD", AN257), ".lo", ),"MNU_", "-MNU_")</f>
        <v>-MNU_BASE</v>
      </c>
      <c r="AZ257" s="157" t="str" cm="1">
        <f t="array" ref="AZ257">SUBSTITUTE(SUBSTITUTE(_xlfn.SWITCH(AO257, "ITM_T_HOME", "ITM_UP1", "ITM_T_END", "ITM_DOWN1", "DOCU_CHR_sub", "ITM_DOWN_ARROW", "DOCU_CHR_super", "ITM_UP_ARROW", "MNU_TAMALPHA", "ITM_alpha", "DOCU_CHR_caseFLIP", "ITM_NULL", "DOCU_CHR_numSET", "ITM_NULL", "DOCU_ITM_RADIX", "ITM_PERIOD", AO257), ".lo", ),"MNU_", "-MNU_")</f>
        <v>-MNU_BITS</v>
      </c>
      <c r="BA257" s="173" t="str" cm="1">
        <f t="array" ref="BA257">SUBSTITUTE(SUBSTITUTE(_xlfn.SWITCH(AP257, "ITM_T_HOME", "ITM_UP1", "ITM_T_END", "ITM_DOWN1", "DOCU_CHR_sub", "ITM_DOWN_ARROW", "DOCU_CHR_super", "ITM_UP_ARROW", "MNU_TAMALPHA", "ITM_alpha", "DOCU_CHR_caseFLIP", "ITM_NULL", "DOCU_CHR_numSET", "ITM_NULL", "DOCU_ITM_RADIX", "ITM_PERIOD", AP257), ".lo", ),"MNU_", "-MNU_")</f>
        <v>ITM_4</v>
      </c>
      <c r="BB257" s="157" t="str" cm="1">
        <f t="array" ref="BB257">SUBSTITUTE(SUBSTITUTE(_xlfn.SWITCH(AQ257, "ITM_T_HOME", "ITM_UP1", "ITM_T_END", "ITM_DOWN1", "DOCU_CHR_sub", "ITM_DOWN_ARROW", "DOCU_CHR_super", "ITM_UP_ARROW", "MNU_TAMALPHA", "ITM_alpha", "DOCU_CHR_caseFLIP", "ITM_NULL", "DOCU_CHR_numSET", "ITM_NULL", "DOCU_ITM_RADIX", "ITM_PERIOD", AQ257), ".lo", ),"MNU_", "-MNU_")</f>
        <v>ITM_S</v>
      </c>
      <c r="BC257" s="157" t="str" cm="1">
        <f t="array" ref="BC257">SUBSTITUTE(SUBSTITUTE(_xlfn.SWITCH(AR257, "ITM_T_HOME", "ITM_UP1", "ITM_T_END", "ITM_DOWN1", "DOCU_CHR_sub", "ITM_DOWN_ARROW", "DOCU_CHR_super", "ITM_UP_ARROW", "MNU_TAMALPHA", "ITM_alpha", "DOCU_CHR_caseFLIP", "ITM_NULL", "DOCU_CHR_numSET", "ITM_NULL", "DOCU_ITM_RADIX", "ITM_PERIOD", AR257), ".lo", ),"MNU_", "-MNU_")</f>
        <v>ITM_s</v>
      </c>
      <c r="BD257" s="157" t="str" cm="1">
        <f t="array" ref="BD257">SUBSTITUTE(SUBSTITUTE(_xlfn.SWITCH(AS257, "ITM_T_HOME", "ITM_UP1", "ITM_T_END", "ITM_DOWN1", "DOCU_CHR_sub", "ITM_DOWN_ARROW", "DOCU_CHR_super", "ITM_UP_ARROW", "MNU_TAMALPHA", "ITM_alpha", "DOCU_CHR_caseFLIP", "ITM_NULL", "DOCU_CHR_numSET", "ITM_NULL", "DOCU_ITM_RADIX", "ITM_PERIOD", AS257), ".lo", ),"MNU_", "-MNU_")</f>
        <v>ITM_4</v>
      </c>
      <c r="BE257" s="157" t="str" cm="1">
        <f t="array" ref="BE257">SUBSTITUTE(SUBSTITUTE(_xlfn.SWITCH(AT257, "ITM_T_HOME", "ITM_UP1", "ITM_T_END", "ITM_DOWN1", "DOCU_CHR_sub", "ITM_DOWN_ARROW", "DOCU_CHR_super", "ITM_UP_ARROW", "MNU_TAMALPHA", "ITM_alpha", "DOCU_CHR_caseFLIP", "ITM_NULL", "DOCU_CHR_numSET", "ITM_NULL", "DOCU_ITM_RADIX", "ITM_PERIOD", AT257), ".lo", ),"MNU_", "-MNU_")</f>
        <v>ITM_4</v>
      </c>
      <c r="BG257" s="75"/>
      <c r="BI257" s="13" t="str">
        <f t="shared" si="89"/>
        <v xml:space="preserve">  {62,                  ITM_4,                -MNU_BASE,            -MNU_BITS,            ITM_4,                ITM_S,                ITM_s,                ITM_4,                ITM_4               },</v>
      </c>
    </row>
    <row r="258" spans="24:61" ht="21" x14ac:dyDescent="0.2">
      <c r="X258" s="120" t="str">
        <f t="shared" si="81"/>
        <v>N47</v>
      </c>
      <c r="Y258" s="109">
        <v>6</v>
      </c>
      <c r="Z258" s="109">
        <v>3</v>
      </c>
      <c r="AA258" s="112" t="str">
        <f t="shared" si="80"/>
        <v>N47.63</v>
      </c>
      <c r="AB258" s="117">
        <v>5</v>
      </c>
      <c r="AC258" s="118" t="s">
        <v>200</v>
      </c>
      <c r="AD258" s="119" t="s">
        <v>201</v>
      </c>
      <c r="AE258" s="3"/>
      <c r="AF258" s="49" t="s">
        <v>197</v>
      </c>
      <c r="AG258" s="77" t="b">
        <f t="shared" si="90"/>
        <v>1</v>
      </c>
      <c r="AH258" s="83" t="str">
        <f t="shared" si="82"/>
        <v>t</v>
      </c>
      <c r="AI258" s="84">
        <f t="shared" si="83"/>
        <v>5</v>
      </c>
      <c r="AJ258" s="85">
        <f t="shared" si="84"/>
        <v>5</v>
      </c>
      <c r="AK258" s="6"/>
      <c r="AL258" s="8" t="str">
        <f t="shared" si="85"/>
        <v>{63</v>
      </c>
      <c r="AM258" s="27" t="str">
        <f t="shared" si="86"/>
        <v>ITM_5</v>
      </c>
      <c r="AN258" s="27" t="str">
        <f t="shared" si="87"/>
        <v>MNU_UNITCONV</v>
      </c>
      <c r="AO258" s="27" t="str">
        <f t="shared" si="88"/>
        <v>MNU_CLK</v>
      </c>
      <c r="AP258" s="46" t="str">
        <f>IF(NOT(ISNA(MATCH(AM258,Lookups!E:E,))),VLOOKUP(AM258,Lookups!E:F,2,0),
IF(NOT(ISNA(MATCH(AN258,Lookups!E:E,))),VLOOKUP(AN258,Lookups!E:F,2,0),
IF(NOT(ISNA(MATCH(AO258,Lookups!E:E,))),VLOOKUP(AO258,Lookups!E:F,2,0),"ITM_NULL")))</f>
        <v>ITM_5</v>
      </c>
      <c r="AQ258" s="28" t="str">
        <f t="shared" si="95"/>
        <v>ITM_T</v>
      </c>
      <c r="AR258" s="195" t="s">
        <v>198</v>
      </c>
      <c r="AS258" s="186" t="s">
        <v>204</v>
      </c>
      <c r="AT258" s="197" t="s">
        <v>204</v>
      </c>
      <c r="AW258" s="14" t="str">
        <f t="shared" si="91"/>
        <v>{63</v>
      </c>
      <c r="AX258" s="157" t="str" cm="1">
        <f t="array" ref="AX258">SUBSTITUTE(SUBSTITUTE(_xlfn.SWITCH(AM258, "ITM_T_HOME", "ITM_UP1", "ITM_T_END", "ITM_DOWN1", "DOCU_CHR_sub", "ITM_DOWN_ARROW", "DOCU_CHR_super", "ITM_UP_ARROW", "MNU_TAMALPHA", "ITM_alpha", "DOCU_CHR_caseFLIP", "ITM_NULL", "DOCU_CHR_numSET", "ITM_NULL", "DOCU_ITM_RADIX", "ITM_PERIOD", AM258), ".lo", ),"MNU_", "-MNU_")</f>
        <v>ITM_5</v>
      </c>
      <c r="AY258" s="157" t="str" cm="1">
        <f t="array" ref="AY258">SUBSTITUTE(SUBSTITUTE(_xlfn.SWITCH(AN258, "ITM_T_HOME", "ITM_UP1", "ITM_T_END", "ITM_DOWN1", "DOCU_CHR_sub", "ITM_DOWN_ARROW", "DOCU_CHR_super", "ITM_UP_ARROW", "MNU_TAMALPHA", "ITM_alpha", "DOCU_CHR_caseFLIP", "ITM_NULL", "DOCU_CHR_numSET", "ITM_NULL", "DOCU_ITM_RADIX", "ITM_PERIOD", AN258), ".lo", ),"MNU_", "-MNU_")</f>
        <v>-MNU_UNITCONV</v>
      </c>
      <c r="AZ258" s="157" t="str" cm="1">
        <f t="array" ref="AZ258">SUBSTITUTE(SUBSTITUTE(_xlfn.SWITCH(AO258, "ITM_T_HOME", "ITM_UP1", "ITM_T_END", "ITM_DOWN1", "DOCU_CHR_sub", "ITM_DOWN_ARROW", "DOCU_CHR_super", "ITM_UP_ARROW", "MNU_TAMALPHA", "ITM_alpha", "DOCU_CHR_caseFLIP", "ITM_NULL", "DOCU_CHR_numSET", "ITM_NULL", "DOCU_ITM_RADIX", "ITM_PERIOD", AO258), ".lo", ),"MNU_", "-MNU_")</f>
        <v>-MNU_CLK</v>
      </c>
      <c r="BA258" s="173" t="str" cm="1">
        <f t="array" ref="BA258">SUBSTITUTE(SUBSTITUTE(_xlfn.SWITCH(AP258, "ITM_T_HOME", "ITM_UP1", "ITM_T_END", "ITM_DOWN1", "DOCU_CHR_sub", "ITM_DOWN_ARROW", "DOCU_CHR_super", "ITM_UP_ARROW", "MNU_TAMALPHA", "ITM_alpha", "DOCU_CHR_caseFLIP", "ITM_NULL", "DOCU_CHR_numSET", "ITM_NULL", "DOCU_ITM_RADIX", "ITM_PERIOD", AP258), ".lo", ),"MNU_", "-MNU_")</f>
        <v>ITM_5</v>
      </c>
      <c r="BB258" s="157" t="str" cm="1">
        <f t="array" ref="BB258">SUBSTITUTE(SUBSTITUTE(_xlfn.SWITCH(AQ258, "ITM_T_HOME", "ITM_UP1", "ITM_T_END", "ITM_DOWN1", "DOCU_CHR_sub", "ITM_DOWN_ARROW", "DOCU_CHR_super", "ITM_UP_ARROW", "MNU_TAMALPHA", "ITM_alpha", "DOCU_CHR_caseFLIP", "ITM_NULL", "DOCU_CHR_numSET", "ITM_NULL", "DOCU_ITM_RADIX", "ITM_PERIOD", AQ258), ".lo", ),"MNU_", "-MNU_")</f>
        <v>ITM_T</v>
      </c>
      <c r="BC258" s="157" t="str" cm="1">
        <f t="array" ref="BC258">SUBSTITUTE(SUBSTITUTE(_xlfn.SWITCH(AR258, "ITM_T_HOME", "ITM_UP1", "ITM_T_END", "ITM_DOWN1", "DOCU_CHR_sub", "ITM_DOWN_ARROW", "DOCU_CHR_super", "ITM_UP_ARROW", "MNU_TAMALPHA", "ITM_alpha", "DOCU_CHR_caseFLIP", "ITM_NULL", "DOCU_CHR_numSET", "ITM_NULL", "DOCU_ITM_RADIX", "ITM_PERIOD", AR258), ".lo", ),"MNU_", "-MNU_")</f>
        <v>ITM_t</v>
      </c>
      <c r="BD258" s="157" t="str" cm="1">
        <f t="array" ref="BD258">SUBSTITUTE(SUBSTITUTE(_xlfn.SWITCH(AS258, "ITM_T_HOME", "ITM_UP1", "ITM_T_END", "ITM_DOWN1", "DOCU_CHR_sub", "ITM_DOWN_ARROW", "DOCU_CHR_super", "ITM_UP_ARROW", "MNU_TAMALPHA", "ITM_alpha", "DOCU_CHR_caseFLIP", "ITM_NULL", "DOCU_CHR_numSET", "ITM_NULL", "DOCU_ITM_RADIX", "ITM_PERIOD", AS258), ".lo", ),"MNU_", "-MNU_")</f>
        <v>ITM_5</v>
      </c>
      <c r="BE258" s="157" t="str" cm="1">
        <f t="array" ref="BE258">SUBSTITUTE(SUBSTITUTE(_xlfn.SWITCH(AT258, "ITM_T_HOME", "ITM_UP1", "ITM_T_END", "ITM_DOWN1", "DOCU_CHR_sub", "ITM_DOWN_ARROW", "DOCU_CHR_super", "ITM_UP_ARROW", "MNU_TAMALPHA", "ITM_alpha", "DOCU_CHR_caseFLIP", "ITM_NULL", "DOCU_CHR_numSET", "ITM_NULL", "DOCU_ITM_RADIX", "ITM_PERIOD", AT258), ".lo", ),"MNU_", "-MNU_")</f>
        <v>ITM_5</v>
      </c>
      <c r="BG258" s="75"/>
      <c r="BI258" s="13" t="str">
        <f t="shared" si="89"/>
        <v xml:space="preserve">  {63,                  ITM_5,                -MNU_UNITCONV,        -MNU_CLK,             ITM_5,                ITM_T,                ITM_t,                ITM_5,                ITM_5               },</v>
      </c>
    </row>
    <row r="259" spans="24:61" ht="21" x14ac:dyDescent="0.2">
      <c r="X259" s="120" t="str">
        <f t="shared" si="81"/>
        <v>N47</v>
      </c>
      <c r="Y259" s="109">
        <v>6</v>
      </c>
      <c r="Z259" s="109">
        <v>4</v>
      </c>
      <c r="AA259" s="112" t="str">
        <f t="shared" si="80"/>
        <v>N47.64</v>
      </c>
      <c r="AB259" s="117">
        <v>6</v>
      </c>
      <c r="AC259" s="118" t="s">
        <v>205</v>
      </c>
      <c r="AD259" s="119" t="s">
        <v>206</v>
      </c>
      <c r="AE259" s="3"/>
      <c r="AF259" s="49" t="s">
        <v>202</v>
      </c>
      <c r="AG259" s="77" t="b">
        <f t="shared" si="90"/>
        <v>1</v>
      </c>
      <c r="AH259" s="83" t="str">
        <f t="shared" si="82"/>
        <v>u</v>
      </c>
      <c r="AI259" s="84">
        <f t="shared" si="83"/>
        <v>6</v>
      </c>
      <c r="AJ259" s="85">
        <f t="shared" si="84"/>
        <v>6</v>
      </c>
      <c r="AK259" s="6"/>
      <c r="AL259" s="8" t="str">
        <f t="shared" si="85"/>
        <v>{64</v>
      </c>
      <c r="AM259" s="27" t="str">
        <f t="shared" si="86"/>
        <v>ITM_6</v>
      </c>
      <c r="AN259" s="27" t="str">
        <f t="shared" si="87"/>
        <v>MNU_FLAGS</v>
      </c>
      <c r="AO259" s="27" t="str">
        <f t="shared" si="88"/>
        <v>MNU_PARTS</v>
      </c>
      <c r="AP259" s="46" t="str">
        <f>IF(NOT(ISNA(MATCH(AM259,Lookups!E:E,))),VLOOKUP(AM259,Lookups!E:F,2,0),
IF(NOT(ISNA(MATCH(AN259,Lookups!E:E,))),VLOOKUP(AN259,Lookups!E:F,2,0),
IF(NOT(ISNA(MATCH(AO259,Lookups!E:E,))),VLOOKUP(AO259,Lookups!E:F,2,0),"ITM_NULL")))</f>
        <v>ITM_6</v>
      </c>
      <c r="AQ259" s="28" t="str">
        <f t="shared" si="95"/>
        <v>ITM_U</v>
      </c>
      <c r="AR259" s="195" t="s">
        <v>203</v>
      </c>
      <c r="AS259" s="186" t="s">
        <v>209</v>
      </c>
      <c r="AT259" s="197" t="s">
        <v>209</v>
      </c>
      <c r="AW259" s="14" t="str">
        <f t="shared" si="91"/>
        <v>{64</v>
      </c>
      <c r="AX259" s="157" t="str" cm="1">
        <f t="array" ref="AX259">SUBSTITUTE(SUBSTITUTE(_xlfn.SWITCH(AM259, "ITM_T_HOME", "ITM_UP1", "ITM_T_END", "ITM_DOWN1", "DOCU_CHR_sub", "ITM_DOWN_ARROW", "DOCU_CHR_super", "ITM_UP_ARROW", "MNU_TAMALPHA", "ITM_alpha", "DOCU_CHR_caseFLIP", "ITM_NULL", "DOCU_CHR_numSET", "ITM_NULL", "DOCU_ITM_RADIX", "ITM_PERIOD", AM259), ".lo", ),"MNU_", "-MNU_")</f>
        <v>ITM_6</v>
      </c>
      <c r="AY259" s="157" t="str" cm="1">
        <f t="array" ref="AY259">SUBSTITUTE(SUBSTITUTE(_xlfn.SWITCH(AN259, "ITM_T_HOME", "ITM_UP1", "ITM_T_END", "ITM_DOWN1", "DOCU_CHR_sub", "ITM_DOWN_ARROW", "DOCU_CHR_super", "ITM_UP_ARROW", "MNU_TAMALPHA", "ITM_alpha", "DOCU_CHR_caseFLIP", "ITM_NULL", "DOCU_CHR_numSET", "ITM_NULL", "DOCU_ITM_RADIX", "ITM_PERIOD", AN259), ".lo", ),"MNU_", "-MNU_")</f>
        <v>-MNU_FLAGS</v>
      </c>
      <c r="AZ259" s="157" t="str" cm="1">
        <f t="array" ref="AZ259">SUBSTITUTE(SUBSTITUTE(_xlfn.SWITCH(AO259, "ITM_T_HOME", "ITM_UP1", "ITM_T_END", "ITM_DOWN1", "DOCU_CHR_sub", "ITM_DOWN_ARROW", "DOCU_CHR_super", "ITM_UP_ARROW", "MNU_TAMALPHA", "ITM_alpha", "DOCU_CHR_caseFLIP", "ITM_NULL", "DOCU_CHR_numSET", "ITM_NULL", "DOCU_ITM_RADIX", "ITM_PERIOD", AO259), ".lo", ),"MNU_", "-MNU_")</f>
        <v>-MNU_PARTS</v>
      </c>
      <c r="BA259" s="173" t="str" cm="1">
        <f t="array" ref="BA259">SUBSTITUTE(SUBSTITUTE(_xlfn.SWITCH(AP259, "ITM_T_HOME", "ITM_UP1", "ITM_T_END", "ITM_DOWN1", "DOCU_CHR_sub", "ITM_DOWN_ARROW", "DOCU_CHR_super", "ITM_UP_ARROW", "MNU_TAMALPHA", "ITM_alpha", "DOCU_CHR_caseFLIP", "ITM_NULL", "DOCU_CHR_numSET", "ITM_NULL", "DOCU_ITM_RADIX", "ITM_PERIOD", AP259), ".lo", ),"MNU_", "-MNU_")</f>
        <v>ITM_6</v>
      </c>
      <c r="BB259" s="157" t="str" cm="1">
        <f t="array" ref="BB259">SUBSTITUTE(SUBSTITUTE(_xlfn.SWITCH(AQ259, "ITM_T_HOME", "ITM_UP1", "ITM_T_END", "ITM_DOWN1", "DOCU_CHR_sub", "ITM_DOWN_ARROW", "DOCU_CHR_super", "ITM_UP_ARROW", "MNU_TAMALPHA", "ITM_alpha", "DOCU_CHR_caseFLIP", "ITM_NULL", "DOCU_CHR_numSET", "ITM_NULL", "DOCU_ITM_RADIX", "ITM_PERIOD", AQ259), ".lo", ),"MNU_", "-MNU_")</f>
        <v>ITM_U</v>
      </c>
      <c r="BC259" s="157" t="str" cm="1">
        <f t="array" ref="BC259">SUBSTITUTE(SUBSTITUTE(_xlfn.SWITCH(AR259, "ITM_T_HOME", "ITM_UP1", "ITM_T_END", "ITM_DOWN1", "DOCU_CHR_sub", "ITM_DOWN_ARROW", "DOCU_CHR_super", "ITM_UP_ARROW", "MNU_TAMALPHA", "ITM_alpha", "DOCU_CHR_caseFLIP", "ITM_NULL", "DOCU_CHR_numSET", "ITM_NULL", "DOCU_ITM_RADIX", "ITM_PERIOD", AR259), ".lo", ),"MNU_", "-MNU_")</f>
        <v>ITM_u</v>
      </c>
      <c r="BD259" s="157" t="str" cm="1">
        <f t="array" ref="BD259">SUBSTITUTE(SUBSTITUTE(_xlfn.SWITCH(AS259, "ITM_T_HOME", "ITM_UP1", "ITM_T_END", "ITM_DOWN1", "DOCU_CHR_sub", "ITM_DOWN_ARROW", "DOCU_CHR_super", "ITM_UP_ARROW", "MNU_TAMALPHA", "ITM_alpha", "DOCU_CHR_caseFLIP", "ITM_NULL", "DOCU_CHR_numSET", "ITM_NULL", "DOCU_ITM_RADIX", "ITM_PERIOD", AS259), ".lo", ),"MNU_", "-MNU_")</f>
        <v>ITM_6</v>
      </c>
      <c r="BE259" s="157" t="str" cm="1">
        <f t="array" ref="BE259">SUBSTITUTE(SUBSTITUTE(_xlfn.SWITCH(AT259, "ITM_T_HOME", "ITM_UP1", "ITM_T_END", "ITM_DOWN1", "DOCU_CHR_sub", "ITM_DOWN_ARROW", "DOCU_CHR_super", "ITM_UP_ARROW", "MNU_TAMALPHA", "ITM_alpha", "DOCU_CHR_caseFLIP", "ITM_NULL", "DOCU_CHR_numSET", "ITM_NULL", "DOCU_ITM_RADIX", "ITM_PERIOD", AT259), ".lo", ),"MNU_", "-MNU_")</f>
        <v>ITM_6</v>
      </c>
      <c r="BG259" s="75"/>
      <c r="BI259" s="13" t="str">
        <f t="shared" si="89"/>
        <v xml:space="preserve">  {64,                  ITM_6,                -MNU_FLAGS,           -MNU_PARTS,           ITM_6,                ITM_U,                ITM_u,                ITM_6,                ITM_6               },</v>
      </c>
    </row>
    <row r="260" spans="24:61" ht="21" x14ac:dyDescent="0.2">
      <c r="X260" s="120" t="str">
        <f t="shared" si="81"/>
        <v>N47</v>
      </c>
      <c r="Y260" s="109">
        <v>6</v>
      </c>
      <c r="Z260" s="109">
        <v>5</v>
      </c>
      <c r="AA260" s="112" t="str">
        <f t="shared" si="80"/>
        <v>N47.65</v>
      </c>
      <c r="AB260" s="121" t="s">
        <v>210</v>
      </c>
      <c r="AC260" s="118" t="s">
        <v>211</v>
      </c>
      <c r="AD260" s="119" t="s">
        <v>212</v>
      </c>
      <c r="AE260" s="3"/>
      <c r="AF260" s="49" t="s">
        <v>207</v>
      </c>
      <c r="AG260" s="77" t="b">
        <f t="shared" si="90"/>
        <v>1</v>
      </c>
      <c r="AH260" s="83" t="str">
        <f t="shared" si="82"/>
        <v>v</v>
      </c>
      <c r="AI260" s="84" t="str">
        <f t="shared" si="83"/>
        <v>✕</v>
      </c>
      <c r="AJ260" s="85" t="str">
        <f t="shared" si="84"/>
        <v>✕</v>
      </c>
      <c r="AK260" s="6"/>
      <c r="AL260" s="8" t="str">
        <f t="shared" si="85"/>
        <v>{65</v>
      </c>
      <c r="AM260" s="27" t="str">
        <f t="shared" si="86"/>
        <v>ITM_MULT</v>
      </c>
      <c r="AN260" s="27" t="str">
        <f t="shared" si="87"/>
        <v>MNU_PROB</v>
      </c>
      <c r="AO260" s="27" t="str">
        <f t="shared" si="88"/>
        <v>MNU_INTS</v>
      </c>
      <c r="AP260" s="46" t="str">
        <f>IF(NOT(ISNA(MATCH(AM260,Lookups!E:E,))),VLOOKUP(AM260,Lookups!E:F,2,0),
IF(NOT(ISNA(MATCH(AN260,Lookups!E:E,))),VLOOKUP(AN260,Lookups!E:F,2,0),
IF(NOT(ISNA(MATCH(AO260,Lookups!E:E,))),VLOOKUP(AO260,Lookups!E:F,2,0),"ITM_NULL")))</f>
        <v>ITM_CROSS</v>
      </c>
      <c r="AQ260" s="28" t="str">
        <f t="shared" si="95"/>
        <v>ITM_V</v>
      </c>
      <c r="AR260" s="195" t="s">
        <v>208</v>
      </c>
      <c r="AS260" s="186" t="s">
        <v>215</v>
      </c>
      <c r="AT260" s="197" t="s">
        <v>216</v>
      </c>
      <c r="AW260" s="14" t="str">
        <f t="shared" si="91"/>
        <v>{65</v>
      </c>
      <c r="AX260" s="157" t="str" cm="1">
        <f t="array" ref="AX260">SUBSTITUTE(SUBSTITUTE(_xlfn.SWITCH(AM260, "ITM_T_HOME", "ITM_UP1", "ITM_T_END", "ITM_DOWN1", "DOCU_CHR_sub", "ITM_DOWN_ARROW", "DOCU_CHR_super", "ITM_UP_ARROW", "MNU_TAMALPHA", "ITM_alpha", "DOCU_CHR_caseFLIP", "ITM_NULL", "DOCU_CHR_numSET", "ITM_NULL", "DOCU_ITM_RADIX", "ITM_PERIOD", AM260), ".lo", ),"MNU_", "-MNU_")</f>
        <v>ITM_MULT</v>
      </c>
      <c r="AY260" s="157" t="str" cm="1">
        <f t="array" ref="AY260">SUBSTITUTE(SUBSTITUTE(_xlfn.SWITCH(AN260, "ITM_T_HOME", "ITM_UP1", "ITM_T_END", "ITM_DOWN1", "DOCU_CHR_sub", "ITM_DOWN_ARROW", "DOCU_CHR_super", "ITM_UP_ARROW", "MNU_TAMALPHA", "ITM_alpha", "DOCU_CHR_caseFLIP", "ITM_NULL", "DOCU_CHR_numSET", "ITM_NULL", "DOCU_ITM_RADIX", "ITM_PERIOD", AN260), ".lo", ),"MNU_", "-MNU_")</f>
        <v>-MNU_PROB</v>
      </c>
      <c r="AZ260" s="157" t="str" cm="1">
        <f t="array" ref="AZ260">SUBSTITUTE(SUBSTITUTE(_xlfn.SWITCH(AO260, "ITM_T_HOME", "ITM_UP1", "ITM_T_END", "ITM_DOWN1", "DOCU_CHR_sub", "ITM_DOWN_ARROW", "DOCU_CHR_super", "ITM_UP_ARROW", "MNU_TAMALPHA", "ITM_alpha", "DOCU_CHR_caseFLIP", "ITM_NULL", "DOCU_CHR_numSET", "ITM_NULL", "DOCU_ITM_RADIX", "ITM_PERIOD", AO260), ".lo", ),"MNU_", "-MNU_")</f>
        <v>-MNU_INTS</v>
      </c>
      <c r="BA260" s="173" t="str" cm="1">
        <f t="array" ref="BA260">SUBSTITUTE(SUBSTITUTE(_xlfn.SWITCH(AP260, "ITM_T_HOME", "ITM_UP1", "ITM_T_END", "ITM_DOWN1", "DOCU_CHR_sub", "ITM_DOWN_ARROW", "DOCU_CHR_super", "ITM_UP_ARROW", "MNU_TAMALPHA", "ITM_alpha", "DOCU_CHR_caseFLIP", "ITM_NULL", "DOCU_CHR_numSET", "ITM_NULL", "DOCU_ITM_RADIX", "ITM_PERIOD", AP260), ".lo", ),"MNU_", "-MNU_")</f>
        <v>ITM_CROSS</v>
      </c>
      <c r="BB260" s="157" t="str" cm="1">
        <f t="array" ref="BB260">SUBSTITUTE(SUBSTITUTE(_xlfn.SWITCH(AQ260, "ITM_T_HOME", "ITM_UP1", "ITM_T_END", "ITM_DOWN1", "DOCU_CHR_sub", "ITM_DOWN_ARROW", "DOCU_CHR_super", "ITM_UP_ARROW", "MNU_TAMALPHA", "ITM_alpha", "DOCU_CHR_caseFLIP", "ITM_NULL", "DOCU_CHR_numSET", "ITM_NULL", "DOCU_ITM_RADIX", "ITM_PERIOD", AQ260), ".lo", ),"MNU_", "-MNU_")</f>
        <v>ITM_V</v>
      </c>
      <c r="BC260" s="157" t="str" cm="1">
        <f t="array" ref="BC260">SUBSTITUTE(SUBSTITUTE(_xlfn.SWITCH(AR260, "ITM_T_HOME", "ITM_UP1", "ITM_T_END", "ITM_DOWN1", "DOCU_CHR_sub", "ITM_DOWN_ARROW", "DOCU_CHR_super", "ITM_UP_ARROW", "MNU_TAMALPHA", "ITM_alpha", "DOCU_CHR_caseFLIP", "ITM_NULL", "DOCU_CHR_numSET", "ITM_NULL", "DOCU_ITM_RADIX", "ITM_PERIOD", AR260), ".lo", ),"MNU_", "-MNU_")</f>
        <v>ITM_v</v>
      </c>
      <c r="BD260" s="157" t="str" cm="1">
        <f t="array" ref="BD260">SUBSTITUTE(SUBSTITUTE(_xlfn.SWITCH(AS260, "ITM_T_HOME", "ITM_UP1", "ITM_T_END", "ITM_DOWN1", "DOCU_CHR_sub", "ITM_DOWN_ARROW", "DOCU_CHR_super", "ITM_UP_ARROW", "MNU_TAMALPHA", "ITM_alpha", "DOCU_CHR_caseFLIP", "ITM_NULL", "DOCU_CHR_numSET", "ITM_NULL", "DOCU_ITM_RADIX", "ITM_PERIOD", AS260), ".lo", ),"MNU_", "-MNU_")</f>
        <v>ITM_CROSS</v>
      </c>
      <c r="BE260" s="157" t="str" cm="1">
        <f t="array" ref="BE260">SUBSTITUTE(SUBSTITUTE(_xlfn.SWITCH(AT260, "ITM_T_HOME", "ITM_UP1", "ITM_T_END", "ITM_DOWN1", "DOCU_CHR_sub", "ITM_DOWN_ARROW", "DOCU_CHR_super", "ITM_UP_ARROW", "MNU_TAMALPHA", "ITM_alpha", "DOCU_CHR_caseFLIP", "ITM_NULL", "DOCU_CHR_numSET", "ITM_NULL", "DOCU_ITM_RADIX", "ITM_PERIOD", AT260), ".lo", ),"MNU_", "-MNU_")</f>
        <v>ITM_MULT</v>
      </c>
      <c r="BG260" s="75"/>
      <c r="BI260" s="13" t="str">
        <f t="shared" si="89"/>
        <v xml:space="preserve">  {65,                  ITM_MULT,             -MNU_PROB,            -MNU_INTS,            ITM_CROSS,            ITM_V,                ITM_v,                ITM_CROSS,            ITM_MULT            },</v>
      </c>
    </row>
    <row r="261" spans="24:61" ht="21" x14ac:dyDescent="0.2">
      <c r="X261" s="120" t="str">
        <f t="shared" si="81"/>
        <v>N47</v>
      </c>
      <c r="Y261" s="106">
        <v>7</v>
      </c>
      <c r="Z261" s="106">
        <v>1</v>
      </c>
      <c r="AA261" s="112" t="str">
        <f t="shared" si="80"/>
        <v>N47.71</v>
      </c>
      <c r="AB261" s="121" t="s">
        <v>341</v>
      </c>
      <c r="AC261" s="118" t="s">
        <v>218</v>
      </c>
      <c r="AD261" s="119" t="s">
        <v>218</v>
      </c>
      <c r="AE261" s="3"/>
      <c r="AF261" s="121" t="s">
        <v>341</v>
      </c>
      <c r="AG261" s="77" t="b">
        <f t="shared" si="90"/>
        <v>0</v>
      </c>
      <c r="AH261" s="83" t="str">
        <f t="shared" si="82"/>
        <v xml:space="preserve"> </v>
      </c>
      <c r="AI261" s="84" t="str">
        <f t="shared" si="83"/>
        <v xml:space="preserve"> </v>
      </c>
      <c r="AJ261" s="85" t="str">
        <f t="shared" si="84"/>
        <v xml:space="preserve"> g </v>
      </c>
      <c r="AK261" s="6"/>
      <c r="AL261" s="8" t="str">
        <f t="shared" si="85"/>
        <v>{71</v>
      </c>
      <c r="AM261" s="27" t="str">
        <f t="shared" si="86"/>
        <v>ITM_SHIFTg</v>
      </c>
      <c r="AN261" s="27" t="str">
        <f t="shared" si="87"/>
        <v>ITM_NULL</v>
      </c>
      <c r="AO261" s="27" t="str">
        <f t="shared" si="88"/>
        <v>ITM_NULL</v>
      </c>
      <c r="AP261" s="46" t="str">
        <f>IF(NOT(ISNA(MATCH(AM261,Lookups!E:E,))),VLOOKUP(AM261,Lookups!E:F,2,0),
IF(NOT(ISNA(MATCH(AN261,Lookups!E:E,))),VLOOKUP(AN261,Lookups!E:F,2,0),
IF(NOT(ISNA(MATCH(AO261,Lookups!E:E,))),VLOOKUP(AO261,Lookups!E:F,2,0),"ITM_NULL")))</f>
        <v>ITM_SHIFTg</v>
      </c>
      <c r="AQ261" s="28" t="str">
        <f t="shared" si="95"/>
        <v>ITM_SHIFTg</v>
      </c>
      <c r="AR261" s="198" t="s">
        <v>81</v>
      </c>
      <c r="AS261" s="186" t="s">
        <v>81</v>
      </c>
      <c r="AT261" s="221" t="s">
        <v>343</v>
      </c>
      <c r="AW261" s="14" t="str">
        <f t="shared" si="91"/>
        <v>{71</v>
      </c>
      <c r="AX261" s="157" t="str" cm="1">
        <f t="array" ref="AX261">SUBSTITUTE(SUBSTITUTE(_xlfn.SWITCH(AM261, "ITM_T_HOME", "ITM_UP1", "ITM_T_END", "ITM_DOWN1", "DOCU_CHR_sub", "ITM_DOWN_ARROW", "DOCU_CHR_super", "ITM_UP_ARROW", "MNU_TAMALPHA", "ITM_alpha", "DOCU_CHR_caseFLIP", "ITM_NULL", "DOCU_CHR_numSET", "ITM_NULL", "DOCU_ITM_RADIX", "ITM_PERIOD", AM261), ".lo", ),"MNU_", "-MNU_")</f>
        <v>ITM_SHIFTg</v>
      </c>
      <c r="AY261" s="157" t="str" cm="1">
        <f t="array" ref="AY261">SUBSTITUTE(SUBSTITUTE(_xlfn.SWITCH(AN261, "ITM_T_HOME", "ITM_UP1", "ITM_T_END", "ITM_DOWN1", "DOCU_CHR_sub", "ITM_DOWN_ARROW", "DOCU_CHR_super", "ITM_UP_ARROW", "MNU_TAMALPHA", "ITM_alpha", "DOCU_CHR_caseFLIP", "ITM_NULL", "DOCU_CHR_numSET", "ITM_NULL", "DOCU_ITM_RADIX", "ITM_PERIOD", AN261), ".lo", ),"MNU_", "-MNU_")</f>
        <v>ITM_NULL</v>
      </c>
      <c r="AZ261" s="157" t="str" cm="1">
        <f t="array" ref="AZ261">SUBSTITUTE(SUBSTITUTE(_xlfn.SWITCH(AO261, "ITM_T_HOME", "ITM_UP1", "ITM_T_END", "ITM_DOWN1", "DOCU_CHR_sub", "ITM_DOWN_ARROW", "DOCU_CHR_super", "ITM_UP_ARROW", "MNU_TAMALPHA", "ITM_alpha", "DOCU_CHR_caseFLIP", "ITM_NULL", "DOCU_CHR_numSET", "ITM_NULL", "DOCU_ITM_RADIX", "ITM_PERIOD", AO261), ".lo", ),"MNU_", "-MNU_")</f>
        <v>ITM_NULL</v>
      </c>
      <c r="BA261" s="173" t="str" cm="1">
        <f t="array" ref="BA261">SUBSTITUTE(SUBSTITUTE(_xlfn.SWITCH(AP261, "ITM_T_HOME", "ITM_UP1", "ITM_T_END", "ITM_DOWN1", "DOCU_CHR_sub", "ITM_DOWN_ARROW", "DOCU_CHR_super", "ITM_UP_ARROW", "MNU_TAMALPHA", "ITM_alpha", "DOCU_CHR_caseFLIP", "ITM_NULL", "DOCU_CHR_numSET", "ITM_NULL", "DOCU_ITM_RADIX", "ITM_PERIOD", AP261), ".lo", ),"MNU_", "-MNU_")</f>
        <v>ITM_SHIFTg</v>
      </c>
      <c r="BB261" s="157" t="str" cm="1">
        <f t="array" ref="BB261">SUBSTITUTE(SUBSTITUTE(_xlfn.SWITCH(AQ261, "ITM_T_HOME", "ITM_UP1", "ITM_T_END", "ITM_DOWN1", "DOCU_CHR_sub", "ITM_DOWN_ARROW", "DOCU_CHR_super", "ITM_UP_ARROW", "MNU_TAMALPHA", "ITM_alpha", "DOCU_CHR_caseFLIP", "ITM_NULL", "DOCU_CHR_numSET", "ITM_NULL", "DOCU_ITM_RADIX", "ITM_PERIOD", AQ261), ".lo", ),"MNU_", "-MNU_")</f>
        <v>ITM_SHIFTg</v>
      </c>
      <c r="BC261" s="157" t="str" cm="1">
        <f t="array" ref="BC261">SUBSTITUTE(SUBSTITUTE(_xlfn.SWITCH(AR261, "ITM_T_HOME", "ITM_UP1", "ITM_T_END", "ITM_DOWN1", "DOCU_CHR_sub", "ITM_DOWN_ARROW", "DOCU_CHR_super", "ITM_UP_ARROW", "MNU_TAMALPHA", "ITM_alpha", "DOCU_CHR_caseFLIP", "ITM_NULL", "DOCU_CHR_numSET", "ITM_NULL", "DOCU_ITM_RADIX", "ITM_PERIOD", AR261), ".lo", ),"MNU_", "-MNU_")</f>
        <v>ITM_NULL</v>
      </c>
      <c r="BD261" s="157" t="str" cm="1">
        <f t="array" ref="BD261">SUBSTITUTE(SUBSTITUTE(_xlfn.SWITCH(AS261, "ITM_T_HOME", "ITM_UP1", "ITM_T_END", "ITM_DOWN1", "DOCU_CHR_sub", "ITM_DOWN_ARROW", "DOCU_CHR_super", "ITM_UP_ARROW", "MNU_TAMALPHA", "ITM_alpha", "DOCU_CHR_caseFLIP", "ITM_NULL", "DOCU_CHR_numSET", "ITM_NULL", "DOCU_ITM_RADIX", "ITM_PERIOD", AS261), ".lo", ),"MNU_", "-MNU_")</f>
        <v>ITM_NULL</v>
      </c>
      <c r="BE261" s="157" t="str" cm="1">
        <f t="array" ref="BE261">SUBSTITUTE(SUBSTITUTE(_xlfn.SWITCH(AT261, "ITM_T_HOME", "ITM_UP1", "ITM_T_END", "ITM_DOWN1", "DOCU_CHR_sub", "ITM_DOWN_ARROW", "DOCU_CHR_super", "ITM_UP_ARROW", "MNU_TAMALPHA", "ITM_alpha", "DOCU_CHR_caseFLIP", "ITM_NULL", "DOCU_CHR_numSET", "ITM_NULL", "DOCU_ITM_RADIX", "ITM_PERIOD", AT261), ".lo", ),"MNU_", "-MNU_")</f>
        <v>ITM_SHIFTg</v>
      </c>
      <c r="BG261" s="75"/>
      <c r="BI261" s="13" t="str">
        <f t="shared" si="89"/>
        <v xml:space="preserve">  {71,                  ITM_SHIFTg,           ITM_NULL,             ITM_NULL,             ITM_SHIFTg,           ITM_SHIFTg,           ITM_NULL,             ITM_NULL,             ITM_SHIFTg          },</v>
      </c>
    </row>
    <row r="262" spans="24:61" ht="21" x14ac:dyDescent="0.2">
      <c r="X262" s="120" t="str">
        <f t="shared" si="81"/>
        <v>N47</v>
      </c>
      <c r="Y262" s="109">
        <v>7</v>
      </c>
      <c r="Z262" s="109">
        <v>2</v>
      </c>
      <c r="AA262" s="112" t="str">
        <f t="shared" si="80"/>
        <v>N47.72</v>
      </c>
      <c r="AB262" s="117">
        <v>1</v>
      </c>
      <c r="AC262" s="118" t="s">
        <v>222</v>
      </c>
      <c r="AD262" s="119" t="s">
        <v>223</v>
      </c>
      <c r="AE262" s="3"/>
      <c r="AF262" s="49" t="s">
        <v>213</v>
      </c>
      <c r="AG262" s="77" t="b">
        <f t="shared" si="90"/>
        <v>1</v>
      </c>
      <c r="AH262" s="83" t="str">
        <f t="shared" si="82"/>
        <v>w</v>
      </c>
      <c r="AI262" s="84">
        <f t="shared" si="83"/>
        <v>1</v>
      </c>
      <c r="AJ262" s="85">
        <f t="shared" si="84"/>
        <v>1</v>
      </c>
      <c r="AK262" s="6"/>
      <c r="AL262" s="8" t="str">
        <f t="shared" si="85"/>
        <v>{72</v>
      </c>
      <c r="AM262" s="27" t="str">
        <f t="shared" si="86"/>
        <v>ITM_1</v>
      </c>
      <c r="AN262" s="27" t="str">
        <f t="shared" si="87"/>
        <v>ITM_ASSIGN</v>
      </c>
      <c r="AO262" s="27" t="str">
        <f t="shared" si="88"/>
        <v>MNU_KEYS</v>
      </c>
      <c r="AP262" s="46" t="str">
        <f>IF(NOT(ISNA(MATCH(AM262,Lookups!E:E,))),VLOOKUP(AM262,Lookups!E:F,2,0),
IF(NOT(ISNA(MATCH(AN262,Lookups!E:E,))),VLOOKUP(AN262,Lookups!E:F,2,0),
IF(NOT(ISNA(MATCH(AO262,Lookups!E:E,))),VLOOKUP(AO262,Lookups!E:F,2,0),"ITM_NULL")))</f>
        <v>ITM_1</v>
      </c>
      <c r="AQ262" s="28" t="str">
        <f t="shared" si="95"/>
        <v>ITM_W</v>
      </c>
      <c r="AR262" s="195" t="s">
        <v>214</v>
      </c>
      <c r="AS262" s="186" t="s">
        <v>226</v>
      </c>
      <c r="AT262" s="197" t="s">
        <v>226</v>
      </c>
      <c r="AW262" s="14" t="str">
        <f t="shared" si="91"/>
        <v>{72</v>
      </c>
      <c r="AX262" s="157" t="str" cm="1">
        <f t="array" ref="AX262">SUBSTITUTE(SUBSTITUTE(_xlfn.SWITCH(AM262, "ITM_T_HOME", "ITM_UP1", "ITM_T_END", "ITM_DOWN1", "DOCU_CHR_sub", "ITM_DOWN_ARROW", "DOCU_CHR_super", "ITM_UP_ARROW", "MNU_TAMALPHA", "ITM_alpha", "DOCU_CHR_caseFLIP", "ITM_NULL", "DOCU_CHR_numSET", "ITM_NULL", "DOCU_ITM_RADIX", "ITM_PERIOD", AM262), ".lo", ),"MNU_", "-MNU_")</f>
        <v>ITM_1</v>
      </c>
      <c r="AY262" s="157" t="str" cm="1">
        <f t="array" ref="AY262">SUBSTITUTE(SUBSTITUTE(_xlfn.SWITCH(AN262, "ITM_T_HOME", "ITM_UP1", "ITM_T_END", "ITM_DOWN1", "DOCU_CHR_sub", "ITM_DOWN_ARROW", "DOCU_CHR_super", "ITM_UP_ARROW", "MNU_TAMALPHA", "ITM_alpha", "DOCU_CHR_caseFLIP", "ITM_NULL", "DOCU_CHR_numSET", "ITM_NULL", "DOCU_ITM_RADIX", "ITM_PERIOD", AN262), ".lo", ),"MNU_", "-MNU_")</f>
        <v>ITM_ASSIGN</v>
      </c>
      <c r="AZ262" s="157" t="str" cm="1">
        <f t="array" ref="AZ262">SUBSTITUTE(SUBSTITUTE(_xlfn.SWITCH(AO262, "ITM_T_HOME", "ITM_UP1", "ITM_T_END", "ITM_DOWN1", "DOCU_CHR_sub", "ITM_DOWN_ARROW", "DOCU_CHR_super", "ITM_UP_ARROW", "MNU_TAMALPHA", "ITM_alpha", "DOCU_CHR_caseFLIP", "ITM_NULL", "DOCU_CHR_numSET", "ITM_NULL", "DOCU_ITM_RADIX", "ITM_PERIOD", AO262), ".lo", ),"MNU_", "-MNU_")</f>
        <v>-MNU_KEYS</v>
      </c>
      <c r="BA262" s="173" t="str" cm="1">
        <f t="array" ref="BA262">SUBSTITUTE(SUBSTITUTE(_xlfn.SWITCH(AP262, "ITM_T_HOME", "ITM_UP1", "ITM_T_END", "ITM_DOWN1", "DOCU_CHR_sub", "ITM_DOWN_ARROW", "DOCU_CHR_super", "ITM_UP_ARROW", "MNU_TAMALPHA", "ITM_alpha", "DOCU_CHR_caseFLIP", "ITM_NULL", "DOCU_CHR_numSET", "ITM_NULL", "DOCU_ITM_RADIX", "ITM_PERIOD", AP262), ".lo", ),"MNU_", "-MNU_")</f>
        <v>ITM_1</v>
      </c>
      <c r="BB262" s="157" t="str" cm="1">
        <f t="array" ref="BB262">SUBSTITUTE(SUBSTITUTE(_xlfn.SWITCH(AQ262, "ITM_T_HOME", "ITM_UP1", "ITM_T_END", "ITM_DOWN1", "DOCU_CHR_sub", "ITM_DOWN_ARROW", "DOCU_CHR_super", "ITM_UP_ARROW", "MNU_TAMALPHA", "ITM_alpha", "DOCU_CHR_caseFLIP", "ITM_NULL", "DOCU_CHR_numSET", "ITM_NULL", "DOCU_ITM_RADIX", "ITM_PERIOD", AQ262), ".lo", ),"MNU_", "-MNU_")</f>
        <v>ITM_W</v>
      </c>
      <c r="BC262" s="157" t="str" cm="1">
        <f t="array" ref="BC262">SUBSTITUTE(SUBSTITUTE(_xlfn.SWITCH(AR262, "ITM_T_HOME", "ITM_UP1", "ITM_T_END", "ITM_DOWN1", "DOCU_CHR_sub", "ITM_DOWN_ARROW", "DOCU_CHR_super", "ITM_UP_ARROW", "MNU_TAMALPHA", "ITM_alpha", "DOCU_CHR_caseFLIP", "ITM_NULL", "DOCU_CHR_numSET", "ITM_NULL", "DOCU_ITM_RADIX", "ITM_PERIOD", AR262), ".lo", ),"MNU_", "-MNU_")</f>
        <v>ITM_w</v>
      </c>
      <c r="BD262" s="157" t="str" cm="1">
        <f t="array" ref="BD262">SUBSTITUTE(SUBSTITUTE(_xlfn.SWITCH(AS262, "ITM_T_HOME", "ITM_UP1", "ITM_T_END", "ITM_DOWN1", "DOCU_CHR_sub", "ITM_DOWN_ARROW", "DOCU_CHR_super", "ITM_UP_ARROW", "MNU_TAMALPHA", "ITM_alpha", "DOCU_CHR_caseFLIP", "ITM_NULL", "DOCU_CHR_numSET", "ITM_NULL", "DOCU_ITM_RADIX", "ITM_PERIOD", AS262), ".lo", ),"MNU_", "-MNU_")</f>
        <v>ITM_1</v>
      </c>
      <c r="BE262" s="157" t="str" cm="1">
        <f t="array" ref="BE262">SUBSTITUTE(SUBSTITUTE(_xlfn.SWITCH(AT262, "ITM_T_HOME", "ITM_UP1", "ITM_T_END", "ITM_DOWN1", "DOCU_CHR_sub", "ITM_DOWN_ARROW", "DOCU_CHR_super", "ITM_UP_ARROW", "MNU_TAMALPHA", "ITM_alpha", "DOCU_CHR_caseFLIP", "ITM_NULL", "DOCU_CHR_numSET", "ITM_NULL", "DOCU_ITM_RADIX", "ITM_PERIOD", AT262), ".lo", ),"MNU_", "-MNU_")</f>
        <v>ITM_1</v>
      </c>
      <c r="BG262" s="75"/>
      <c r="BI262" s="13" t="str">
        <f t="shared" si="89"/>
        <v xml:space="preserve">  {72,                  ITM_1,                ITM_ASSIGN,           -MNU_KEYS,            ITM_1,                ITM_W,                ITM_w,                ITM_1,                ITM_1               },</v>
      </c>
    </row>
    <row r="263" spans="24:61" ht="21" x14ac:dyDescent="0.2">
      <c r="X263" s="120" t="str">
        <f t="shared" si="81"/>
        <v>N47</v>
      </c>
      <c r="Y263" s="109">
        <v>7</v>
      </c>
      <c r="Z263" s="109">
        <v>3</v>
      </c>
      <c r="AA263" s="112" t="str">
        <f t="shared" si="80"/>
        <v>N47.73</v>
      </c>
      <c r="AB263" s="117">
        <v>2</v>
      </c>
      <c r="AC263" s="118" t="s">
        <v>447</v>
      </c>
      <c r="AD263" s="119" t="s">
        <v>645</v>
      </c>
      <c r="AE263" s="3"/>
      <c r="AF263" s="49" t="s">
        <v>224</v>
      </c>
      <c r="AG263" s="77" t="b">
        <f t="shared" si="90"/>
        <v>1</v>
      </c>
      <c r="AH263" s="83" t="str">
        <f t="shared" si="82"/>
        <v>x</v>
      </c>
      <c r="AI263" s="84">
        <f t="shared" si="83"/>
        <v>2</v>
      </c>
      <c r="AJ263" s="85">
        <f t="shared" si="84"/>
        <v>2</v>
      </c>
      <c r="AK263" s="6"/>
      <c r="AL263" s="8" t="str">
        <f t="shared" si="85"/>
        <v>{73</v>
      </c>
      <c r="AM263" s="27" t="str">
        <f t="shared" si="86"/>
        <v>ITM_2</v>
      </c>
      <c r="AN263" s="27" t="str">
        <f t="shared" si="87"/>
        <v>MNU_SETUP</v>
      </c>
      <c r="AO263" s="27" t="str">
        <f t="shared" si="88"/>
        <v>MNU_ALPHAFN</v>
      </c>
      <c r="AP263" s="46" t="str">
        <f>IF(NOT(ISNA(MATCH(AM263,Lookups!E:E,))),VLOOKUP(AM263,Lookups!E:F,2,0),
IF(NOT(ISNA(MATCH(AN263,Lookups!E:E,))),VLOOKUP(AN263,Lookups!E:F,2,0),
IF(NOT(ISNA(MATCH(AO263,Lookups!E:E,))),VLOOKUP(AO263,Lookups!E:F,2,0),"ITM_NULL")))</f>
        <v>ITM_2</v>
      </c>
      <c r="AQ263" s="28" t="str">
        <f t="shared" si="95"/>
        <v>ITM_X</v>
      </c>
      <c r="AR263" s="195" t="s">
        <v>225</v>
      </c>
      <c r="AS263" s="186" t="s">
        <v>230</v>
      </c>
      <c r="AT263" s="197" t="s">
        <v>230</v>
      </c>
      <c r="AW263" s="14" t="str">
        <f t="shared" si="91"/>
        <v>{73</v>
      </c>
      <c r="AX263" s="157" t="str" cm="1">
        <f t="array" ref="AX263">SUBSTITUTE(SUBSTITUTE(_xlfn.SWITCH(AM263, "ITM_T_HOME", "ITM_UP1", "ITM_T_END", "ITM_DOWN1", "DOCU_CHR_sub", "ITM_DOWN_ARROW", "DOCU_CHR_super", "ITM_UP_ARROW", "MNU_TAMALPHA", "ITM_alpha", "DOCU_CHR_caseFLIP", "ITM_NULL", "DOCU_CHR_numSET", "ITM_NULL", "DOCU_ITM_RADIX", "ITM_PERIOD", AM263), ".lo", ),"MNU_", "-MNU_")</f>
        <v>ITM_2</v>
      </c>
      <c r="AY263" s="157" t="str" cm="1">
        <f t="array" ref="AY263">SUBSTITUTE(SUBSTITUTE(_xlfn.SWITCH(AN263, "ITM_T_HOME", "ITM_UP1", "ITM_T_END", "ITM_DOWN1", "DOCU_CHR_sub", "ITM_DOWN_ARROW", "DOCU_CHR_super", "ITM_UP_ARROW", "MNU_TAMALPHA", "ITM_alpha", "DOCU_CHR_caseFLIP", "ITM_NULL", "DOCU_CHR_numSET", "ITM_NULL", "DOCU_ITM_RADIX", "ITM_PERIOD", AN263), ".lo", ),"MNU_", "-MNU_")</f>
        <v>-MNU_SETUP</v>
      </c>
      <c r="AZ263" s="157" t="str" cm="1">
        <f t="array" ref="AZ263">SUBSTITUTE(SUBSTITUTE(_xlfn.SWITCH(AO263, "ITM_T_HOME", "ITM_UP1", "ITM_T_END", "ITM_DOWN1", "DOCU_CHR_sub", "ITM_DOWN_ARROW", "DOCU_CHR_super", "ITM_UP_ARROW", "MNU_TAMALPHA", "ITM_alpha", "DOCU_CHR_caseFLIP", "ITM_NULL", "DOCU_CHR_numSET", "ITM_NULL", "DOCU_ITM_RADIX", "ITM_PERIOD", AO263), ".lo", ),"MNU_", "-MNU_")</f>
        <v>-MNU_ALPHAFN</v>
      </c>
      <c r="BA263" s="173" t="str" cm="1">
        <f t="array" ref="BA263">SUBSTITUTE(SUBSTITUTE(_xlfn.SWITCH(AP263, "ITM_T_HOME", "ITM_UP1", "ITM_T_END", "ITM_DOWN1", "DOCU_CHR_sub", "ITM_DOWN_ARROW", "DOCU_CHR_super", "ITM_UP_ARROW", "MNU_TAMALPHA", "ITM_alpha", "DOCU_CHR_caseFLIP", "ITM_NULL", "DOCU_CHR_numSET", "ITM_NULL", "DOCU_ITM_RADIX", "ITM_PERIOD", AP263), ".lo", ),"MNU_", "-MNU_")</f>
        <v>ITM_2</v>
      </c>
      <c r="BB263" s="157" t="str" cm="1">
        <f t="array" ref="BB263">SUBSTITUTE(SUBSTITUTE(_xlfn.SWITCH(AQ263, "ITM_T_HOME", "ITM_UP1", "ITM_T_END", "ITM_DOWN1", "DOCU_CHR_sub", "ITM_DOWN_ARROW", "DOCU_CHR_super", "ITM_UP_ARROW", "MNU_TAMALPHA", "ITM_alpha", "DOCU_CHR_caseFLIP", "ITM_NULL", "DOCU_CHR_numSET", "ITM_NULL", "DOCU_ITM_RADIX", "ITM_PERIOD", AQ263), ".lo", ),"MNU_", "-MNU_")</f>
        <v>ITM_X</v>
      </c>
      <c r="BC263" s="157" t="str" cm="1">
        <f t="array" ref="BC263">SUBSTITUTE(SUBSTITUTE(_xlfn.SWITCH(AR263, "ITM_T_HOME", "ITM_UP1", "ITM_T_END", "ITM_DOWN1", "DOCU_CHR_sub", "ITM_DOWN_ARROW", "DOCU_CHR_super", "ITM_UP_ARROW", "MNU_TAMALPHA", "ITM_alpha", "DOCU_CHR_caseFLIP", "ITM_NULL", "DOCU_CHR_numSET", "ITM_NULL", "DOCU_ITM_RADIX", "ITM_PERIOD", AR263), ".lo", ),"MNU_", "-MNU_")</f>
        <v>ITM_x</v>
      </c>
      <c r="BD263" s="157" t="str" cm="1">
        <f t="array" ref="BD263">SUBSTITUTE(SUBSTITUTE(_xlfn.SWITCH(AS263, "ITM_T_HOME", "ITM_UP1", "ITM_T_END", "ITM_DOWN1", "DOCU_CHR_sub", "ITM_DOWN_ARROW", "DOCU_CHR_super", "ITM_UP_ARROW", "MNU_TAMALPHA", "ITM_alpha", "DOCU_CHR_caseFLIP", "ITM_NULL", "DOCU_CHR_numSET", "ITM_NULL", "DOCU_ITM_RADIX", "ITM_PERIOD", AS263), ".lo", ),"MNU_", "-MNU_")</f>
        <v>ITM_2</v>
      </c>
      <c r="BE263" s="157" t="str" cm="1">
        <f t="array" ref="BE263">SUBSTITUTE(SUBSTITUTE(_xlfn.SWITCH(AT263, "ITM_T_HOME", "ITM_UP1", "ITM_T_END", "ITM_DOWN1", "DOCU_CHR_sub", "ITM_DOWN_ARROW", "DOCU_CHR_super", "ITM_UP_ARROW", "MNU_TAMALPHA", "ITM_alpha", "DOCU_CHR_caseFLIP", "ITM_NULL", "DOCU_CHR_numSET", "ITM_NULL", "DOCU_ITM_RADIX", "ITM_PERIOD", AT263), ".lo", ),"MNU_", "-MNU_")</f>
        <v>ITM_2</v>
      </c>
      <c r="BG263" s="75"/>
      <c r="BI263" s="13" t="str">
        <f t="shared" si="89"/>
        <v xml:space="preserve">  {73,                  ITM_2,                -MNU_SETUP,           -MNU_ALPHAFN,         ITM_2,                ITM_X,                ITM_x,                ITM_2,                ITM_2               },</v>
      </c>
    </row>
    <row r="264" spans="24:61" ht="21" x14ac:dyDescent="0.2">
      <c r="X264" s="120" t="str">
        <f t="shared" si="81"/>
        <v>N47</v>
      </c>
      <c r="Y264" s="109">
        <v>7</v>
      </c>
      <c r="Z264" s="109">
        <v>4</v>
      </c>
      <c r="AA264" s="112" t="str">
        <f t="shared" si="80"/>
        <v>N47.74</v>
      </c>
      <c r="AB264" s="117">
        <v>3</v>
      </c>
      <c r="AC264" s="118" t="s">
        <v>231</v>
      </c>
      <c r="AD264" s="119" t="s">
        <v>232</v>
      </c>
      <c r="AE264" s="3"/>
      <c r="AF264" s="49" t="s">
        <v>228</v>
      </c>
      <c r="AG264" s="77" t="b">
        <f t="shared" si="90"/>
        <v>1</v>
      </c>
      <c r="AH264" s="83" t="str">
        <f t="shared" si="82"/>
        <v>y</v>
      </c>
      <c r="AI264" s="84">
        <f t="shared" si="83"/>
        <v>3</v>
      </c>
      <c r="AJ264" s="85">
        <f t="shared" si="84"/>
        <v>3</v>
      </c>
      <c r="AK264" s="6"/>
      <c r="AL264" s="8" t="str">
        <f t="shared" si="85"/>
        <v>{74</v>
      </c>
      <c r="AM264" s="27" t="str">
        <f t="shared" si="86"/>
        <v>ITM_3</v>
      </c>
      <c r="AN264" s="27" t="str">
        <f t="shared" si="87"/>
        <v>MNU_PFN</v>
      </c>
      <c r="AO264" s="27" t="str">
        <f t="shared" si="88"/>
        <v>MNU_LOOP</v>
      </c>
      <c r="AP264" s="46" t="str">
        <f>IF(NOT(ISNA(MATCH(AM264,Lookups!E:E,))),VLOOKUP(AM264,Lookups!E:F,2,0),
IF(NOT(ISNA(MATCH(AN264,Lookups!E:E,))),VLOOKUP(AN264,Lookups!E:F,2,0),
IF(NOT(ISNA(MATCH(AO264,Lookups!E:E,))),VLOOKUP(AO264,Lookups!E:F,2,0),"ITM_NULL")))</f>
        <v>ITM_3</v>
      </c>
      <c r="AQ264" s="28" t="str">
        <f t="shared" si="95"/>
        <v>ITM_Y</v>
      </c>
      <c r="AR264" s="195" t="s">
        <v>229</v>
      </c>
      <c r="AS264" s="186" t="s">
        <v>235</v>
      </c>
      <c r="AT264" s="197" t="s">
        <v>235</v>
      </c>
      <c r="AW264" s="14" t="str">
        <f t="shared" si="91"/>
        <v>{74</v>
      </c>
      <c r="AX264" s="157" t="str" cm="1">
        <f t="array" ref="AX264">SUBSTITUTE(SUBSTITUTE(_xlfn.SWITCH(AM264, "ITM_T_HOME", "ITM_UP1", "ITM_T_END", "ITM_DOWN1", "DOCU_CHR_sub", "ITM_DOWN_ARROW", "DOCU_CHR_super", "ITM_UP_ARROW", "MNU_TAMALPHA", "ITM_alpha", "DOCU_CHR_caseFLIP", "ITM_NULL", "DOCU_CHR_numSET", "ITM_NULL", "DOCU_ITM_RADIX", "ITM_PERIOD", AM264), ".lo", ),"MNU_", "-MNU_")</f>
        <v>ITM_3</v>
      </c>
      <c r="AY264" s="157" t="str" cm="1">
        <f t="array" ref="AY264">SUBSTITUTE(SUBSTITUTE(_xlfn.SWITCH(AN264, "ITM_T_HOME", "ITM_UP1", "ITM_T_END", "ITM_DOWN1", "DOCU_CHR_sub", "ITM_DOWN_ARROW", "DOCU_CHR_super", "ITM_UP_ARROW", "MNU_TAMALPHA", "ITM_alpha", "DOCU_CHR_caseFLIP", "ITM_NULL", "DOCU_CHR_numSET", "ITM_NULL", "DOCU_ITM_RADIX", "ITM_PERIOD", AN264), ".lo", ),"MNU_", "-MNU_")</f>
        <v>-MNU_PFN</v>
      </c>
      <c r="AZ264" s="157" t="str" cm="1">
        <f t="array" ref="AZ264">SUBSTITUTE(SUBSTITUTE(_xlfn.SWITCH(AO264, "ITM_T_HOME", "ITM_UP1", "ITM_T_END", "ITM_DOWN1", "DOCU_CHR_sub", "ITM_DOWN_ARROW", "DOCU_CHR_super", "ITM_UP_ARROW", "MNU_TAMALPHA", "ITM_alpha", "DOCU_CHR_caseFLIP", "ITM_NULL", "DOCU_CHR_numSET", "ITM_NULL", "DOCU_ITM_RADIX", "ITM_PERIOD", AO264), ".lo", ),"MNU_", "-MNU_")</f>
        <v>-MNU_LOOP</v>
      </c>
      <c r="BA264" s="173" t="str" cm="1">
        <f t="array" ref="BA264">SUBSTITUTE(SUBSTITUTE(_xlfn.SWITCH(AP264, "ITM_T_HOME", "ITM_UP1", "ITM_T_END", "ITM_DOWN1", "DOCU_CHR_sub", "ITM_DOWN_ARROW", "DOCU_CHR_super", "ITM_UP_ARROW", "MNU_TAMALPHA", "ITM_alpha", "DOCU_CHR_caseFLIP", "ITM_NULL", "DOCU_CHR_numSET", "ITM_NULL", "DOCU_ITM_RADIX", "ITM_PERIOD", AP264), ".lo", ),"MNU_", "-MNU_")</f>
        <v>ITM_3</v>
      </c>
      <c r="BB264" s="157" t="str" cm="1">
        <f t="array" ref="BB264">SUBSTITUTE(SUBSTITUTE(_xlfn.SWITCH(AQ264, "ITM_T_HOME", "ITM_UP1", "ITM_T_END", "ITM_DOWN1", "DOCU_CHR_sub", "ITM_DOWN_ARROW", "DOCU_CHR_super", "ITM_UP_ARROW", "MNU_TAMALPHA", "ITM_alpha", "DOCU_CHR_caseFLIP", "ITM_NULL", "DOCU_CHR_numSET", "ITM_NULL", "DOCU_ITM_RADIX", "ITM_PERIOD", AQ264), ".lo", ),"MNU_", "-MNU_")</f>
        <v>ITM_Y</v>
      </c>
      <c r="BC264" s="157" t="str" cm="1">
        <f t="array" ref="BC264">SUBSTITUTE(SUBSTITUTE(_xlfn.SWITCH(AR264, "ITM_T_HOME", "ITM_UP1", "ITM_T_END", "ITM_DOWN1", "DOCU_CHR_sub", "ITM_DOWN_ARROW", "DOCU_CHR_super", "ITM_UP_ARROW", "MNU_TAMALPHA", "ITM_alpha", "DOCU_CHR_caseFLIP", "ITM_NULL", "DOCU_CHR_numSET", "ITM_NULL", "DOCU_ITM_RADIX", "ITM_PERIOD", AR264), ".lo", ),"MNU_", "-MNU_")</f>
        <v>ITM_y</v>
      </c>
      <c r="BD264" s="157" t="str" cm="1">
        <f t="array" ref="BD264">SUBSTITUTE(SUBSTITUTE(_xlfn.SWITCH(AS264, "ITM_T_HOME", "ITM_UP1", "ITM_T_END", "ITM_DOWN1", "DOCU_CHR_sub", "ITM_DOWN_ARROW", "DOCU_CHR_super", "ITM_UP_ARROW", "MNU_TAMALPHA", "ITM_alpha", "DOCU_CHR_caseFLIP", "ITM_NULL", "DOCU_CHR_numSET", "ITM_NULL", "DOCU_ITM_RADIX", "ITM_PERIOD", AS264), ".lo", ),"MNU_", "-MNU_")</f>
        <v>ITM_3</v>
      </c>
      <c r="BE264" s="157" t="str" cm="1">
        <f t="array" ref="BE264">SUBSTITUTE(SUBSTITUTE(_xlfn.SWITCH(AT264, "ITM_T_HOME", "ITM_UP1", "ITM_T_END", "ITM_DOWN1", "DOCU_CHR_sub", "ITM_DOWN_ARROW", "DOCU_CHR_super", "ITM_UP_ARROW", "MNU_TAMALPHA", "ITM_alpha", "DOCU_CHR_caseFLIP", "ITM_NULL", "DOCU_CHR_numSET", "ITM_NULL", "DOCU_ITM_RADIX", "ITM_PERIOD", AT264), ".lo", ),"MNU_", "-MNU_")</f>
        <v>ITM_3</v>
      </c>
      <c r="BG264" s="75"/>
      <c r="BI264" s="13" t="str">
        <f t="shared" si="89"/>
        <v xml:space="preserve">  {74,                  ITM_3,                -MNU_PFN,             -MNU_LOOP,            ITM_3,                ITM_Y,                ITM_y,                ITM_3,                ITM_3               },</v>
      </c>
    </row>
    <row r="265" spans="24:61" ht="21" x14ac:dyDescent="0.2">
      <c r="X265" s="120" t="str">
        <f t="shared" si="81"/>
        <v>N47</v>
      </c>
      <c r="Y265" s="109">
        <v>7</v>
      </c>
      <c r="Z265" s="109">
        <v>5</v>
      </c>
      <c r="AA265" s="112" t="str">
        <f t="shared" si="80"/>
        <v>N47.75</v>
      </c>
      <c r="AB265" s="117" t="s">
        <v>236</v>
      </c>
      <c r="AC265" s="118" t="s">
        <v>172</v>
      </c>
      <c r="AD265" s="119" t="s">
        <v>238</v>
      </c>
      <c r="AE265" s="3"/>
      <c r="AF265" s="49" t="str">
        <f>" "</f>
        <v xml:space="preserve"> </v>
      </c>
      <c r="AG265" s="77" t="b">
        <f t="shared" si="90"/>
        <v>0</v>
      </c>
      <c r="AH265" s="83" t="str">
        <f t="shared" si="82"/>
        <v>-</v>
      </c>
      <c r="AI265" s="84" t="str">
        <f t="shared" si="83"/>
        <v>-</v>
      </c>
      <c r="AJ265" s="85" t="str">
        <f t="shared" si="84"/>
        <v>-</v>
      </c>
      <c r="AK265" s="6"/>
      <c r="AL265" s="8" t="str">
        <f t="shared" si="85"/>
        <v>{75</v>
      </c>
      <c r="AM265" s="27" t="str">
        <f t="shared" si="86"/>
        <v>ITM_SUB</v>
      </c>
      <c r="AN265" s="27" t="str">
        <f t="shared" si="87"/>
        <v>MNU_FIN</v>
      </c>
      <c r="AO265" s="27" t="str">
        <f t="shared" si="88"/>
        <v>MNU_IO</v>
      </c>
      <c r="AP265" s="46" t="str">
        <f>IF(NOT(ISNA(MATCH(AM265,Lookups!E:E,))),VLOOKUP(AM265,Lookups!E:F,2,0),
IF(NOT(ISNA(MATCH(AN265,Lookups!E:E,))),VLOOKUP(AN265,Lookups!E:F,2,0),
IF(NOT(ISNA(MATCH(AO265,Lookups!E:E,))),VLOOKUP(AO265,Lookups!E:F,2,0),"ITM_NULL")))</f>
        <v>ITM_MINUS</v>
      </c>
      <c r="AQ265" s="28" t="str">
        <f t="shared" si="95"/>
        <v>ITM_NULL</v>
      </c>
      <c r="AR265" s="198" t="s">
        <v>240</v>
      </c>
      <c r="AS265" s="186" t="s">
        <v>240</v>
      </c>
      <c r="AT265" s="197" t="s">
        <v>241</v>
      </c>
      <c r="AW265" s="14" t="str">
        <f t="shared" si="91"/>
        <v>{75</v>
      </c>
      <c r="AX265" s="157" t="str" cm="1">
        <f t="array" ref="AX265">SUBSTITUTE(SUBSTITUTE(_xlfn.SWITCH(AM265, "ITM_T_HOME", "ITM_UP1", "ITM_T_END", "ITM_DOWN1", "DOCU_CHR_sub", "ITM_DOWN_ARROW", "DOCU_CHR_super", "ITM_UP_ARROW", "MNU_TAMALPHA", "ITM_alpha", "DOCU_CHR_caseFLIP", "ITM_NULL", "DOCU_CHR_numSET", "ITM_NULL", "DOCU_ITM_RADIX", "ITM_PERIOD", AM265), ".lo", ),"MNU_", "-MNU_")</f>
        <v>ITM_SUB</v>
      </c>
      <c r="AY265" s="157" t="str" cm="1">
        <f t="array" ref="AY265">SUBSTITUTE(SUBSTITUTE(_xlfn.SWITCH(AN265, "ITM_T_HOME", "ITM_UP1", "ITM_T_END", "ITM_DOWN1", "DOCU_CHR_sub", "ITM_DOWN_ARROW", "DOCU_CHR_super", "ITM_UP_ARROW", "MNU_TAMALPHA", "ITM_alpha", "DOCU_CHR_caseFLIP", "ITM_NULL", "DOCU_CHR_numSET", "ITM_NULL", "DOCU_ITM_RADIX", "ITM_PERIOD", AN265), ".lo", ),"MNU_", "-MNU_")</f>
        <v>-MNU_FIN</v>
      </c>
      <c r="AZ265" s="157" t="str" cm="1">
        <f t="array" ref="AZ265">SUBSTITUTE(SUBSTITUTE(_xlfn.SWITCH(AO265, "ITM_T_HOME", "ITM_UP1", "ITM_T_END", "ITM_DOWN1", "DOCU_CHR_sub", "ITM_DOWN_ARROW", "DOCU_CHR_super", "ITM_UP_ARROW", "MNU_TAMALPHA", "ITM_alpha", "DOCU_CHR_caseFLIP", "ITM_NULL", "DOCU_CHR_numSET", "ITM_NULL", "DOCU_ITM_RADIX", "ITM_PERIOD", AO265), ".lo", ),"MNU_", "-MNU_")</f>
        <v>-MNU_IO</v>
      </c>
      <c r="BA265" s="173" t="str" cm="1">
        <f t="array" ref="BA265">SUBSTITUTE(SUBSTITUTE(_xlfn.SWITCH(AP265, "ITM_T_HOME", "ITM_UP1", "ITM_T_END", "ITM_DOWN1", "DOCU_CHR_sub", "ITM_DOWN_ARROW", "DOCU_CHR_super", "ITM_UP_ARROW", "MNU_TAMALPHA", "ITM_alpha", "DOCU_CHR_caseFLIP", "ITM_NULL", "DOCU_CHR_numSET", "ITM_NULL", "DOCU_ITM_RADIX", "ITM_PERIOD", AP265), ".lo", ),"MNU_", "-MNU_")</f>
        <v>ITM_MINUS</v>
      </c>
      <c r="BB265" s="157" t="str" cm="1">
        <f t="array" ref="BB265">SUBSTITUTE(SUBSTITUTE(_xlfn.SWITCH(AQ265, "ITM_T_HOME", "ITM_UP1", "ITM_T_END", "ITM_DOWN1", "DOCU_CHR_sub", "ITM_DOWN_ARROW", "DOCU_CHR_super", "ITM_UP_ARROW", "MNU_TAMALPHA", "ITM_alpha", "DOCU_CHR_caseFLIP", "ITM_NULL", "DOCU_CHR_numSET", "ITM_NULL", "DOCU_ITM_RADIX", "ITM_PERIOD", AQ265), ".lo", ),"MNU_", "-MNU_")</f>
        <v>ITM_NULL</v>
      </c>
      <c r="BC265" s="157" t="str" cm="1">
        <f t="array" ref="BC265">SUBSTITUTE(SUBSTITUTE(_xlfn.SWITCH(AR265, "ITM_T_HOME", "ITM_UP1", "ITM_T_END", "ITM_DOWN1", "DOCU_CHR_sub", "ITM_DOWN_ARROW", "DOCU_CHR_super", "ITM_UP_ARROW", "MNU_TAMALPHA", "ITM_alpha", "DOCU_CHR_caseFLIP", "ITM_NULL", "DOCU_CHR_numSET", "ITM_NULL", "DOCU_ITM_RADIX", "ITM_PERIOD", AR265), ".lo", ),"MNU_", "-MNU_")</f>
        <v>ITM_MINUS</v>
      </c>
      <c r="BD265" s="157" t="str" cm="1">
        <f t="array" ref="BD265">SUBSTITUTE(SUBSTITUTE(_xlfn.SWITCH(AS265, "ITM_T_HOME", "ITM_UP1", "ITM_T_END", "ITM_DOWN1", "DOCU_CHR_sub", "ITM_DOWN_ARROW", "DOCU_CHR_super", "ITM_UP_ARROW", "MNU_TAMALPHA", "ITM_alpha", "DOCU_CHR_caseFLIP", "ITM_NULL", "DOCU_CHR_numSET", "ITM_NULL", "DOCU_ITM_RADIX", "ITM_PERIOD", AS265), ".lo", ),"MNU_", "-MNU_")</f>
        <v>ITM_MINUS</v>
      </c>
      <c r="BE265" s="157" t="str" cm="1">
        <f t="array" ref="BE265">SUBSTITUTE(SUBSTITUTE(_xlfn.SWITCH(AT265, "ITM_T_HOME", "ITM_UP1", "ITM_T_END", "ITM_DOWN1", "DOCU_CHR_sub", "ITM_DOWN_ARROW", "DOCU_CHR_super", "ITM_UP_ARROW", "MNU_TAMALPHA", "ITM_alpha", "DOCU_CHR_caseFLIP", "ITM_NULL", "DOCU_CHR_numSET", "ITM_NULL", "DOCU_ITM_RADIX", "ITM_PERIOD", AT265), ".lo", ),"MNU_", "-MNU_")</f>
        <v>ITM_SUB</v>
      </c>
      <c r="BG265" s="75"/>
      <c r="BI265" s="13" t="str">
        <f t="shared" si="89"/>
        <v xml:space="preserve">  {75,                  ITM_SUB,              -MNU_FIN,             -MNU_IO,              ITM_MINUS,            ITM_NULL,             ITM_MINUS,            ITM_MINUS,            ITM_SUB             },</v>
      </c>
    </row>
    <row r="266" spans="24:61" ht="21" x14ac:dyDescent="0.2">
      <c r="X266" s="120" t="str">
        <f t="shared" si="81"/>
        <v>N47</v>
      </c>
      <c r="Y266" s="106">
        <v>8</v>
      </c>
      <c r="Z266" s="106">
        <v>1</v>
      </c>
      <c r="AA266" s="112" t="str">
        <f t="shared" si="80"/>
        <v>N47.81</v>
      </c>
      <c r="AB266" s="117" t="s">
        <v>242</v>
      </c>
      <c r="AC266" s="118" t="s">
        <v>243</v>
      </c>
      <c r="AD266" s="119" t="s">
        <v>244</v>
      </c>
      <c r="AE266" s="3"/>
      <c r="AF266" s="49" t="s">
        <v>242</v>
      </c>
      <c r="AG266" s="77" t="b">
        <f t="shared" si="90"/>
        <v>0</v>
      </c>
      <c r="AH266" s="83" t="str">
        <f t="shared" si="82"/>
        <v>OFF</v>
      </c>
      <c r="AI266" s="84" t="str">
        <f t="shared" si="83"/>
        <v>SNAP</v>
      </c>
      <c r="AJ266" s="85" t="str">
        <f t="shared" si="84"/>
        <v>EXIT</v>
      </c>
      <c r="AK266" s="6"/>
      <c r="AL266" s="8" t="str">
        <f t="shared" si="85"/>
        <v>{81</v>
      </c>
      <c r="AM266" s="27" t="str">
        <f t="shared" si="86"/>
        <v>ITM_EXIT1</v>
      </c>
      <c r="AN266" s="27" t="str">
        <f t="shared" si="87"/>
        <v>ITM_OFF</v>
      </c>
      <c r="AO266" s="27" t="str">
        <f t="shared" si="88"/>
        <v>ITM_SNAP</v>
      </c>
      <c r="AP266" s="46" t="str">
        <f>IF(NOT(ISNA(MATCH(AM266,Lookups!E:E,))),VLOOKUP(AM266,Lookups!E:F,2,0),
IF(NOT(ISNA(MATCH(AN266,Lookups!E:E,))),VLOOKUP(AN266,Lookups!E:F,2,0),
IF(NOT(ISNA(MATCH(AO266,Lookups!E:E,))),VLOOKUP(AO266,Lookups!E:F,2,0),"ITM_NULL")))</f>
        <v>ITM_EXIT1</v>
      </c>
      <c r="AQ266" s="28" t="str">
        <f t="shared" si="95"/>
        <v>ITM_EXIT1</v>
      </c>
      <c r="AR266" s="198" t="s">
        <v>245</v>
      </c>
      <c r="AS266" s="186" t="s">
        <v>246</v>
      </c>
      <c r="AT266" s="197" t="s">
        <v>247</v>
      </c>
      <c r="AW266" s="14" t="str">
        <f t="shared" si="91"/>
        <v>{81</v>
      </c>
      <c r="AX266" s="157" t="str" cm="1">
        <f t="array" ref="AX266">SUBSTITUTE(SUBSTITUTE(_xlfn.SWITCH(AM266, "ITM_T_HOME", "ITM_UP1", "ITM_T_END", "ITM_DOWN1", "DOCU_CHR_sub", "ITM_DOWN_ARROW", "DOCU_CHR_super", "ITM_UP_ARROW", "MNU_TAMALPHA", "ITM_alpha", "DOCU_CHR_caseFLIP", "ITM_NULL", "DOCU_CHR_numSET", "ITM_NULL", "DOCU_ITM_RADIX", "ITM_PERIOD", AM266), ".lo", ),"MNU_", "-MNU_")</f>
        <v>ITM_EXIT1</v>
      </c>
      <c r="AY266" s="157" t="str" cm="1">
        <f t="array" ref="AY266">SUBSTITUTE(SUBSTITUTE(_xlfn.SWITCH(AN266, "ITM_T_HOME", "ITM_UP1", "ITM_T_END", "ITM_DOWN1", "DOCU_CHR_sub", "ITM_DOWN_ARROW", "DOCU_CHR_super", "ITM_UP_ARROW", "MNU_TAMALPHA", "ITM_alpha", "DOCU_CHR_caseFLIP", "ITM_NULL", "DOCU_CHR_numSET", "ITM_NULL", "DOCU_ITM_RADIX", "ITM_PERIOD", AN266), ".lo", ),"MNU_", "-MNU_")</f>
        <v>ITM_OFF</v>
      </c>
      <c r="AZ266" s="157" t="str" cm="1">
        <f t="array" ref="AZ266">SUBSTITUTE(SUBSTITUTE(_xlfn.SWITCH(AO266, "ITM_T_HOME", "ITM_UP1", "ITM_T_END", "ITM_DOWN1", "DOCU_CHR_sub", "ITM_DOWN_ARROW", "DOCU_CHR_super", "ITM_UP_ARROW", "MNU_TAMALPHA", "ITM_alpha", "DOCU_CHR_caseFLIP", "ITM_NULL", "DOCU_CHR_numSET", "ITM_NULL", "DOCU_ITM_RADIX", "ITM_PERIOD", AO266), ".lo", ),"MNU_", "-MNU_")</f>
        <v>ITM_SNAP</v>
      </c>
      <c r="BA266" s="173" t="str" cm="1">
        <f t="array" ref="BA266">SUBSTITUTE(SUBSTITUTE(_xlfn.SWITCH(AP266, "ITM_T_HOME", "ITM_UP1", "ITM_T_END", "ITM_DOWN1", "DOCU_CHR_sub", "ITM_DOWN_ARROW", "DOCU_CHR_super", "ITM_UP_ARROW", "MNU_TAMALPHA", "ITM_alpha", "DOCU_CHR_caseFLIP", "ITM_NULL", "DOCU_CHR_numSET", "ITM_NULL", "DOCU_ITM_RADIX", "ITM_PERIOD", AP266), ".lo", ),"MNU_", "-MNU_")</f>
        <v>ITM_EXIT1</v>
      </c>
      <c r="BB266" s="157" t="str" cm="1">
        <f t="array" ref="BB266">SUBSTITUTE(SUBSTITUTE(_xlfn.SWITCH(AQ266, "ITM_T_HOME", "ITM_UP1", "ITM_T_END", "ITM_DOWN1", "DOCU_CHR_sub", "ITM_DOWN_ARROW", "DOCU_CHR_super", "ITM_UP_ARROW", "MNU_TAMALPHA", "ITM_alpha", "DOCU_CHR_caseFLIP", "ITM_NULL", "DOCU_CHR_numSET", "ITM_NULL", "DOCU_ITM_RADIX", "ITM_PERIOD", AQ266), ".lo", ),"MNU_", "-MNU_")</f>
        <v>ITM_EXIT1</v>
      </c>
      <c r="BC266" s="157" t="str" cm="1">
        <f t="array" ref="BC266">SUBSTITUTE(SUBSTITUTE(_xlfn.SWITCH(AR266, "ITM_T_HOME", "ITM_UP1", "ITM_T_END", "ITM_DOWN1", "DOCU_CHR_sub", "ITM_DOWN_ARROW", "DOCU_CHR_super", "ITM_UP_ARROW", "MNU_TAMALPHA", "ITM_alpha", "DOCU_CHR_caseFLIP", "ITM_NULL", "DOCU_CHR_numSET", "ITM_NULL", "DOCU_ITM_RADIX", "ITM_PERIOD", AR266), ".lo", ),"MNU_", "-MNU_")</f>
        <v>ITM_OFF</v>
      </c>
      <c r="BD266" s="157" t="str" cm="1">
        <f t="array" ref="BD266">SUBSTITUTE(SUBSTITUTE(_xlfn.SWITCH(AS266, "ITM_T_HOME", "ITM_UP1", "ITM_T_END", "ITM_DOWN1", "DOCU_CHR_sub", "ITM_DOWN_ARROW", "DOCU_CHR_super", "ITM_UP_ARROW", "MNU_TAMALPHA", "ITM_alpha", "DOCU_CHR_caseFLIP", "ITM_NULL", "DOCU_CHR_numSET", "ITM_NULL", "DOCU_ITM_RADIX", "ITM_PERIOD", AS266), ".lo", ),"MNU_", "-MNU_")</f>
        <v>ITM_SNAP</v>
      </c>
      <c r="BE266" s="157" t="str" cm="1">
        <f t="array" ref="BE266">SUBSTITUTE(SUBSTITUTE(_xlfn.SWITCH(AT266, "ITM_T_HOME", "ITM_UP1", "ITM_T_END", "ITM_DOWN1", "DOCU_CHR_sub", "ITM_DOWN_ARROW", "DOCU_CHR_super", "ITM_UP_ARROW", "MNU_TAMALPHA", "ITM_alpha", "DOCU_CHR_caseFLIP", "ITM_NULL", "DOCU_CHR_numSET", "ITM_NULL", "DOCU_ITM_RADIX", "ITM_PERIOD", AT266), ".lo", ),"MNU_", "-MNU_")</f>
        <v>ITM_EXIT1</v>
      </c>
      <c r="BG266" s="75"/>
      <c r="BI266" s="13" t="str">
        <f t="shared" si="89"/>
        <v xml:space="preserve">  {81,                  ITM_EXIT1,            ITM_OFF,              ITM_SNAP,             ITM_EXIT1,            ITM_EXIT1,            ITM_OFF,              ITM_SNAP,             ITM_EXIT1           },</v>
      </c>
    </row>
    <row r="267" spans="24:61" ht="21" x14ac:dyDescent="0.2">
      <c r="X267" s="120" t="str">
        <f t="shared" si="81"/>
        <v>N47</v>
      </c>
      <c r="Y267" s="109">
        <v>8</v>
      </c>
      <c r="Z267" s="109">
        <v>2</v>
      </c>
      <c r="AA267" s="112" t="str">
        <f t="shared" si="80"/>
        <v>N47.82</v>
      </c>
      <c r="AB267" s="117">
        <v>0</v>
      </c>
      <c r="AC267" s="118" t="s">
        <v>248</v>
      </c>
      <c r="AD267" s="119" t="s">
        <v>249</v>
      </c>
      <c r="AE267" s="3"/>
      <c r="AF267" s="49" t="s">
        <v>233</v>
      </c>
      <c r="AG267" s="77" t="b">
        <f t="shared" si="90"/>
        <v>1</v>
      </c>
      <c r="AH267" s="83" t="str">
        <f t="shared" si="82"/>
        <v>z</v>
      </c>
      <c r="AI267" s="84">
        <f t="shared" si="83"/>
        <v>0</v>
      </c>
      <c r="AJ267" s="85">
        <f t="shared" si="84"/>
        <v>0</v>
      </c>
      <c r="AK267" s="6"/>
      <c r="AL267" s="8" t="str">
        <f t="shared" si="85"/>
        <v>{82</v>
      </c>
      <c r="AM267" s="27" t="str">
        <f t="shared" si="86"/>
        <v>ITM_0</v>
      </c>
      <c r="AN267" s="27" t="str">
        <f t="shared" si="87"/>
        <v>ITM_VIEW</v>
      </c>
      <c r="AO267" s="27" t="str">
        <f t="shared" si="88"/>
        <v>ITM_TIMER</v>
      </c>
      <c r="AP267" s="46" t="str">
        <f>IF(NOT(ISNA(MATCH(AM267,Lookups!E:E,))),VLOOKUP(AM267,Lookups!E:F,2,0),
IF(NOT(ISNA(MATCH(AN267,Lookups!E:E,))),VLOOKUP(AN267,Lookups!E:F,2,0),
IF(NOT(ISNA(MATCH(AO267,Lookups!E:E,))),VLOOKUP(AO267,Lookups!E:F,2,0),"ITM_NULL")))</f>
        <v>ITM_0</v>
      </c>
      <c r="AQ267" s="28" t="str">
        <f t="shared" si="95"/>
        <v>ITM_Z</v>
      </c>
      <c r="AR267" s="195" t="s">
        <v>234</v>
      </c>
      <c r="AS267" s="186" t="s">
        <v>252</v>
      </c>
      <c r="AT267" s="197" t="s">
        <v>252</v>
      </c>
      <c r="AW267" s="14" t="str">
        <f t="shared" si="91"/>
        <v>{82</v>
      </c>
      <c r="AX267" s="157" t="str" cm="1">
        <f t="array" ref="AX267">SUBSTITUTE(SUBSTITUTE(_xlfn.SWITCH(AM267, "ITM_T_HOME", "ITM_UP1", "ITM_T_END", "ITM_DOWN1", "DOCU_CHR_sub", "ITM_DOWN_ARROW", "DOCU_CHR_super", "ITM_UP_ARROW", "MNU_TAMALPHA", "ITM_alpha", "DOCU_CHR_caseFLIP", "ITM_NULL", "DOCU_CHR_numSET", "ITM_NULL", "DOCU_ITM_RADIX", "ITM_PERIOD", AM267), ".lo", ),"MNU_", "-MNU_")</f>
        <v>ITM_0</v>
      </c>
      <c r="AY267" s="157" t="str" cm="1">
        <f t="array" ref="AY267">SUBSTITUTE(SUBSTITUTE(_xlfn.SWITCH(AN267, "ITM_T_HOME", "ITM_UP1", "ITM_T_END", "ITM_DOWN1", "DOCU_CHR_sub", "ITM_DOWN_ARROW", "DOCU_CHR_super", "ITM_UP_ARROW", "MNU_TAMALPHA", "ITM_alpha", "DOCU_CHR_caseFLIP", "ITM_NULL", "DOCU_CHR_numSET", "ITM_NULL", "DOCU_ITM_RADIX", "ITM_PERIOD", AN267), ".lo", ),"MNU_", "-MNU_")</f>
        <v>ITM_VIEW</v>
      </c>
      <c r="AZ267" s="157" t="str" cm="1">
        <f t="array" ref="AZ267">SUBSTITUTE(SUBSTITUTE(_xlfn.SWITCH(AO267, "ITM_T_HOME", "ITM_UP1", "ITM_T_END", "ITM_DOWN1", "DOCU_CHR_sub", "ITM_DOWN_ARROW", "DOCU_CHR_super", "ITM_UP_ARROW", "MNU_TAMALPHA", "ITM_alpha", "DOCU_CHR_caseFLIP", "ITM_NULL", "DOCU_CHR_numSET", "ITM_NULL", "DOCU_ITM_RADIX", "ITM_PERIOD", AO267), ".lo", ),"MNU_", "-MNU_")</f>
        <v>ITM_TIMER</v>
      </c>
      <c r="BA267" s="173" t="str" cm="1">
        <f t="array" ref="BA267">SUBSTITUTE(SUBSTITUTE(_xlfn.SWITCH(AP267, "ITM_T_HOME", "ITM_UP1", "ITM_T_END", "ITM_DOWN1", "DOCU_CHR_sub", "ITM_DOWN_ARROW", "DOCU_CHR_super", "ITM_UP_ARROW", "MNU_TAMALPHA", "ITM_alpha", "DOCU_CHR_caseFLIP", "ITM_NULL", "DOCU_CHR_numSET", "ITM_NULL", "DOCU_ITM_RADIX", "ITM_PERIOD", AP267), ".lo", ),"MNU_", "-MNU_")</f>
        <v>ITM_0</v>
      </c>
      <c r="BB267" s="157" t="str" cm="1">
        <f t="array" ref="BB267">SUBSTITUTE(SUBSTITUTE(_xlfn.SWITCH(AQ267, "ITM_T_HOME", "ITM_UP1", "ITM_T_END", "ITM_DOWN1", "DOCU_CHR_sub", "ITM_DOWN_ARROW", "DOCU_CHR_super", "ITM_UP_ARROW", "MNU_TAMALPHA", "ITM_alpha", "DOCU_CHR_caseFLIP", "ITM_NULL", "DOCU_CHR_numSET", "ITM_NULL", "DOCU_ITM_RADIX", "ITM_PERIOD", AQ267), ".lo", ),"MNU_", "-MNU_")</f>
        <v>ITM_Z</v>
      </c>
      <c r="BC267" s="157" t="str" cm="1">
        <f t="array" ref="BC267">SUBSTITUTE(SUBSTITUTE(_xlfn.SWITCH(AR267, "ITM_T_HOME", "ITM_UP1", "ITM_T_END", "ITM_DOWN1", "DOCU_CHR_sub", "ITM_DOWN_ARROW", "DOCU_CHR_super", "ITM_UP_ARROW", "MNU_TAMALPHA", "ITM_alpha", "DOCU_CHR_caseFLIP", "ITM_NULL", "DOCU_CHR_numSET", "ITM_NULL", "DOCU_ITM_RADIX", "ITM_PERIOD", AR267), ".lo", ),"MNU_", "-MNU_")</f>
        <v>ITM_z</v>
      </c>
      <c r="BD267" s="157" t="str" cm="1">
        <f t="array" ref="BD267">SUBSTITUTE(SUBSTITUTE(_xlfn.SWITCH(AS267, "ITM_T_HOME", "ITM_UP1", "ITM_T_END", "ITM_DOWN1", "DOCU_CHR_sub", "ITM_DOWN_ARROW", "DOCU_CHR_super", "ITM_UP_ARROW", "MNU_TAMALPHA", "ITM_alpha", "DOCU_CHR_caseFLIP", "ITM_NULL", "DOCU_CHR_numSET", "ITM_NULL", "DOCU_ITM_RADIX", "ITM_PERIOD", AS267), ".lo", ),"MNU_", "-MNU_")</f>
        <v>ITM_0</v>
      </c>
      <c r="BE267" s="157" t="str" cm="1">
        <f t="array" ref="BE267">SUBSTITUTE(SUBSTITUTE(_xlfn.SWITCH(AT267, "ITM_T_HOME", "ITM_UP1", "ITM_T_END", "ITM_DOWN1", "DOCU_CHR_sub", "ITM_DOWN_ARROW", "DOCU_CHR_super", "ITM_UP_ARROW", "MNU_TAMALPHA", "ITM_alpha", "DOCU_CHR_caseFLIP", "ITM_NULL", "DOCU_CHR_numSET", "ITM_NULL", "DOCU_ITM_RADIX", "ITM_PERIOD", AT267), ".lo", ),"MNU_", "-MNU_")</f>
        <v>ITM_0</v>
      </c>
      <c r="BG267" s="75"/>
      <c r="BI267" s="13" t="str">
        <f t="shared" si="89"/>
        <v xml:space="preserve">  {82,                  ITM_0,                ITM_VIEW,             ITM_TIMER,            ITM_0,                ITM_Z,                ITM_z,                ITM_0,                ITM_0               },</v>
      </c>
    </row>
    <row r="268" spans="24:61" ht="21" x14ac:dyDescent="0.2">
      <c r="X268" s="120" t="str">
        <f t="shared" si="81"/>
        <v>N47</v>
      </c>
      <c r="Y268" s="109">
        <v>8</v>
      </c>
      <c r="Z268" s="109">
        <v>3</v>
      </c>
      <c r="AA268" s="112" t="str">
        <f t="shared" si="80"/>
        <v>N47.83</v>
      </c>
      <c r="AB268" s="117" t="s">
        <v>253</v>
      </c>
      <c r="AC268" s="118" t="s">
        <v>254</v>
      </c>
      <c r="AD268" s="119" t="s">
        <v>255</v>
      </c>
      <c r="AE268" s="3"/>
      <c r="AF268" s="49" t="s">
        <v>256</v>
      </c>
      <c r="AG268" s="77" t="b">
        <f t="shared" si="90"/>
        <v>0</v>
      </c>
      <c r="AH268" s="83" t="str">
        <f t="shared" si="82"/>
        <v>.</v>
      </c>
      <c r="AI268" s="84" t="str">
        <f t="shared" si="83"/>
        <v>.</v>
      </c>
      <c r="AJ268" s="85" t="str">
        <f t="shared" si="84"/>
        <v>.</v>
      </c>
      <c r="AK268" s="6"/>
      <c r="AL268" s="8" t="str">
        <f t="shared" si="85"/>
        <v>{83</v>
      </c>
      <c r="AM268" s="27" t="str">
        <f t="shared" si="86"/>
        <v>DOCU_ITM_RADIX</v>
      </c>
      <c r="AN268" s="27" t="str">
        <f t="shared" si="87"/>
        <v>ITM_SHOW</v>
      </c>
      <c r="AO268" s="27" t="str">
        <f t="shared" si="88"/>
        <v>MNU_INFO</v>
      </c>
      <c r="AP268" s="46" t="str">
        <f>IF(NOT(ISNA(MATCH(AM268,Lookups!E:E,))),VLOOKUP(AM268,Lookups!E:F,2,0),
IF(NOT(ISNA(MATCH(AN268,Lookups!E:E,))),VLOOKUP(AN268,Lookups!E:F,2,0),
IF(NOT(ISNA(MATCH(AO268,Lookups!E:E,))),VLOOKUP(AO268,Lookups!E:F,2,0),"ITM_NULL")))</f>
        <v>ITM_PERIOD</v>
      </c>
      <c r="AQ268" s="28" t="str">
        <f t="shared" si="95"/>
        <v>ITM_COMMA</v>
      </c>
      <c r="AR268" s="198" t="s">
        <v>257</v>
      </c>
      <c r="AS268" s="186" t="s">
        <v>257</v>
      </c>
      <c r="AT268" s="197" t="s">
        <v>257</v>
      </c>
      <c r="AW268" s="14" t="str">
        <f t="shared" si="91"/>
        <v>{83</v>
      </c>
      <c r="AX268" s="157" t="str" cm="1">
        <f t="array" ref="AX268">SUBSTITUTE(SUBSTITUTE(_xlfn.SWITCH(AM268, "ITM_T_HOME", "ITM_UP1", "ITM_T_END", "ITM_DOWN1", "DOCU_CHR_sub", "ITM_DOWN_ARROW", "DOCU_CHR_super", "ITM_UP_ARROW", "MNU_TAMALPHA", "ITM_alpha", "DOCU_CHR_caseFLIP", "ITM_NULL", "DOCU_CHR_numSET", "ITM_NULL", "DOCU_ITM_RADIX", "ITM_PERIOD", AM268), ".lo", ),"MNU_", "-MNU_")</f>
        <v>ITM_PERIOD</v>
      </c>
      <c r="AY268" s="157" t="str" cm="1">
        <f t="array" ref="AY268">SUBSTITUTE(SUBSTITUTE(_xlfn.SWITCH(AN268, "ITM_T_HOME", "ITM_UP1", "ITM_T_END", "ITM_DOWN1", "DOCU_CHR_sub", "ITM_DOWN_ARROW", "DOCU_CHR_super", "ITM_UP_ARROW", "MNU_TAMALPHA", "ITM_alpha", "DOCU_CHR_caseFLIP", "ITM_NULL", "DOCU_CHR_numSET", "ITM_NULL", "DOCU_ITM_RADIX", "ITM_PERIOD", AN268), ".lo", ),"MNU_", "-MNU_")</f>
        <v>ITM_SHOW</v>
      </c>
      <c r="AZ268" s="157" t="str" cm="1">
        <f t="array" ref="AZ268">SUBSTITUTE(SUBSTITUTE(_xlfn.SWITCH(AO268, "ITM_T_HOME", "ITM_UP1", "ITM_T_END", "ITM_DOWN1", "DOCU_CHR_sub", "ITM_DOWN_ARROW", "DOCU_CHR_super", "ITM_UP_ARROW", "MNU_TAMALPHA", "ITM_alpha", "DOCU_CHR_caseFLIP", "ITM_NULL", "DOCU_CHR_numSET", "ITM_NULL", "DOCU_ITM_RADIX", "ITM_PERIOD", AO268), ".lo", ),"MNU_", "-MNU_")</f>
        <v>-MNU_INFO</v>
      </c>
      <c r="BA268" s="173" t="str" cm="1">
        <f t="array" ref="BA268">SUBSTITUTE(SUBSTITUTE(_xlfn.SWITCH(AP268, "ITM_T_HOME", "ITM_UP1", "ITM_T_END", "ITM_DOWN1", "DOCU_CHR_sub", "ITM_DOWN_ARROW", "DOCU_CHR_super", "ITM_UP_ARROW", "MNU_TAMALPHA", "ITM_alpha", "DOCU_CHR_caseFLIP", "ITM_NULL", "DOCU_CHR_numSET", "ITM_NULL", "DOCU_ITM_RADIX", "ITM_PERIOD", AP268), ".lo", ),"MNU_", "-MNU_")</f>
        <v>ITM_PERIOD</v>
      </c>
      <c r="BB268" s="157" t="str" cm="1">
        <f t="array" ref="BB268">SUBSTITUTE(SUBSTITUTE(_xlfn.SWITCH(AQ268, "ITM_T_HOME", "ITM_UP1", "ITM_T_END", "ITM_DOWN1", "DOCU_CHR_sub", "ITM_DOWN_ARROW", "DOCU_CHR_super", "ITM_UP_ARROW", "MNU_TAMALPHA", "ITM_alpha", "DOCU_CHR_caseFLIP", "ITM_NULL", "DOCU_CHR_numSET", "ITM_NULL", "DOCU_ITM_RADIX", "ITM_PERIOD", AQ268), ".lo", ),"MNU_", "-MNU_")</f>
        <v>ITM_COMMA</v>
      </c>
      <c r="BC268" s="157" t="str" cm="1">
        <f t="array" ref="BC268">SUBSTITUTE(SUBSTITUTE(_xlfn.SWITCH(AR268, "ITM_T_HOME", "ITM_UP1", "ITM_T_END", "ITM_DOWN1", "DOCU_CHR_sub", "ITM_DOWN_ARROW", "DOCU_CHR_super", "ITM_UP_ARROW", "MNU_TAMALPHA", "ITM_alpha", "DOCU_CHR_caseFLIP", "ITM_NULL", "DOCU_CHR_numSET", "ITM_NULL", "DOCU_ITM_RADIX", "ITM_PERIOD", AR268), ".lo", ),"MNU_", "-MNU_")</f>
        <v>ITM_PERIOD</v>
      </c>
      <c r="BD268" s="157" t="str" cm="1">
        <f t="array" ref="BD268">SUBSTITUTE(SUBSTITUTE(_xlfn.SWITCH(AS268, "ITM_T_HOME", "ITM_UP1", "ITM_T_END", "ITM_DOWN1", "DOCU_CHR_sub", "ITM_DOWN_ARROW", "DOCU_CHR_super", "ITM_UP_ARROW", "MNU_TAMALPHA", "ITM_alpha", "DOCU_CHR_caseFLIP", "ITM_NULL", "DOCU_CHR_numSET", "ITM_NULL", "DOCU_ITM_RADIX", "ITM_PERIOD", AS268), ".lo", ),"MNU_", "-MNU_")</f>
        <v>ITM_PERIOD</v>
      </c>
      <c r="BE268" s="157" t="str" cm="1">
        <f t="array" ref="BE268">SUBSTITUTE(SUBSTITUTE(_xlfn.SWITCH(AT268, "ITM_T_HOME", "ITM_UP1", "ITM_T_END", "ITM_DOWN1", "DOCU_CHR_sub", "ITM_DOWN_ARROW", "DOCU_CHR_super", "ITM_UP_ARROW", "MNU_TAMALPHA", "ITM_alpha", "DOCU_CHR_caseFLIP", "ITM_NULL", "DOCU_CHR_numSET", "ITM_NULL", "DOCU_ITM_RADIX", "ITM_PERIOD", AT268), ".lo", ),"MNU_", "-MNU_")</f>
        <v>ITM_PERIOD</v>
      </c>
      <c r="BG268" s="75"/>
      <c r="BI268" s="13" t="str">
        <f t="shared" si="89"/>
        <v xml:space="preserve">  {83,                  ITM_PERIOD,           ITM_SHOW,             -MNU_INFO,            ITM_PERIOD,           ITM_COMMA,            ITM_PERIOD,           ITM_PERIOD,           ITM_PERIOD          },</v>
      </c>
    </row>
    <row r="269" spans="24:61" ht="21" x14ac:dyDescent="0.2">
      <c r="X269" s="120" t="str">
        <f t="shared" si="81"/>
        <v>N47</v>
      </c>
      <c r="Y269" s="109">
        <v>8</v>
      </c>
      <c r="Z269" s="109">
        <v>4</v>
      </c>
      <c r="AA269" s="112" t="str">
        <f t="shared" si="80"/>
        <v>N47.84</v>
      </c>
      <c r="AB269" s="117" t="s">
        <v>258</v>
      </c>
      <c r="AC269" s="118" t="s">
        <v>259</v>
      </c>
      <c r="AD269" s="119" t="s">
        <v>260</v>
      </c>
      <c r="AE269" s="3"/>
      <c r="AF269" s="53" t="s">
        <v>261</v>
      </c>
      <c r="AG269" s="77" t="b">
        <f t="shared" si="90"/>
        <v>0</v>
      </c>
      <c r="AH269" s="83" t="str">
        <f t="shared" si="82"/>
        <v>/</v>
      </c>
      <c r="AI269" s="84" t="str">
        <f t="shared" si="83"/>
        <v>/</v>
      </c>
      <c r="AJ269" s="85" t="str">
        <f t="shared" si="84"/>
        <v xml:space="preserve"> </v>
      </c>
      <c r="AK269" s="6"/>
      <c r="AL269" s="8" t="str">
        <f t="shared" si="85"/>
        <v>{84</v>
      </c>
      <c r="AM269" s="27" t="str">
        <f t="shared" si="86"/>
        <v>ITM_RS</v>
      </c>
      <c r="AN269" s="27" t="str">
        <f t="shared" si="87"/>
        <v>ITM_PR</v>
      </c>
      <c r="AO269" s="27" t="str">
        <f t="shared" si="88"/>
        <v>MNU_TEST</v>
      </c>
      <c r="AP269" s="46" t="str">
        <f>IF(NOT(ISNA(MATCH(AM269,Lookups!E:E,))),VLOOKUP(AM269,Lookups!E:F,2,0),
IF(NOT(ISNA(MATCH(AN269,Lookups!E:E,))),VLOOKUP(AN269,Lookups!E:F,2,0),
IF(NOT(ISNA(MATCH(AO269,Lookups!E:E,))),VLOOKUP(AO269,Lookups!E:F,2,0),"ITM_NULL")))</f>
        <v>ITM_NULL</v>
      </c>
      <c r="AQ269" s="28" t="str">
        <f t="shared" si="95"/>
        <v>ITM_QUESTION_MARK</v>
      </c>
      <c r="AR269" s="198" t="s">
        <v>262</v>
      </c>
      <c r="AS269" s="186" t="s">
        <v>262</v>
      </c>
      <c r="AT269" s="197" t="s">
        <v>81</v>
      </c>
      <c r="AW269" s="14" t="str">
        <f t="shared" si="91"/>
        <v>{84</v>
      </c>
      <c r="AX269" s="157" t="str" cm="1">
        <f t="array" ref="AX269">SUBSTITUTE(SUBSTITUTE(_xlfn.SWITCH(AM269, "ITM_T_HOME", "ITM_UP1", "ITM_T_END", "ITM_DOWN1", "DOCU_CHR_sub", "ITM_DOWN_ARROW", "DOCU_CHR_super", "ITM_UP_ARROW", "MNU_TAMALPHA", "ITM_alpha", "DOCU_CHR_caseFLIP", "ITM_NULL", "DOCU_CHR_numSET", "ITM_NULL", "DOCU_ITM_RADIX", "ITM_PERIOD", AM269), ".lo", ),"MNU_", "-MNU_")</f>
        <v>ITM_RS</v>
      </c>
      <c r="AY269" s="157" t="str" cm="1">
        <f t="array" ref="AY269">SUBSTITUTE(SUBSTITUTE(_xlfn.SWITCH(AN269, "ITM_T_HOME", "ITM_UP1", "ITM_T_END", "ITM_DOWN1", "DOCU_CHR_sub", "ITM_DOWN_ARROW", "DOCU_CHR_super", "ITM_UP_ARROW", "MNU_TAMALPHA", "ITM_alpha", "DOCU_CHR_caseFLIP", "ITM_NULL", "DOCU_CHR_numSET", "ITM_NULL", "DOCU_ITM_RADIX", "ITM_PERIOD", AN269), ".lo", ),"MNU_", "-MNU_")</f>
        <v>ITM_PR</v>
      </c>
      <c r="AZ269" s="157" t="str" cm="1">
        <f t="array" ref="AZ269">SUBSTITUTE(SUBSTITUTE(_xlfn.SWITCH(AO269, "ITM_T_HOME", "ITM_UP1", "ITM_T_END", "ITM_DOWN1", "DOCU_CHR_sub", "ITM_DOWN_ARROW", "DOCU_CHR_super", "ITM_UP_ARROW", "MNU_TAMALPHA", "ITM_alpha", "DOCU_CHR_caseFLIP", "ITM_NULL", "DOCU_CHR_numSET", "ITM_NULL", "DOCU_ITM_RADIX", "ITM_PERIOD", AO269), ".lo", ),"MNU_", "-MNU_")</f>
        <v>-MNU_TEST</v>
      </c>
      <c r="BA269" s="173" t="str" cm="1">
        <f t="array" ref="BA269">SUBSTITUTE(SUBSTITUTE(_xlfn.SWITCH(AP269, "ITM_T_HOME", "ITM_UP1", "ITM_T_END", "ITM_DOWN1", "DOCU_CHR_sub", "ITM_DOWN_ARROW", "DOCU_CHR_super", "ITM_UP_ARROW", "MNU_TAMALPHA", "ITM_alpha", "DOCU_CHR_caseFLIP", "ITM_NULL", "DOCU_CHR_numSET", "ITM_NULL", "DOCU_ITM_RADIX", "ITM_PERIOD", AP269), ".lo", ),"MNU_", "-MNU_")</f>
        <v>ITM_NULL</v>
      </c>
      <c r="BB269" s="157" t="str" cm="1">
        <f t="array" ref="BB269">SUBSTITUTE(SUBSTITUTE(_xlfn.SWITCH(AQ269, "ITM_T_HOME", "ITM_UP1", "ITM_T_END", "ITM_DOWN1", "DOCU_CHR_sub", "ITM_DOWN_ARROW", "DOCU_CHR_super", "ITM_UP_ARROW", "MNU_TAMALPHA", "ITM_alpha", "DOCU_CHR_caseFLIP", "ITM_NULL", "DOCU_CHR_numSET", "ITM_NULL", "DOCU_ITM_RADIX", "ITM_PERIOD", AQ269), ".lo", ),"MNU_", "-MNU_")</f>
        <v>ITM_QUESTION_MARK</v>
      </c>
      <c r="BC269" s="157" t="str" cm="1">
        <f t="array" ref="BC269">SUBSTITUTE(SUBSTITUTE(_xlfn.SWITCH(AR269, "ITM_T_HOME", "ITM_UP1", "ITM_T_END", "ITM_DOWN1", "DOCU_CHR_sub", "ITM_DOWN_ARROW", "DOCU_CHR_super", "ITM_UP_ARROW", "MNU_TAMALPHA", "ITM_alpha", "DOCU_CHR_caseFLIP", "ITM_NULL", "DOCU_CHR_numSET", "ITM_NULL", "DOCU_ITM_RADIX", "ITM_PERIOD", AR269), ".lo", ),"MNU_", "-MNU_")</f>
        <v>ITM_SLASH</v>
      </c>
      <c r="BD269" s="157" t="str" cm="1">
        <f t="array" ref="BD269">SUBSTITUTE(SUBSTITUTE(_xlfn.SWITCH(AS269, "ITM_T_HOME", "ITM_UP1", "ITM_T_END", "ITM_DOWN1", "DOCU_CHR_sub", "ITM_DOWN_ARROW", "DOCU_CHR_super", "ITM_UP_ARROW", "MNU_TAMALPHA", "ITM_alpha", "DOCU_CHR_caseFLIP", "ITM_NULL", "DOCU_CHR_numSET", "ITM_NULL", "DOCU_ITM_RADIX", "ITM_PERIOD", AS269), ".lo", ),"MNU_", "-MNU_")</f>
        <v>ITM_SLASH</v>
      </c>
      <c r="BE269" s="157" t="str" cm="1">
        <f t="array" ref="BE269">SUBSTITUTE(SUBSTITUTE(_xlfn.SWITCH(AT269, "ITM_T_HOME", "ITM_UP1", "ITM_T_END", "ITM_DOWN1", "DOCU_CHR_sub", "ITM_DOWN_ARROW", "DOCU_CHR_super", "ITM_UP_ARROW", "MNU_TAMALPHA", "ITM_alpha", "DOCU_CHR_caseFLIP", "ITM_NULL", "DOCU_CHR_numSET", "ITM_NULL", "DOCU_ITM_RADIX", "ITM_PERIOD", AT269), ".lo", ),"MNU_", "-MNU_")</f>
        <v>ITM_NULL</v>
      </c>
      <c r="BG269" s="75"/>
      <c r="BI269" s="13" t="str">
        <f t="shared" si="89"/>
        <v xml:space="preserve">  {84,                  ITM_RS,               ITM_PR,               -MNU_TEST,            ITM_NULL,             ITM_QUESTION_MARK,    ITM_SLASH,            ITM_SLASH,            ITM_NULL            },</v>
      </c>
    </row>
    <row r="270" spans="24:61" ht="22" thickBot="1" x14ac:dyDescent="0.25">
      <c r="X270" s="120" t="str">
        <f t="shared" si="81"/>
        <v>N47</v>
      </c>
      <c r="Y270" s="109">
        <v>8</v>
      </c>
      <c r="Z270" s="109">
        <v>5</v>
      </c>
      <c r="AA270" s="112" t="str">
        <f t="shared" si="80"/>
        <v>N47.85</v>
      </c>
      <c r="AB270" s="122" t="s">
        <v>263</v>
      </c>
      <c r="AC270" s="123" t="s">
        <v>264</v>
      </c>
      <c r="AD270" s="124" t="s">
        <v>265</v>
      </c>
      <c r="AE270" s="125"/>
      <c r="AF270" s="50" t="s">
        <v>266</v>
      </c>
      <c r="AG270" s="77" t="b">
        <f t="shared" si="90"/>
        <v>0</v>
      </c>
      <c r="AH270" s="86" t="str">
        <f t="shared" si="82"/>
        <v>+</v>
      </c>
      <c r="AI270" s="87" t="str">
        <f t="shared" si="83"/>
        <v>+</v>
      </c>
      <c r="AJ270" s="88" t="str">
        <f t="shared" si="84"/>
        <v>+</v>
      </c>
      <c r="AK270" s="6"/>
      <c r="AL270" s="8" t="str">
        <f t="shared" si="85"/>
        <v>{85</v>
      </c>
      <c r="AM270" s="27" t="str">
        <f t="shared" si="86"/>
        <v>ITM_ADD</v>
      </c>
      <c r="AN270" s="27" t="str">
        <f t="shared" si="87"/>
        <v>MNU_CATALOG</v>
      </c>
      <c r="AO270" s="27" t="str">
        <f t="shared" si="88"/>
        <v>MNU_CONST</v>
      </c>
      <c r="AP270" s="46" t="str">
        <f>IF(NOT(ISNA(MATCH(AM270,Lookups!E:E,))),VLOOKUP(AM270,Lookups!E:F,2,0),
IF(NOT(ISNA(MATCH(AN270,Lookups!E:E,))),VLOOKUP(AN270,Lookups!E:F,2,0),
IF(NOT(ISNA(MATCH(AO270,Lookups!E:E,))),VLOOKUP(AO270,Lookups!E:F,2,0),"ITM_NULL")))</f>
        <v>ITM_PLUS</v>
      </c>
      <c r="AQ270" s="28" t="str">
        <f t="shared" si="95"/>
        <v>ITM_SPACE</v>
      </c>
      <c r="AR270" s="199" t="s">
        <v>267</v>
      </c>
      <c r="AS270" s="200" t="s">
        <v>267</v>
      </c>
      <c r="AT270" s="201" t="s">
        <v>268</v>
      </c>
      <c r="AW270" s="14" t="str">
        <f t="shared" si="91"/>
        <v>{85</v>
      </c>
      <c r="AX270" s="157" t="str" cm="1">
        <f t="array" ref="AX270">SUBSTITUTE(SUBSTITUTE(_xlfn.SWITCH(AM270, "ITM_T_HOME", "ITM_UP1", "ITM_T_END", "ITM_DOWN1", "DOCU_CHR_sub", "ITM_DOWN_ARROW", "DOCU_CHR_super", "ITM_UP_ARROW", "MNU_TAMALPHA", "ITM_alpha", "DOCU_CHR_caseFLIP", "ITM_NULL", "DOCU_CHR_numSET", "ITM_NULL", "DOCU_ITM_RADIX", "ITM_PERIOD", AM270), ".lo", ),"MNU_", "-MNU_")</f>
        <v>ITM_ADD</v>
      </c>
      <c r="AY270" s="157" t="str" cm="1">
        <f t="array" ref="AY270">SUBSTITUTE(SUBSTITUTE(_xlfn.SWITCH(AN270, "ITM_T_HOME", "ITM_UP1", "ITM_T_END", "ITM_DOWN1", "DOCU_CHR_sub", "ITM_DOWN_ARROW", "DOCU_CHR_super", "ITM_UP_ARROW", "MNU_TAMALPHA", "ITM_alpha", "DOCU_CHR_caseFLIP", "ITM_NULL", "DOCU_CHR_numSET", "ITM_NULL", "DOCU_ITM_RADIX", "ITM_PERIOD", AN270), ".lo", ),"MNU_", "-MNU_")</f>
        <v>-MNU_CATALOG</v>
      </c>
      <c r="AZ270" s="157" t="str" cm="1">
        <f t="array" ref="AZ270">SUBSTITUTE(SUBSTITUTE(_xlfn.SWITCH(AO270, "ITM_T_HOME", "ITM_UP1", "ITM_T_END", "ITM_DOWN1", "DOCU_CHR_sub", "ITM_DOWN_ARROW", "DOCU_CHR_super", "ITM_UP_ARROW", "MNU_TAMALPHA", "ITM_alpha", "DOCU_CHR_caseFLIP", "ITM_NULL", "DOCU_CHR_numSET", "ITM_NULL", "DOCU_ITM_RADIX", "ITM_PERIOD", AO270), ".lo", ),"MNU_", "-MNU_")</f>
        <v>-MNU_CONST</v>
      </c>
      <c r="BA270" s="173" t="str" cm="1">
        <f t="array" ref="BA270">SUBSTITUTE(SUBSTITUTE(_xlfn.SWITCH(AP270, "ITM_T_HOME", "ITM_UP1", "ITM_T_END", "ITM_DOWN1", "DOCU_CHR_sub", "ITM_DOWN_ARROW", "DOCU_CHR_super", "ITM_UP_ARROW", "MNU_TAMALPHA", "ITM_alpha", "DOCU_CHR_caseFLIP", "ITM_NULL", "DOCU_CHR_numSET", "ITM_NULL", "DOCU_ITM_RADIX", "ITM_PERIOD", AP270), ".lo", ),"MNU_", "-MNU_")</f>
        <v>ITM_PLUS</v>
      </c>
      <c r="BB270" s="157" t="str" cm="1">
        <f t="array" ref="BB270">SUBSTITUTE(SUBSTITUTE(_xlfn.SWITCH(AQ270, "ITM_T_HOME", "ITM_UP1", "ITM_T_END", "ITM_DOWN1", "DOCU_CHR_sub", "ITM_DOWN_ARROW", "DOCU_CHR_super", "ITM_UP_ARROW", "MNU_TAMALPHA", "ITM_alpha", "DOCU_CHR_caseFLIP", "ITM_NULL", "DOCU_CHR_numSET", "ITM_NULL", "DOCU_ITM_RADIX", "ITM_PERIOD", AQ270), ".lo", ),"MNU_", "-MNU_")</f>
        <v>ITM_SPACE</v>
      </c>
      <c r="BC270" s="157" t="str" cm="1">
        <f t="array" ref="BC270">SUBSTITUTE(SUBSTITUTE(_xlfn.SWITCH(AR270, "ITM_T_HOME", "ITM_UP1", "ITM_T_END", "ITM_DOWN1", "DOCU_CHR_sub", "ITM_DOWN_ARROW", "DOCU_CHR_super", "ITM_UP_ARROW", "MNU_TAMALPHA", "ITM_alpha", "DOCU_CHR_caseFLIP", "ITM_NULL", "DOCU_CHR_numSET", "ITM_NULL", "DOCU_ITM_RADIX", "ITM_PERIOD", AR270), ".lo", ),"MNU_", "-MNU_")</f>
        <v>ITM_PLUS</v>
      </c>
      <c r="BD270" s="157" t="str" cm="1">
        <f t="array" ref="BD270">SUBSTITUTE(SUBSTITUTE(_xlfn.SWITCH(AS270, "ITM_T_HOME", "ITM_UP1", "ITM_T_END", "ITM_DOWN1", "DOCU_CHR_sub", "ITM_DOWN_ARROW", "DOCU_CHR_super", "ITM_UP_ARROW", "MNU_TAMALPHA", "ITM_alpha", "DOCU_CHR_caseFLIP", "ITM_NULL", "DOCU_CHR_numSET", "ITM_NULL", "DOCU_ITM_RADIX", "ITM_PERIOD", AS270), ".lo", ),"MNU_", "-MNU_")</f>
        <v>ITM_PLUS</v>
      </c>
      <c r="BE270" s="157" t="str" cm="1">
        <f t="array" ref="BE270">SUBSTITUTE(SUBSTITUTE(_xlfn.SWITCH(AT270, "ITM_T_HOME", "ITM_UP1", "ITM_T_END", "ITM_DOWN1", "DOCU_CHR_sub", "ITM_DOWN_ARROW", "DOCU_CHR_super", "ITM_UP_ARROW", "MNU_TAMALPHA", "ITM_alpha", "DOCU_CHR_caseFLIP", "ITM_NULL", "DOCU_CHR_numSET", "ITM_NULL", "DOCU_ITM_RADIX", "ITM_PERIOD", AT270), ".lo", ),"MNU_", "-MNU_")</f>
        <v>ITM_ADD</v>
      </c>
      <c r="BG270" s="75"/>
      <c r="BI270" s="73" t="str">
        <f>"  "&amp;AW270&amp;", "&amp;REPT(" ",$BH$54-LEN(AW270))&amp;
AX270&amp;", "&amp;REPT(" ",$BH$54-LEN(AX270))&amp;
AY270&amp;", "&amp;REPT(" ",$BH$54-LEN(AY270))&amp;
AZ270&amp;", "&amp;REPT(" ",$BH$54-LEN(AZ270))&amp;
BA270&amp;", "&amp;REPT(" ",$BH$54-LEN(BA270))&amp;
BB270&amp;", "&amp;REPT(" ",$BH$54-LEN(BB270))&amp;
BC270&amp;", "&amp;REPT(" ",$BH$54-LEN(BC270))&amp;
BD270&amp;", "&amp;REPT(" ",$BH$54-LEN(BD270))&amp;
BE270&amp;REPT(" ",$BH$54-LEN(BE270))&amp;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271" spans="24:61" ht="21" x14ac:dyDescent="0.2">
      <c r="AK271" s="6"/>
      <c r="AQ271" s="29"/>
      <c r="AR271" s="202"/>
      <c r="AS271" s="202"/>
      <c r="AT271" s="202"/>
      <c r="BG271" s="75"/>
      <c r="BI271" s="16" t="s">
        <v>269</v>
      </c>
    </row>
    <row r="272" spans="24:61" ht="21" x14ac:dyDescent="0.2">
      <c r="AK272" s="6"/>
      <c r="AQ272" s="29"/>
      <c r="AR272" s="202"/>
      <c r="AS272" s="202"/>
      <c r="AT272" s="202"/>
      <c r="BG272" s="75"/>
      <c r="BI272" s="13" t="s">
        <v>270</v>
      </c>
    </row>
    <row r="273" spans="24:61" ht="21" x14ac:dyDescent="0.2">
      <c r="X273" s="137" t="s">
        <v>450</v>
      </c>
      <c r="Y273" s="138">
        <v>1</v>
      </c>
      <c r="Z273" s="138">
        <v>1</v>
      </c>
      <c r="AA273" s="139" t="str">
        <f t="shared" ref="AA273:AA290" si="96">X273&amp;"."&amp;Y273&amp;Z273</f>
        <v>D47.11</v>
      </c>
      <c r="AB273" s="140" t="s">
        <v>31</v>
      </c>
      <c r="AC273" s="18"/>
      <c r="AD273" s="18"/>
      <c r="AF273" s="18"/>
      <c r="AH273" s="95"/>
      <c r="AI273" s="95"/>
      <c r="AJ273" s="95"/>
      <c r="AK273" s="6"/>
      <c r="AQ273" s="29"/>
      <c r="AR273" s="202"/>
    </row>
    <row r="274" spans="24:61" ht="21" x14ac:dyDescent="0.2">
      <c r="X274" s="141" t="str">
        <f>X273</f>
        <v>D47</v>
      </c>
      <c r="Y274" s="142">
        <v>1</v>
      </c>
      <c r="Z274" s="142">
        <v>2</v>
      </c>
      <c r="AA274" s="139" t="str">
        <f t="shared" si="96"/>
        <v>D47.12</v>
      </c>
      <c r="AB274" s="140" t="s">
        <v>32</v>
      </c>
      <c r="AC274" s="18"/>
      <c r="AD274" s="18"/>
      <c r="AF274" s="18"/>
      <c r="AH274" s="95"/>
      <c r="AI274" s="95"/>
      <c r="AJ274" s="95"/>
      <c r="AK274" s="6"/>
    </row>
    <row r="275" spans="24:61" ht="21" x14ac:dyDescent="0.2">
      <c r="X275" s="141" t="str">
        <f t="shared" ref="X275:X315" si="97">X274</f>
        <v>D47</v>
      </c>
      <c r="Y275" s="142">
        <v>1</v>
      </c>
      <c r="Z275" s="142">
        <v>3</v>
      </c>
      <c r="AA275" s="139" t="str">
        <f t="shared" si="96"/>
        <v>D47.13</v>
      </c>
      <c r="AB275" s="140" t="s">
        <v>33</v>
      </c>
      <c r="AC275" s="18"/>
      <c r="AD275" s="18"/>
      <c r="AF275" s="18"/>
      <c r="AH275" s="95"/>
      <c r="AI275" s="95"/>
      <c r="AJ275" s="95"/>
      <c r="AK275" s="6"/>
      <c r="AM275" s="72" t="s">
        <v>34</v>
      </c>
      <c r="AX275" s="72" t="s">
        <v>35</v>
      </c>
      <c r="AY275" s="27" t="s">
        <v>36</v>
      </c>
      <c r="BG275" s="75"/>
      <c r="BI275" s="17" t="str">
        <f>"// "&amp;X275&amp;" Layout from Layout_template_automation template: Do not change manually"</f>
        <v>// D47 Layout from Layout_template_automation template: Do not change manually</v>
      </c>
    </row>
    <row r="276" spans="24:61" ht="22" thickBot="1" x14ac:dyDescent="0.25">
      <c r="X276" s="141" t="str">
        <f t="shared" si="97"/>
        <v>D47</v>
      </c>
      <c r="Y276" s="142">
        <v>1</v>
      </c>
      <c r="Z276" s="142">
        <v>4</v>
      </c>
      <c r="AA276" s="139" t="str">
        <f t="shared" si="96"/>
        <v>D47.14</v>
      </c>
      <c r="AB276" s="140" t="s">
        <v>37</v>
      </c>
      <c r="AC276" s="18"/>
      <c r="AD276" s="18"/>
      <c r="AF276" s="18"/>
      <c r="AH276" s="95"/>
      <c r="AI276" s="95"/>
      <c r="AJ276" s="95"/>
      <c r="AK276" s="6"/>
      <c r="BG276" s="75"/>
      <c r="BI276" s="16" t="s">
        <v>38</v>
      </c>
    </row>
    <row r="277" spans="24:61" ht="22" thickBot="1" x14ac:dyDescent="0.25">
      <c r="X277" s="141" t="str">
        <f t="shared" si="97"/>
        <v>D47</v>
      </c>
      <c r="Y277" s="142">
        <v>1</v>
      </c>
      <c r="Z277" s="142">
        <v>5</v>
      </c>
      <c r="AA277" s="139" t="str">
        <f t="shared" si="96"/>
        <v>D47.15</v>
      </c>
      <c r="AB277" s="140" t="s">
        <v>37</v>
      </c>
      <c r="AC277" s="18"/>
      <c r="AD277" s="18"/>
      <c r="AF277" s="18"/>
      <c r="AH277" s="95"/>
      <c r="AI277" s="95"/>
      <c r="AJ277" s="95"/>
      <c r="AK277" s="6"/>
      <c r="AL277" s="185" t="str">
        <f>X277</f>
        <v>D47</v>
      </c>
      <c r="AM277" s="224" t="s">
        <v>39</v>
      </c>
      <c r="AN277" s="224"/>
      <c r="AO277" s="224"/>
      <c r="AP277" s="71" t="s">
        <v>40</v>
      </c>
      <c r="AQ277" s="31" t="s">
        <v>41</v>
      </c>
      <c r="AR277" s="189" t="s">
        <v>42</v>
      </c>
      <c r="AS277" s="190" t="s">
        <v>42</v>
      </c>
      <c r="AT277" s="191" t="s">
        <v>42</v>
      </c>
      <c r="BG277" s="75"/>
      <c r="BI277" s="16" t="str">
        <f>"TO_QSPI const calcKey_t kbd_std_"&amp;X278&amp;"[37] = {"</f>
        <v>TO_QSPI const calcKey_t kbd_std_D47[37] = {</v>
      </c>
    </row>
    <row r="278" spans="24:61" ht="22" thickBot="1" x14ac:dyDescent="0.25">
      <c r="X278" s="141" t="str">
        <f t="shared" si="97"/>
        <v>D47</v>
      </c>
      <c r="Y278" s="142">
        <v>1</v>
      </c>
      <c r="Z278" s="142">
        <v>6</v>
      </c>
      <c r="AA278" s="139" t="str">
        <f t="shared" si="96"/>
        <v>D47.16</v>
      </c>
      <c r="AB278" s="143" t="s">
        <v>43</v>
      </c>
      <c r="AC278" s="44"/>
      <c r="AD278" s="44"/>
      <c r="AF278" s="44"/>
      <c r="AH278" s="96"/>
      <c r="AI278" s="96"/>
      <c r="AJ278" s="96"/>
      <c r="AK278" s="6"/>
      <c r="BG278" s="75"/>
      <c r="BI278" s="16" t="s">
        <v>44</v>
      </c>
    </row>
    <row r="279" spans="24:61" ht="21" x14ac:dyDescent="0.2">
      <c r="X279" s="141" t="str">
        <f t="shared" si="97"/>
        <v>D47</v>
      </c>
      <c r="Y279" s="138">
        <v>2</v>
      </c>
      <c r="Z279" s="138">
        <v>1</v>
      </c>
      <c r="AA279" s="144" t="str">
        <f t="shared" si="96"/>
        <v>D47.21</v>
      </c>
      <c r="AB279" s="145" t="s">
        <v>75</v>
      </c>
      <c r="AC279" s="146" t="s">
        <v>76</v>
      </c>
      <c r="AD279" s="147" t="s">
        <v>49</v>
      </c>
      <c r="AE279" s="116"/>
      <c r="AF279" s="51" t="s">
        <v>50</v>
      </c>
      <c r="AG279" s="77" t="b">
        <f>AF279=AH279</f>
        <v>1</v>
      </c>
      <c r="AH279" s="80" t="str">
        <f t="shared" ref="AH279:AH315" si="98">INDEX(labelitem,MATCH(AR279,items,0),1)</f>
        <v>a</v>
      </c>
      <c r="AI279" s="81" t="str">
        <f t="shared" ref="AI279:AI315" si="99">INDEX(labelitem,MATCH(AS279,items,0),1)</f>
        <v>LN</v>
      </c>
      <c r="AJ279" s="82" t="str">
        <f t="shared" ref="AJ279:AJ315" si="100">INDEX(labelitem,MATCH(AT279,items,0),1)</f>
        <v>Reg A</v>
      </c>
      <c r="AK279" s="6"/>
      <c r="AL279" s="8" t="str">
        <f t="shared" ref="AL279:AL315" si="101">"{"&amp;Y279*10+Z279</f>
        <v>{21</v>
      </c>
      <c r="AM279" s="27" t="str">
        <f t="shared" ref="AM279:AM315" si="102">VLOOKUP(AB279,labelitem,2,0)</f>
        <v>ITM_LN</v>
      </c>
      <c r="AN279" s="27" t="str">
        <f t="shared" ref="AN279:AN295" si="103">VLOOKUP(AC279,labelitem,2,0)</f>
        <v>ITM_EXP</v>
      </c>
      <c r="AO279" s="27" t="str">
        <f t="shared" ref="AO279:AO295" si="104">VLOOKUP(AD279,labelitem,2,0)</f>
        <v>ITM_TGLFRT</v>
      </c>
      <c r="AP279" s="46" t="str">
        <f>IF(NOT(ISNA(MATCH(AM279,Lookups!E:E,))),VLOOKUP(AM279,Lookups!E:F,2,0),
IF(NOT(ISNA(MATCH(AN279,Lookups!E:E,))),VLOOKUP(AN279,Lookups!E:F,2,0),
IF(NOT(ISNA(MATCH(AO279,Lookups!E:E,))),VLOOKUP(AO279,Lookups!E:F,2,0),"ITM_NULL")))</f>
        <v>ITM_NULL</v>
      </c>
      <c r="AQ279" s="28" t="str">
        <f t="shared" ref="AQ279:AQ315" si="105">VLOOKUP(AF279,labelitem,2,0)</f>
        <v>ITM_A</v>
      </c>
      <c r="AR279" s="192" t="s">
        <v>51</v>
      </c>
      <c r="AS279" s="193" t="s">
        <v>80</v>
      </c>
      <c r="AT279" s="194" t="s">
        <v>53</v>
      </c>
      <c r="AW279" s="14" t="str">
        <f>AL279</f>
        <v>{21</v>
      </c>
      <c r="AX279" s="157" t="str" cm="1">
        <f t="array" ref="AX279">SUBSTITUTE(SUBSTITUTE(_xlfn.SWITCH(AM279, "ITM_T_HOME", "ITM_UP1", "ITM_T_END", "ITM_DOWN1", "DOCU_CHR_sub", "ITM_DOWN_ARROW", "DOCU_CHR_super", "ITM_UP_ARROW", "MNU_TAMALPHA", "ITM_alpha", "DOCU_CHR_caseFLIP", "ITM_NULL", "DOCU_CHR_numSET", "ITM_NULL", "DOCU_ITM_RADIX", "ITM_PERIOD", AM279), ".lo", ),"MNU_", "-MNU_")</f>
        <v>ITM_LN</v>
      </c>
      <c r="AY279" s="157" t="str" cm="1">
        <f t="array" ref="AY279">SUBSTITUTE(SUBSTITUTE(_xlfn.SWITCH(AN279, "ITM_T_HOME", "ITM_UP1", "ITM_T_END", "ITM_DOWN1", "DOCU_CHR_sub", "ITM_DOWN_ARROW", "DOCU_CHR_super", "ITM_UP_ARROW", "MNU_TAMALPHA", "ITM_alpha", "DOCU_CHR_caseFLIP", "ITM_NULL", "DOCU_CHR_numSET", "ITM_NULL", "DOCU_ITM_RADIX", "ITM_PERIOD", AN279), ".lo", ),"MNU_", "-MNU_")</f>
        <v>ITM_EXP</v>
      </c>
      <c r="AZ279" s="157" t="str" cm="1">
        <f t="array" ref="AZ279">SUBSTITUTE(SUBSTITUTE(_xlfn.SWITCH(AO279, "ITM_T_HOME", "ITM_UP1", "ITM_T_END", "ITM_DOWN1", "DOCU_CHR_sub", "ITM_DOWN_ARROW", "DOCU_CHR_super", "ITM_UP_ARROW", "MNU_TAMALPHA", "ITM_alpha", "DOCU_CHR_caseFLIP", "ITM_NULL", "DOCU_CHR_numSET", "ITM_NULL", "DOCU_ITM_RADIX", "ITM_PERIOD", AO279), ".lo", ),"MNU_", "-MNU_")</f>
        <v>ITM_TGLFRT</v>
      </c>
      <c r="BA279" s="173" t="str" cm="1">
        <f t="array" ref="BA279">SUBSTITUTE(SUBSTITUTE(_xlfn.SWITCH(AP279, "ITM_T_HOME", "ITM_UP1", "ITM_T_END", "ITM_DOWN1", "DOCU_CHR_sub", "ITM_DOWN_ARROW", "DOCU_CHR_super", "ITM_UP_ARROW", "MNU_TAMALPHA", "ITM_alpha", "DOCU_CHR_caseFLIP", "ITM_NULL", "DOCU_CHR_numSET", "ITM_NULL", "DOCU_ITM_RADIX", "ITM_PERIOD", AP279), ".lo", ),"MNU_", "-MNU_")</f>
        <v>ITM_NULL</v>
      </c>
      <c r="BB279" s="157" t="str" cm="1">
        <f t="array" ref="BB279">SUBSTITUTE(SUBSTITUTE(_xlfn.SWITCH(AQ279, "ITM_T_HOME", "ITM_UP1", "ITM_T_END", "ITM_DOWN1", "DOCU_CHR_sub", "ITM_DOWN_ARROW", "DOCU_CHR_super", "ITM_UP_ARROW", "MNU_TAMALPHA", "ITM_alpha", "DOCU_CHR_caseFLIP", "ITM_NULL", "DOCU_CHR_numSET", "ITM_NULL", "DOCU_ITM_RADIX", "ITM_PERIOD", AQ279), ".lo", ),"MNU_", "-MNU_")</f>
        <v>ITM_A</v>
      </c>
      <c r="BC279" s="157" t="str" cm="1">
        <f t="array" ref="BC279">SUBSTITUTE(SUBSTITUTE(_xlfn.SWITCH(AR279, "ITM_T_HOME", "ITM_UP1", "ITM_T_END", "ITM_DOWN1", "DOCU_CHR_sub", "ITM_DOWN_ARROW", "DOCU_CHR_super", "ITM_UP_ARROW", "MNU_TAMALPHA", "ITM_alpha", "DOCU_CHR_caseFLIP", "ITM_NULL", "DOCU_CHR_numSET", "ITM_NULL", "DOCU_ITM_RADIX", "ITM_PERIOD", AR279), ".lo", ),"MNU_", "-MNU_")</f>
        <v>ITM_a</v>
      </c>
      <c r="BD279" s="157" t="str" cm="1">
        <f t="array" ref="BD279">SUBSTITUTE(SUBSTITUTE(_xlfn.SWITCH(AS279, "ITM_T_HOME", "ITM_UP1", "ITM_T_END", "ITM_DOWN1", "DOCU_CHR_sub", "ITM_DOWN_ARROW", "DOCU_CHR_super", "ITM_UP_ARROW", "MNU_TAMALPHA", "ITM_alpha", "DOCU_CHR_caseFLIP", "ITM_NULL", "DOCU_CHR_numSET", "ITM_NULL", "DOCU_ITM_RADIX", "ITM_PERIOD", AS279), ".lo", ),"MNU_", "-MNU_")</f>
        <v>ITM_LN_SIGN</v>
      </c>
      <c r="BE279" s="157" t="str" cm="1">
        <f t="array" ref="BE279">SUBSTITUTE(SUBSTITUTE(_xlfn.SWITCH(AT279, "ITM_T_HOME", "ITM_UP1", "ITM_T_END", "ITM_DOWN1", "DOCU_CHR_sub", "ITM_DOWN_ARROW", "DOCU_CHR_super", "ITM_UP_ARROW", "MNU_TAMALPHA", "ITM_alpha", "DOCU_CHR_caseFLIP", "ITM_NULL", "DOCU_CHR_numSET", "ITM_NULL", "DOCU_ITM_RADIX", "ITM_PERIOD", AT279), ".lo", ),"MNU_", "-MNU_")</f>
        <v>ITM_REG_A</v>
      </c>
      <c r="BG279" s="75"/>
      <c r="BI279" s="13" t="str">
        <f t="shared" ref="BI279:BI314" si="106">"  "&amp;AW279&amp;", "&amp;REPT(" ",$BH$54-LEN(AW279))&amp;
AX279&amp;", "&amp;REPT(" ",$BH$54-LEN(AX279))&amp;
AY279&amp;", "&amp;REPT(" ",$BH$54-LEN(AY279))&amp;
AZ279&amp;", "&amp;REPT(" ",$BH$54-LEN(AZ279))&amp;
BA279&amp;", "&amp;REPT(" ",$BH$54-LEN(BA279))&amp;
BB279&amp;", "&amp;REPT(" ",$BH$54-LEN(BB279))&amp;
BC279&amp;", "&amp;REPT(" ",$BH$54-LEN(BC279))&amp;
BD279&amp;", "&amp;REPT(" ",$BH$54-LEN(BD279))&amp;
BE279&amp;REPT(" ",$BH$54-LEN(BE279))&amp;
"},"</f>
        <v xml:space="preserve">  {21,                  ITM_LN,               ITM_EXP,              ITM_TGLFRT,           ITM_NULL,             ITM_A,                ITM_a,                ITM_LN_SIGN,          ITM_REG_A           },</v>
      </c>
    </row>
    <row r="280" spans="24:61" ht="21" x14ac:dyDescent="0.2">
      <c r="X280" s="141" t="str">
        <f t="shared" si="97"/>
        <v>D47</v>
      </c>
      <c r="Y280" s="142">
        <v>2</v>
      </c>
      <c r="Z280" s="142">
        <v>2</v>
      </c>
      <c r="AA280" s="144" t="str">
        <f t="shared" si="96"/>
        <v>D47.22</v>
      </c>
      <c r="AB280" s="148" t="s">
        <v>68</v>
      </c>
      <c r="AC280" s="149" t="s">
        <v>69</v>
      </c>
      <c r="AD280" s="150" t="s">
        <v>56</v>
      </c>
      <c r="AE280" s="3"/>
      <c r="AF280" s="52" t="s">
        <v>57</v>
      </c>
      <c r="AG280" s="77" t="b">
        <f t="shared" ref="AG280:AG315" si="107">AF280=AH280</f>
        <v>1</v>
      </c>
      <c r="AH280" s="83" t="str">
        <f t="shared" si="98"/>
        <v>b</v>
      </c>
      <c r="AI280" s="84" t="str">
        <f t="shared" si="99"/>
        <v>LOG</v>
      </c>
      <c r="AJ280" s="85" t="str">
        <f t="shared" si="100"/>
        <v>Reg B</v>
      </c>
      <c r="AK280" s="6"/>
      <c r="AL280" s="8" t="str">
        <f t="shared" si="101"/>
        <v>{22</v>
      </c>
      <c r="AM280" s="27" t="str">
        <f t="shared" si="102"/>
        <v>ITM_LOG10</v>
      </c>
      <c r="AN280" s="27" t="str">
        <f t="shared" si="103"/>
        <v>ITM_10x</v>
      </c>
      <c r="AO280" s="27" t="str">
        <f t="shared" si="104"/>
        <v>ITM_HASH_JM</v>
      </c>
      <c r="AP280" s="46" t="str">
        <f>IF(NOT(ISNA(MATCH(AM280,Lookups!E:E,))),VLOOKUP(AM280,Lookups!E:F,2,0),
IF(NOT(ISNA(MATCH(AN280,Lookups!E:E,))),VLOOKUP(AN280,Lookups!E:F,2,0),
IF(NOT(ISNA(MATCH(AO280,Lookups!E:E,))),VLOOKUP(AO280,Lookups!E:F,2,0),"ITM_NULL")))</f>
        <v>ITM_NUMBER_SIGN</v>
      </c>
      <c r="AQ280" s="28" t="str">
        <f t="shared" si="105"/>
        <v>ITM_B</v>
      </c>
      <c r="AR280" s="195" t="s">
        <v>58</v>
      </c>
      <c r="AS280" s="186" t="s">
        <v>73</v>
      </c>
      <c r="AT280" s="196" t="s">
        <v>60</v>
      </c>
      <c r="AW280" s="14" t="str">
        <f t="shared" ref="AW280:AW315" si="108">AL280</f>
        <v>{22</v>
      </c>
      <c r="AX280" s="157" t="str" cm="1">
        <f t="array" ref="AX280">SUBSTITUTE(SUBSTITUTE(_xlfn.SWITCH(AM280, "ITM_T_HOME", "ITM_UP1", "ITM_T_END", "ITM_DOWN1", "DOCU_CHR_sub", "ITM_DOWN_ARROW", "DOCU_CHR_super", "ITM_UP_ARROW", "MNU_TAMALPHA", "ITM_alpha", "DOCU_CHR_caseFLIP", "ITM_NULL", "DOCU_CHR_numSET", "ITM_NULL", "DOCU_ITM_RADIX", "ITM_PERIOD", AM280), ".lo", ),"MNU_", "-MNU_")</f>
        <v>ITM_LOG10</v>
      </c>
      <c r="AY280" s="157" t="str" cm="1">
        <f t="array" ref="AY280">SUBSTITUTE(SUBSTITUTE(_xlfn.SWITCH(AN280, "ITM_T_HOME", "ITM_UP1", "ITM_T_END", "ITM_DOWN1", "DOCU_CHR_sub", "ITM_DOWN_ARROW", "DOCU_CHR_super", "ITM_UP_ARROW", "MNU_TAMALPHA", "ITM_alpha", "DOCU_CHR_caseFLIP", "ITM_NULL", "DOCU_CHR_numSET", "ITM_NULL", "DOCU_ITM_RADIX", "ITM_PERIOD", AN280), ".lo", ),"MNU_", "-MNU_")</f>
        <v>ITM_10x</v>
      </c>
      <c r="AZ280" s="157" t="str" cm="1">
        <f t="array" ref="AZ280">SUBSTITUTE(SUBSTITUTE(_xlfn.SWITCH(AO280, "ITM_T_HOME", "ITM_UP1", "ITM_T_END", "ITM_DOWN1", "DOCU_CHR_sub", "ITM_DOWN_ARROW", "DOCU_CHR_super", "ITM_UP_ARROW", "MNU_TAMALPHA", "ITM_alpha", "DOCU_CHR_caseFLIP", "ITM_NULL", "DOCU_CHR_numSET", "ITM_NULL", "DOCU_ITM_RADIX", "ITM_PERIOD", AO280), ".lo", ),"MNU_", "-MNU_")</f>
        <v>ITM_HASH_JM</v>
      </c>
      <c r="BA280" s="173" t="str" cm="1">
        <f t="array" ref="BA280">SUBSTITUTE(SUBSTITUTE(_xlfn.SWITCH(AP280, "ITM_T_HOME", "ITM_UP1", "ITM_T_END", "ITM_DOWN1", "DOCU_CHR_sub", "ITM_DOWN_ARROW", "DOCU_CHR_super", "ITM_UP_ARROW", "MNU_TAMALPHA", "ITM_alpha", "DOCU_CHR_caseFLIP", "ITM_NULL", "DOCU_CHR_numSET", "ITM_NULL", "DOCU_ITM_RADIX", "ITM_PERIOD", AP280), ".lo", ),"MNU_", "-MNU_")</f>
        <v>ITM_NUMBER_SIGN</v>
      </c>
      <c r="BB280" s="157" t="str" cm="1">
        <f t="array" ref="BB280">SUBSTITUTE(SUBSTITUTE(_xlfn.SWITCH(AQ280, "ITM_T_HOME", "ITM_UP1", "ITM_T_END", "ITM_DOWN1", "DOCU_CHR_sub", "ITM_DOWN_ARROW", "DOCU_CHR_super", "ITM_UP_ARROW", "MNU_TAMALPHA", "ITM_alpha", "DOCU_CHR_caseFLIP", "ITM_NULL", "DOCU_CHR_numSET", "ITM_NULL", "DOCU_ITM_RADIX", "ITM_PERIOD", AQ280), ".lo", ),"MNU_", "-MNU_")</f>
        <v>ITM_B</v>
      </c>
      <c r="BC280" s="157" t="str" cm="1">
        <f t="array" ref="BC280">SUBSTITUTE(SUBSTITUTE(_xlfn.SWITCH(AR280, "ITM_T_HOME", "ITM_UP1", "ITM_T_END", "ITM_DOWN1", "DOCU_CHR_sub", "ITM_DOWN_ARROW", "DOCU_CHR_super", "ITM_UP_ARROW", "MNU_TAMALPHA", "ITM_alpha", "DOCU_CHR_caseFLIP", "ITM_NULL", "DOCU_CHR_numSET", "ITM_NULL", "DOCU_ITM_RADIX", "ITM_PERIOD", AR280), ".lo", ),"MNU_", "-MNU_")</f>
        <v>ITM_b</v>
      </c>
      <c r="BD280" s="157" t="str" cm="1">
        <f t="array" ref="BD280">SUBSTITUTE(SUBSTITUTE(_xlfn.SWITCH(AS280, "ITM_T_HOME", "ITM_UP1", "ITM_T_END", "ITM_DOWN1", "DOCU_CHR_sub", "ITM_DOWN_ARROW", "DOCU_CHR_super", "ITM_UP_ARROW", "MNU_TAMALPHA", "ITM_alpha", "DOCU_CHR_caseFLIP", "ITM_NULL", "DOCU_CHR_numSET", "ITM_NULL", "DOCU_ITM_RADIX", "ITM_PERIOD", AS280), ".lo", ),"MNU_", "-MNU_")</f>
        <v>ITM_LG_SIGN</v>
      </c>
      <c r="BE280" s="157" t="str" cm="1">
        <f t="array" ref="BE280">SUBSTITUTE(SUBSTITUTE(_xlfn.SWITCH(AT280, "ITM_T_HOME", "ITM_UP1", "ITM_T_END", "ITM_DOWN1", "DOCU_CHR_sub", "ITM_DOWN_ARROW", "DOCU_CHR_super", "ITM_UP_ARROW", "MNU_TAMALPHA", "ITM_alpha", "DOCU_CHR_caseFLIP", "ITM_NULL", "DOCU_CHR_numSET", "ITM_NULL", "DOCU_ITM_RADIX", "ITM_PERIOD", AT280), ".lo", ),"MNU_", "-MNU_")</f>
        <v>ITM_REG_B</v>
      </c>
      <c r="BG280" s="75"/>
      <c r="BI280" s="13" t="str">
        <f t="shared" si="106"/>
        <v xml:space="preserve">  {22,                  ITM_LOG10,            ITM_10x,              ITM_HASH_JM,          ITM_NUMBER_SIGN,      ITM_B,                ITM_b,                ITM_LG_SIGN,          ITM_REG_B           },</v>
      </c>
    </row>
    <row r="281" spans="24:61" ht="21" x14ac:dyDescent="0.2">
      <c r="X281" s="141" t="str">
        <f t="shared" si="97"/>
        <v>D47</v>
      </c>
      <c r="Y281" s="142">
        <v>2</v>
      </c>
      <c r="Z281" s="142">
        <v>3</v>
      </c>
      <c r="AA281" s="144" t="str">
        <f t="shared" si="96"/>
        <v>D47.23</v>
      </c>
      <c r="AB281" s="148" t="s">
        <v>61</v>
      </c>
      <c r="AC281" s="149" t="s">
        <v>62</v>
      </c>
      <c r="AD281" s="150" t="s">
        <v>63</v>
      </c>
      <c r="AE281" s="3"/>
      <c r="AF281" s="52" t="s">
        <v>64</v>
      </c>
      <c r="AG281" s="77" t="b">
        <f t="shared" si="107"/>
        <v>1</v>
      </c>
      <c r="AH281" s="83" t="str">
        <f t="shared" si="98"/>
        <v>c</v>
      </c>
      <c r="AI281" s="84" t="str">
        <f t="shared" si="99"/>
        <v>√</v>
      </c>
      <c r="AJ281" s="85" t="str">
        <f t="shared" si="100"/>
        <v>Reg C</v>
      </c>
      <c r="AK281" s="6"/>
      <c r="AL281" s="8" t="str">
        <f t="shared" si="101"/>
        <v>{23</v>
      </c>
      <c r="AM281" s="27" t="str">
        <f t="shared" si="102"/>
        <v>ITM_SQUAREROOTX</v>
      </c>
      <c r="AN281" s="27" t="str">
        <f t="shared" si="103"/>
        <v>ITM_SQUARE</v>
      </c>
      <c r="AO281" s="27" t="str">
        <f t="shared" si="104"/>
        <v>ITM_ms</v>
      </c>
      <c r="AP281" s="46" t="str">
        <f>IF(NOT(ISNA(MATCH(AM281,Lookups!E:E,))),VLOOKUP(AM281,Lookups!E:F,2,0),
IF(NOT(ISNA(MATCH(AN281,Lookups!E:E,))),VLOOKUP(AN281,Lookups!E:F,2,0),
IF(NOT(ISNA(MATCH(AO281,Lookups!E:E,))),VLOOKUP(AO281,Lookups!E:F,2,0),"ITM_NULL")))</f>
        <v>ITM_ROOT_SIGN</v>
      </c>
      <c r="AQ281" s="28" t="str">
        <f t="shared" si="105"/>
        <v>ITM_C</v>
      </c>
      <c r="AR281" s="195" t="s">
        <v>65</v>
      </c>
      <c r="AS281" s="186" t="s">
        <v>66</v>
      </c>
      <c r="AT281" s="196" t="s">
        <v>67</v>
      </c>
      <c r="AW281" s="14" t="str">
        <f t="shared" si="108"/>
        <v>{23</v>
      </c>
      <c r="AX281" s="157" t="str" cm="1">
        <f t="array" ref="AX281">SUBSTITUTE(SUBSTITUTE(_xlfn.SWITCH(AM281, "ITM_T_HOME", "ITM_UP1", "ITM_T_END", "ITM_DOWN1", "DOCU_CHR_sub", "ITM_DOWN_ARROW", "DOCU_CHR_super", "ITM_UP_ARROW", "MNU_TAMALPHA", "ITM_alpha", "DOCU_CHR_caseFLIP", "ITM_NULL", "DOCU_CHR_numSET", "ITM_NULL", "DOCU_ITM_RADIX", "ITM_PERIOD", AM281), ".lo", ),"MNU_", "-MNU_")</f>
        <v>ITM_SQUAREROOTX</v>
      </c>
      <c r="AY281" s="157" t="str" cm="1">
        <f t="array" ref="AY281">SUBSTITUTE(SUBSTITUTE(_xlfn.SWITCH(AN281, "ITM_T_HOME", "ITM_UP1", "ITM_T_END", "ITM_DOWN1", "DOCU_CHR_sub", "ITM_DOWN_ARROW", "DOCU_CHR_super", "ITM_UP_ARROW", "MNU_TAMALPHA", "ITM_alpha", "DOCU_CHR_caseFLIP", "ITM_NULL", "DOCU_CHR_numSET", "ITM_NULL", "DOCU_ITM_RADIX", "ITM_PERIOD", AN281), ".lo", ),"MNU_", "-MNU_")</f>
        <v>ITM_SQUARE</v>
      </c>
      <c r="AZ281" s="157" t="str" cm="1">
        <f t="array" ref="AZ281">SUBSTITUTE(SUBSTITUTE(_xlfn.SWITCH(AO281, "ITM_T_HOME", "ITM_UP1", "ITM_T_END", "ITM_DOWN1", "DOCU_CHR_sub", "ITM_DOWN_ARROW", "DOCU_CHR_super", "ITM_UP_ARROW", "MNU_TAMALPHA", "ITM_alpha", "DOCU_CHR_caseFLIP", "ITM_NULL", "DOCU_CHR_numSET", "ITM_NULL", "DOCU_ITM_RADIX", "ITM_PERIOD", AO281), ".lo", ),"MNU_", "-MNU_")</f>
        <v>ITM_ms</v>
      </c>
      <c r="BA281" s="173" t="str" cm="1">
        <f t="array" ref="BA281">SUBSTITUTE(SUBSTITUTE(_xlfn.SWITCH(AP281, "ITM_T_HOME", "ITM_UP1", "ITM_T_END", "ITM_DOWN1", "DOCU_CHR_sub", "ITM_DOWN_ARROW", "DOCU_CHR_super", "ITM_UP_ARROW", "MNU_TAMALPHA", "ITM_alpha", "DOCU_CHR_caseFLIP", "ITM_NULL", "DOCU_CHR_numSET", "ITM_NULL", "DOCU_ITM_RADIX", "ITM_PERIOD", AP281), ".lo", ),"MNU_", "-MNU_")</f>
        <v>ITM_ROOT_SIGN</v>
      </c>
      <c r="BB281" s="157" t="str" cm="1">
        <f t="array" ref="BB281">SUBSTITUTE(SUBSTITUTE(_xlfn.SWITCH(AQ281, "ITM_T_HOME", "ITM_UP1", "ITM_T_END", "ITM_DOWN1", "DOCU_CHR_sub", "ITM_DOWN_ARROW", "DOCU_CHR_super", "ITM_UP_ARROW", "MNU_TAMALPHA", "ITM_alpha", "DOCU_CHR_caseFLIP", "ITM_NULL", "DOCU_CHR_numSET", "ITM_NULL", "DOCU_ITM_RADIX", "ITM_PERIOD", AQ281), ".lo", ),"MNU_", "-MNU_")</f>
        <v>ITM_C</v>
      </c>
      <c r="BC281" s="157" t="str" cm="1">
        <f t="array" ref="BC281">SUBSTITUTE(SUBSTITUTE(_xlfn.SWITCH(AR281, "ITM_T_HOME", "ITM_UP1", "ITM_T_END", "ITM_DOWN1", "DOCU_CHR_sub", "ITM_DOWN_ARROW", "DOCU_CHR_super", "ITM_UP_ARROW", "MNU_TAMALPHA", "ITM_alpha", "DOCU_CHR_caseFLIP", "ITM_NULL", "DOCU_CHR_numSET", "ITM_NULL", "DOCU_ITM_RADIX", "ITM_PERIOD", AR281), ".lo", ),"MNU_", "-MNU_")</f>
        <v>ITM_c</v>
      </c>
      <c r="BD281" s="157" t="str" cm="1">
        <f t="array" ref="BD281">SUBSTITUTE(SUBSTITUTE(_xlfn.SWITCH(AS281, "ITM_T_HOME", "ITM_UP1", "ITM_T_END", "ITM_DOWN1", "DOCU_CHR_sub", "ITM_DOWN_ARROW", "DOCU_CHR_super", "ITM_UP_ARROW", "MNU_TAMALPHA", "ITM_alpha", "DOCU_CHR_caseFLIP", "ITM_NULL", "DOCU_CHR_numSET", "ITM_NULL", "DOCU_ITM_RADIX", "ITM_PERIOD", AS281), ".lo", ),"MNU_", "-MNU_")</f>
        <v>ITM_ROOT_SIGN</v>
      </c>
      <c r="BE281" s="157" t="str" cm="1">
        <f t="array" ref="BE281">SUBSTITUTE(SUBSTITUTE(_xlfn.SWITCH(AT281, "ITM_T_HOME", "ITM_UP1", "ITM_T_END", "ITM_DOWN1", "DOCU_CHR_sub", "ITM_DOWN_ARROW", "DOCU_CHR_super", "ITM_UP_ARROW", "MNU_TAMALPHA", "ITM_alpha", "DOCU_CHR_caseFLIP", "ITM_NULL", "DOCU_CHR_numSET", "ITM_NULL", "DOCU_ITM_RADIX", "ITM_PERIOD", AT281), ".lo", ),"MNU_", "-MNU_")</f>
        <v>ITM_REG_C</v>
      </c>
      <c r="BG281" s="75"/>
      <c r="BI281" s="13" t="str">
        <f t="shared" si="106"/>
        <v xml:space="preserve">  {23,                  ITM_SQUAREROOTX,      ITM_SQUARE,           ITM_ms,               ITM_ROOT_SIGN,        ITM_C,                ITM_c,                ITM_ROOT_SIGN,        ITM_REG_C           },</v>
      </c>
    </row>
    <row r="282" spans="24:61" ht="21" x14ac:dyDescent="0.2">
      <c r="X282" s="141" t="str">
        <f t="shared" si="97"/>
        <v>D47</v>
      </c>
      <c r="Y282" s="142">
        <v>2</v>
      </c>
      <c r="Z282" s="142">
        <v>4</v>
      </c>
      <c r="AA282" s="144" t="str">
        <f t="shared" si="96"/>
        <v>D47.24</v>
      </c>
      <c r="AB282" s="148" t="s">
        <v>108</v>
      </c>
      <c r="AC282" s="149" t="s">
        <v>109</v>
      </c>
      <c r="AD282" s="150" t="s">
        <v>70</v>
      </c>
      <c r="AE282" s="3"/>
      <c r="AF282" s="52" t="s">
        <v>71</v>
      </c>
      <c r="AG282" s="77" t="b">
        <f t="shared" si="107"/>
        <v>1</v>
      </c>
      <c r="AH282" s="83" t="str">
        <f t="shared" si="98"/>
        <v>d</v>
      </c>
      <c r="AI282" s="84" t="str">
        <f t="shared" si="99"/>
        <v>SIN</v>
      </c>
      <c r="AJ282" s="85" t="str">
        <f t="shared" si="100"/>
        <v>Reg D</v>
      </c>
      <c r="AK282" s="6"/>
      <c r="AL282" s="8" t="str">
        <f t="shared" si="101"/>
        <v>{24</v>
      </c>
      <c r="AM282" s="27" t="str">
        <f t="shared" si="102"/>
        <v>ITM_sin</v>
      </c>
      <c r="AN282" s="27" t="str">
        <f t="shared" si="103"/>
        <v>ITM_arcsin</v>
      </c>
      <c r="AO282" s="27" t="str">
        <f t="shared" si="104"/>
        <v>ITM_dotD</v>
      </c>
      <c r="AP282" s="46" t="str">
        <f>IF(NOT(ISNA(MATCH(AM282,Lookups!E:E,))),VLOOKUP(AM282,Lookups!E:F,2,0),
IF(NOT(ISNA(MATCH(AN282,Lookups!E:E,))),VLOOKUP(AN282,Lookups!E:F,2,0),
IF(NOT(ISNA(MATCH(AO282,Lookups!E:E,))),VLOOKUP(AO282,Lookups!E:F,2,0),"ITM_NULL")))</f>
        <v>ITM_NULL</v>
      </c>
      <c r="AQ282" s="28" t="str">
        <f t="shared" si="105"/>
        <v>ITM_D</v>
      </c>
      <c r="AR282" s="195" t="s">
        <v>72</v>
      </c>
      <c r="AS282" s="186" t="s">
        <v>113</v>
      </c>
      <c r="AT282" s="196" t="s">
        <v>74</v>
      </c>
      <c r="AW282" s="14" t="str">
        <f t="shared" si="108"/>
        <v>{24</v>
      </c>
      <c r="AX282" s="157" t="str" cm="1">
        <f t="array" ref="AX282">SUBSTITUTE(SUBSTITUTE(_xlfn.SWITCH(AM282, "ITM_T_HOME", "ITM_UP1", "ITM_T_END", "ITM_DOWN1", "DOCU_CHR_sub", "ITM_DOWN_ARROW", "DOCU_CHR_super", "ITM_UP_ARROW", "MNU_TAMALPHA", "ITM_alpha", "DOCU_CHR_caseFLIP", "ITM_NULL", "DOCU_CHR_numSET", "ITM_NULL", "DOCU_ITM_RADIX", "ITM_PERIOD", AM282), ".lo", ),"MNU_", "-MNU_")</f>
        <v>ITM_sin</v>
      </c>
      <c r="AY282" s="157" t="str" cm="1">
        <f t="array" ref="AY282">SUBSTITUTE(SUBSTITUTE(_xlfn.SWITCH(AN282, "ITM_T_HOME", "ITM_UP1", "ITM_T_END", "ITM_DOWN1", "DOCU_CHR_sub", "ITM_DOWN_ARROW", "DOCU_CHR_super", "ITM_UP_ARROW", "MNU_TAMALPHA", "ITM_alpha", "DOCU_CHR_caseFLIP", "ITM_NULL", "DOCU_CHR_numSET", "ITM_NULL", "DOCU_ITM_RADIX", "ITM_PERIOD", AN282), ".lo", ),"MNU_", "-MNU_")</f>
        <v>ITM_arcsin</v>
      </c>
      <c r="AZ282" s="157" t="str" cm="1">
        <f t="array" ref="AZ282">SUBSTITUTE(SUBSTITUTE(_xlfn.SWITCH(AO282, "ITM_T_HOME", "ITM_UP1", "ITM_T_END", "ITM_DOWN1", "DOCU_CHR_sub", "ITM_DOWN_ARROW", "DOCU_CHR_super", "ITM_UP_ARROW", "MNU_TAMALPHA", "ITM_alpha", "DOCU_CHR_caseFLIP", "ITM_NULL", "DOCU_CHR_numSET", "ITM_NULL", "DOCU_ITM_RADIX", "ITM_PERIOD", AO282), ".lo", ),"MNU_", "-MNU_")</f>
        <v>ITM_dotD</v>
      </c>
      <c r="BA282" s="173" t="str" cm="1">
        <f t="array" ref="BA282">SUBSTITUTE(SUBSTITUTE(_xlfn.SWITCH(AP282, "ITM_T_HOME", "ITM_UP1", "ITM_T_END", "ITM_DOWN1", "DOCU_CHR_sub", "ITM_DOWN_ARROW", "DOCU_CHR_super", "ITM_UP_ARROW", "MNU_TAMALPHA", "ITM_alpha", "DOCU_CHR_caseFLIP", "ITM_NULL", "DOCU_CHR_numSET", "ITM_NULL", "DOCU_ITM_RADIX", "ITM_PERIOD", AP282), ".lo", ),"MNU_", "-MNU_")</f>
        <v>ITM_NULL</v>
      </c>
      <c r="BB282" s="157" t="str" cm="1">
        <f t="array" ref="BB282">SUBSTITUTE(SUBSTITUTE(_xlfn.SWITCH(AQ282, "ITM_T_HOME", "ITM_UP1", "ITM_T_END", "ITM_DOWN1", "DOCU_CHR_sub", "ITM_DOWN_ARROW", "DOCU_CHR_super", "ITM_UP_ARROW", "MNU_TAMALPHA", "ITM_alpha", "DOCU_CHR_caseFLIP", "ITM_NULL", "DOCU_CHR_numSET", "ITM_NULL", "DOCU_ITM_RADIX", "ITM_PERIOD", AQ282), ".lo", ),"MNU_", "-MNU_")</f>
        <v>ITM_D</v>
      </c>
      <c r="BC282" s="157" t="str" cm="1">
        <f t="array" ref="BC282">SUBSTITUTE(SUBSTITUTE(_xlfn.SWITCH(AR282, "ITM_T_HOME", "ITM_UP1", "ITM_T_END", "ITM_DOWN1", "DOCU_CHR_sub", "ITM_DOWN_ARROW", "DOCU_CHR_super", "ITM_UP_ARROW", "MNU_TAMALPHA", "ITM_alpha", "DOCU_CHR_caseFLIP", "ITM_NULL", "DOCU_CHR_numSET", "ITM_NULL", "DOCU_ITM_RADIX", "ITM_PERIOD", AR282), ".lo", ),"MNU_", "-MNU_")</f>
        <v>ITM_d</v>
      </c>
      <c r="BD282" s="157" t="str" cm="1">
        <f t="array" ref="BD282">SUBSTITUTE(SUBSTITUTE(_xlfn.SWITCH(AS282, "ITM_T_HOME", "ITM_UP1", "ITM_T_END", "ITM_DOWN1", "DOCU_CHR_sub", "ITM_DOWN_ARROW", "DOCU_CHR_super", "ITM_UP_ARROW", "MNU_TAMALPHA", "ITM_alpha", "DOCU_CHR_caseFLIP", "ITM_NULL", "DOCU_CHR_numSET", "ITM_NULL", "DOCU_ITM_RADIX", "ITM_PERIOD", AS282), ".lo", ),"MNU_", "-MNU_")</f>
        <v>ITM_SIN_SIGN</v>
      </c>
      <c r="BE282" s="157" t="str" cm="1">
        <f t="array" ref="BE282">SUBSTITUTE(SUBSTITUTE(_xlfn.SWITCH(AT282, "ITM_T_HOME", "ITM_UP1", "ITM_T_END", "ITM_DOWN1", "DOCU_CHR_sub", "ITM_DOWN_ARROW", "DOCU_CHR_super", "ITM_UP_ARROW", "MNU_TAMALPHA", "ITM_alpha", "DOCU_CHR_caseFLIP", "ITM_NULL", "DOCU_CHR_numSET", "ITM_NULL", "DOCU_ITM_RADIX", "ITM_PERIOD", AT282), ".lo", ),"MNU_", "-MNU_")</f>
        <v>ITM_REG_D</v>
      </c>
      <c r="BG282" s="75"/>
      <c r="BI282" s="13" t="str">
        <f t="shared" si="106"/>
        <v xml:space="preserve">  {24,                  ITM_sin,              ITM_arcsin,           ITM_dotD,             ITM_NULL,             ITM_D,                ITM_d,                ITM_SIN_SIGN,         ITM_REG_D           },</v>
      </c>
    </row>
    <row r="283" spans="24:61" ht="21" x14ac:dyDescent="0.2">
      <c r="X283" s="141" t="str">
        <f t="shared" si="97"/>
        <v>D47</v>
      </c>
      <c r="Y283" s="142">
        <v>2</v>
      </c>
      <c r="Z283" s="142">
        <v>5</v>
      </c>
      <c r="AA283" s="144" t="str">
        <f t="shared" si="96"/>
        <v>D47.25</v>
      </c>
      <c r="AB283" s="148" t="s">
        <v>115</v>
      </c>
      <c r="AC283" s="149" t="s">
        <v>116</v>
      </c>
      <c r="AD283" s="150" t="s">
        <v>117</v>
      </c>
      <c r="AE283" s="3"/>
      <c r="AF283" s="52" t="s">
        <v>78</v>
      </c>
      <c r="AG283" s="77" t="b">
        <f t="shared" si="107"/>
        <v>1</v>
      </c>
      <c r="AH283" s="83" t="str">
        <f t="shared" si="98"/>
        <v>e</v>
      </c>
      <c r="AI283" s="84" t="str">
        <f t="shared" si="99"/>
        <v>COS</v>
      </c>
      <c r="AJ283" s="85" t="str">
        <f t="shared" si="100"/>
        <v xml:space="preserve"> </v>
      </c>
      <c r="AK283" s="6"/>
      <c r="AL283" s="8" t="str">
        <f t="shared" si="101"/>
        <v>{25</v>
      </c>
      <c r="AM283" s="27" t="str">
        <f t="shared" si="102"/>
        <v>ITM_cos</v>
      </c>
      <c r="AN283" s="27" t="str">
        <f t="shared" si="103"/>
        <v>ITM_arccos</v>
      </c>
      <c r="AO283" s="27" t="str">
        <f t="shared" si="104"/>
        <v>ITM_toREC2</v>
      </c>
      <c r="AP283" s="46" t="str">
        <f>IF(NOT(ISNA(MATCH(AM283,Lookups!E:E,))),VLOOKUP(AM283,Lookups!E:F,2,0),
IF(NOT(ISNA(MATCH(AN283,Lookups!E:E,))),VLOOKUP(AN283,Lookups!E:F,2,0),
IF(NOT(ISNA(MATCH(AO283,Lookups!E:E,))),VLOOKUP(AO283,Lookups!E:F,2,0),"ITM_NULL")))</f>
        <v>ITM_NULL</v>
      </c>
      <c r="AQ283" s="28" t="str">
        <f t="shared" si="105"/>
        <v>ITM_E</v>
      </c>
      <c r="AR283" s="195" t="s">
        <v>79</v>
      </c>
      <c r="AS283" s="186" t="s">
        <v>120</v>
      </c>
      <c r="AT283" s="197" t="s">
        <v>81</v>
      </c>
      <c r="AW283" s="14" t="str">
        <f t="shared" si="108"/>
        <v>{25</v>
      </c>
      <c r="AX283" s="157" t="str" cm="1">
        <f t="array" ref="AX283">SUBSTITUTE(SUBSTITUTE(_xlfn.SWITCH(AM283, "ITM_T_HOME", "ITM_UP1", "ITM_T_END", "ITM_DOWN1", "DOCU_CHR_sub", "ITM_DOWN_ARROW", "DOCU_CHR_super", "ITM_UP_ARROW", "MNU_TAMALPHA", "ITM_alpha", "DOCU_CHR_caseFLIP", "ITM_NULL", "DOCU_CHR_numSET", "ITM_NULL", "DOCU_ITM_RADIX", "ITM_PERIOD", AM283), ".lo", ),"MNU_", "-MNU_")</f>
        <v>ITM_cos</v>
      </c>
      <c r="AY283" s="157" t="str" cm="1">
        <f t="array" ref="AY283">SUBSTITUTE(SUBSTITUTE(_xlfn.SWITCH(AN283, "ITM_T_HOME", "ITM_UP1", "ITM_T_END", "ITM_DOWN1", "DOCU_CHR_sub", "ITM_DOWN_ARROW", "DOCU_CHR_super", "ITM_UP_ARROW", "MNU_TAMALPHA", "ITM_alpha", "DOCU_CHR_caseFLIP", "ITM_NULL", "DOCU_CHR_numSET", "ITM_NULL", "DOCU_ITM_RADIX", "ITM_PERIOD", AN283), ".lo", ),"MNU_", "-MNU_")</f>
        <v>ITM_arccos</v>
      </c>
      <c r="AZ283" s="157" t="str" cm="1">
        <f t="array" ref="AZ283">SUBSTITUTE(SUBSTITUTE(_xlfn.SWITCH(AO283, "ITM_T_HOME", "ITM_UP1", "ITM_T_END", "ITM_DOWN1", "DOCU_CHR_sub", "ITM_DOWN_ARROW", "DOCU_CHR_super", "ITM_UP_ARROW", "MNU_TAMALPHA", "ITM_alpha", "DOCU_CHR_caseFLIP", "ITM_NULL", "DOCU_CHR_numSET", "ITM_NULL", "DOCU_ITM_RADIX", "ITM_PERIOD", AO283), ".lo", ),"MNU_", "-MNU_")</f>
        <v>ITM_toREC2</v>
      </c>
      <c r="BA283" s="173" t="str" cm="1">
        <f t="array" ref="BA283">SUBSTITUTE(SUBSTITUTE(_xlfn.SWITCH(AP283, "ITM_T_HOME", "ITM_UP1", "ITM_T_END", "ITM_DOWN1", "DOCU_CHR_sub", "ITM_DOWN_ARROW", "DOCU_CHR_super", "ITM_UP_ARROW", "MNU_TAMALPHA", "ITM_alpha", "DOCU_CHR_caseFLIP", "ITM_NULL", "DOCU_CHR_numSET", "ITM_NULL", "DOCU_ITM_RADIX", "ITM_PERIOD", AP283), ".lo", ),"MNU_", "-MNU_")</f>
        <v>ITM_NULL</v>
      </c>
      <c r="BB283" s="157" t="str" cm="1">
        <f t="array" ref="BB283">SUBSTITUTE(SUBSTITUTE(_xlfn.SWITCH(AQ283, "ITM_T_HOME", "ITM_UP1", "ITM_T_END", "ITM_DOWN1", "DOCU_CHR_sub", "ITM_DOWN_ARROW", "DOCU_CHR_super", "ITM_UP_ARROW", "MNU_TAMALPHA", "ITM_alpha", "DOCU_CHR_caseFLIP", "ITM_NULL", "DOCU_CHR_numSET", "ITM_NULL", "DOCU_ITM_RADIX", "ITM_PERIOD", AQ283), ".lo", ),"MNU_", "-MNU_")</f>
        <v>ITM_E</v>
      </c>
      <c r="BC283" s="157" t="str" cm="1">
        <f t="array" ref="BC283">SUBSTITUTE(SUBSTITUTE(_xlfn.SWITCH(AR283, "ITM_T_HOME", "ITM_UP1", "ITM_T_END", "ITM_DOWN1", "DOCU_CHR_sub", "ITM_DOWN_ARROW", "DOCU_CHR_super", "ITM_UP_ARROW", "MNU_TAMALPHA", "ITM_alpha", "DOCU_CHR_caseFLIP", "ITM_NULL", "DOCU_CHR_numSET", "ITM_NULL", "DOCU_ITM_RADIX", "ITM_PERIOD", AR283), ".lo", ),"MNU_", "-MNU_")</f>
        <v>ITM_e</v>
      </c>
      <c r="BD283" s="157" t="str" cm="1">
        <f t="array" ref="BD283">SUBSTITUTE(SUBSTITUTE(_xlfn.SWITCH(AS283, "ITM_T_HOME", "ITM_UP1", "ITM_T_END", "ITM_DOWN1", "DOCU_CHR_sub", "ITM_DOWN_ARROW", "DOCU_CHR_super", "ITM_UP_ARROW", "MNU_TAMALPHA", "ITM_alpha", "DOCU_CHR_caseFLIP", "ITM_NULL", "DOCU_CHR_numSET", "ITM_NULL", "DOCU_ITM_RADIX", "ITM_PERIOD", AS283), ".lo", ),"MNU_", "-MNU_")</f>
        <v>ITM_COS_SIGN</v>
      </c>
      <c r="BE283" s="157" t="str" cm="1">
        <f t="array" ref="BE283">SUBSTITUTE(SUBSTITUTE(_xlfn.SWITCH(AT283, "ITM_T_HOME", "ITM_UP1", "ITM_T_END", "ITM_DOWN1", "DOCU_CHR_sub", "ITM_DOWN_ARROW", "DOCU_CHR_super", "ITM_UP_ARROW", "MNU_TAMALPHA", "ITM_alpha", "DOCU_CHR_caseFLIP", "ITM_NULL", "DOCU_CHR_numSET", "ITM_NULL", "DOCU_ITM_RADIX", "ITM_PERIOD", AT283), ".lo", ),"MNU_", "-MNU_")</f>
        <v>ITM_NULL</v>
      </c>
      <c r="BG283" s="75"/>
      <c r="BI283" s="13" t="str">
        <f t="shared" si="106"/>
        <v xml:space="preserve">  {25,                  ITM_cos,              ITM_arccos,           ITM_toREC2,           ITM_NULL,             ITM_E,                ITM_e,                ITM_COS_SIGN,         ITM_NULL            },</v>
      </c>
    </row>
    <row r="284" spans="24:61" ht="21" x14ac:dyDescent="0.2">
      <c r="X284" s="141" t="str">
        <f t="shared" si="97"/>
        <v>D47</v>
      </c>
      <c r="Y284" s="142">
        <v>2</v>
      </c>
      <c r="Z284" s="142">
        <v>6</v>
      </c>
      <c r="AA284" s="144" t="str">
        <f t="shared" si="96"/>
        <v>D47.26</v>
      </c>
      <c r="AB284" s="148" t="s">
        <v>122</v>
      </c>
      <c r="AC284" s="149" t="s">
        <v>123</v>
      </c>
      <c r="AD284" s="150" t="s">
        <v>124</v>
      </c>
      <c r="AE284" s="3"/>
      <c r="AF284" s="52" t="s">
        <v>85</v>
      </c>
      <c r="AG284" s="77" t="b">
        <f t="shared" si="107"/>
        <v>1</v>
      </c>
      <c r="AH284" s="83" t="str">
        <f t="shared" si="98"/>
        <v>f</v>
      </c>
      <c r="AI284" s="84" t="str">
        <f t="shared" si="99"/>
        <v>TAN</v>
      </c>
      <c r="AJ284" s="85" t="str">
        <f t="shared" si="100"/>
        <v xml:space="preserve"> </v>
      </c>
      <c r="AK284" s="6"/>
      <c r="AL284" s="8" t="str">
        <f t="shared" si="101"/>
        <v>{26</v>
      </c>
      <c r="AM284" s="27" t="str">
        <f t="shared" si="102"/>
        <v>ITM_tan</v>
      </c>
      <c r="AN284" s="27" t="str">
        <f t="shared" si="103"/>
        <v>ITM_arctan</v>
      </c>
      <c r="AO284" s="27" t="str">
        <f t="shared" si="104"/>
        <v>ITM_toPOL2</v>
      </c>
      <c r="AP284" s="46" t="str">
        <f>IF(NOT(ISNA(MATCH(AM284,Lookups!E:E,))),VLOOKUP(AM284,Lookups!E:F,2,0),
IF(NOT(ISNA(MATCH(AN284,Lookups!E:E,))),VLOOKUP(AN284,Lookups!E:F,2,0),
IF(NOT(ISNA(MATCH(AO284,Lookups!E:E,))),VLOOKUP(AO284,Lookups!E:F,2,0),"ITM_NULL")))</f>
        <v>ITM_NULL</v>
      </c>
      <c r="AQ284" s="28" t="str">
        <f t="shared" si="105"/>
        <v>ITM_F</v>
      </c>
      <c r="AR284" s="195" t="s">
        <v>86</v>
      </c>
      <c r="AS284" s="186" t="s">
        <v>127</v>
      </c>
      <c r="AT284" s="197" t="s">
        <v>81</v>
      </c>
      <c r="AW284" s="14" t="str">
        <f t="shared" si="108"/>
        <v>{26</v>
      </c>
      <c r="AX284" s="157" t="str" cm="1">
        <f t="array" ref="AX284">SUBSTITUTE(SUBSTITUTE(_xlfn.SWITCH(AM284, "ITM_T_HOME", "ITM_UP1", "ITM_T_END", "ITM_DOWN1", "DOCU_CHR_sub", "ITM_DOWN_ARROW", "DOCU_CHR_super", "ITM_UP_ARROW", "MNU_TAMALPHA", "ITM_alpha", "DOCU_CHR_caseFLIP", "ITM_NULL", "DOCU_CHR_numSET", "ITM_NULL", "DOCU_ITM_RADIX", "ITM_PERIOD", AM284), ".lo", ),"MNU_", "-MNU_")</f>
        <v>ITM_tan</v>
      </c>
      <c r="AY284" s="157" t="str" cm="1">
        <f t="array" ref="AY284">SUBSTITUTE(SUBSTITUTE(_xlfn.SWITCH(AN284, "ITM_T_HOME", "ITM_UP1", "ITM_T_END", "ITM_DOWN1", "DOCU_CHR_sub", "ITM_DOWN_ARROW", "DOCU_CHR_super", "ITM_UP_ARROW", "MNU_TAMALPHA", "ITM_alpha", "DOCU_CHR_caseFLIP", "ITM_NULL", "DOCU_CHR_numSET", "ITM_NULL", "DOCU_ITM_RADIX", "ITM_PERIOD", AN284), ".lo", ),"MNU_", "-MNU_")</f>
        <v>ITM_arctan</v>
      </c>
      <c r="AZ284" s="157" t="str" cm="1">
        <f t="array" ref="AZ284">SUBSTITUTE(SUBSTITUTE(_xlfn.SWITCH(AO284, "ITM_T_HOME", "ITM_UP1", "ITM_T_END", "ITM_DOWN1", "DOCU_CHR_sub", "ITM_DOWN_ARROW", "DOCU_CHR_super", "ITM_UP_ARROW", "MNU_TAMALPHA", "ITM_alpha", "DOCU_CHR_caseFLIP", "ITM_NULL", "DOCU_CHR_numSET", "ITM_NULL", "DOCU_ITM_RADIX", "ITM_PERIOD", AO284), ".lo", ),"MNU_", "-MNU_")</f>
        <v>ITM_toPOL2</v>
      </c>
      <c r="BA284" s="173" t="str" cm="1">
        <f t="array" ref="BA284">SUBSTITUTE(SUBSTITUTE(_xlfn.SWITCH(AP284, "ITM_T_HOME", "ITM_UP1", "ITM_T_END", "ITM_DOWN1", "DOCU_CHR_sub", "ITM_DOWN_ARROW", "DOCU_CHR_super", "ITM_UP_ARROW", "MNU_TAMALPHA", "ITM_alpha", "DOCU_CHR_caseFLIP", "ITM_NULL", "DOCU_CHR_numSET", "ITM_NULL", "DOCU_ITM_RADIX", "ITM_PERIOD", AP284), ".lo", ),"MNU_", "-MNU_")</f>
        <v>ITM_NULL</v>
      </c>
      <c r="BB284" s="157" t="str" cm="1">
        <f t="array" ref="BB284">SUBSTITUTE(SUBSTITUTE(_xlfn.SWITCH(AQ284, "ITM_T_HOME", "ITM_UP1", "ITM_T_END", "ITM_DOWN1", "DOCU_CHR_sub", "ITM_DOWN_ARROW", "DOCU_CHR_super", "ITM_UP_ARROW", "MNU_TAMALPHA", "ITM_alpha", "DOCU_CHR_caseFLIP", "ITM_NULL", "DOCU_CHR_numSET", "ITM_NULL", "DOCU_ITM_RADIX", "ITM_PERIOD", AQ284), ".lo", ),"MNU_", "-MNU_")</f>
        <v>ITM_F</v>
      </c>
      <c r="BC284" s="157" t="str" cm="1">
        <f t="array" ref="BC284">SUBSTITUTE(SUBSTITUTE(_xlfn.SWITCH(AR284, "ITM_T_HOME", "ITM_UP1", "ITM_T_END", "ITM_DOWN1", "DOCU_CHR_sub", "ITM_DOWN_ARROW", "DOCU_CHR_super", "ITM_UP_ARROW", "MNU_TAMALPHA", "ITM_alpha", "DOCU_CHR_caseFLIP", "ITM_NULL", "DOCU_CHR_numSET", "ITM_NULL", "DOCU_ITM_RADIX", "ITM_PERIOD", AR284), ".lo", ),"MNU_", "-MNU_")</f>
        <v>ITM_f</v>
      </c>
      <c r="BD284" s="157" t="str" cm="1">
        <f t="array" ref="BD284">SUBSTITUTE(SUBSTITUTE(_xlfn.SWITCH(AS284, "ITM_T_HOME", "ITM_UP1", "ITM_T_END", "ITM_DOWN1", "DOCU_CHR_sub", "ITM_DOWN_ARROW", "DOCU_CHR_super", "ITM_UP_ARROW", "MNU_TAMALPHA", "ITM_alpha", "DOCU_CHR_caseFLIP", "ITM_NULL", "DOCU_CHR_numSET", "ITM_NULL", "DOCU_ITM_RADIX", "ITM_PERIOD", AS284), ".lo", ),"MNU_", "-MNU_")</f>
        <v>ITM_TAN_SIGN</v>
      </c>
      <c r="BE284" s="157" t="str" cm="1">
        <f t="array" ref="BE284">SUBSTITUTE(SUBSTITUTE(_xlfn.SWITCH(AT284, "ITM_T_HOME", "ITM_UP1", "ITM_T_END", "ITM_DOWN1", "DOCU_CHR_sub", "ITM_DOWN_ARROW", "DOCU_CHR_super", "ITM_UP_ARROW", "MNU_TAMALPHA", "ITM_alpha", "DOCU_CHR_caseFLIP", "ITM_NULL", "DOCU_CHR_numSET", "ITM_NULL", "DOCU_ITM_RADIX", "ITM_PERIOD", AT284), ".lo", ),"MNU_", "-MNU_")</f>
        <v>ITM_NULL</v>
      </c>
      <c r="BG284" s="75"/>
      <c r="BI284" s="13" t="str">
        <f t="shared" si="106"/>
        <v xml:space="preserve">  {26,                  ITM_tan,              ITM_arctan,           ITM_toPOL2,           ITM_NULL,             ITM_F,                ITM_f,                ITM_TAN_SIGN,         ITM_NULL            },</v>
      </c>
    </row>
    <row r="285" spans="24:61" ht="21" x14ac:dyDescent="0.2">
      <c r="X285" s="141" t="str">
        <f t="shared" si="97"/>
        <v>D47</v>
      </c>
      <c r="Y285" s="138">
        <v>3</v>
      </c>
      <c r="Z285" s="138">
        <v>1</v>
      </c>
      <c r="AA285" s="144" t="str">
        <f t="shared" si="96"/>
        <v>D47.31</v>
      </c>
      <c r="AB285" s="148" t="s">
        <v>88</v>
      </c>
      <c r="AC285" s="149" t="s">
        <v>48</v>
      </c>
      <c r="AD285" s="150" t="s">
        <v>95</v>
      </c>
      <c r="AE285" s="3"/>
      <c r="AF285" s="52" t="s">
        <v>91</v>
      </c>
      <c r="AG285" s="77" t="b">
        <f t="shared" si="107"/>
        <v>1</v>
      </c>
      <c r="AH285" s="83" t="str">
        <f t="shared" si="98"/>
        <v>g</v>
      </c>
      <c r="AI285" s="84" t="str">
        <f t="shared" si="99"/>
        <v xml:space="preserve"> </v>
      </c>
      <c r="AJ285" s="85" t="str">
        <f t="shared" si="100"/>
        <v xml:space="preserve"> </v>
      </c>
      <c r="AK285" s="6"/>
      <c r="AL285" s="8" t="str">
        <f t="shared" si="101"/>
        <v>{31</v>
      </c>
      <c r="AM285" s="27" t="str">
        <f t="shared" si="102"/>
        <v>ITM_STO</v>
      </c>
      <c r="AN285" s="27" t="str">
        <f t="shared" si="103"/>
        <v>ITM_RI</v>
      </c>
      <c r="AO285" s="27" t="str">
        <f t="shared" si="104"/>
        <v>ITM_PC</v>
      </c>
      <c r="AP285" s="46" t="str">
        <f>IF(NOT(ISNA(MATCH(AM285,Lookups!E:E,))),VLOOKUP(AM285,Lookups!E:F,2,0),
IF(NOT(ISNA(MATCH(AN285,Lookups!E:E,))),VLOOKUP(AN285,Lookups!E:F,2,0),
IF(NOT(ISNA(MATCH(AO285,Lookups!E:E,))),VLOOKUP(AO285,Lookups!E:F,2,0),"ITM_NULL")))</f>
        <v>ITM_NULL</v>
      </c>
      <c r="AQ285" s="28" t="str">
        <f t="shared" si="105"/>
        <v>ITM_G</v>
      </c>
      <c r="AR285" s="195" t="s">
        <v>92</v>
      </c>
      <c r="AS285" s="186" t="s">
        <v>81</v>
      </c>
      <c r="AT285" s="197" t="s">
        <v>81</v>
      </c>
      <c r="AW285" s="14" t="str">
        <f t="shared" si="108"/>
        <v>{31</v>
      </c>
      <c r="AX285" s="157" t="str" cm="1">
        <f t="array" ref="AX285">SUBSTITUTE(SUBSTITUTE(_xlfn.SWITCH(AM285, "ITM_T_HOME", "ITM_UP1", "ITM_T_END", "ITM_DOWN1", "DOCU_CHR_sub", "ITM_DOWN_ARROW", "DOCU_CHR_super", "ITM_UP_ARROW", "MNU_TAMALPHA", "ITM_alpha", "DOCU_CHR_caseFLIP", "ITM_NULL", "DOCU_CHR_numSET", "ITM_NULL", "DOCU_ITM_RADIX", "ITM_PERIOD", AM285), ".lo", ),"MNU_", "-MNU_")</f>
        <v>ITM_STO</v>
      </c>
      <c r="AY285" s="157" t="str" cm="1">
        <f t="array" ref="AY285">SUBSTITUTE(SUBSTITUTE(_xlfn.SWITCH(AN285, "ITM_T_HOME", "ITM_UP1", "ITM_T_END", "ITM_DOWN1", "DOCU_CHR_sub", "ITM_DOWN_ARROW", "DOCU_CHR_super", "ITM_UP_ARROW", "MNU_TAMALPHA", "ITM_alpha", "DOCU_CHR_caseFLIP", "ITM_NULL", "DOCU_CHR_numSET", "ITM_NULL", "DOCU_ITM_RADIX", "ITM_PERIOD", AN285), ".lo", ),"MNU_", "-MNU_")</f>
        <v>ITM_RI</v>
      </c>
      <c r="AZ285" s="157" t="str" cm="1">
        <f t="array" ref="AZ285">SUBSTITUTE(SUBSTITUTE(_xlfn.SWITCH(AO285, "ITM_T_HOME", "ITM_UP1", "ITM_T_END", "ITM_DOWN1", "DOCU_CHR_sub", "ITM_DOWN_ARROW", "DOCU_CHR_super", "ITM_UP_ARROW", "MNU_TAMALPHA", "ITM_alpha", "DOCU_CHR_caseFLIP", "ITM_NULL", "DOCU_CHR_numSET", "ITM_NULL", "DOCU_ITM_RADIX", "ITM_PERIOD", AO285), ".lo", ),"MNU_", "-MNU_")</f>
        <v>ITM_PC</v>
      </c>
      <c r="BA285" s="173" t="str" cm="1">
        <f t="array" ref="BA285">SUBSTITUTE(SUBSTITUTE(_xlfn.SWITCH(AP285, "ITM_T_HOME", "ITM_UP1", "ITM_T_END", "ITM_DOWN1", "DOCU_CHR_sub", "ITM_DOWN_ARROW", "DOCU_CHR_super", "ITM_UP_ARROW", "MNU_TAMALPHA", "ITM_alpha", "DOCU_CHR_caseFLIP", "ITM_NULL", "DOCU_CHR_numSET", "ITM_NULL", "DOCU_ITM_RADIX", "ITM_PERIOD", AP285), ".lo", ),"MNU_", "-MNU_")</f>
        <v>ITM_NULL</v>
      </c>
      <c r="BB285" s="157" t="str" cm="1">
        <f t="array" ref="BB285">SUBSTITUTE(SUBSTITUTE(_xlfn.SWITCH(AQ285, "ITM_T_HOME", "ITM_UP1", "ITM_T_END", "ITM_DOWN1", "DOCU_CHR_sub", "ITM_DOWN_ARROW", "DOCU_CHR_super", "ITM_UP_ARROW", "MNU_TAMALPHA", "ITM_alpha", "DOCU_CHR_caseFLIP", "ITM_NULL", "DOCU_CHR_numSET", "ITM_NULL", "DOCU_ITM_RADIX", "ITM_PERIOD", AQ285), ".lo", ),"MNU_", "-MNU_")</f>
        <v>ITM_G</v>
      </c>
      <c r="BC285" s="157" t="str" cm="1">
        <f t="array" ref="BC285">SUBSTITUTE(SUBSTITUTE(_xlfn.SWITCH(AR285, "ITM_T_HOME", "ITM_UP1", "ITM_T_END", "ITM_DOWN1", "DOCU_CHR_sub", "ITM_DOWN_ARROW", "DOCU_CHR_super", "ITM_UP_ARROW", "MNU_TAMALPHA", "ITM_alpha", "DOCU_CHR_caseFLIP", "ITM_NULL", "DOCU_CHR_numSET", "ITM_NULL", "DOCU_ITM_RADIX", "ITM_PERIOD", AR285), ".lo", ),"MNU_", "-MNU_")</f>
        <v>ITM_g</v>
      </c>
      <c r="BD285" s="157" t="str" cm="1">
        <f t="array" ref="BD285">SUBSTITUTE(SUBSTITUTE(_xlfn.SWITCH(AS285, "ITM_T_HOME", "ITM_UP1", "ITM_T_END", "ITM_DOWN1", "DOCU_CHR_sub", "ITM_DOWN_ARROW", "DOCU_CHR_super", "ITM_UP_ARROW", "MNU_TAMALPHA", "ITM_alpha", "DOCU_CHR_caseFLIP", "ITM_NULL", "DOCU_CHR_numSET", "ITM_NULL", "DOCU_ITM_RADIX", "ITM_PERIOD", AS285), ".lo", ),"MNU_", "-MNU_")</f>
        <v>ITM_NULL</v>
      </c>
      <c r="BE285" s="157" t="str" cm="1">
        <f t="array" ref="BE285">SUBSTITUTE(SUBSTITUTE(_xlfn.SWITCH(AT285, "ITM_T_HOME", "ITM_UP1", "ITM_T_END", "ITM_DOWN1", "DOCU_CHR_sub", "ITM_DOWN_ARROW", "DOCU_CHR_super", "ITM_UP_ARROW", "MNU_TAMALPHA", "ITM_alpha", "DOCU_CHR_caseFLIP", "ITM_NULL", "DOCU_CHR_numSET", "ITM_NULL", "DOCU_ITM_RADIX", "ITM_PERIOD", AT285), ".lo", ),"MNU_", "-MNU_")</f>
        <v>ITM_NULL</v>
      </c>
      <c r="BG285" s="75"/>
      <c r="BI285" s="13" t="str">
        <f t="shared" si="106"/>
        <v xml:space="preserve">  {31,                  ITM_STO,              ITM_RI,               ITM_PC,               ITM_NULL,             ITM_G,                ITM_g,                ITM_NULL,             ITM_NULL            },</v>
      </c>
    </row>
    <row r="286" spans="24:61" ht="21" x14ac:dyDescent="0.2">
      <c r="X286" s="141" t="str">
        <f t="shared" si="97"/>
        <v>D47</v>
      </c>
      <c r="Y286" s="142">
        <v>3</v>
      </c>
      <c r="Z286" s="142">
        <v>2</v>
      </c>
      <c r="AA286" s="144" t="str">
        <f t="shared" si="96"/>
        <v>D47.32</v>
      </c>
      <c r="AB286" s="148" t="s">
        <v>94</v>
      </c>
      <c r="AC286" s="149" t="s">
        <v>89</v>
      </c>
      <c r="AD286" s="150" t="s">
        <v>90</v>
      </c>
      <c r="AE286" s="3"/>
      <c r="AF286" s="52" t="s">
        <v>97</v>
      </c>
      <c r="AG286" s="77" t="b">
        <f t="shared" si="107"/>
        <v>1</v>
      </c>
      <c r="AH286" s="83" t="str">
        <f t="shared" si="98"/>
        <v>h</v>
      </c>
      <c r="AI286" s="84" t="str">
        <f t="shared" si="99"/>
        <v>|</v>
      </c>
      <c r="AJ286" s="85" t="str">
        <f t="shared" si="100"/>
        <v>HEX</v>
      </c>
      <c r="AK286" s="6"/>
      <c r="AL286" s="8" t="str">
        <f t="shared" si="101"/>
        <v>{32</v>
      </c>
      <c r="AM286" s="27" t="str">
        <f t="shared" si="102"/>
        <v>ITM_RCL</v>
      </c>
      <c r="AN286" s="27" t="str">
        <f t="shared" si="103"/>
        <v>ITM_MAGNITUDE</v>
      </c>
      <c r="AO286" s="64" t="str">
        <f t="shared" si="104"/>
        <v>ITM_ARG</v>
      </c>
      <c r="AP286" s="46" t="str">
        <f>IF(NOT(ISNA(MATCH(AM286,Lookups!E:E,))),VLOOKUP(AM286,Lookups!E:F,2,0),
IF(NOT(ISNA(MATCH(AN286,Lookups!E:E,))),VLOOKUP(AN286,Lookups!E:F,2,0),
IF(NOT(ISNA(MATCH(AO286,Lookups!E:E,))),VLOOKUP(AO286,Lookups!E:F,2,0),"ITM_NULL")))</f>
        <v>ITM_NULL</v>
      </c>
      <c r="AQ286" s="28" t="str">
        <f t="shared" si="105"/>
        <v>ITM_H</v>
      </c>
      <c r="AR286" s="195" t="s">
        <v>98</v>
      </c>
      <c r="AS286" s="186" t="s">
        <v>93</v>
      </c>
      <c r="AT286" s="197" t="s">
        <v>667</v>
      </c>
      <c r="AW286" s="14" t="str">
        <f t="shared" si="108"/>
        <v>{32</v>
      </c>
      <c r="AX286" s="157" t="str" cm="1">
        <f t="array" ref="AX286">SUBSTITUTE(SUBSTITUTE(_xlfn.SWITCH(AM286, "ITM_T_HOME", "ITM_UP1", "ITM_T_END", "ITM_DOWN1", "DOCU_CHR_sub", "ITM_DOWN_ARROW", "DOCU_CHR_super", "ITM_UP_ARROW", "MNU_TAMALPHA", "ITM_alpha", "DOCU_CHR_caseFLIP", "ITM_NULL", "DOCU_CHR_numSET", "ITM_NULL", "DOCU_ITM_RADIX", "ITM_PERIOD", AM286), ".lo", ),"MNU_", "-MNU_")</f>
        <v>ITM_RCL</v>
      </c>
      <c r="AY286" s="157" t="str" cm="1">
        <f t="array" ref="AY286">SUBSTITUTE(SUBSTITUTE(_xlfn.SWITCH(AN286, "ITM_T_HOME", "ITM_UP1", "ITM_T_END", "ITM_DOWN1", "DOCU_CHR_sub", "ITM_DOWN_ARROW", "DOCU_CHR_super", "ITM_UP_ARROW", "MNU_TAMALPHA", "ITM_alpha", "DOCU_CHR_caseFLIP", "ITM_NULL", "DOCU_CHR_numSET", "ITM_NULL", "DOCU_ITM_RADIX", "ITM_PERIOD", AN286), ".lo", ),"MNU_", "-MNU_")</f>
        <v>ITM_MAGNITUDE</v>
      </c>
      <c r="AZ286" s="157" t="str" cm="1">
        <f t="array" ref="AZ286">SUBSTITUTE(SUBSTITUTE(_xlfn.SWITCH(AO286, "ITM_T_HOME", "ITM_UP1", "ITM_T_END", "ITM_DOWN1", "DOCU_CHR_sub", "ITM_DOWN_ARROW", "DOCU_CHR_super", "ITM_UP_ARROW", "MNU_TAMALPHA", "ITM_alpha", "DOCU_CHR_caseFLIP", "ITM_NULL", "DOCU_CHR_numSET", "ITM_NULL", "DOCU_ITM_RADIX", "ITM_PERIOD", AO286), ".lo", ),"MNU_", "-MNU_")</f>
        <v>ITM_ARG</v>
      </c>
      <c r="BA286" s="173" t="str" cm="1">
        <f t="array" ref="BA286">SUBSTITUTE(SUBSTITUTE(_xlfn.SWITCH(AP286, "ITM_T_HOME", "ITM_UP1", "ITM_T_END", "ITM_DOWN1", "DOCU_CHR_sub", "ITM_DOWN_ARROW", "DOCU_CHR_super", "ITM_UP_ARROW", "MNU_TAMALPHA", "ITM_alpha", "DOCU_CHR_caseFLIP", "ITM_NULL", "DOCU_CHR_numSET", "ITM_NULL", "DOCU_ITM_RADIX", "ITM_PERIOD", AP286), ".lo", ),"MNU_", "-MNU_")</f>
        <v>ITM_NULL</v>
      </c>
      <c r="BB286" s="157" t="str" cm="1">
        <f t="array" ref="BB286">SUBSTITUTE(SUBSTITUTE(_xlfn.SWITCH(AQ286, "ITM_T_HOME", "ITM_UP1", "ITM_T_END", "ITM_DOWN1", "DOCU_CHR_sub", "ITM_DOWN_ARROW", "DOCU_CHR_super", "ITM_UP_ARROW", "MNU_TAMALPHA", "ITM_alpha", "DOCU_CHR_caseFLIP", "ITM_NULL", "DOCU_CHR_numSET", "ITM_NULL", "DOCU_ITM_RADIX", "ITM_PERIOD", AQ286), ".lo", ),"MNU_", "-MNU_")</f>
        <v>ITM_H</v>
      </c>
      <c r="BC286" s="157" t="str" cm="1">
        <f t="array" ref="BC286">SUBSTITUTE(SUBSTITUTE(_xlfn.SWITCH(AR286, "ITM_T_HOME", "ITM_UP1", "ITM_T_END", "ITM_DOWN1", "DOCU_CHR_sub", "ITM_DOWN_ARROW", "DOCU_CHR_super", "ITM_UP_ARROW", "MNU_TAMALPHA", "ITM_alpha", "DOCU_CHR_caseFLIP", "ITM_NULL", "DOCU_CHR_numSET", "ITM_NULL", "DOCU_ITM_RADIX", "ITM_PERIOD", AR286), ".lo", ),"MNU_", "-MNU_")</f>
        <v>ITM_h</v>
      </c>
      <c r="BD286" s="157" t="str" cm="1">
        <f t="array" ref="BD286">SUBSTITUTE(SUBSTITUTE(_xlfn.SWITCH(AS286, "ITM_T_HOME", "ITM_UP1", "ITM_T_END", "ITM_DOWN1", "DOCU_CHR_sub", "ITM_DOWN_ARROW", "DOCU_CHR_super", "ITM_UP_ARROW", "MNU_TAMALPHA", "ITM_alpha", "DOCU_CHR_caseFLIP", "ITM_NULL", "DOCU_CHR_numSET", "ITM_NULL", "DOCU_ITM_RADIX", "ITM_PERIOD", AS286), ".lo", ),"MNU_", "-MNU_")</f>
        <v>ITM_VERTICAL_BAR</v>
      </c>
      <c r="BE286" s="157" t="str" cm="1">
        <f t="array" ref="BE286">SUBSTITUTE(SUBSTITUTE(_xlfn.SWITCH(AT286, "ITM_T_HOME", "ITM_UP1", "ITM_T_END", "ITM_DOWN1", "DOCU_CHR_sub", "ITM_DOWN_ARROW", "DOCU_CHR_super", "ITM_UP_ARROW", "MNU_TAMALPHA", "ITM_alpha", "DOCU_CHR_caseFLIP", "ITM_NULL", "DOCU_CHR_numSET", "ITM_NULL", "DOCU_ITM_RADIX", "ITM_PERIOD", AT286), ".lo", ),"MNU_", "-MNU_")</f>
        <v>ITM_2HEX</v>
      </c>
      <c r="BG286" s="75"/>
      <c r="BI286" s="13" t="str">
        <f t="shared" si="106"/>
        <v xml:space="preserve">  {32,                  ITM_RCL,              ITM_MAGNITUDE,        ITM_ARG,              ITM_NULL,             ITM_H,                ITM_h,                ITM_VERTICAL_BAR,     ITM_2HEX            },</v>
      </c>
    </row>
    <row r="287" spans="24:61" ht="21" x14ac:dyDescent="0.2">
      <c r="X287" s="141" t="str">
        <f t="shared" si="97"/>
        <v>D47</v>
      </c>
      <c r="Y287" s="142">
        <v>3</v>
      </c>
      <c r="Z287" s="142">
        <v>3</v>
      </c>
      <c r="AA287" s="144" t="str">
        <f t="shared" si="96"/>
        <v>D47.33</v>
      </c>
      <c r="AB287" s="148" t="s">
        <v>101</v>
      </c>
      <c r="AC287" s="149" t="s">
        <v>103</v>
      </c>
      <c r="AD287" s="150" t="s">
        <v>326</v>
      </c>
      <c r="AE287" s="3"/>
      <c r="AF287" s="52" t="s">
        <v>104</v>
      </c>
      <c r="AG287" s="77" t="b">
        <f t="shared" si="107"/>
        <v>1</v>
      </c>
      <c r="AH287" s="83" t="str">
        <f t="shared" si="98"/>
        <v>i</v>
      </c>
      <c r="AI287" s="84" t="str">
        <f t="shared" si="99"/>
        <v xml:space="preserve"> </v>
      </c>
      <c r="AJ287" s="85" t="str">
        <f t="shared" si="100"/>
        <v>Reg I</v>
      </c>
      <c r="AK287" s="6"/>
      <c r="AL287" s="8" t="str">
        <f t="shared" si="101"/>
        <v>{33</v>
      </c>
      <c r="AM287" s="27" t="str">
        <f t="shared" si="102"/>
        <v>ITM_Rdown</v>
      </c>
      <c r="AN287" s="27" t="str">
        <f t="shared" si="103"/>
        <v>ITM_XTHROOT</v>
      </c>
      <c r="AO287" s="27" t="str">
        <f t="shared" si="104"/>
        <v>ITM_Rup</v>
      </c>
      <c r="AP287" s="46" t="str">
        <f>IF(NOT(ISNA(MATCH(AM287,Lookups!E:E,))),VLOOKUP(AM287,Lookups!E:F,2,0),
IF(NOT(ISNA(MATCH(AN287,Lookups!E:E,))),VLOOKUP(AN287,Lookups!E:F,2,0),
IF(NOT(ISNA(MATCH(AO287,Lookups!E:E,))),VLOOKUP(AO287,Lookups!E:F,2,0),"ITM_NULL")))</f>
        <v>ITM_NULL</v>
      </c>
      <c r="AQ287" s="28" t="str">
        <f t="shared" si="105"/>
        <v>ITM_I</v>
      </c>
      <c r="AR287" s="195" t="s">
        <v>105</v>
      </c>
      <c r="AS287" s="186" t="s">
        <v>81</v>
      </c>
      <c r="AT287" s="196" t="s">
        <v>107</v>
      </c>
      <c r="AW287" s="14" t="str">
        <f t="shared" si="108"/>
        <v>{33</v>
      </c>
      <c r="AX287" s="157" t="str" cm="1">
        <f t="array" ref="AX287">SUBSTITUTE(SUBSTITUTE(_xlfn.SWITCH(AM287, "ITM_T_HOME", "ITM_UP1", "ITM_T_END", "ITM_DOWN1", "DOCU_CHR_sub", "ITM_DOWN_ARROW", "DOCU_CHR_super", "ITM_UP_ARROW", "MNU_TAMALPHA", "ITM_alpha", "DOCU_CHR_caseFLIP", "ITM_NULL", "DOCU_CHR_numSET", "ITM_NULL", "DOCU_ITM_RADIX", "ITM_PERIOD", AM287), ".lo", ),"MNU_", "-MNU_")</f>
        <v>ITM_Rdown</v>
      </c>
      <c r="AY287" s="157" t="str" cm="1">
        <f t="array" ref="AY287">SUBSTITUTE(SUBSTITUTE(_xlfn.SWITCH(AN287, "ITM_T_HOME", "ITM_UP1", "ITM_T_END", "ITM_DOWN1", "DOCU_CHR_sub", "ITM_DOWN_ARROW", "DOCU_CHR_super", "ITM_UP_ARROW", "MNU_TAMALPHA", "ITM_alpha", "DOCU_CHR_caseFLIP", "ITM_NULL", "DOCU_CHR_numSET", "ITM_NULL", "DOCU_ITM_RADIX", "ITM_PERIOD", AN287), ".lo", ),"MNU_", "-MNU_")</f>
        <v>ITM_XTHROOT</v>
      </c>
      <c r="AZ287" s="157" t="str" cm="1">
        <f t="array" ref="AZ287">SUBSTITUTE(SUBSTITUTE(_xlfn.SWITCH(AO287, "ITM_T_HOME", "ITM_UP1", "ITM_T_END", "ITM_DOWN1", "DOCU_CHR_sub", "ITM_DOWN_ARROW", "DOCU_CHR_super", "ITM_UP_ARROW", "MNU_TAMALPHA", "ITM_alpha", "DOCU_CHR_caseFLIP", "ITM_NULL", "DOCU_CHR_numSET", "ITM_NULL", "DOCU_ITM_RADIX", "ITM_PERIOD", AO287), ".lo", ),"MNU_", "-MNU_")</f>
        <v>ITM_Rup</v>
      </c>
      <c r="BA287" s="173" t="str" cm="1">
        <f t="array" ref="BA287">SUBSTITUTE(SUBSTITUTE(_xlfn.SWITCH(AP287, "ITM_T_HOME", "ITM_UP1", "ITM_T_END", "ITM_DOWN1", "DOCU_CHR_sub", "ITM_DOWN_ARROW", "DOCU_CHR_super", "ITM_UP_ARROW", "MNU_TAMALPHA", "ITM_alpha", "DOCU_CHR_caseFLIP", "ITM_NULL", "DOCU_CHR_numSET", "ITM_NULL", "DOCU_ITM_RADIX", "ITM_PERIOD", AP287), ".lo", ),"MNU_", "-MNU_")</f>
        <v>ITM_NULL</v>
      </c>
      <c r="BB287" s="157" t="str" cm="1">
        <f t="array" ref="BB287">SUBSTITUTE(SUBSTITUTE(_xlfn.SWITCH(AQ287, "ITM_T_HOME", "ITM_UP1", "ITM_T_END", "ITM_DOWN1", "DOCU_CHR_sub", "ITM_DOWN_ARROW", "DOCU_CHR_super", "ITM_UP_ARROW", "MNU_TAMALPHA", "ITM_alpha", "DOCU_CHR_caseFLIP", "ITM_NULL", "DOCU_CHR_numSET", "ITM_NULL", "DOCU_ITM_RADIX", "ITM_PERIOD", AQ287), ".lo", ),"MNU_", "-MNU_")</f>
        <v>ITM_I</v>
      </c>
      <c r="BC287" s="157" t="str" cm="1">
        <f t="array" ref="BC287">SUBSTITUTE(SUBSTITUTE(_xlfn.SWITCH(AR287, "ITM_T_HOME", "ITM_UP1", "ITM_T_END", "ITM_DOWN1", "DOCU_CHR_sub", "ITM_DOWN_ARROW", "DOCU_CHR_super", "ITM_UP_ARROW", "MNU_TAMALPHA", "ITM_alpha", "DOCU_CHR_caseFLIP", "ITM_NULL", "DOCU_CHR_numSET", "ITM_NULL", "DOCU_ITM_RADIX", "ITM_PERIOD", AR287), ".lo", ),"MNU_", "-MNU_")</f>
        <v>ITM_i</v>
      </c>
      <c r="BD287" s="157" t="str" cm="1">
        <f t="array" ref="BD287">SUBSTITUTE(SUBSTITUTE(_xlfn.SWITCH(AS287, "ITM_T_HOME", "ITM_UP1", "ITM_T_END", "ITM_DOWN1", "DOCU_CHR_sub", "ITM_DOWN_ARROW", "DOCU_CHR_super", "ITM_UP_ARROW", "MNU_TAMALPHA", "ITM_alpha", "DOCU_CHR_caseFLIP", "ITM_NULL", "DOCU_CHR_numSET", "ITM_NULL", "DOCU_ITM_RADIX", "ITM_PERIOD", AS287), ".lo", ),"MNU_", "-MNU_")</f>
        <v>ITM_NULL</v>
      </c>
      <c r="BE287" s="157" t="str" cm="1">
        <f t="array" ref="BE287">SUBSTITUTE(SUBSTITUTE(_xlfn.SWITCH(AT287, "ITM_T_HOME", "ITM_UP1", "ITM_T_END", "ITM_DOWN1", "DOCU_CHR_sub", "ITM_DOWN_ARROW", "DOCU_CHR_super", "ITM_UP_ARROW", "MNU_TAMALPHA", "ITM_alpha", "DOCU_CHR_caseFLIP", "ITM_NULL", "DOCU_CHR_numSET", "ITM_NULL", "DOCU_ITM_RADIX", "ITM_PERIOD", AT287), ".lo", ),"MNU_", "-MNU_")</f>
        <v>ITM_REG_I</v>
      </c>
      <c r="BG287" s="75"/>
      <c r="BI287" s="13" t="str">
        <f t="shared" si="106"/>
        <v xml:space="preserve">  {33,                  ITM_Rdown,            ITM_XTHROOT,          ITM_Rup,              ITM_NULL,             ITM_I,                ITM_i,                ITM_NULL,             ITM_REG_I           },</v>
      </c>
    </row>
    <row r="288" spans="24:61" ht="21" x14ac:dyDescent="0.2">
      <c r="X288" s="141" t="str">
        <f t="shared" si="97"/>
        <v>D47</v>
      </c>
      <c r="Y288" s="142">
        <v>3</v>
      </c>
      <c r="Z288" s="142">
        <v>4</v>
      </c>
      <c r="AA288" s="144" t="str">
        <f t="shared" si="96"/>
        <v>D47.34</v>
      </c>
      <c r="AB288" s="148" t="s">
        <v>54</v>
      </c>
      <c r="AC288" s="149" t="s">
        <v>55</v>
      </c>
      <c r="AD288" s="150" t="s">
        <v>102</v>
      </c>
      <c r="AE288" s="3"/>
      <c r="AF288" s="52" t="s">
        <v>111</v>
      </c>
      <c r="AG288" s="77" t="b">
        <f t="shared" si="107"/>
        <v>1</v>
      </c>
      <c r="AH288" s="83" t="str">
        <f t="shared" si="98"/>
        <v>j</v>
      </c>
      <c r="AI288" s="84" t="str">
        <f t="shared" si="99"/>
        <v>^</v>
      </c>
      <c r="AJ288" s="85" t="str">
        <f t="shared" si="100"/>
        <v>Reg J</v>
      </c>
      <c r="AK288" s="6"/>
      <c r="AL288" s="8" t="str">
        <f t="shared" si="101"/>
        <v>{34</v>
      </c>
      <c r="AM288" s="27" t="str">
        <f t="shared" si="102"/>
        <v>ITM_1ONX</v>
      </c>
      <c r="AN288" s="27" t="str">
        <f t="shared" si="103"/>
        <v>ITM_YX</v>
      </c>
      <c r="AO288" s="27" t="str">
        <f t="shared" si="104"/>
        <v>ITM_CONSTpi</v>
      </c>
      <c r="AP288" s="46" t="str">
        <f>IF(NOT(ISNA(MATCH(AM288,Lookups!E:E,))),VLOOKUP(AM288,Lookups!E:F,2,0),
IF(NOT(ISNA(MATCH(AN288,Lookups!E:E,))),VLOOKUP(AN288,Lookups!E:F,2,0),
IF(NOT(ISNA(MATCH(AO288,Lookups!E:E,))),VLOOKUP(AO288,Lookups!E:F,2,0),"ITM_NULL")))</f>
        <v>ITM_NULL</v>
      </c>
      <c r="AQ288" s="28" t="str">
        <f t="shared" si="105"/>
        <v>ITM_J</v>
      </c>
      <c r="AR288" s="195" t="s">
        <v>112</v>
      </c>
      <c r="AS288" s="186" t="s">
        <v>59</v>
      </c>
      <c r="AT288" s="196" t="s">
        <v>114</v>
      </c>
      <c r="AW288" s="14" t="str">
        <f t="shared" si="108"/>
        <v>{34</v>
      </c>
      <c r="AX288" s="157" t="str" cm="1">
        <f t="array" ref="AX288">SUBSTITUTE(SUBSTITUTE(_xlfn.SWITCH(AM288, "ITM_T_HOME", "ITM_UP1", "ITM_T_END", "ITM_DOWN1", "DOCU_CHR_sub", "ITM_DOWN_ARROW", "DOCU_CHR_super", "ITM_UP_ARROW", "MNU_TAMALPHA", "ITM_alpha", "DOCU_CHR_caseFLIP", "ITM_NULL", "DOCU_CHR_numSET", "ITM_NULL", "DOCU_ITM_RADIX", "ITM_PERIOD", AM288), ".lo", ),"MNU_", "-MNU_")</f>
        <v>ITM_1ONX</v>
      </c>
      <c r="AY288" s="157" t="str" cm="1">
        <f t="array" ref="AY288">SUBSTITUTE(SUBSTITUTE(_xlfn.SWITCH(AN288, "ITM_T_HOME", "ITM_UP1", "ITM_T_END", "ITM_DOWN1", "DOCU_CHR_sub", "ITM_DOWN_ARROW", "DOCU_CHR_super", "ITM_UP_ARROW", "MNU_TAMALPHA", "ITM_alpha", "DOCU_CHR_caseFLIP", "ITM_NULL", "DOCU_CHR_numSET", "ITM_NULL", "DOCU_ITM_RADIX", "ITM_PERIOD", AN288), ".lo", ),"MNU_", "-MNU_")</f>
        <v>ITM_YX</v>
      </c>
      <c r="AZ288" s="157" t="str" cm="1">
        <f t="array" ref="AZ288">SUBSTITUTE(SUBSTITUTE(_xlfn.SWITCH(AO288, "ITM_T_HOME", "ITM_UP1", "ITM_T_END", "ITM_DOWN1", "DOCU_CHR_sub", "ITM_DOWN_ARROW", "DOCU_CHR_super", "ITM_UP_ARROW", "MNU_TAMALPHA", "ITM_alpha", "DOCU_CHR_caseFLIP", "ITM_NULL", "DOCU_CHR_numSET", "ITM_NULL", "DOCU_ITM_RADIX", "ITM_PERIOD", AO288), ".lo", ),"MNU_", "-MNU_")</f>
        <v>ITM_CONSTpi</v>
      </c>
      <c r="BA288" s="173" t="str" cm="1">
        <f t="array" ref="BA288">SUBSTITUTE(SUBSTITUTE(_xlfn.SWITCH(AP288, "ITM_T_HOME", "ITM_UP1", "ITM_T_END", "ITM_DOWN1", "DOCU_CHR_sub", "ITM_DOWN_ARROW", "DOCU_CHR_super", "ITM_UP_ARROW", "MNU_TAMALPHA", "ITM_alpha", "DOCU_CHR_caseFLIP", "ITM_NULL", "DOCU_CHR_numSET", "ITM_NULL", "DOCU_ITM_RADIX", "ITM_PERIOD", AP288), ".lo", ),"MNU_", "-MNU_")</f>
        <v>ITM_NULL</v>
      </c>
      <c r="BB288" s="157" t="str" cm="1">
        <f t="array" ref="BB288">SUBSTITUTE(SUBSTITUTE(_xlfn.SWITCH(AQ288, "ITM_T_HOME", "ITM_UP1", "ITM_T_END", "ITM_DOWN1", "DOCU_CHR_sub", "ITM_DOWN_ARROW", "DOCU_CHR_super", "ITM_UP_ARROW", "MNU_TAMALPHA", "ITM_alpha", "DOCU_CHR_caseFLIP", "ITM_NULL", "DOCU_CHR_numSET", "ITM_NULL", "DOCU_ITM_RADIX", "ITM_PERIOD", AQ288), ".lo", ),"MNU_", "-MNU_")</f>
        <v>ITM_J</v>
      </c>
      <c r="BC288" s="157" t="str" cm="1">
        <f t="array" ref="BC288">SUBSTITUTE(SUBSTITUTE(_xlfn.SWITCH(AR288, "ITM_T_HOME", "ITM_UP1", "ITM_T_END", "ITM_DOWN1", "DOCU_CHR_sub", "ITM_DOWN_ARROW", "DOCU_CHR_super", "ITM_UP_ARROW", "MNU_TAMALPHA", "ITM_alpha", "DOCU_CHR_caseFLIP", "ITM_NULL", "DOCU_CHR_numSET", "ITM_NULL", "DOCU_ITM_RADIX", "ITM_PERIOD", AR288), ".lo", ),"MNU_", "-MNU_")</f>
        <v>ITM_j</v>
      </c>
      <c r="BD288" s="157" t="str" cm="1">
        <f t="array" ref="BD288">SUBSTITUTE(SUBSTITUTE(_xlfn.SWITCH(AS288, "ITM_T_HOME", "ITM_UP1", "ITM_T_END", "ITM_DOWN1", "DOCU_CHR_sub", "ITM_DOWN_ARROW", "DOCU_CHR_super", "ITM_UP_ARROW", "MNU_TAMALPHA", "ITM_alpha", "DOCU_CHR_caseFLIP", "ITM_NULL", "DOCU_CHR_numSET", "ITM_NULL", "DOCU_ITM_RADIX", "ITM_PERIOD", AS288), ".lo", ),"MNU_", "-MNU_")</f>
        <v>ITM_CIRCUMFLEX</v>
      </c>
      <c r="BE288" s="157" t="str" cm="1">
        <f t="array" ref="BE288">SUBSTITUTE(SUBSTITUTE(_xlfn.SWITCH(AT288, "ITM_T_HOME", "ITM_UP1", "ITM_T_END", "ITM_DOWN1", "DOCU_CHR_sub", "ITM_DOWN_ARROW", "DOCU_CHR_super", "ITM_UP_ARROW", "MNU_TAMALPHA", "ITM_alpha", "DOCU_CHR_caseFLIP", "ITM_NULL", "DOCU_CHR_numSET", "ITM_NULL", "DOCU_ITM_RADIX", "ITM_PERIOD", AT288), ".lo", ),"MNU_", "-MNU_")</f>
        <v>ITM_REG_J</v>
      </c>
      <c r="BG288" s="75"/>
      <c r="BI288" s="13" t="str">
        <f t="shared" si="106"/>
        <v xml:space="preserve">  {34,                  ITM_1ONX,             ITM_YX,               ITM_CONSTpi,          ITM_NULL,             ITM_J,                ITM_j,                ITM_CIRCUMFLEX,       ITM_REG_J           },</v>
      </c>
    </row>
    <row r="289" spans="24:61" ht="21" x14ac:dyDescent="0.2">
      <c r="X289" s="141" t="str">
        <f t="shared" si="97"/>
        <v>D47</v>
      </c>
      <c r="Y289" s="142">
        <v>3</v>
      </c>
      <c r="Z289" s="142">
        <v>5</v>
      </c>
      <c r="AA289" s="144" t="str">
        <f t="shared" si="96"/>
        <v>D47.35</v>
      </c>
      <c r="AB289" s="121" t="s">
        <v>339</v>
      </c>
      <c r="AC289" s="151" t="s">
        <v>218</v>
      </c>
      <c r="AD289" s="151" t="s">
        <v>218</v>
      </c>
      <c r="AE289" s="3"/>
      <c r="AF289" s="130" t="s">
        <v>339</v>
      </c>
      <c r="AG289" s="77" t="b">
        <f t="shared" si="107"/>
        <v>0</v>
      </c>
      <c r="AH289" s="83" t="str">
        <f t="shared" si="98"/>
        <v xml:space="preserve"> </v>
      </c>
      <c r="AI289" s="84" t="str">
        <f t="shared" si="99"/>
        <v xml:space="preserve"> </v>
      </c>
      <c r="AJ289" s="85" t="str">
        <f t="shared" si="100"/>
        <v xml:space="preserve"> f </v>
      </c>
      <c r="AK289" s="6"/>
      <c r="AL289" s="8" t="str">
        <f t="shared" si="101"/>
        <v>{35</v>
      </c>
      <c r="AM289" s="27" t="str">
        <f t="shared" si="102"/>
        <v>ITM_SHIFTf</v>
      </c>
      <c r="AN289" s="27" t="str">
        <f t="shared" si="103"/>
        <v>ITM_NULL</v>
      </c>
      <c r="AO289" s="27" t="str">
        <f t="shared" si="104"/>
        <v>ITM_NULL</v>
      </c>
      <c r="AP289" s="46" t="str">
        <f>IF(NOT(ISNA(MATCH(AM289,Lookups!E:E,))),VLOOKUP(AM289,Lookups!E:F,2,0),
IF(NOT(ISNA(MATCH(AN289,Lookups!E:E,))),VLOOKUP(AN289,Lookups!E:F,2,0),
IF(NOT(ISNA(MATCH(AO289,Lookups!E:E,))),VLOOKUP(AO289,Lookups!E:F,2,0),"ITM_NULL")))</f>
        <v>ITM_SHIFTf</v>
      </c>
      <c r="AQ289" s="28" t="str">
        <f t="shared" si="105"/>
        <v>ITM_SHIFTf</v>
      </c>
      <c r="AR289" s="198" t="s">
        <v>81</v>
      </c>
      <c r="AS289" s="186" t="s">
        <v>81</v>
      </c>
      <c r="AT289" s="197" t="s">
        <v>340</v>
      </c>
      <c r="AW289" s="14" t="str">
        <f t="shared" si="108"/>
        <v>{35</v>
      </c>
      <c r="AX289" s="157" t="str" cm="1">
        <f t="array" ref="AX289">SUBSTITUTE(SUBSTITUTE(_xlfn.SWITCH(AM289, "ITM_T_HOME", "ITM_UP1", "ITM_T_END", "ITM_DOWN1", "DOCU_CHR_sub", "ITM_DOWN_ARROW", "DOCU_CHR_super", "ITM_UP_ARROW", "MNU_TAMALPHA", "ITM_alpha", "DOCU_CHR_caseFLIP", "ITM_NULL", "DOCU_CHR_numSET", "ITM_NULL", "DOCU_ITM_RADIX", "ITM_PERIOD", AM289), ".lo", ),"MNU_", "-MNU_")</f>
        <v>ITM_SHIFTf</v>
      </c>
      <c r="AY289" s="157" t="str" cm="1">
        <f t="array" ref="AY289">SUBSTITUTE(SUBSTITUTE(_xlfn.SWITCH(AN289, "ITM_T_HOME", "ITM_UP1", "ITM_T_END", "ITM_DOWN1", "DOCU_CHR_sub", "ITM_DOWN_ARROW", "DOCU_CHR_super", "ITM_UP_ARROW", "MNU_TAMALPHA", "ITM_alpha", "DOCU_CHR_caseFLIP", "ITM_NULL", "DOCU_CHR_numSET", "ITM_NULL", "DOCU_ITM_RADIX", "ITM_PERIOD", AN289), ".lo", ),"MNU_", "-MNU_")</f>
        <v>ITM_NULL</v>
      </c>
      <c r="AZ289" s="157" t="str" cm="1">
        <f t="array" ref="AZ289">SUBSTITUTE(SUBSTITUTE(_xlfn.SWITCH(AO289, "ITM_T_HOME", "ITM_UP1", "ITM_T_END", "ITM_DOWN1", "DOCU_CHR_sub", "ITM_DOWN_ARROW", "DOCU_CHR_super", "ITM_UP_ARROW", "MNU_TAMALPHA", "ITM_alpha", "DOCU_CHR_caseFLIP", "ITM_NULL", "DOCU_CHR_numSET", "ITM_NULL", "DOCU_ITM_RADIX", "ITM_PERIOD", AO289), ".lo", ),"MNU_", "-MNU_")</f>
        <v>ITM_NULL</v>
      </c>
      <c r="BA289" s="173" t="str" cm="1">
        <f t="array" ref="BA289">SUBSTITUTE(SUBSTITUTE(_xlfn.SWITCH(AP289, "ITM_T_HOME", "ITM_UP1", "ITM_T_END", "ITM_DOWN1", "DOCU_CHR_sub", "ITM_DOWN_ARROW", "DOCU_CHR_super", "ITM_UP_ARROW", "MNU_TAMALPHA", "ITM_alpha", "DOCU_CHR_caseFLIP", "ITM_NULL", "DOCU_CHR_numSET", "ITM_NULL", "DOCU_ITM_RADIX", "ITM_PERIOD", AP289), ".lo", ),"MNU_", "-MNU_")</f>
        <v>ITM_SHIFTf</v>
      </c>
      <c r="BB289" s="157" t="str" cm="1">
        <f t="array" ref="BB289">SUBSTITUTE(SUBSTITUTE(_xlfn.SWITCH(AQ289, "ITM_T_HOME", "ITM_UP1", "ITM_T_END", "ITM_DOWN1", "DOCU_CHR_sub", "ITM_DOWN_ARROW", "DOCU_CHR_super", "ITM_UP_ARROW", "MNU_TAMALPHA", "ITM_alpha", "DOCU_CHR_caseFLIP", "ITM_NULL", "DOCU_CHR_numSET", "ITM_NULL", "DOCU_ITM_RADIX", "ITM_PERIOD", AQ289), ".lo", ),"MNU_", "-MNU_")</f>
        <v>ITM_SHIFTf</v>
      </c>
      <c r="BC289" s="157" t="str" cm="1">
        <f t="array" ref="BC289">SUBSTITUTE(SUBSTITUTE(_xlfn.SWITCH(AR289, "ITM_T_HOME", "ITM_UP1", "ITM_T_END", "ITM_DOWN1", "DOCU_CHR_sub", "ITM_DOWN_ARROW", "DOCU_CHR_super", "ITM_UP_ARROW", "MNU_TAMALPHA", "ITM_alpha", "DOCU_CHR_caseFLIP", "ITM_NULL", "DOCU_CHR_numSET", "ITM_NULL", "DOCU_ITM_RADIX", "ITM_PERIOD", AR289), ".lo", ),"MNU_", "-MNU_")</f>
        <v>ITM_NULL</v>
      </c>
      <c r="BD289" s="157" t="str" cm="1">
        <f t="array" ref="BD289">SUBSTITUTE(SUBSTITUTE(_xlfn.SWITCH(AS289, "ITM_T_HOME", "ITM_UP1", "ITM_T_END", "ITM_DOWN1", "DOCU_CHR_sub", "ITM_DOWN_ARROW", "DOCU_CHR_super", "ITM_UP_ARROW", "MNU_TAMALPHA", "ITM_alpha", "DOCU_CHR_caseFLIP", "ITM_NULL", "DOCU_CHR_numSET", "ITM_NULL", "DOCU_ITM_RADIX", "ITM_PERIOD", AS289), ".lo", ),"MNU_", "-MNU_")</f>
        <v>ITM_NULL</v>
      </c>
      <c r="BE289" s="157" t="str" cm="1">
        <f t="array" ref="BE289">SUBSTITUTE(SUBSTITUTE(_xlfn.SWITCH(AT289, "ITM_T_HOME", "ITM_UP1", "ITM_T_END", "ITM_DOWN1", "DOCU_CHR_sub", "ITM_DOWN_ARROW", "DOCU_CHR_super", "ITM_UP_ARROW", "MNU_TAMALPHA", "ITM_alpha", "DOCU_CHR_caseFLIP", "ITM_NULL", "DOCU_CHR_numSET", "ITM_NULL", "DOCU_ITM_RADIX", "ITM_PERIOD", AT289), ".lo", ),"MNU_", "-MNU_")</f>
        <v>ITM_SHIFTf</v>
      </c>
      <c r="BG289" s="75"/>
      <c r="BI289" s="13" t="str">
        <f t="shared" si="106"/>
        <v xml:space="preserve">  {35,                  ITM_SHIFTf,           ITM_NULL,             ITM_NULL,             ITM_SHIFTf,           ITM_SHIFTf,           ITM_NULL,             ITM_NULL,             ITM_SHIFTf          },</v>
      </c>
    </row>
    <row r="290" spans="24:61" ht="21" x14ac:dyDescent="0.2">
      <c r="X290" s="141" t="str">
        <f t="shared" si="97"/>
        <v>D47</v>
      </c>
      <c r="Y290" s="142">
        <v>3</v>
      </c>
      <c r="Z290" s="142">
        <v>6</v>
      </c>
      <c r="AA290" s="144" t="str">
        <f t="shared" si="96"/>
        <v>D47.36</v>
      </c>
      <c r="AB290" s="121" t="s">
        <v>341</v>
      </c>
      <c r="AC290" s="151" t="s">
        <v>218</v>
      </c>
      <c r="AD290" s="151" t="s">
        <v>218</v>
      </c>
      <c r="AE290" s="3"/>
      <c r="AF290" s="121" t="s">
        <v>341</v>
      </c>
      <c r="AG290" s="77" t="b">
        <f t="shared" si="107"/>
        <v>0</v>
      </c>
      <c r="AH290" s="83" t="str">
        <f t="shared" si="98"/>
        <v xml:space="preserve"> </v>
      </c>
      <c r="AI290" s="84" t="str">
        <f t="shared" si="99"/>
        <v xml:space="preserve"> </v>
      </c>
      <c r="AJ290" s="85" t="str">
        <f t="shared" si="100"/>
        <v xml:space="preserve"> g </v>
      </c>
      <c r="AK290" s="6"/>
      <c r="AL290" s="8" t="str">
        <f t="shared" si="101"/>
        <v>{36</v>
      </c>
      <c r="AM290" s="27" t="str">
        <f t="shared" si="102"/>
        <v>ITM_SHIFTg</v>
      </c>
      <c r="AN290" s="27" t="str">
        <f t="shared" si="103"/>
        <v>ITM_NULL</v>
      </c>
      <c r="AO290" s="27" t="str">
        <f t="shared" si="104"/>
        <v>ITM_NULL</v>
      </c>
      <c r="AP290" s="46" t="str">
        <f>IF(NOT(ISNA(MATCH(AM290,Lookups!E:E,))),VLOOKUP(AM290,Lookups!E:F,2,0),
IF(NOT(ISNA(MATCH(AN290,Lookups!E:E,))),VLOOKUP(AN290,Lookups!E:F,2,0),
IF(NOT(ISNA(MATCH(AO290,Lookups!E:E,))),VLOOKUP(AO290,Lookups!E:F,2,0),"ITM_NULL")))</f>
        <v>ITM_SHIFTg</v>
      </c>
      <c r="AQ290" s="28" t="str">
        <f t="shared" si="105"/>
        <v>ITM_SHIFTg</v>
      </c>
      <c r="AR290" s="198" t="s">
        <v>81</v>
      </c>
      <c r="AS290" s="186" t="s">
        <v>81</v>
      </c>
      <c r="AT290" s="197" t="s">
        <v>343</v>
      </c>
      <c r="AW290" s="14" t="str">
        <f t="shared" si="108"/>
        <v>{36</v>
      </c>
      <c r="AX290" s="157" t="str" cm="1">
        <f t="array" ref="AX290">SUBSTITUTE(SUBSTITUTE(_xlfn.SWITCH(AM290, "ITM_T_HOME", "ITM_UP1", "ITM_T_END", "ITM_DOWN1", "DOCU_CHR_sub", "ITM_DOWN_ARROW", "DOCU_CHR_super", "ITM_UP_ARROW", "MNU_TAMALPHA", "ITM_alpha", "DOCU_CHR_caseFLIP", "ITM_NULL", "DOCU_CHR_numSET", "ITM_NULL", "DOCU_ITM_RADIX", "ITM_PERIOD", AM290), ".lo", ),"MNU_", "-MNU_")</f>
        <v>ITM_SHIFTg</v>
      </c>
      <c r="AY290" s="157" t="str" cm="1">
        <f t="array" ref="AY290">SUBSTITUTE(SUBSTITUTE(_xlfn.SWITCH(AN290, "ITM_T_HOME", "ITM_UP1", "ITM_T_END", "ITM_DOWN1", "DOCU_CHR_sub", "ITM_DOWN_ARROW", "DOCU_CHR_super", "ITM_UP_ARROW", "MNU_TAMALPHA", "ITM_alpha", "DOCU_CHR_caseFLIP", "ITM_NULL", "DOCU_CHR_numSET", "ITM_NULL", "DOCU_ITM_RADIX", "ITM_PERIOD", AN290), ".lo", ),"MNU_", "-MNU_")</f>
        <v>ITM_NULL</v>
      </c>
      <c r="AZ290" s="157" t="str" cm="1">
        <f t="array" ref="AZ290">SUBSTITUTE(SUBSTITUTE(_xlfn.SWITCH(AO290, "ITM_T_HOME", "ITM_UP1", "ITM_T_END", "ITM_DOWN1", "DOCU_CHR_sub", "ITM_DOWN_ARROW", "DOCU_CHR_super", "ITM_UP_ARROW", "MNU_TAMALPHA", "ITM_alpha", "DOCU_CHR_caseFLIP", "ITM_NULL", "DOCU_CHR_numSET", "ITM_NULL", "DOCU_ITM_RADIX", "ITM_PERIOD", AO290), ".lo", ),"MNU_", "-MNU_")</f>
        <v>ITM_NULL</v>
      </c>
      <c r="BA290" s="173" t="str" cm="1">
        <f t="array" ref="BA290">SUBSTITUTE(SUBSTITUTE(_xlfn.SWITCH(AP290, "ITM_T_HOME", "ITM_UP1", "ITM_T_END", "ITM_DOWN1", "DOCU_CHR_sub", "ITM_DOWN_ARROW", "DOCU_CHR_super", "ITM_UP_ARROW", "MNU_TAMALPHA", "ITM_alpha", "DOCU_CHR_caseFLIP", "ITM_NULL", "DOCU_CHR_numSET", "ITM_NULL", "DOCU_ITM_RADIX", "ITM_PERIOD", AP290), ".lo", ),"MNU_", "-MNU_")</f>
        <v>ITM_SHIFTg</v>
      </c>
      <c r="BB290" s="157" t="str" cm="1">
        <f t="array" ref="BB290">SUBSTITUTE(SUBSTITUTE(_xlfn.SWITCH(AQ290, "ITM_T_HOME", "ITM_UP1", "ITM_T_END", "ITM_DOWN1", "DOCU_CHR_sub", "ITM_DOWN_ARROW", "DOCU_CHR_super", "ITM_UP_ARROW", "MNU_TAMALPHA", "ITM_alpha", "DOCU_CHR_caseFLIP", "ITM_NULL", "DOCU_CHR_numSET", "ITM_NULL", "DOCU_ITM_RADIX", "ITM_PERIOD", AQ290), ".lo", ),"MNU_", "-MNU_")</f>
        <v>ITM_SHIFTg</v>
      </c>
      <c r="BC290" s="157" t="str" cm="1">
        <f t="array" ref="BC290">SUBSTITUTE(SUBSTITUTE(_xlfn.SWITCH(AR290, "ITM_T_HOME", "ITM_UP1", "ITM_T_END", "ITM_DOWN1", "DOCU_CHR_sub", "ITM_DOWN_ARROW", "DOCU_CHR_super", "ITM_UP_ARROW", "MNU_TAMALPHA", "ITM_alpha", "DOCU_CHR_caseFLIP", "ITM_NULL", "DOCU_CHR_numSET", "ITM_NULL", "DOCU_ITM_RADIX", "ITM_PERIOD", AR290), ".lo", ),"MNU_", "-MNU_")</f>
        <v>ITM_NULL</v>
      </c>
      <c r="BD290" s="157" t="str" cm="1">
        <f t="array" ref="BD290">SUBSTITUTE(SUBSTITUTE(_xlfn.SWITCH(AS290, "ITM_T_HOME", "ITM_UP1", "ITM_T_END", "ITM_DOWN1", "DOCU_CHR_sub", "ITM_DOWN_ARROW", "DOCU_CHR_super", "ITM_UP_ARROW", "MNU_TAMALPHA", "ITM_alpha", "DOCU_CHR_caseFLIP", "ITM_NULL", "DOCU_CHR_numSET", "ITM_NULL", "DOCU_ITM_RADIX", "ITM_PERIOD", AS290), ".lo", ),"MNU_", "-MNU_")</f>
        <v>ITM_NULL</v>
      </c>
      <c r="BE290" s="157" t="str" cm="1">
        <f t="array" ref="BE290">SUBSTITUTE(SUBSTITUTE(_xlfn.SWITCH(AT290, "ITM_T_HOME", "ITM_UP1", "ITM_T_END", "ITM_DOWN1", "DOCU_CHR_sub", "ITM_DOWN_ARROW", "DOCU_CHR_super", "ITM_UP_ARROW", "MNU_TAMALPHA", "ITM_alpha", "DOCU_CHR_caseFLIP", "ITM_NULL", "DOCU_CHR_numSET", "ITM_NULL", "DOCU_ITM_RADIX", "ITM_PERIOD", AT290), ".lo", ),"MNU_", "-MNU_")</f>
        <v>ITM_SHIFTg</v>
      </c>
      <c r="BG290" s="75"/>
      <c r="BI290" s="13" t="str">
        <f t="shared" si="106"/>
        <v xml:space="preserve">  {36,                  ITM_SHIFTg,           ITM_NULL,             ITM_NULL,             ITM_SHIFTg,           ITM_SHIFTg,           ITM_NULL,             ITM_NULL,             ITM_SHIFTg          },</v>
      </c>
    </row>
    <row r="291" spans="24:61" ht="21" x14ac:dyDescent="0.2">
      <c r="X291" s="141" t="str">
        <f t="shared" si="97"/>
        <v>D47</v>
      </c>
      <c r="Y291" s="138">
        <v>4</v>
      </c>
      <c r="Z291" s="138">
        <v>1</v>
      </c>
      <c r="AA291" s="144" t="str">
        <f t="shared" ref="AA291:AA315" si="109">X291&amp;"."&amp;Y291&amp;Z291</f>
        <v>D47.41</v>
      </c>
      <c r="AB291" s="148" t="s">
        <v>129</v>
      </c>
      <c r="AC291" s="149" t="s">
        <v>130</v>
      </c>
      <c r="AD291" s="150" t="s">
        <v>131</v>
      </c>
      <c r="AE291" s="3"/>
      <c r="AF291" s="52" t="s">
        <v>129</v>
      </c>
      <c r="AG291" s="77" t="b">
        <f t="shared" si="107"/>
        <v>0</v>
      </c>
      <c r="AH291" s="83" t="str">
        <f t="shared" si="98"/>
        <v>X.SWAP</v>
      </c>
      <c r="AI291" s="84" t="str">
        <f t="shared" si="99"/>
        <v>a.PARSE</v>
      </c>
      <c r="AJ291" s="85" t="str">
        <f t="shared" si="100"/>
        <v>ENTER</v>
      </c>
      <c r="AK291" s="6"/>
      <c r="AL291" s="8" t="str">
        <f t="shared" si="101"/>
        <v>{41</v>
      </c>
      <c r="AM291" s="27" t="str">
        <f t="shared" si="102"/>
        <v>ITM_ENTER</v>
      </c>
      <c r="AN291" s="27" t="str">
        <f t="shared" si="103"/>
        <v>KEY_COMPLEX</v>
      </c>
      <c r="AO291" s="27" t="str">
        <f t="shared" si="104"/>
        <v>MNU_CPX</v>
      </c>
      <c r="AP291" s="46" t="str">
        <f>IF(NOT(ISNA(MATCH(AM291,Lookups!E:E,))),VLOOKUP(AM291,Lookups!E:F,2,0),
IF(NOT(ISNA(MATCH(AN291,Lookups!E:E,))),VLOOKUP(AN291,Lookups!E:F,2,0),
IF(NOT(ISNA(MATCH(AO291,Lookups!E:E,))),VLOOKUP(AO291,Lookups!E:F,2,0),"ITM_NULL")))</f>
        <v>ITM_ENTER</v>
      </c>
      <c r="AQ291" s="28" t="str">
        <f t="shared" si="105"/>
        <v>ITM_ENTER</v>
      </c>
      <c r="AR291" s="198" t="s">
        <v>132</v>
      </c>
      <c r="AS291" s="186" t="s">
        <v>133</v>
      </c>
      <c r="AT291" s="197" t="s">
        <v>134</v>
      </c>
      <c r="AW291" s="14" t="str">
        <f t="shared" si="108"/>
        <v>{41</v>
      </c>
      <c r="AX291" s="157" t="str" cm="1">
        <f t="array" ref="AX291">SUBSTITUTE(SUBSTITUTE(_xlfn.SWITCH(AM291, "ITM_T_HOME", "ITM_UP1", "ITM_T_END", "ITM_DOWN1", "DOCU_CHR_sub", "ITM_DOWN_ARROW", "DOCU_CHR_super", "ITM_UP_ARROW", "MNU_TAMALPHA", "ITM_alpha", "DOCU_CHR_caseFLIP", "ITM_NULL", "DOCU_CHR_numSET", "ITM_NULL", "DOCU_ITM_RADIX", "ITM_PERIOD", AM291), ".lo", ),"MNU_", "-MNU_")</f>
        <v>ITM_ENTER</v>
      </c>
      <c r="AY291" s="157" t="str" cm="1">
        <f t="array" ref="AY291">SUBSTITUTE(SUBSTITUTE(_xlfn.SWITCH(AN291, "ITM_T_HOME", "ITM_UP1", "ITM_T_END", "ITM_DOWN1", "DOCU_CHR_sub", "ITM_DOWN_ARROW", "DOCU_CHR_super", "ITM_UP_ARROW", "MNU_TAMALPHA", "ITM_alpha", "DOCU_CHR_caseFLIP", "ITM_NULL", "DOCU_CHR_numSET", "ITM_NULL", "DOCU_ITM_RADIX", "ITM_PERIOD", AN291), ".lo", ),"MNU_", "-MNU_")</f>
        <v>KEY_COMPLEX</v>
      </c>
      <c r="AZ291" s="157" t="str" cm="1">
        <f t="array" ref="AZ291">SUBSTITUTE(SUBSTITUTE(_xlfn.SWITCH(AO291, "ITM_T_HOME", "ITM_UP1", "ITM_T_END", "ITM_DOWN1", "DOCU_CHR_sub", "ITM_DOWN_ARROW", "DOCU_CHR_super", "ITM_UP_ARROW", "MNU_TAMALPHA", "ITM_alpha", "DOCU_CHR_caseFLIP", "ITM_NULL", "DOCU_CHR_numSET", "ITM_NULL", "DOCU_ITM_RADIX", "ITM_PERIOD", AO291), ".lo", ),"MNU_", "-MNU_")</f>
        <v>-MNU_CPX</v>
      </c>
      <c r="BA291" s="173" t="str" cm="1">
        <f t="array" ref="BA291">SUBSTITUTE(SUBSTITUTE(_xlfn.SWITCH(AP291, "ITM_T_HOME", "ITM_UP1", "ITM_T_END", "ITM_DOWN1", "DOCU_CHR_sub", "ITM_DOWN_ARROW", "DOCU_CHR_super", "ITM_UP_ARROW", "MNU_TAMALPHA", "ITM_alpha", "DOCU_CHR_caseFLIP", "ITM_NULL", "DOCU_CHR_numSET", "ITM_NULL", "DOCU_ITM_RADIX", "ITM_PERIOD", AP291), ".lo", ),"MNU_", "-MNU_")</f>
        <v>ITM_ENTER</v>
      </c>
      <c r="BB291" s="157" t="str" cm="1">
        <f t="array" ref="BB291">SUBSTITUTE(SUBSTITUTE(_xlfn.SWITCH(AQ291, "ITM_T_HOME", "ITM_UP1", "ITM_T_END", "ITM_DOWN1", "DOCU_CHR_sub", "ITM_DOWN_ARROW", "DOCU_CHR_super", "ITM_UP_ARROW", "MNU_TAMALPHA", "ITM_alpha", "DOCU_CHR_caseFLIP", "ITM_NULL", "DOCU_CHR_numSET", "ITM_NULL", "DOCU_ITM_RADIX", "ITM_PERIOD", AQ291), ".lo", ),"MNU_", "-MNU_")</f>
        <v>ITM_ENTER</v>
      </c>
      <c r="BC291" s="157" t="str" cm="1">
        <f t="array" ref="BC291">SUBSTITUTE(SUBSTITUTE(_xlfn.SWITCH(AR291, "ITM_T_HOME", "ITM_UP1", "ITM_T_END", "ITM_DOWN1", "DOCU_CHR_sub", "ITM_DOWN_ARROW", "DOCU_CHR_super", "ITM_UP_ARROW", "MNU_TAMALPHA", "ITM_alpha", "DOCU_CHR_caseFLIP", "ITM_NULL", "DOCU_CHR_numSET", "ITM_NULL", "DOCU_ITM_RADIX", "ITM_PERIOD", AR291), ".lo", ),"MNU_", "-MNU_")</f>
        <v>ITM_XSWAP</v>
      </c>
      <c r="BD291" s="157" t="str" cm="1">
        <f t="array" ref="BD291">SUBSTITUTE(SUBSTITUTE(_xlfn.SWITCH(AS291, "ITM_T_HOME", "ITM_UP1", "ITM_T_END", "ITM_DOWN1", "DOCU_CHR_sub", "ITM_DOWN_ARROW", "DOCU_CHR_super", "ITM_UP_ARROW", "MNU_TAMALPHA", "ITM_alpha", "DOCU_CHR_caseFLIP", "ITM_NULL", "DOCU_CHR_numSET", "ITM_NULL", "DOCU_ITM_RADIX", "ITM_PERIOD", AS291), ".lo", ),"MNU_", "-MNU_")</f>
        <v>ITM_XPARSE</v>
      </c>
      <c r="BE291" s="157" t="str" cm="1">
        <f t="array" ref="BE291">SUBSTITUTE(SUBSTITUTE(_xlfn.SWITCH(AT291, "ITM_T_HOME", "ITM_UP1", "ITM_T_END", "ITM_DOWN1", "DOCU_CHR_sub", "ITM_DOWN_ARROW", "DOCU_CHR_super", "ITM_UP_ARROW", "MNU_TAMALPHA", "ITM_alpha", "DOCU_CHR_caseFLIP", "ITM_NULL", "DOCU_CHR_numSET", "ITM_NULL", "DOCU_ITM_RADIX", "ITM_PERIOD", AT291), ".lo", ),"MNU_", "-MNU_")</f>
        <v>ITM_ENTER</v>
      </c>
      <c r="BG291" s="75"/>
      <c r="BI291" s="13" t="str">
        <f t="shared" si="106"/>
        <v xml:space="preserve">  {41,                  ITM_ENTER,            KEY_COMPLEX,          -MNU_CPX,             ITM_ENTER,            ITM_ENTER,            ITM_XSWAP,            ITM_XPARSE,           ITM_ENTER           },</v>
      </c>
    </row>
    <row r="292" spans="24:61" ht="21" x14ac:dyDescent="0.2">
      <c r="X292" s="141" t="str">
        <f t="shared" si="97"/>
        <v>D47</v>
      </c>
      <c r="Y292" s="142">
        <v>4</v>
      </c>
      <c r="Z292" s="142">
        <v>2</v>
      </c>
      <c r="AA292" s="144" t="str">
        <f t="shared" si="109"/>
        <v>D47.42</v>
      </c>
      <c r="AB292" s="148" t="s">
        <v>135</v>
      </c>
      <c r="AC292" s="149" t="s">
        <v>136</v>
      </c>
      <c r="AD292" s="150" t="s">
        <v>137</v>
      </c>
      <c r="AE292" s="3"/>
      <c r="AF292" s="52" t="s">
        <v>118</v>
      </c>
      <c r="AG292" s="77" t="b">
        <f t="shared" si="107"/>
        <v>1</v>
      </c>
      <c r="AH292" s="83" t="str">
        <f t="shared" si="98"/>
        <v>k</v>
      </c>
      <c r="AI292" s="84" t="str">
        <f t="shared" si="99"/>
        <v>&lt;&gt;</v>
      </c>
      <c r="AJ292" s="85" t="str">
        <f t="shared" si="100"/>
        <v>Reg K</v>
      </c>
      <c r="AK292" s="6"/>
      <c r="AL292" s="8" t="str">
        <f t="shared" si="101"/>
        <v>{42</v>
      </c>
      <c r="AM292" s="27" t="str">
        <f t="shared" si="102"/>
        <v>ITM_XexY</v>
      </c>
      <c r="AN292" s="27" t="str">
        <f t="shared" si="103"/>
        <v>ITM_LASTX</v>
      </c>
      <c r="AO292" s="27" t="str">
        <f t="shared" si="104"/>
        <v>MNU_STK</v>
      </c>
      <c r="AP292" s="46" t="str">
        <f>IF(NOT(ISNA(MATCH(AM292,Lookups!E:E,))),VLOOKUP(AM292,Lookups!E:F,2,0),
IF(NOT(ISNA(MATCH(AN292,Lookups!E:E,))),VLOOKUP(AN292,Lookups!E:F,2,0),
IF(NOT(ISNA(MATCH(AO292,Lookups!E:E,))),VLOOKUP(AO292,Lookups!E:F,2,0),"ITM_NULL")))</f>
        <v>ITM_ex</v>
      </c>
      <c r="AQ292" s="28" t="str">
        <f t="shared" si="105"/>
        <v>ITM_K</v>
      </c>
      <c r="AR292" s="195" t="s">
        <v>119</v>
      </c>
      <c r="AS292" s="186" t="s">
        <v>140</v>
      </c>
      <c r="AT292" s="196" t="s">
        <v>121</v>
      </c>
      <c r="AW292" s="14" t="str">
        <f t="shared" si="108"/>
        <v>{42</v>
      </c>
      <c r="AX292" s="157" t="str" cm="1">
        <f t="array" ref="AX292">SUBSTITUTE(SUBSTITUTE(_xlfn.SWITCH(AM292, "ITM_T_HOME", "ITM_UP1", "ITM_T_END", "ITM_DOWN1", "DOCU_CHR_sub", "ITM_DOWN_ARROW", "DOCU_CHR_super", "ITM_UP_ARROW", "MNU_TAMALPHA", "ITM_alpha", "DOCU_CHR_caseFLIP", "ITM_NULL", "DOCU_CHR_numSET", "ITM_NULL", "DOCU_ITM_RADIX", "ITM_PERIOD", AM292), ".lo", ),"MNU_", "-MNU_")</f>
        <v>ITM_XexY</v>
      </c>
      <c r="AY292" s="157" t="str" cm="1">
        <f t="array" ref="AY292">SUBSTITUTE(SUBSTITUTE(_xlfn.SWITCH(AN292, "ITM_T_HOME", "ITM_UP1", "ITM_T_END", "ITM_DOWN1", "DOCU_CHR_sub", "ITM_DOWN_ARROW", "DOCU_CHR_super", "ITM_UP_ARROW", "MNU_TAMALPHA", "ITM_alpha", "DOCU_CHR_caseFLIP", "ITM_NULL", "DOCU_CHR_numSET", "ITM_NULL", "DOCU_ITM_RADIX", "ITM_PERIOD", AN292), ".lo", ),"MNU_", "-MNU_")</f>
        <v>ITM_LASTX</v>
      </c>
      <c r="AZ292" s="157" t="str" cm="1">
        <f t="array" ref="AZ292">SUBSTITUTE(SUBSTITUTE(_xlfn.SWITCH(AO292, "ITM_T_HOME", "ITM_UP1", "ITM_T_END", "ITM_DOWN1", "DOCU_CHR_sub", "ITM_DOWN_ARROW", "DOCU_CHR_super", "ITM_UP_ARROW", "MNU_TAMALPHA", "ITM_alpha", "DOCU_CHR_caseFLIP", "ITM_NULL", "DOCU_CHR_numSET", "ITM_NULL", "DOCU_ITM_RADIX", "ITM_PERIOD", AO292), ".lo", ),"MNU_", "-MNU_")</f>
        <v>-MNU_STK</v>
      </c>
      <c r="BA292" s="173" t="str" cm="1">
        <f t="array" ref="BA292">SUBSTITUTE(SUBSTITUTE(_xlfn.SWITCH(AP292, "ITM_T_HOME", "ITM_UP1", "ITM_T_END", "ITM_DOWN1", "DOCU_CHR_sub", "ITM_DOWN_ARROW", "DOCU_CHR_super", "ITM_UP_ARROW", "MNU_TAMALPHA", "ITM_alpha", "DOCU_CHR_caseFLIP", "ITM_NULL", "DOCU_CHR_numSET", "ITM_NULL", "DOCU_ITM_RADIX", "ITM_PERIOD", AP292), ".lo", ),"MNU_", "-MNU_")</f>
        <v>ITM_ex</v>
      </c>
      <c r="BB292" s="157" t="str" cm="1">
        <f t="array" ref="BB292">SUBSTITUTE(SUBSTITUTE(_xlfn.SWITCH(AQ292, "ITM_T_HOME", "ITM_UP1", "ITM_T_END", "ITM_DOWN1", "DOCU_CHR_sub", "ITM_DOWN_ARROW", "DOCU_CHR_super", "ITM_UP_ARROW", "MNU_TAMALPHA", "ITM_alpha", "DOCU_CHR_caseFLIP", "ITM_NULL", "DOCU_CHR_numSET", "ITM_NULL", "DOCU_ITM_RADIX", "ITM_PERIOD", AQ292), ".lo", ),"MNU_", "-MNU_")</f>
        <v>ITM_K</v>
      </c>
      <c r="BC292" s="157" t="str" cm="1">
        <f t="array" ref="BC292">SUBSTITUTE(SUBSTITUTE(_xlfn.SWITCH(AR292, "ITM_T_HOME", "ITM_UP1", "ITM_T_END", "ITM_DOWN1", "DOCU_CHR_sub", "ITM_DOWN_ARROW", "DOCU_CHR_super", "ITM_UP_ARROW", "MNU_TAMALPHA", "ITM_alpha", "DOCU_CHR_caseFLIP", "ITM_NULL", "DOCU_CHR_numSET", "ITM_NULL", "DOCU_ITM_RADIX", "ITM_PERIOD", AR292), ".lo", ),"MNU_", "-MNU_")</f>
        <v>ITM_k</v>
      </c>
      <c r="BD292" s="157" t="str" cm="1">
        <f t="array" ref="BD292">SUBSTITUTE(SUBSTITUTE(_xlfn.SWITCH(AS292, "ITM_T_HOME", "ITM_UP1", "ITM_T_END", "ITM_DOWN1", "DOCU_CHR_sub", "ITM_DOWN_ARROW", "DOCU_CHR_super", "ITM_UP_ARROW", "MNU_TAMALPHA", "ITM_alpha", "DOCU_CHR_caseFLIP", "ITM_NULL", "DOCU_CHR_numSET", "ITM_NULL", "DOCU_ITM_RADIX", "ITM_PERIOD", AS292), ".lo", ),"MNU_", "-MNU_")</f>
        <v>ITM_ex</v>
      </c>
      <c r="BE292" s="157" t="str" cm="1">
        <f t="array" ref="BE292">SUBSTITUTE(SUBSTITUTE(_xlfn.SWITCH(AT292, "ITM_T_HOME", "ITM_UP1", "ITM_T_END", "ITM_DOWN1", "DOCU_CHR_sub", "ITM_DOWN_ARROW", "DOCU_CHR_super", "ITM_UP_ARROW", "MNU_TAMALPHA", "ITM_alpha", "DOCU_CHR_caseFLIP", "ITM_NULL", "DOCU_CHR_numSET", "ITM_NULL", "DOCU_ITM_RADIX", "ITM_PERIOD", AT292), ".lo", ),"MNU_", "-MNU_")</f>
        <v>ITM_REG_K</v>
      </c>
      <c r="BG292" s="75"/>
      <c r="BI292" s="13" t="str">
        <f t="shared" si="106"/>
        <v xml:space="preserve">  {42,                  ITM_XexY,             ITM_LASTX,            -MNU_STK,             ITM_ex,               ITM_K,                ITM_k,                ITM_ex,               ITM_REG_K           },</v>
      </c>
    </row>
    <row r="293" spans="24:61" ht="21" x14ac:dyDescent="0.2">
      <c r="X293" s="141" t="str">
        <f t="shared" si="97"/>
        <v>D47</v>
      </c>
      <c r="Y293" s="142">
        <v>4</v>
      </c>
      <c r="Z293" s="142">
        <v>3</v>
      </c>
      <c r="AA293" s="144" t="str">
        <f t="shared" si="109"/>
        <v>D47.43</v>
      </c>
      <c r="AB293" s="148" t="s">
        <v>141</v>
      </c>
      <c r="AC293" s="149" t="s">
        <v>446</v>
      </c>
      <c r="AD293" s="150" t="s">
        <v>633</v>
      </c>
      <c r="AE293" s="3"/>
      <c r="AF293" s="52" t="s">
        <v>125</v>
      </c>
      <c r="AG293" s="77" t="b">
        <f t="shared" si="107"/>
        <v>1</v>
      </c>
      <c r="AH293" s="83" t="str">
        <f t="shared" si="98"/>
        <v>l</v>
      </c>
      <c r="AI293" s="84" t="str">
        <f t="shared" si="99"/>
        <v>+/-</v>
      </c>
      <c r="AJ293" s="85" t="str">
        <f t="shared" si="100"/>
        <v>Reg L</v>
      </c>
      <c r="AK293" s="6"/>
      <c r="AL293" s="8" t="str">
        <f t="shared" si="101"/>
        <v>{43</v>
      </c>
      <c r="AM293" s="27" t="str">
        <f t="shared" si="102"/>
        <v>ITM_CHS</v>
      </c>
      <c r="AN293" s="27" t="str">
        <f t="shared" si="103"/>
        <v>ITM_DRG</v>
      </c>
      <c r="AO293" s="27" t="str">
        <f t="shared" si="104"/>
        <v>MNU_TRG</v>
      </c>
      <c r="AP293" s="46" t="str">
        <f>IF(NOT(ISNA(MATCH(AM293,Lookups!E:E,))),VLOOKUP(AM293,Lookups!E:F,2,0),
IF(NOT(ISNA(MATCH(AN293,Lookups!E:E,))),VLOOKUP(AN293,Lookups!E:F,2,0),
IF(NOT(ISNA(MATCH(AO293,Lookups!E:E,))),VLOOKUP(AO293,Lookups!E:F,2,0),"ITM_NULL")))</f>
        <v>ITM_PLUS_MINUS</v>
      </c>
      <c r="AQ293" s="28" t="str">
        <f t="shared" si="105"/>
        <v>ITM_L</v>
      </c>
      <c r="AR293" s="195" t="s">
        <v>126</v>
      </c>
      <c r="AS293" s="186" t="s">
        <v>146</v>
      </c>
      <c r="AT293" s="196" t="s">
        <v>128</v>
      </c>
      <c r="AW293" s="14" t="str">
        <f t="shared" si="108"/>
        <v>{43</v>
      </c>
      <c r="AX293" s="157" t="str" cm="1">
        <f t="array" ref="AX293">SUBSTITUTE(SUBSTITUTE(_xlfn.SWITCH(AM293, "ITM_T_HOME", "ITM_UP1", "ITM_T_END", "ITM_DOWN1", "DOCU_CHR_sub", "ITM_DOWN_ARROW", "DOCU_CHR_super", "ITM_UP_ARROW", "MNU_TAMALPHA", "ITM_alpha", "DOCU_CHR_caseFLIP", "ITM_NULL", "DOCU_CHR_numSET", "ITM_NULL", "DOCU_ITM_RADIX", "ITM_PERIOD", AM293), ".lo", ),"MNU_", "-MNU_")</f>
        <v>ITM_CHS</v>
      </c>
      <c r="AY293" s="157" t="str" cm="1">
        <f t="array" ref="AY293">SUBSTITUTE(SUBSTITUTE(_xlfn.SWITCH(AN293, "ITM_T_HOME", "ITM_UP1", "ITM_T_END", "ITM_DOWN1", "DOCU_CHR_sub", "ITM_DOWN_ARROW", "DOCU_CHR_super", "ITM_UP_ARROW", "MNU_TAMALPHA", "ITM_alpha", "DOCU_CHR_caseFLIP", "ITM_NULL", "DOCU_CHR_numSET", "ITM_NULL", "DOCU_ITM_RADIX", "ITM_PERIOD", AN293), ".lo", ),"MNU_", "-MNU_")</f>
        <v>ITM_DRG</v>
      </c>
      <c r="AZ293" s="157" t="str" cm="1">
        <f t="array" ref="AZ293">SUBSTITUTE(SUBSTITUTE(_xlfn.SWITCH(AO293, "ITM_T_HOME", "ITM_UP1", "ITM_T_END", "ITM_DOWN1", "DOCU_CHR_sub", "ITM_DOWN_ARROW", "DOCU_CHR_super", "ITM_UP_ARROW", "MNU_TAMALPHA", "ITM_alpha", "DOCU_CHR_caseFLIP", "ITM_NULL", "DOCU_CHR_numSET", "ITM_NULL", "DOCU_ITM_RADIX", "ITM_PERIOD", AO293), ".lo", ),"MNU_", "-MNU_")</f>
        <v>-MNU_TRG</v>
      </c>
      <c r="BA293" s="173" t="str" cm="1">
        <f t="array" ref="BA293">SUBSTITUTE(SUBSTITUTE(_xlfn.SWITCH(AP293, "ITM_T_HOME", "ITM_UP1", "ITM_T_END", "ITM_DOWN1", "DOCU_CHR_sub", "ITM_DOWN_ARROW", "DOCU_CHR_super", "ITM_UP_ARROW", "MNU_TAMALPHA", "ITM_alpha", "DOCU_CHR_caseFLIP", "ITM_NULL", "DOCU_CHR_numSET", "ITM_NULL", "DOCU_ITM_RADIX", "ITM_PERIOD", AP293), ".lo", ),"MNU_", "-MNU_")</f>
        <v>ITM_PLUS_MINUS</v>
      </c>
      <c r="BB293" s="157" t="str" cm="1">
        <f t="array" ref="BB293">SUBSTITUTE(SUBSTITUTE(_xlfn.SWITCH(AQ293, "ITM_T_HOME", "ITM_UP1", "ITM_T_END", "ITM_DOWN1", "DOCU_CHR_sub", "ITM_DOWN_ARROW", "DOCU_CHR_super", "ITM_UP_ARROW", "MNU_TAMALPHA", "ITM_alpha", "DOCU_CHR_caseFLIP", "ITM_NULL", "DOCU_CHR_numSET", "ITM_NULL", "DOCU_ITM_RADIX", "ITM_PERIOD", AQ293), ".lo", ),"MNU_", "-MNU_")</f>
        <v>ITM_L</v>
      </c>
      <c r="BC293" s="157" t="str" cm="1">
        <f t="array" ref="BC293">SUBSTITUTE(SUBSTITUTE(_xlfn.SWITCH(AR293, "ITM_T_HOME", "ITM_UP1", "ITM_T_END", "ITM_DOWN1", "DOCU_CHR_sub", "ITM_DOWN_ARROW", "DOCU_CHR_super", "ITM_UP_ARROW", "MNU_TAMALPHA", "ITM_alpha", "DOCU_CHR_caseFLIP", "ITM_NULL", "DOCU_CHR_numSET", "ITM_NULL", "DOCU_ITM_RADIX", "ITM_PERIOD", AR293), ".lo", ),"MNU_", "-MNU_")</f>
        <v>ITM_l</v>
      </c>
      <c r="BD293" s="157" t="str" cm="1">
        <f t="array" ref="BD293">SUBSTITUTE(SUBSTITUTE(_xlfn.SWITCH(AS293, "ITM_T_HOME", "ITM_UP1", "ITM_T_END", "ITM_DOWN1", "DOCU_CHR_sub", "ITM_DOWN_ARROW", "DOCU_CHR_super", "ITM_UP_ARROW", "MNU_TAMALPHA", "ITM_alpha", "DOCU_CHR_caseFLIP", "ITM_NULL", "DOCU_CHR_numSET", "ITM_NULL", "DOCU_ITM_RADIX", "ITM_PERIOD", AS293), ".lo", ),"MNU_", "-MNU_")</f>
        <v>ITM_PLUS_MINUS</v>
      </c>
      <c r="BE293" s="157" t="str" cm="1">
        <f t="array" ref="BE293">SUBSTITUTE(SUBSTITUTE(_xlfn.SWITCH(AT293, "ITM_T_HOME", "ITM_UP1", "ITM_T_END", "ITM_DOWN1", "DOCU_CHR_sub", "ITM_DOWN_ARROW", "DOCU_CHR_super", "ITM_UP_ARROW", "MNU_TAMALPHA", "ITM_alpha", "DOCU_CHR_caseFLIP", "ITM_NULL", "DOCU_CHR_numSET", "ITM_NULL", "DOCU_ITM_RADIX", "ITM_PERIOD", AT293), ".lo", ),"MNU_", "-MNU_")</f>
        <v>ITM_REG_L</v>
      </c>
      <c r="BG293" s="75"/>
      <c r="BI293" s="13" t="str">
        <f t="shared" si="106"/>
        <v xml:space="preserve">  {43,                  ITM_CHS,              ITM_DRG,              -MNU_TRG,             ITM_PLUS_MINUS,       ITM_L,                ITM_l,                ITM_PLUS_MINUS,       ITM_REG_L           },</v>
      </c>
    </row>
    <row r="294" spans="24:61" ht="21" x14ac:dyDescent="0.2">
      <c r="X294" s="141" t="str">
        <f t="shared" si="97"/>
        <v>D47</v>
      </c>
      <c r="Y294" s="142">
        <v>4</v>
      </c>
      <c r="Z294" s="142">
        <v>4</v>
      </c>
      <c r="AA294" s="144" t="str">
        <f t="shared" si="109"/>
        <v>D47.44</v>
      </c>
      <c r="AB294" s="148" t="s">
        <v>147</v>
      </c>
      <c r="AC294" s="149" t="s">
        <v>149</v>
      </c>
      <c r="AD294" s="150" t="s">
        <v>148</v>
      </c>
      <c r="AE294" s="3"/>
      <c r="AF294" s="52" t="s">
        <v>138</v>
      </c>
      <c r="AG294" s="77" t="b">
        <f t="shared" si="107"/>
        <v>1</v>
      </c>
      <c r="AH294" s="83" t="str">
        <f t="shared" si="98"/>
        <v>m</v>
      </c>
      <c r="AI294" s="84" t="str">
        <f t="shared" si="99"/>
        <v>&lt;E&gt;</v>
      </c>
      <c r="AJ294" s="85" t="str">
        <f t="shared" si="100"/>
        <v xml:space="preserve"> </v>
      </c>
      <c r="AK294" s="6"/>
      <c r="AL294" s="8" t="str">
        <f t="shared" si="101"/>
        <v>{44</v>
      </c>
      <c r="AM294" s="27" t="str">
        <f t="shared" si="102"/>
        <v>ITM_EXPONENT</v>
      </c>
      <c r="AN294" s="27" t="str">
        <f t="shared" si="103"/>
        <v>MNU_EXP</v>
      </c>
      <c r="AO294" s="27" t="str">
        <f t="shared" si="104"/>
        <v>MNU_DISP</v>
      </c>
      <c r="AP294" s="46" t="str">
        <f>IF(NOT(ISNA(MATCH(AM294,Lookups!E:E,))),VLOOKUP(AM294,Lookups!E:F,2,0),
IF(NOT(ISNA(MATCH(AN294,Lookups!E:E,))),VLOOKUP(AN294,Lookups!E:F,2,0),
IF(NOT(ISNA(MATCH(AO294,Lookups!E:E,))),VLOOKUP(AO294,Lookups!E:F,2,0),"ITM_NULL")))</f>
        <v>ITM_NULL</v>
      </c>
      <c r="AQ294" s="28" t="str">
        <f t="shared" si="105"/>
        <v>ITM_M</v>
      </c>
      <c r="AR294" s="195" t="s">
        <v>139</v>
      </c>
      <c r="AS294" s="186" t="s">
        <v>152</v>
      </c>
      <c r="AT294" s="197" t="s">
        <v>81</v>
      </c>
      <c r="AW294" s="14" t="str">
        <f t="shared" si="108"/>
        <v>{44</v>
      </c>
      <c r="AX294" s="157" t="str" cm="1">
        <f t="array" ref="AX294">SUBSTITUTE(SUBSTITUTE(_xlfn.SWITCH(AM294, "ITM_T_HOME", "ITM_UP1", "ITM_T_END", "ITM_DOWN1", "DOCU_CHR_sub", "ITM_DOWN_ARROW", "DOCU_CHR_super", "ITM_UP_ARROW", "MNU_TAMALPHA", "ITM_alpha", "DOCU_CHR_caseFLIP", "ITM_NULL", "DOCU_CHR_numSET", "ITM_NULL", "DOCU_ITM_RADIX", "ITM_PERIOD", AM294), ".lo", ),"MNU_", "-MNU_")</f>
        <v>ITM_EXPONENT</v>
      </c>
      <c r="AY294" s="157" t="str" cm="1">
        <f t="array" ref="AY294">SUBSTITUTE(SUBSTITUTE(_xlfn.SWITCH(AN294, "ITM_T_HOME", "ITM_UP1", "ITM_T_END", "ITM_DOWN1", "DOCU_CHR_sub", "ITM_DOWN_ARROW", "DOCU_CHR_super", "ITM_UP_ARROW", "MNU_TAMALPHA", "ITM_alpha", "DOCU_CHR_caseFLIP", "ITM_NULL", "DOCU_CHR_numSET", "ITM_NULL", "DOCU_ITM_RADIX", "ITM_PERIOD", AN294), ".lo", ),"MNU_", "-MNU_")</f>
        <v>-MNU_EXP</v>
      </c>
      <c r="AZ294" s="157" t="str" cm="1">
        <f t="array" ref="AZ294">SUBSTITUTE(SUBSTITUTE(_xlfn.SWITCH(AO294, "ITM_T_HOME", "ITM_UP1", "ITM_T_END", "ITM_DOWN1", "DOCU_CHR_sub", "ITM_DOWN_ARROW", "DOCU_CHR_super", "ITM_UP_ARROW", "MNU_TAMALPHA", "ITM_alpha", "DOCU_CHR_caseFLIP", "ITM_NULL", "DOCU_CHR_numSET", "ITM_NULL", "DOCU_ITM_RADIX", "ITM_PERIOD", AO294), ".lo", ),"MNU_", "-MNU_")</f>
        <v>-MNU_DISP</v>
      </c>
      <c r="BA294" s="173" t="str" cm="1">
        <f t="array" ref="BA294">SUBSTITUTE(SUBSTITUTE(_xlfn.SWITCH(AP294, "ITM_T_HOME", "ITM_UP1", "ITM_T_END", "ITM_DOWN1", "DOCU_CHR_sub", "ITM_DOWN_ARROW", "DOCU_CHR_super", "ITM_UP_ARROW", "MNU_TAMALPHA", "ITM_alpha", "DOCU_CHR_caseFLIP", "ITM_NULL", "DOCU_CHR_numSET", "ITM_NULL", "DOCU_ITM_RADIX", "ITM_PERIOD", AP294), ".lo", ),"MNU_", "-MNU_")</f>
        <v>ITM_NULL</v>
      </c>
      <c r="BB294" s="157" t="str" cm="1">
        <f t="array" ref="BB294">SUBSTITUTE(SUBSTITUTE(_xlfn.SWITCH(AQ294, "ITM_T_HOME", "ITM_UP1", "ITM_T_END", "ITM_DOWN1", "DOCU_CHR_sub", "ITM_DOWN_ARROW", "DOCU_CHR_super", "ITM_UP_ARROW", "MNU_TAMALPHA", "ITM_alpha", "DOCU_CHR_caseFLIP", "ITM_NULL", "DOCU_CHR_numSET", "ITM_NULL", "DOCU_ITM_RADIX", "ITM_PERIOD", AQ294), ".lo", ),"MNU_", "-MNU_")</f>
        <v>ITM_M</v>
      </c>
      <c r="BC294" s="157" t="str" cm="1">
        <f t="array" ref="BC294">SUBSTITUTE(SUBSTITUTE(_xlfn.SWITCH(AR294, "ITM_T_HOME", "ITM_UP1", "ITM_T_END", "ITM_DOWN1", "DOCU_CHR_sub", "ITM_DOWN_ARROW", "DOCU_CHR_super", "ITM_UP_ARROW", "MNU_TAMALPHA", "ITM_alpha", "DOCU_CHR_caseFLIP", "ITM_NULL", "DOCU_CHR_numSET", "ITM_NULL", "DOCU_ITM_RADIX", "ITM_PERIOD", AR294), ".lo", ),"MNU_", "-MNU_")</f>
        <v>ITM_m</v>
      </c>
      <c r="BD294" s="157" t="str" cm="1">
        <f t="array" ref="BD294">SUBSTITUTE(SUBSTITUTE(_xlfn.SWITCH(AS294, "ITM_T_HOME", "ITM_UP1", "ITM_T_END", "ITM_DOWN1", "DOCU_CHR_sub", "ITM_DOWN_ARROW", "DOCU_CHR_super", "ITM_UP_ARROW", "MNU_TAMALPHA", "ITM_alpha", "DOCU_CHR_caseFLIP", "ITM_NULL", "DOCU_CHR_numSET", "ITM_NULL", "DOCU_ITM_RADIX", "ITM_PERIOD", AS294), ".lo", ),"MNU_", "-MNU_")</f>
        <v>ITM_EEXCHR</v>
      </c>
      <c r="BE294" s="157" t="str" cm="1">
        <f t="array" ref="BE294">SUBSTITUTE(SUBSTITUTE(_xlfn.SWITCH(AT294, "ITM_T_HOME", "ITM_UP1", "ITM_T_END", "ITM_DOWN1", "DOCU_CHR_sub", "ITM_DOWN_ARROW", "DOCU_CHR_super", "ITM_UP_ARROW", "MNU_TAMALPHA", "ITM_alpha", "DOCU_CHR_caseFLIP", "ITM_NULL", "DOCU_CHR_numSET", "ITM_NULL", "DOCU_ITM_RADIX", "ITM_PERIOD", AT294), ".lo", ),"MNU_", "-MNU_")</f>
        <v>ITM_NULL</v>
      </c>
      <c r="BG294" s="75"/>
      <c r="BI294" s="13" t="str">
        <f t="shared" si="106"/>
        <v xml:space="preserve">  {44,                  ITM_EXPONENT,         -MNU_EXP,             -MNU_DISP,            ITM_NULL,             ITM_M,                ITM_m,                ITM_EEXCHR,           ITM_NULL            },</v>
      </c>
    </row>
    <row r="295" spans="24:61" ht="21" x14ac:dyDescent="0.2">
      <c r="X295" s="141" t="str">
        <f t="shared" si="97"/>
        <v>D47</v>
      </c>
      <c r="Y295" s="142">
        <v>4</v>
      </c>
      <c r="Z295" s="142">
        <v>5</v>
      </c>
      <c r="AA295" s="144" t="str">
        <f t="shared" si="109"/>
        <v>D47.45</v>
      </c>
      <c r="AB295" s="148" t="s">
        <v>154</v>
      </c>
      <c r="AC295" s="149" t="s">
        <v>155</v>
      </c>
      <c r="AD295" s="150" t="s">
        <v>156</v>
      </c>
      <c r="AE295" s="3"/>
      <c r="AF295" s="52" t="s">
        <v>154</v>
      </c>
      <c r="AG295" s="77" t="b">
        <f t="shared" si="107"/>
        <v>0</v>
      </c>
      <c r="AH295" s="83" t="str">
        <f t="shared" si="98"/>
        <v>CLA</v>
      </c>
      <c r="AI295" s="84" t="str">
        <f t="shared" si="99"/>
        <v>CLA</v>
      </c>
      <c r="AJ295" s="85" t="str">
        <f t="shared" si="100"/>
        <v>&lt;=</v>
      </c>
      <c r="AK295" s="6"/>
      <c r="AL295" s="8" t="str">
        <f t="shared" si="101"/>
        <v>{45</v>
      </c>
      <c r="AM295" s="27" t="str">
        <f t="shared" si="102"/>
        <v>ITM_BACKSPACE</v>
      </c>
      <c r="AN295" s="27" t="str">
        <f t="shared" si="103"/>
        <v>ITM_UNDO</v>
      </c>
      <c r="AO295" s="27" t="str">
        <f t="shared" si="104"/>
        <v>MNU_CLR</v>
      </c>
      <c r="AP295" s="46" t="str">
        <f>IF(NOT(ISNA(MATCH(AM295,Lookups!E:E,))),VLOOKUP(AM295,Lookups!E:F,2,0),
IF(NOT(ISNA(MATCH(AN295,Lookups!E:E,))),VLOOKUP(AN295,Lookups!E:F,2,0),
IF(NOT(ISNA(MATCH(AO295,Lookups!E:E,))),VLOOKUP(AO295,Lookups!E:F,2,0),"ITM_NULL")))</f>
        <v>ITM_BACKSPACE</v>
      </c>
      <c r="AQ295" s="28" t="str">
        <f t="shared" si="105"/>
        <v>ITM_BACKSPACE</v>
      </c>
      <c r="AR295" s="198" t="s">
        <v>157</v>
      </c>
      <c r="AS295" s="186" t="s">
        <v>157</v>
      </c>
      <c r="AT295" s="197" t="s">
        <v>158</v>
      </c>
      <c r="AW295" s="14" t="str">
        <f t="shared" si="108"/>
        <v>{45</v>
      </c>
      <c r="AX295" s="157" t="str" cm="1">
        <f t="array" ref="AX295">SUBSTITUTE(SUBSTITUTE(_xlfn.SWITCH(AM295, "ITM_T_HOME", "ITM_UP1", "ITM_T_END", "ITM_DOWN1", "DOCU_CHR_sub", "ITM_DOWN_ARROW", "DOCU_CHR_super", "ITM_UP_ARROW", "MNU_TAMALPHA", "ITM_alpha", "DOCU_CHR_caseFLIP", "ITM_NULL", "DOCU_CHR_numSET", "ITM_NULL", "DOCU_ITM_RADIX", "ITM_PERIOD", AM295), ".lo", ),"MNU_", "-MNU_")</f>
        <v>ITM_BACKSPACE</v>
      </c>
      <c r="AY295" s="157" t="str" cm="1">
        <f t="array" ref="AY295">SUBSTITUTE(SUBSTITUTE(_xlfn.SWITCH(AN295, "ITM_T_HOME", "ITM_UP1", "ITM_T_END", "ITM_DOWN1", "DOCU_CHR_sub", "ITM_DOWN_ARROW", "DOCU_CHR_super", "ITM_UP_ARROW", "MNU_TAMALPHA", "ITM_alpha", "DOCU_CHR_caseFLIP", "ITM_NULL", "DOCU_CHR_numSET", "ITM_NULL", "DOCU_ITM_RADIX", "ITM_PERIOD", AN295), ".lo", ),"MNU_", "-MNU_")</f>
        <v>ITM_UNDO</v>
      </c>
      <c r="AZ295" s="157" t="str" cm="1">
        <f t="array" ref="AZ295">SUBSTITUTE(SUBSTITUTE(_xlfn.SWITCH(AO295, "ITM_T_HOME", "ITM_UP1", "ITM_T_END", "ITM_DOWN1", "DOCU_CHR_sub", "ITM_DOWN_ARROW", "DOCU_CHR_super", "ITM_UP_ARROW", "MNU_TAMALPHA", "ITM_alpha", "DOCU_CHR_caseFLIP", "ITM_NULL", "DOCU_CHR_numSET", "ITM_NULL", "DOCU_ITM_RADIX", "ITM_PERIOD", AO295), ".lo", ),"MNU_", "-MNU_")</f>
        <v>-MNU_CLR</v>
      </c>
      <c r="BA295" s="173" t="str" cm="1">
        <f t="array" ref="BA295">SUBSTITUTE(SUBSTITUTE(_xlfn.SWITCH(AP295, "ITM_T_HOME", "ITM_UP1", "ITM_T_END", "ITM_DOWN1", "DOCU_CHR_sub", "ITM_DOWN_ARROW", "DOCU_CHR_super", "ITM_UP_ARROW", "MNU_TAMALPHA", "ITM_alpha", "DOCU_CHR_caseFLIP", "ITM_NULL", "DOCU_CHR_numSET", "ITM_NULL", "DOCU_ITM_RADIX", "ITM_PERIOD", AP295), ".lo", ),"MNU_", "-MNU_")</f>
        <v>ITM_BACKSPACE</v>
      </c>
      <c r="BB295" s="157" t="str" cm="1">
        <f t="array" ref="BB295">SUBSTITUTE(SUBSTITUTE(_xlfn.SWITCH(AQ295, "ITM_T_HOME", "ITM_UP1", "ITM_T_END", "ITM_DOWN1", "DOCU_CHR_sub", "ITM_DOWN_ARROW", "DOCU_CHR_super", "ITM_UP_ARROW", "MNU_TAMALPHA", "ITM_alpha", "DOCU_CHR_caseFLIP", "ITM_NULL", "DOCU_CHR_numSET", "ITM_NULL", "DOCU_ITM_RADIX", "ITM_PERIOD", AQ295), ".lo", ),"MNU_", "-MNU_")</f>
        <v>ITM_BACKSPACE</v>
      </c>
      <c r="BC295" s="157" t="str" cm="1">
        <f t="array" ref="BC295">SUBSTITUTE(SUBSTITUTE(_xlfn.SWITCH(AR295, "ITM_T_HOME", "ITM_UP1", "ITM_T_END", "ITM_DOWN1", "DOCU_CHR_sub", "ITM_DOWN_ARROW", "DOCU_CHR_super", "ITM_UP_ARROW", "MNU_TAMALPHA", "ITM_alpha", "DOCU_CHR_caseFLIP", "ITM_NULL", "DOCU_CHR_numSET", "ITM_NULL", "DOCU_ITM_RADIX", "ITM_PERIOD", AR295), ".lo", ),"MNU_", "-MNU_")</f>
        <v>ITM_CLA</v>
      </c>
      <c r="BD295" s="157" t="str" cm="1">
        <f t="array" ref="BD295">SUBSTITUTE(SUBSTITUTE(_xlfn.SWITCH(AS295, "ITM_T_HOME", "ITM_UP1", "ITM_T_END", "ITM_DOWN1", "DOCU_CHR_sub", "ITM_DOWN_ARROW", "DOCU_CHR_super", "ITM_UP_ARROW", "MNU_TAMALPHA", "ITM_alpha", "DOCU_CHR_caseFLIP", "ITM_NULL", "DOCU_CHR_numSET", "ITM_NULL", "DOCU_ITM_RADIX", "ITM_PERIOD", AS295), ".lo", ),"MNU_", "-MNU_")</f>
        <v>ITM_CLA</v>
      </c>
      <c r="BE295" s="157" t="str" cm="1">
        <f t="array" ref="BE295">SUBSTITUTE(SUBSTITUTE(_xlfn.SWITCH(AT295, "ITM_T_HOME", "ITM_UP1", "ITM_T_END", "ITM_DOWN1", "DOCU_CHR_sub", "ITM_DOWN_ARROW", "DOCU_CHR_super", "ITM_UP_ARROW", "MNU_TAMALPHA", "ITM_alpha", "DOCU_CHR_caseFLIP", "ITM_NULL", "DOCU_CHR_numSET", "ITM_NULL", "DOCU_ITM_RADIX", "ITM_PERIOD", AT295), ".lo", ),"MNU_", "-MNU_")</f>
        <v>ITM_BACKSPACE</v>
      </c>
      <c r="BG295" s="75"/>
      <c r="BI295" s="13" t="str">
        <f t="shared" si="106"/>
        <v xml:space="preserve">  {45,                  ITM_BACKSPACE,        ITM_UNDO,             -MNU_CLR,             ITM_BACKSPACE,        ITM_BACKSPACE,        ITM_CLA,              ITM_CLA,              ITM_BACKSPACE       },</v>
      </c>
    </row>
    <row r="296" spans="24:61" ht="21" x14ac:dyDescent="0.2">
      <c r="X296" s="141" t="str">
        <f t="shared" si="97"/>
        <v>D47</v>
      </c>
      <c r="Y296" s="138">
        <v>5</v>
      </c>
      <c r="Z296" s="138">
        <v>1</v>
      </c>
      <c r="AA296" s="144" t="str">
        <f t="shared" si="109"/>
        <v>D47.51</v>
      </c>
      <c r="AB296" s="148" t="s">
        <v>82</v>
      </c>
      <c r="AC296" s="118" t="s">
        <v>83</v>
      </c>
      <c r="AD296" s="150" t="s">
        <v>227</v>
      </c>
      <c r="AE296" s="3"/>
      <c r="AF296" s="49" t="str">
        <f>" "</f>
        <v xml:space="preserve"> </v>
      </c>
      <c r="AG296" s="77" t="b">
        <f t="shared" si="107"/>
        <v>1</v>
      </c>
      <c r="AH296" s="83" t="str">
        <f t="shared" si="98"/>
        <v xml:space="preserve"> </v>
      </c>
      <c r="AI296" s="84" t="str">
        <f t="shared" si="99"/>
        <v>alpha</v>
      </c>
      <c r="AJ296" s="85" t="str">
        <f t="shared" si="100"/>
        <v>[TAMALPHA]</v>
      </c>
      <c r="AK296" s="6"/>
      <c r="AL296" s="8" t="str">
        <f t="shared" si="101"/>
        <v>{51</v>
      </c>
      <c r="AM296" s="27" t="str">
        <f>VLOOKUP(AB296,Lookups!$B:$C,2,0)</f>
        <v>ITM_XEQ</v>
      </c>
      <c r="AN296" s="27" t="str">
        <f t="shared" ref="AN296:AN315" si="110">VLOOKUP(AC296,labelitem,2,0)</f>
        <v>ITM_AIM</v>
      </c>
      <c r="AO296" s="27" t="str">
        <f t="shared" ref="AO296:AO315" si="111">VLOOKUP(AD296,labelitem,2,0)</f>
        <v>ITM_USERMODE</v>
      </c>
      <c r="AP296" s="46" t="str">
        <f>IF(NOT(ISNA(MATCH(AM296,Lookups!E:E,))),VLOOKUP(AM296,Lookups!E:F,2,0),
IF(NOT(ISNA(MATCH(AN296,Lookups!E:E,))),VLOOKUP(AN296,Lookups!E:F,2,0),
IF(NOT(ISNA(MATCH(AO296,Lookups!E:E,))),VLOOKUP(AO296,Lookups!E:F,2,0),"ITM_NULL")))</f>
        <v>ITM_NULL</v>
      </c>
      <c r="AQ296" s="28" t="str">
        <f t="shared" si="105"/>
        <v>ITM_NULL</v>
      </c>
      <c r="AR296" s="198" t="s">
        <v>81</v>
      </c>
      <c r="AS296" s="186" t="s">
        <v>87</v>
      </c>
      <c r="AT296" s="197" t="s">
        <v>622</v>
      </c>
      <c r="AW296" s="14" t="str">
        <f t="shared" si="108"/>
        <v>{51</v>
      </c>
      <c r="AX296" s="157" t="str" cm="1">
        <f t="array" ref="AX296">SUBSTITUTE(SUBSTITUTE(_xlfn.SWITCH(AM296, "ITM_T_HOME", "ITM_UP1", "ITM_T_END", "ITM_DOWN1", "DOCU_CHR_sub", "ITM_DOWN_ARROW", "DOCU_CHR_super", "ITM_UP_ARROW", "MNU_TAMALPHA", "ITM_alpha", "DOCU_CHR_caseFLIP", "ITM_NULL", "DOCU_CHR_numSET", "ITM_NULL", "DOCU_ITM_RADIX", "ITM_PERIOD", AM296), ".lo", ),"MNU_", "-MNU_")</f>
        <v>ITM_XEQ</v>
      </c>
      <c r="AY296" s="157" t="str" cm="1">
        <f t="array" ref="AY296">SUBSTITUTE(SUBSTITUTE(_xlfn.SWITCH(AN296, "ITM_T_HOME", "ITM_UP1", "ITM_T_END", "ITM_DOWN1", "DOCU_CHR_sub", "ITM_DOWN_ARROW", "DOCU_CHR_super", "ITM_UP_ARROW", "MNU_TAMALPHA", "ITM_alpha", "DOCU_CHR_caseFLIP", "ITM_NULL", "DOCU_CHR_numSET", "ITM_NULL", "DOCU_ITM_RADIX", "ITM_PERIOD", AN296), ".lo", ),"MNU_", "-MNU_")</f>
        <v>ITM_AIM</v>
      </c>
      <c r="AZ296" s="157" t="str" cm="1">
        <f t="array" ref="AZ296">SUBSTITUTE(SUBSTITUTE(_xlfn.SWITCH(AO296, "ITM_T_HOME", "ITM_UP1", "ITM_T_END", "ITM_DOWN1", "DOCU_CHR_sub", "ITM_DOWN_ARROW", "DOCU_CHR_super", "ITM_UP_ARROW", "MNU_TAMALPHA", "ITM_alpha", "DOCU_CHR_caseFLIP", "ITM_NULL", "DOCU_CHR_numSET", "ITM_NULL", "DOCU_ITM_RADIX", "ITM_PERIOD", AO296), ".lo", ),"MNU_", "-MNU_")</f>
        <v>ITM_USERMODE</v>
      </c>
      <c r="BA296" s="173" t="str" cm="1">
        <f t="array" ref="BA296">SUBSTITUTE(SUBSTITUTE(_xlfn.SWITCH(AP296, "ITM_T_HOME", "ITM_UP1", "ITM_T_END", "ITM_DOWN1", "DOCU_CHR_sub", "ITM_DOWN_ARROW", "DOCU_CHR_super", "ITM_UP_ARROW", "MNU_TAMALPHA", "ITM_alpha", "DOCU_CHR_caseFLIP", "ITM_NULL", "DOCU_CHR_numSET", "ITM_NULL", "DOCU_ITM_RADIX", "ITM_PERIOD", AP296), ".lo", ),"MNU_", "-MNU_")</f>
        <v>ITM_NULL</v>
      </c>
      <c r="BB296" s="157" t="str" cm="1">
        <f t="array" ref="BB296">SUBSTITUTE(SUBSTITUTE(_xlfn.SWITCH(AQ296, "ITM_T_HOME", "ITM_UP1", "ITM_T_END", "ITM_DOWN1", "DOCU_CHR_sub", "ITM_DOWN_ARROW", "DOCU_CHR_super", "ITM_UP_ARROW", "MNU_TAMALPHA", "ITM_alpha", "DOCU_CHR_caseFLIP", "ITM_NULL", "DOCU_CHR_numSET", "ITM_NULL", "DOCU_ITM_RADIX", "ITM_PERIOD", AQ296), ".lo", ),"MNU_", "-MNU_")</f>
        <v>ITM_NULL</v>
      </c>
      <c r="BC296" s="157" t="str" cm="1">
        <f t="array" ref="BC296">SUBSTITUTE(SUBSTITUTE(_xlfn.SWITCH(AR296, "ITM_T_HOME", "ITM_UP1", "ITM_T_END", "ITM_DOWN1", "DOCU_CHR_sub", "ITM_DOWN_ARROW", "DOCU_CHR_super", "ITM_UP_ARROW", "MNU_TAMALPHA", "ITM_alpha", "DOCU_CHR_caseFLIP", "ITM_NULL", "DOCU_CHR_numSET", "ITM_NULL", "DOCU_ITM_RADIX", "ITM_PERIOD", AR296), ".lo", ),"MNU_", "-MNU_")</f>
        <v>ITM_NULL</v>
      </c>
      <c r="BD296" s="157" t="str" cm="1">
        <f t="array" ref="BD296">SUBSTITUTE(SUBSTITUTE(_xlfn.SWITCH(AS296, "ITM_T_HOME", "ITM_UP1", "ITM_T_END", "ITM_DOWN1", "DOCU_CHR_sub", "ITM_DOWN_ARROW", "DOCU_CHR_super", "ITM_UP_ARROW", "MNU_TAMALPHA", "ITM_alpha", "DOCU_CHR_caseFLIP", "ITM_NULL", "DOCU_CHR_numSET", "ITM_NULL", "DOCU_ITM_RADIX", "ITM_PERIOD", AS296), ".lo", ),"MNU_", "-MNU_")</f>
        <v>ITM_alpha</v>
      </c>
      <c r="BE296" s="157" t="str" cm="1">
        <f t="array" ref="BE296">SUBSTITUTE(SUBSTITUTE(_xlfn.SWITCH(AT296, "ITM_T_HOME", "ITM_UP1", "ITM_T_END", "ITM_DOWN1", "DOCU_CHR_sub", "ITM_DOWN_ARROW", "DOCU_CHR_super", "ITM_UP_ARROW", "MNU_TAMALPHA", "ITM_alpha", "DOCU_CHR_caseFLIP", "ITM_NULL", "DOCU_CHR_numSET", "ITM_NULL", "DOCU_ITM_RADIX", "ITM_PERIOD", AT296), ".lo", ),"MNU_", "-MNU_")</f>
        <v>ITM_alpha</v>
      </c>
      <c r="BG296" s="75"/>
      <c r="BI296" s="13" t="str">
        <f t="shared" si="106"/>
        <v xml:space="preserve">  {51,                  ITM_XEQ,              ITM_AIM,              ITM_USERMODE,         ITM_NULL,             ITM_NULL,             ITM_NULL,             ITM_alpha,            ITM_alpha           },</v>
      </c>
    </row>
    <row r="297" spans="24:61" ht="21" x14ac:dyDescent="0.2">
      <c r="X297" s="141" t="str">
        <f t="shared" si="97"/>
        <v>D47</v>
      </c>
      <c r="Y297" s="142">
        <v>5</v>
      </c>
      <c r="Z297" s="142">
        <v>2</v>
      </c>
      <c r="AA297" s="144" t="str">
        <f t="shared" si="109"/>
        <v>D47.52</v>
      </c>
      <c r="AB297" s="148">
        <v>7</v>
      </c>
      <c r="AC297" s="149" t="s">
        <v>84</v>
      </c>
      <c r="AD297" s="150" t="s">
        <v>167</v>
      </c>
      <c r="AE297" s="3"/>
      <c r="AF297" s="52" t="s">
        <v>144</v>
      </c>
      <c r="AG297" s="77" t="b">
        <f t="shared" si="107"/>
        <v>1</v>
      </c>
      <c r="AH297" s="83" t="str">
        <f t="shared" si="98"/>
        <v>n</v>
      </c>
      <c r="AI297" s="84">
        <f t="shared" si="99"/>
        <v>7</v>
      </c>
      <c r="AJ297" s="85">
        <f t="shared" si="100"/>
        <v>7</v>
      </c>
      <c r="AK297" s="6"/>
      <c r="AL297" s="8" t="str">
        <f t="shared" si="101"/>
        <v>{52</v>
      </c>
      <c r="AM297" s="27" t="str">
        <f t="shared" si="102"/>
        <v>ITM_7</v>
      </c>
      <c r="AN297" s="27" t="str">
        <f t="shared" si="110"/>
        <v>ITM_GTO</v>
      </c>
      <c r="AO297" s="27" t="str">
        <f t="shared" si="111"/>
        <v>MNU_HOME</v>
      </c>
      <c r="AP297" s="46" t="str">
        <f>IF(NOT(ISNA(MATCH(AM297,Lookups!E:E,))),VLOOKUP(AM297,Lookups!E:F,2,0),
IF(NOT(ISNA(MATCH(AN297,Lookups!E:E,))),VLOOKUP(AN297,Lookups!E:F,2,0),
IF(NOT(ISNA(MATCH(AO297,Lookups!E:E,))),VLOOKUP(AO297,Lookups!E:F,2,0),"ITM_NULL")))</f>
        <v>ITM_7</v>
      </c>
      <c r="AQ297" s="28" t="str">
        <f t="shared" si="105"/>
        <v>ITM_N</v>
      </c>
      <c r="AR297" s="195" t="s">
        <v>145</v>
      </c>
      <c r="AS297" s="186" t="s">
        <v>170</v>
      </c>
      <c r="AT297" s="197" t="s">
        <v>170</v>
      </c>
      <c r="AW297" s="14" t="str">
        <f t="shared" si="108"/>
        <v>{52</v>
      </c>
      <c r="AX297" s="157" t="str" cm="1">
        <f t="array" ref="AX297">SUBSTITUTE(SUBSTITUTE(_xlfn.SWITCH(AM297, "ITM_T_HOME", "ITM_UP1", "ITM_T_END", "ITM_DOWN1", "DOCU_CHR_sub", "ITM_DOWN_ARROW", "DOCU_CHR_super", "ITM_UP_ARROW", "MNU_TAMALPHA", "ITM_alpha", "DOCU_CHR_caseFLIP", "ITM_NULL", "DOCU_CHR_numSET", "ITM_NULL", "DOCU_ITM_RADIX", "ITM_PERIOD", AM297), ".lo", ),"MNU_", "-MNU_")</f>
        <v>ITM_7</v>
      </c>
      <c r="AY297" s="157" t="str" cm="1">
        <f t="array" ref="AY297">SUBSTITUTE(SUBSTITUTE(_xlfn.SWITCH(AN297, "ITM_T_HOME", "ITM_UP1", "ITM_T_END", "ITM_DOWN1", "DOCU_CHR_sub", "ITM_DOWN_ARROW", "DOCU_CHR_super", "ITM_UP_ARROW", "MNU_TAMALPHA", "ITM_alpha", "DOCU_CHR_caseFLIP", "ITM_NULL", "DOCU_CHR_numSET", "ITM_NULL", "DOCU_ITM_RADIX", "ITM_PERIOD", AN297), ".lo", ),"MNU_", "-MNU_")</f>
        <v>ITM_GTO</v>
      </c>
      <c r="AZ297" s="157" t="str" cm="1">
        <f t="array" ref="AZ297">SUBSTITUTE(SUBSTITUTE(_xlfn.SWITCH(AO297, "ITM_T_HOME", "ITM_UP1", "ITM_T_END", "ITM_DOWN1", "DOCU_CHR_sub", "ITM_DOWN_ARROW", "DOCU_CHR_super", "ITM_UP_ARROW", "MNU_TAMALPHA", "ITM_alpha", "DOCU_CHR_caseFLIP", "ITM_NULL", "DOCU_CHR_numSET", "ITM_NULL", "DOCU_ITM_RADIX", "ITM_PERIOD", AO297), ".lo", ),"MNU_", "-MNU_")</f>
        <v>-MNU_HOME</v>
      </c>
      <c r="BA297" s="173" t="str" cm="1">
        <f t="array" ref="BA297">SUBSTITUTE(SUBSTITUTE(_xlfn.SWITCH(AP297, "ITM_T_HOME", "ITM_UP1", "ITM_T_END", "ITM_DOWN1", "DOCU_CHR_sub", "ITM_DOWN_ARROW", "DOCU_CHR_super", "ITM_UP_ARROW", "MNU_TAMALPHA", "ITM_alpha", "DOCU_CHR_caseFLIP", "ITM_NULL", "DOCU_CHR_numSET", "ITM_NULL", "DOCU_ITM_RADIX", "ITM_PERIOD", AP297), ".lo", ),"MNU_", "-MNU_")</f>
        <v>ITM_7</v>
      </c>
      <c r="BB297" s="157" t="str" cm="1">
        <f t="array" ref="BB297">SUBSTITUTE(SUBSTITUTE(_xlfn.SWITCH(AQ297, "ITM_T_HOME", "ITM_UP1", "ITM_T_END", "ITM_DOWN1", "DOCU_CHR_sub", "ITM_DOWN_ARROW", "DOCU_CHR_super", "ITM_UP_ARROW", "MNU_TAMALPHA", "ITM_alpha", "DOCU_CHR_caseFLIP", "ITM_NULL", "DOCU_CHR_numSET", "ITM_NULL", "DOCU_ITM_RADIX", "ITM_PERIOD", AQ297), ".lo", ),"MNU_", "-MNU_")</f>
        <v>ITM_N</v>
      </c>
      <c r="BC297" s="157" t="str" cm="1">
        <f t="array" ref="BC297">SUBSTITUTE(SUBSTITUTE(_xlfn.SWITCH(AR297, "ITM_T_HOME", "ITM_UP1", "ITM_T_END", "ITM_DOWN1", "DOCU_CHR_sub", "ITM_DOWN_ARROW", "DOCU_CHR_super", "ITM_UP_ARROW", "MNU_TAMALPHA", "ITM_alpha", "DOCU_CHR_caseFLIP", "ITM_NULL", "DOCU_CHR_numSET", "ITM_NULL", "DOCU_ITM_RADIX", "ITM_PERIOD", AR297), ".lo", ),"MNU_", "-MNU_")</f>
        <v>ITM_n</v>
      </c>
      <c r="BD297" s="157" t="str" cm="1">
        <f t="array" ref="BD297">SUBSTITUTE(SUBSTITUTE(_xlfn.SWITCH(AS297, "ITM_T_HOME", "ITM_UP1", "ITM_T_END", "ITM_DOWN1", "DOCU_CHR_sub", "ITM_DOWN_ARROW", "DOCU_CHR_super", "ITM_UP_ARROW", "MNU_TAMALPHA", "ITM_alpha", "DOCU_CHR_caseFLIP", "ITM_NULL", "DOCU_CHR_numSET", "ITM_NULL", "DOCU_ITM_RADIX", "ITM_PERIOD", AS297), ".lo", ),"MNU_", "-MNU_")</f>
        <v>ITM_7</v>
      </c>
      <c r="BE297" s="157" t="str" cm="1">
        <f t="array" ref="BE297">SUBSTITUTE(SUBSTITUTE(_xlfn.SWITCH(AT297, "ITM_T_HOME", "ITM_UP1", "ITM_T_END", "ITM_DOWN1", "DOCU_CHR_sub", "ITM_DOWN_ARROW", "DOCU_CHR_super", "ITM_UP_ARROW", "MNU_TAMALPHA", "ITM_alpha", "DOCU_CHR_caseFLIP", "ITM_NULL", "DOCU_CHR_numSET", "ITM_NULL", "DOCU_ITM_RADIX", "ITM_PERIOD", AT297), ".lo", ),"MNU_", "-MNU_")</f>
        <v>ITM_7</v>
      </c>
      <c r="BG297" s="75"/>
      <c r="BI297" s="13" t="str">
        <f t="shared" si="106"/>
        <v xml:space="preserve">  {52,                  ITM_7,                ITM_GTO,              -MNU_HOME,            ITM_7,                ITM_N,                ITM_n,                ITM_7,                ITM_7               },</v>
      </c>
    </row>
    <row r="298" spans="24:61" ht="21" x14ac:dyDescent="0.2">
      <c r="X298" s="141" t="str">
        <f t="shared" si="97"/>
        <v>D47</v>
      </c>
      <c r="Y298" s="142">
        <v>5</v>
      </c>
      <c r="Z298" s="142">
        <v>3</v>
      </c>
      <c r="AA298" s="144" t="str">
        <f t="shared" si="109"/>
        <v>D47.53</v>
      </c>
      <c r="AB298" s="148">
        <v>8</v>
      </c>
      <c r="AC298" s="152" t="s">
        <v>166</v>
      </c>
      <c r="AD298" s="150" t="s">
        <v>171</v>
      </c>
      <c r="AE298" s="3"/>
      <c r="AF298" s="52" t="s">
        <v>150</v>
      </c>
      <c r="AG298" s="77" t="b">
        <f t="shared" si="107"/>
        <v>1</v>
      </c>
      <c r="AH298" s="83" t="str">
        <f t="shared" si="98"/>
        <v>o</v>
      </c>
      <c r="AI298" s="84">
        <f t="shared" si="99"/>
        <v>8</v>
      </c>
      <c r="AJ298" s="85">
        <f t="shared" si="100"/>
        <v>8</v>
      </c>
      <c r="AK298" s="6"/>
      <c r="AL298" s="8" t="str">
        <f t="shared" si="101"/>
        <v>{53</v>
      </c>
      <c r="AM298" s="27" t="str">
        <f t="shared" si="102"/>
        <v>ITM_8</v>
      </c>
      <c r="AN298" s="27" t="str">
        <f t="shared" si="110"/>
        <v>MNU_EQN</v>
      </c>
      <c r="AO298" s="27" t="str">
        <f t="shared" si="111"/>
        <v>MNU_ADV</v>
      </c>
      <c r="AP298" s="46" t="str">
        <f>IF(NOT(ISNA(MATCH(AM298,Lookups!E:E,))),VLOOKUP(AM298,Lookups!E:F,2,0),
IF(NOT(ISNA(MATCH(AN298,Lookups!E:E,))),VLOOKUP(AN298,Lookups!E:F,2,0),
IF(NOT(ISNA(MATCH(AO298,Lookups!E:E,))),VLOOKUP(AO298,Lookups!E:F,2,0),"ITM_NULL")))</f>
        <v>ITM_8</v>
      </c>
      <c r="AQ298" s="28" t="str">
        <f t="shared" si="105"/>
        <v>ITM_O</v>
      </c>
      <c r="AR298" s="195" t="s">
        <v>151</v>
      </c>
      <c r="AS298" s="186" t="s">
        <v>175</v>
      </c>
      <c r="AT298" s="197" t="s">
        <v>175</v>
      </c>
      <c r="AW298" s="14" t="str">
        <f t="shared" si="108"/>
        <v>{53</v>
      </c>
      <c r="AX298" s="157" t="str" cm="1">
        <f t="array" ref="AX298">SUBSTITUTE(SUBSTITUTE(_xlfn.SWITCH(AM298, "ITM_T_HOME", "ITM_UP1", "ITM_T_END", "ITM_DOWN1", "DOCU_CHR_sub", "ITM_DOWN_ARROW", "DOCU_CHR_super", "ITM_UP_ARROW", "MNU_TAMALPHA", "ITM_alpha", "DOCU_CHR_caseFLIP", "ITM_NULL", "DOCU_CHR_numSET", "ITM_NULL", "DOCU_ITM_RADIX", "ITM_PERIOD", AM298), ".lo", ),"MNU_", "-MNU_")</f>
        <v>ITM_8</v>
      </c>
      <c r="AY298" s="157" t="str" cm="1">
        <f t="array" ref="AY298">SUBSTITUTE(SUBSTITUTE(_xlfn.SWITCH(AN298, "ITM_T_HOME", "ITM_UP1", "ITM_T_END", "ITM_DOWN1", "DOCU_CHR_sub", "ITM_DOWN_ARROW", "DOCU_CHR_super", "ITM_UP_ARROW", "MNU_TAMALPHA", "ITM_alpha", "DOCU_CHR_caseFLIP", "ITM_NULL", "DOCU_CHR_numSET", "ITM_NULL", "DOCU_ITM_RADIX", "ITM_PERIOD", AN298), ".lo", ),"MNU_", "-MNU_")</f>
        <v>-MNU_EQN</v>
      </c>
      <c r="AZ298" s="157" t="str" cm="1">
        <f t="array" ref="AZ298">SUBSTITUTE(SUBSTITUTE(_xlfn.SWITCH(AO298, "ITM_T_HOME", "ITM_UP1", "ITM_T_END", "ITM_DOWN1", "DOCU_CHR_sub", "ITM_DOWN_ARROW", "DOCU_CHR_super", "ITM_UP_ARROW", "MNU_TAMALPHA", "ITM_alpha", "DOCU_CHR_caseFLIP", "ITM_NULL", "DOCU_CHR_numSET", "ITM_NULL", "DOCU_ITM_RADIX", "ITM_PERIOD", AO298), ".lo", ),"MNU_", "-MNU_")</f>
        <v>-MNU_ADV</v>
      </c>
      <c r="BA298" s="173" t="str" cm="1">
        <f t="array" ref="BA298">SUBSTITUTE(SUBSTITUTE(_xlfn.SWITCH(AP298, "ITM_T_HOME", "ITM_UP1", "ITM_T_END", "ITM_DOWN1", "DOCU_CHR_sub", "ITM_DOWN_ARROW", "DOCU_CHR_super", "ITM_UP_ARROW", "MNU_TAMALPHA", "ITM_alpha", "DOCU_CHR_caseFLIP", "ITM_NULL", "DOCU_CHR_numSET", "ITM_NULL", "DOCU_ITM_RADIX", "ITM_PERIOD", AP298), ".lo", ),"MNU_", "-MNU_")</f>
        <v>ITM_8</v>
      </c>
      <c r="BB298" s="157" t="str" cm="1">
        <f t="array" ref="BB298">SUBSTITUTE(SUBSTITUTE(_xlfn.SWITCH(AQ298, "ITM_T_HOME", "ITM_UP1", "ITM_T_END", "ITM_DOWN1", "DOCU_CHR_sub", "ITM_DOWN_ARROW", "DOCU_CHR_super", "ITM_UP_ARROW", "MNU_TAMALPHA", "ITM_alpha", "DOCU_CHR_caseFLIP", "ITM_NULL", "DOCU_CHR_numSET", "ITM_NULL", "DOCU_ITM_RADIX", "ITM_PERIOD", AQ298), ".lo", ),"MNU_", "-MNU_")</f>
        <v>ITM_O</v>
      </c>
      <c r="BC298" s="157" t="str" cm="1">
        <f t="array" ref="BC298">SUBSTITUTE(SUBSTITUTE(_xlfn.SWITCH(AR298, "ITM_T_HOME", "ITM_UP1", "ITM_T_END", "ITM_DOWN1", "DOCU_CHR_sub", "ITM_DOWN_ARROW", "DOCU_CHR_super", "ITM_UP_ARROW", "MNU_TAMALPHA", "ITM_alpha", "DOCU_CHR_caseFLIP", "ITM_NULL", "DOCU_CHR_numSET", "ITM_NULL", "DOCU_ITM_RADIX", "ITM_PERIOD", AR298), ".lo", ),"MNU_", "-MNU_")</f>
        <v>ITM_o</v>
      </c>
      <c r="BD298" s="157" t="str" cm="1">
        <f t="array" ref="BD298">SUBSTITUTE(SUBSTITUTE(_xlfn.SWITCH(AS298, "ITM_T_HOME", "ITM_UP1", "ITM_T_END", "ITM_DOWN1", "DOCU_CHR_sub", "ITM_DOWN_ARROW", "DOCU_CHR_super", "ITM_UP_ARROW", "MNU_TAMALPHA", "ITM_alpha", "DOCU_CHR_caseFLIP", "ITM_NULL", "DOCU_CHR_numSET", "ITM_NULL", "DOCU_ITM_RADIX", "ITM_PERIOD", AS298), ".lo", ),"MNU_", "-MNU_")</f>
        <v>ITM_8</v>
      </c>
      <c r="BE298" s="157" t="str" cm="1">
        <f t="array" ref="BE298">SUBSTITUTE(SUBSTITUTE(_xlfn.SWITCH(AT298, "ITM_T_HOME", "ITM_UP1", "ITM_T_END", "ITM_DOWN1", "DOCU_CHR_sub", "ITM_DOWN_ARROW", "DOCU_CHR_super", "ITM_UP_ARROW", "MNU_TAMALPHA", "ITM_alpha", "DOCU_CHR_caseFLIP", "ITM_NULL", "DOCU_CHR_numSET", "ITM_NULL", "DOCU_ITM_RADIX", "ITM_PERIOD", AT298), ".lo", ),"MNU_", "-MNU_")</f>
        <v>ITM_8</v>
      </c>
      <c r="BG298" s="75"/>
      <c r="BI298" s="13" t="str">
        <f t="shared" si="106"/>
        <v xml:space="preserve">  {53,                  ITM_8,                -MNU_EQN,             -MNU_ADV,             ITM_8,                ITM_O,                ITM_o,                ITM_8,                ITM_8               },</v>
      </c>
    </row>
    <row r="299" spans="24:61" ht="21" x14ac:dyDescent="0.2">
      <c r="X299" s="141" t="str">
        <f t="shared" si="97"/>
        <v>D47</v>
      </c>
      <c r="Y299" s="142">
        <v>5</v>
      </c>
      <c r="Z299" s="142">
        <v>4</v>
      </c>
      <c r="AA299" s="144" t="str">
        <f t="shared" si="109"/>
        <v>D47.54</v>
      </c>
      <c r="AB299" s="148">
        <v>9</v>
      </c>
      <c r="AC299" s="149" t="s">
        <v>176</v>
      </c>
      <c r="AD299" s="150" t="s">
        <v>177</v>
      </c>
      <c r="AE299" s="3"/>
      <c r="AF299" s="52" t="s">
        <v>168</v>
      </c>
      <c r="AG299" s="77" t="b">
        <f t="shared" si="107"/>
        <v>1</v>
      </c>
      <c r="AH299" s="83" t="str">
        <f t="shared" si="98"/>
        <v>p</v>
      </c>
      <c r="AI299" s="84">
        <f t="shared" si="99"/>
        <v>9</v>
      </c>
      <c r="AJ299" s="85">
        <f t="shared" si="100"/>
        <v>9</v>
      </c>
      <c r="AK299" s="6"/>
      <c r="AL299" s="8" t="str">
        <f t="shared" si="101"/>
        <v>{54</v>
      </c>
      <c r="AM299" s="27" t="str">
        <f t="shared" si="102"/>
        <v>ITM_9</v>
      </c>
      <c r="AN299" s="27" t="str">
        <f t="shared" si="110"/>
        <v>MNU_MATX</v>
      </c>
      <c r="AO299" s="27" t="str">
        <f t="shared" si="111"/>
        <v>MNU_XFN</v>
      </c>
      <c r="AP299" s="46" t="str">
        <f>IF(NOT(ISNA(MATCH(AM299,Lookups!E:E,))),VLOOKUP(AM299,Lookups!E:F,2,0),
IF(NOT(ISNA(MATCH(AN299,Lookups!E:E,))),VLOOKUP(AN299,Lookups!E:F,2,0),
IF(NOT(ISNA(MATCH(AO299,Lookups!E:E,))),VLOOKUP(AO299,Lookups!E:F,2,0),"ITM_NULL")))</f>
        <v>ITM_9</v>
      </c>
      <c r="AQ299" s="28" t="str">
        <f t="shared" si="105"/>
        <v>ITM_P</v>
      </c>
      <c r="AR299" s="195" t="s">
        <v>169</v>
      </c>
      <c r="AS299" s="186" t="s">
        <v>180</v>
      </c>
      <c r="AT299" s="197" t="s">
        <v>180</v>
      </c>
      <c r="AW299" s="14" t="str">
        <f t="shared" si="108"/>
        <v>{54</v>
      </c>
      <c r="AX299" s="157" t="str" cm="1">
        <f t="array" ref="AX299">SUBSTITUTE(SUBSTITUTE(_xlfn.SWITCH(AM299, "ITM_T_HOME", "ITM_UP1", "ITM_T_END", "ITM_DOWN1", "DOCU_CHR_sub", "ITM_DOWN_ARROW", "DOCU_CHR_super", "ITM_UP_ARROW", "MNU_TAMALPHA", "ITM_alpha", "DOCU_CHR_caseFLIP", "ITM_NULL", "DOCU_CHR_numSET", "ITM_NULL", "DOCU_ITM_RADIX", "ITM_PERIOD", AM299), ".lo", ),"MNU_", "-MNU_")</f>
        <v>ITM_9</v>
      </c>
      <c r="AY299" s="157" t="str" cm="1">
        <f t="array" ref="AY299">SUBSTITUTE(SUBSTITUTE(_xlfn.SWITCH(AN299, "ITM_T_HOME", "ITM_UP1", "ITM_T_END", "ITM_DOWN1", "DOCU_CHR_sub", "ITM_DOWN_ARROW", "DOCU_CHR_super", "ITM_UP_ARROW", "MNU_TAMALPHA", "ITM_alpha", "DOCU_CHR_caseFLIP", "ITM_NULL", "DOCU_CHR_numSET", "ITM_NULL", "DOCU_ITM_RADIX", "ITM_PERIOD", AN299), ".lo", ),"MNU_", "-MNU_")</f>
        <v>-MNU_MATX</v>
      </c>
      <c r="AZ299" s="157" t="str" cm="1">
        <f t="array" ref="AZ299">SUBSTITUTE(SUBSTITUTE(_xlfn.SWITCH(AO299, "ITM_T_HOME", "ITM_UP1", "ITM_T_END", "ITM_DOWN1", "DOCU_CHR_sub", "ITM_DOWN_ARROW", "DOCU_CHR_super", "ITM_UP_ARROW", "MNU_TAMALPHA", "ITM_alpha", "DOCU_CHR_caseFLIP", "ITM_NULL", "DOCU_CHR_numSET", "ITM_NULL", "DOCU_ITM_RADIX", "ITM_PERIOD", AO299), ".lo", ),"MNU_", "-MNU_")</f>
        <v>-MNU_XFN</v>
      </c>
      <c r="BA299" s="173" t="str" cm="1">
        <f t="array" ref="BA299">SUBSTITUTE(SUBSTITUTE(_xlfn.SWITCH(AP299, "ITM_T_HOME", "ITM_UP1", "ITM_T_END", "ITM_DOWN1", "DOCU_CHR_sub", "ITM_DOWN_ARROW", "DOCU_CHR_super", "ITM_UP_ARROW", "MNU_TAMALPHA", "ITM_alpha", "DOCU_CHR_caseFLIP", "ITM_NULL", "DOCU_CHR_numSET", "ITM_NULL", "DOCU_ITM_RADIX", "ITM_PERIOD", AP299), ".lo", ),"MNU_", "-MNU_")</f>
        <v>ITM_9</v>
      </c>
      <c r="BB299" s="157" t="str" cm="1">
        <f t="array" ref="BB299">SUBSTITUTE(SUBSTITUTE(_xlfn.SWITCH(AQ299, "ITM_T_HOME", "ITM_UP1", "ITM_T_END", "ITM_DOWN1", "DOCU_CHR_sub", "ITM_DOWN_ARROW", "DOCU_CHR_super", "ITM_UP_ARROW", "MNU_TAMALPHA", "ITM_alpha", "DOCU_CHR_caseFLIP", "ITM_NULL", "DOCU_CHR_numSET", "ITM_NULL", "DOCU_ITM_RADIX", "ITM_PERIOD", AQ299), ".lo", ),"MNU_", "-MNU_")</f>
        <v>ITM_P</v>
      </c>
      <c r="BC299" s="157" t="str" cm="1">
        <f t="array" ref="BC299">SUBSTITUTE(SUBSTITUTE(_xlfn.SWITCH(AR299, "ITM_T_HOME", "ITM_UP1", "ITM_T_END", "ITM_DOWN1", "DOCU_CHR_sub", "ITM_DOWN_ARROW", "DOCU_CHR_super", "ITM_UP_ARROW", "MNU_TAMALPHA", "ITM_alpha", "DOCU_CHR_caseFLIP", "ITM_NULL", "DOCU_CHR_numSET", "ITM_NULL", "DOCU_ITM_RADIX", "ITM_PERIOD", AR299), ".lo", ),"MNU_", "-MNU_")</f>
        <v>ITM_p</v>
      </c>
      <c r="BD299" s="157" t="str" cm="1">
        <f t="array" ref="BD299">SUBSTITUTE(SUBSTITUTE(_xlfn.SWITCH(AS299, "ITM_T_HOME", "ITM_UP1", "ITM_T_END", "ITM_DOWN1", "DOCU_CHR_sub", "ITM_DOWN_ARROW", "DOCU_CHR_super", "ITM_UP_ARROW", "MNU_TAMALPHA", "ITM_alpha", "DOCU_CHR_caseFLIP", "ITM_NULL", "DOCU_CHR_numSET", "ITM_NULL", "DOCU_ITM_RADIX", "ITM_PERIOD", AS299), ".lo", ),"MNU_", "-MNU_")</f>
        <v>ITM_9</v>
      </c>
      <c r="BE299" s="157" t="str" cm="1">
        <f t="array" ref="BE299">SUBSTITUTE(SUBSTITUTE(_xlfn.SWITCH(AT299, "ITM_T_HOME", "ITM_UP1", "ITM_T_END", "ITM_DOWN1", "DOCU_CHR_sub", "ITM_DOWN_ARROW", "DOCU_CHR_super", "ITM_UP_ARROW", "MNU_TAMALPHA", "ITM_alpha", "DOCU_CHR_caseFLIP", "ITM_NULL", "DOCU_CHR_numSET", "ITM_NULL", "DOCU_ITM_RADIX", "ITM_PERIOD", AT299), ".lo", ),"MNU_", "-MNU_")</f>
        <v>ITM_9</v>
      </c>
      <c r="BG299" s="75"/>
      <c r="BI299" s="13" t="str">
        <f t="shared" si="106"/>
        <v xml:space="preserve">  {54,                  ITM_9,                -MNU_MATX,            -MNU_XFN,             ITM_9,                ITM_P,                ITM_p,                ITM_9,                ITM_9               },</v>
      </c>
    </row>
    <row r="300" spans="24:61" ht="21" x14ac:dyDescent="0.2">
      <c r="X300" s="141" t="str">
        <f t="shared" si="97"/>
        <v>D47</v>
      </c>
      <c r="Y300" s="142">
        <v>5</v>
      </c>
      <c r="Z300" s="142">
        <v>5</v>
      </c>
      <c r="AA300" s="144" t="str">
        <f t="shared" si="109"/>
        <v>D47.55</v>
      </c>
      <c r="AB300" s="153" t="s">
        <v>181</v>
      </c>
      <c r="AC300" s="149" t="s">
        <v>182</v>
      </c>
      <c r="AD300" s="150" t="s">
        <v>183</v>
      </c>
      <c r="AE300" s="3"/>
      <c r="AF300" s="52" t="s">
        <v>173</v>
      </c>
      <c r="AG300" s="77" t="b">
        <f t="shared" si="107"/>
        <v>1</v>
      </c>
      <c r="AH300" s="83" t="str">
        <f t="shared" si="98"/>
        <v>q</v>
      </c>
      <c r="AI300" s="84" t="str">
        <f t="shared" si="99"/>
        <v>÷</v>
      </c>
      <c r="AJ300" s="85" t="str">
        <f t="shared" si="100"/>
        <v>÷</v>
      </c>
      <c r="AK300" s="6"/>
      <c r="AL300" s="8" t="str">
        <f t="shared" si="101"/>
        <v>{55</v>
      </c>
      <c r="AM300" s="27" t="str">
        <f t="shared" si="102"/>
        <v>ITM_DIV</v>
      </c>
      <c r="AN300" s="27" t="str">
        <f t="shared" si="110"/>
        <v>MNU_STAT</v>
      </c>
      <c r="AO300" s="27" t="str">
        <f t="shared" si="111"/>
        <v>MNU_PLOTTING</v>
      </c>
      <c r="AP300" s="46" t="str">
        <f>IF(NOT(ISNA(MATCH(AM300,Lookups!E:E,))),VLOOKUP(AM300,Lookups!E:F,2,0),
IF(NOT(ISNA(MATCH(AN300,Lookups!E:E,))),VLOOKUP(AN300,Lookups!E:F,2,0),
IF(NOT(ISNA(MATCH(AO300,Lookups!E:E,))),VLOOKUP(AO300,Lookups!E:F,2,0),"ITM_NULL")))</f>
        <v>ITM_OBELUS</v>
      </c>
      <c r="AQ300" s="28" t="str">
        <f t="shared" si="105"/>
        <v>ITM_Q</v>
      </c>
      <c r="AR300" s="195" t="s">
        <v>174</v>
      </c>
      <c r="AS300" s="186" t="s">
        <v>186</v>
      </c>
      <c r="AT300" s="197" t="s">
        <v>187</v>
      </c>
      <c r="AW300" s="14" t="str">
        <f t="shared" si="108"/>
        <v>{55</v>
      </c>
      <c r="AX300" s="157" t="str" cm="1">
        <f t="array" ref="AX300">SUBSTITUTE(SUBSTITUTE(_xlfn.SWITCH(AM300, "ITM_T_HOME", "ITM_UP1", "ITM_T_END", "ITM_DOWN1", "DOCU_CHR_sub", "ITM_DOWN_ARROW", "DOCU_CHR_super", "ITM_UP_ARROW", "MNU_TAMALPHA", "ITM_alpha", "DOCU_CHR_caseFLIP", "ITM_NULL", "DOCU_CHR_numSET", "ITM_NULL", "DOCU_ITM_RADIX", "ITM_PERIOD", AM300), ".lo", ),"MNU_", "-MNU_")</f>
        <v>ITM_DIV</v>
      </c>
      <c r="AY300" s="157" t="str" cm="1">
        <f t="array" ref="AY300">SUBSTITUTE(SUBSTITUTE(_xlfn.SWITCH(AN300, "ITM_T_HOME", "ITM_UP1", "ITM_T_END", "ITM_DOWN1", "DOCU_CHR_sub", "ITM_DOWN_ARROW", "DOCU_CHR_super", "ITM_UP_ARROW", "MNU_TAMALPHA", "ITM_alpha", "DOCU_CHR_caseFLIP", "ITM_NULL", "DOCU_CHR_numSET", "ITM_NULL", "DOCU_ITM_RADIX", "ITM_PERIOD", AN300), ".lo", ),"MNU_", "-MNU_")</f>
        <v>-MNU_STAT</v>
      </c>
      <c r="AZ300" s="157" t="str" cm="1">
        <f t="array" ref="AZ300">SUBSTITUTE(SUBSTITUTE(_xlfn.SWITCH(AO300, "ITM_T_HOME", "ITM_UP1", "ITM_T_END", "ITM_DOWN1", "DOCU_CHR_sub", "ITM_DOWN_ARROW", "DOCU_CHR_super", "ITM_UP_ARROW", "MNU_TAMALPHA", "ITM_alpha", "DOCU_CHR_caseFLIP", "ITM_NULL", "DOCU_CHR_numSET", "ITM_NULL", "DOCU_ITM_RADIX", "ITM_PERIOD", AO300), ".lo", ),"MNU_", "-MNU_")</f>
        <v>-MNU_PLOTTING</v>
      </c>
      <c r="BA300" s="173" t="str" cm="1">
        <f t="array" ref="BA300">SUBSTITUTE(SUBSTITUTE(_xlfn.SWITCH(AP300, "ITM_T_HOME", "ITM_UP1", "ITM_T_END", "ITM_DOWN1", "DOCU_CHR_sub", "ITM_DOWN_ARROW", "DOCU_CHR_super", "ITM_UP_ARROW", "MNU_TAMALPHA", "ITM_alpha", "DOCU_CHR_caseFLIP", "ITM_NULL", "DOCU_CHR_numSET", "ITM_NULL", "DOCU_ITM_RADIX", "ITM_PERIOD", AP300), ".lo", ),"MNU_", "-MNU_")</f>
        <v>ITM_OBELUS</v>
      </c>
      <c r="BB300" s="157" t="str" cm="1">
        <f t="array" ref="BB300">SUBSTITUTE(SUBSTITUTE(_xlfn.SWITCH(AQ300, "ITM_T_HOME", "ITM_UP1", "ITM_T_END", "ITM_DOWN1", "DOCU_CHR_sub", "ITM_DOWN_ARROW", "DOCU_CHR_super", "ITM_UP_ARROW", "MNU_TAMALPHA", "ITM_alpha", "DOCU_CHR_caseFLIP", "ITM_NULL", "DOCU_CHR_numSET", "ITM_NULL", "DOCU_ITM_RADIX", "ITM_PERIOD", AQ300), ".lo", ),"MNU_", "-MNU_")</f>
        <v>ITM_Q</v>
      </c>
      <c r="BC300" s="157" t="str" cm="1">
        <f t="array" ref="BC300">SUBSTITUTE(SUBSTITUTE(_xlfn.SWITCH(AR300, "ITM_T_HOME", "ITM_UP1", "ITM_T_END", "ITM_DOWN1", "DOCU_CHR_sub", "ITM_DOWN_ARROW", "DOCU_CHR_super", "ITM_UP_ARROW", "MNU_TAMALPHA", "ITM_alpha", "DOCU_CHR_caseFLIP", "ITM_NULL", "DOCU_CHR_numSET", "ITM_NULL", "DOCU_ITM_RADIX", "ITM_PERIOD", AR300), ".lo", ),"MNU_", "-MNU_")</f>
        <v>ITM_q</v>
      </c>
      <c r="BD300" s="157" t="str" cm="1">
        <f t="array" ref="BD300">SUBSTITUTE(SUBSTITUTE(_xlfn.SWITCH(AS300, "ITM_T_HOME", "ITM_UP1", "ITM_T_END", "ITM_DOWN1", "DOCU_CHR_sub", "ITM_DOWN_ARROW", "DOCU_CHR_super", "ITM_UP_ARROW", "MNU_TAMALPHA", "ITM_alpha", "DOCU_CHR_caseFLIP", "ITM_NULL", "DOCU_CHR_numSET", "ITM_NULL", "DOCU_ITM_RADIX", "ITM_PERIOD", AS300), ".lo", ),"MNU_", "-MNU_")</f>
        <v>ITM_OBELUS</v>
      </c>
      <c r="BE300" s="157" t="str" cm="1">
        <f t="array" ref="BE300">SUBSTITUTE(SUBSTITUTE(_xlfn.SWITCH(AT300, "ITM_T_HOME", "ITM_UP1", "ITM_T_END", "ITM_DOWN1", "DOCU_CHR_sub", "ITM_DOWN_ARROW", "DOCU_CHR_super", "ITM_UP_ARROW", "MNU_TAMALPHA", "ITM_alpha", "DOCU_CHR_caseFLIP", "ITM_NULL", "DOCU_CHR_numSET", "ITM_NULL", "DOCU_ITM_RADIX", "ITM_PERIOD", AT300), ".lo", ),"MNU_", "-MNU_")</f>
        <v>ITM_DIV</v>
      </c>
      <c r="BG300" s="75"/>
      <c r="BI300" s="13" t="str">
        <f t="shared" si="106"/>
        <v xml:space="preserve">  {55,                  ITM_DIV,              -MNU_STAT,            -MNU_PLOTTING,        ITM_OBELUS,           ITM_Q,                ITM_q,                ITM_OBELUS,           ITM_DIV             },</v>
      </c>
    </row>
    <row r="301" spans="24:61" ht="21" x14ac:dyDescent="0.2">
      <c r="X301" s="141" t="str">
        <f t="shared" si="97"/>
        <v>D47</v>
      </c>
      <c r="Y301" s="138">
        <v>6</v>
      </c>
      <c r="Z301" s="138">
        <v>1</v>
      </c>
      <c r="AA301" s="144" t="str">
        <f t="shared" si="109"/>
        <v>D47.61</v>
      </c>
      <c r="AB301" s="148" t="s">
        <v>159</v>
      </c>
      <c r="AC301" s="149" t="s">
        <v>160</v>
      </c>
      <c r="AD301" s="150" t="s">
        <v>161</v>
      </c>
      <c r="AE301" s="3"/>
      <c r="AF301" s="52" t="s">
        <v>162</v>
      </c>
      <c r="AG301" s="77" t="b">
        <f t="shared" si="107"/>
        <v>0</v>
      </c>
      <c r="AH301" s="83" t="str">
        <f t="shared" si="98"/>
        <v>CASE UP</v>
      </c>
      <c r="AI301" s="84" t="str">
        <f t="shared" si="99"/>
        <v>Super</v>
      </c>
      <c r="AJ301" s="85" t="str">
        <f t="shared" si="100"/>
        <v>Up</v>
      </c>
      <c r="AK301" s="6"/>
      <c r="AL301" s="8" t="str">
        <f t="shared" si="101"/>
        <v>{61</v>
      </c>
      <c r="AM301" s="27" t="str">
        <f t="shared" si="102"/>
        <v>ITM_UP1</v>
      </c>
      <c r="AN301" s="27" t="str">
        <f t="shared" si="110"/>
        <v>ITM_BST</v>
      </c>
      <c r="AO301" s="27" t="str">
        <f t="shared" si="111"/>
        <v>ITM_RBR</v>
      </c>
      <c r="AP301" s="46" t="str">
        <f>IF(NOT(ISNA(MATCH(AM301,Lookups!E:E,))),VLOOKUP(AM301,Lookups!E:F,2,0),
IF(NOT(ISNA(MATCH(AN301,Lookups!E:E,))),VLOOKUP(AN301,Lookups!E:F,2,0),
IF(NOT(ISNA(MATCH(AO301,Lookups!E:E,))),VLOOKUP(AO301,Lookups!E:F,2,0),"ITM_NULL")))</f>
        <v>ITM_UP1</v>
      </c>
      <c r="AQ301" s="28" t="str">
        <f t="shared" si="105"/>
        <v>ITM_T_HOME</v>
      </c>
      <c r="AR301" s="198" t="s">
        <v>163</v>
      </c>
      <c r="AS301" s="186" t="s">
        <v>164</v>
      </c>
      <c r="AT301" s="197" t="s">
        <v>165</v>
      </c>
      <c r="AW301" s="14" t="str">
        <f t="shared" si="108"/>
        <v>{61</v>
      </c>
      <c r="AX301" s="157" t="str" cm="1">
        <f t="array" ref="AX301">SUBSTITUTE(SUBSTITUTE(_xlfn.SWITCH(AM301, "ITM_T_HOME", "ITM_UP1", "ITM_T_END", "ITM_DOWN1", "DOCU_CHR_sub", "ITM_DOWN_ARROW", "DOCU_CHR_super", "ITM_UP_ARROW", "MNU_TAMALPHA", "ITM_alpha", "DOCU_CHR_caseFLIP", "ITM_NULL", "DOCU_CHR_numSET", "ITM_NULL", "DOCU_ITM_RADIX", "ITM_PERIOD", AM301), ".lo", ),"MNU_", "-MNU_")</f>
        <v>ITM_UP1</v>
      </c>
      <c r="AY301" s="157" t="str" cm="1">
        <f t="array" ref="AY301">SUBSTITUTE(SUBSTITUTE(_xlfn.SWITCH(AN301, "ITM_T_HOME", "ITM_UP1", "ITM_T_END", "ITM_DOWN1", "DOCU_CHR_sub", "ITM_DOWN_ARROW", "DOCU_CHR_super", "ITM_UP_ARROW", "MNU_TAMALPHA", "ITM_alpha", "DOCU_CHR_caseFLIP", "ITM_NULL", "DOCU_CHR_numSET", "ITM_NULL", "DOCU_ITM_RADIX", "ITM_PERIOD", AN301), ".lo", ),"MNU_", "-MNU_")</f>
        <v>ITM_BST</v>
      </c>
      <c r="AZ301" s="157" t="str" cm="1">
        <f t="array" ref="AZ301">SUBSTITUTE(SUBSTITUTE(_xlfn.SWITCH(AO301, "ITM_T_HOME", "ITM_UP1", "ITM_T_END", "ITM_DOWN1", "DOCU_CHR_sub", "ITM_DOWN_ARROW", "DOCU_CHR_super", "ITM_UP_ARROW", "MNU_TAMALPHA", "ITM_alpha", "DOCU_CHR_caseFLIP", "ITM_NULL", "DOCU_CHR_numSET", "ITM_NULL", "DOCU_ITM_RADIX", "ITM_PERIOD", AO301), ".lo", ),"MNU_", "-MNU_")</f>
        <v>ITM_RBR</v>
      </c>
      <c r="BA301" s="173" t="str" cm="1">
        <f t="array" ref="BA301">SUBSTITUTE(SUBSTITUTE(_xlfn.SWITCH(AP301, "ITM_T_HOME", "ITM_UP1", "ITM_T_END", "ITM_DOWN1", "DOCU_CHR_sub", "ITM_DOWN_ARROW", "DOCU_CHR_super", "ITM_UP_ARROW", "MNU_TAMALPHA", "ITM_alpha", "DOCU_CHR_caseFLIP", "ITM_NULL", "DOCU_CHR_numSET", "ITM_NULL", "DOCU_ITM_RADIX", "ITM_PERIOD", AP301), ".lo", ),"MNU_", "-MNU_")</f>
        <v>ITM_UP1</v>
      </c>
      <c r="BB301" s="157" t="str" cm="1">
        <f t="array" ref="BB301">SUBSTITUTE(SUBSTITUTE(_xlfn.SWITCH(AQ301, "ITM_T_HOME", "ITM_UP1", "ITM_T_END", "ITM_DOWN1", "DOCU_CHR_sub", "ITM_DOWN_ARROW", "DOCU_CHR_super", "ITM_UP_ARROW", "MNU_TAMALPHA", "ITM_alpha", "DOCU_CHR_caseFLIP", "ITM_NULL", "DOCU_CHR_numSET", "ITM_NULL", "DOCU_ITM_RADIX", "ITM_PERIOD", AQ301), ".lo", ),"MNU_", "-MNU_")</f>
        <v>ITM_UP1</v>
      </c>
      <c r="BC301" s="157" t="str" cm="1">
        <f t="array" ref="BC301">SUBSTITUTE(SUBSTITUTE(_xlfn.SWITCH(AR301, "ITM_T_HOME", "ITM_UP1", "ITM_T_END", "ITM_DOWN1", "DOCU_CHR_sub", "ITM_DOWN_ARROW", "DOCU_CHR_super", "ITM_UP_ARROW", "MNU_TAMALPHA", "ITM_alpha", "DOCU_CHR_caseFLIP", "ITM_NULL", "DOCU_CHR_numSET", "ITM_NULL", "DOCU_ITM_RADIX", "ITM_PERIOD", AR301), ".lo", ),"MNU_", "-MNU_")</f>
        <v>CHR_caseUP</v>
      </c>
      <c r="BD301" s="157" t="str" cm="1">
        <f t="array" ref="BD301">SUBSTITUTE(SUBSTITUTE(_xlfn.SWITCH(AS301, "ITM_T_HOME", "ITM_UP1", "ITM_T_END", "ITM_DOWN1", "DOCU_CHR_sub", "ITM_DOWN_ARROW", "DOCU_CHR_super", "ITM_UP_ARROW", "MNU_TAMALPHA", "ITM_alpha", "DOCU_CHR_caseFLIP", "ITM_NULL", "DOCU_CHR_numSET", "ITM_NULL", "DOCU_ITM_RADIX", "ITM_PERIOD", AS301), ".lo", ),"MNU_", "-MNU_")</f>
        <v>ITM_UP_ARROW</v>
      </c>
      <c r="BE301" s="157" t="str" cm="1">
        <f t="array" ref="BE301">SUBSTITUTE(SUBSTITUTE(_xlfn.SWITCH(AT301, "ITM_T_HOME", "ITM_UP1", "ITM_T_END", "ITM_DOWN1", "DOCU_CHR_sub", "ITM_DOWN_ARROW", "DOCU_CHR_super", "ITM_UP_ARROW", "MNU_TAMALPHA", "ITM_alpha", "DOCU_CHR_caseFLIP", "ITM_NULL", "DOCU_CHR_numSET", "ITM_NULL", "DOCU_ITM_RADIX", "ITM_PERIOD", AT301), ".lo", ),"MNU_", "-MNU_")</f>
        <v>ITM_UP1</v>
      </c>
      <c r="BG301" s="75"/>
      <c r="BI301" s="13" t="str">
        <f t="shared" si="106"/>
        <v xml:space="preserve">  {61,                  ITM_UP1,              ITM_BST,              ITM_RBR,              ITM_UP1,              ITM_UP1,              CHR_caseUP,           ITM_UP_ARROW,         ITM_UP1             },</v>
      </c>
    </row>
    <row r="302" spans="24:61" ht="21" x14ac:dyDescent="0.2">
      <c r="X302" s="141" t="str">
        <f t="shared" si="97"/>
        <v>D47</v>
      </c>
      <c r="Y302" s="142">
        <v>6</v>
      </c>
      <c r="Z302" s="142">
        <v>2</v>
      </c>
      <c r="AA302" s="144" t="str">
        <f t="shared" si="109"/>
        <v>D47.62</v>
      </c>
      <c r="AB302" s="148">
        <v>4</v>
      </c>
      <c r="AC302" s="149" t="s">
        <v>195</v>
      </c>
      <c r="AD302" s="150" t="s">
        <v>196</v>
      </c>
      <c r="AE302" s="3"/>
      <c r="AF302" s="52" t="s">
        <v>178</v>
      </c>
      <c r="AG302" s="77" t="b">
        <f t="shared" si="107"/>
        <v>1</v>
      </c>
      <c r="AH302" s="83" t="str">
        <f t="shared" si="98"/>
        <v>r</v>
      </c>
      <c r="AI302" s="84">
        <f t="shared" si="99"/>
        <v>4</v>
      </c>
      <c r="AJ302" s="85">
        <f t="shared" si="100"/>
        <v>4</v>
      </c>
      <c r="AK302" s="6"/>
      <c r="AL302" s="8" t="str">
        <f t="shared" si="101"/>
        <v>{62</v>
      </c>
      <c r="AM302" s="27" t="str">
        <f t="shared" si="102"/>
        <v>ITM_4</v>
      </c>
      <c r="AN302" s="27" t="str">
        <f t="shared" si="110"/>
        <v>MNU_BASE</v>
      </c>
      <c r="AO302" s="27" t="str">
        <f t="shared" si="111"/>
        <v>MNU_BITS</v>
      </c>
      <c r="AP302" s="46" t="str">
        <f>IF(NOT(ISNA(MATCH(AM302,Lookups!E:E,))),VLOOKUP(AM302,Lookups!E:F,2,0),
IF(NOT(ISNA(MATCH(AN302,Lookups!E:E,))),VLOOKUP(AN302,Lookups!E:F,2,0),
IF(NOT(ISNA(MATCH(AO302,Lookups!E:E,))),VLOOKUP(AO302,Lookups!E:F,2,0),"ITM_NULL")))</f>
        <v>ITM_4</v>
      </c>
      <c r="AQ302" s="28" t="str">
        <f t="shared" si="105"/>
        <v>ITM_R</v>
      </c>
      <c r="AR302" s="195" t="s">
        <v>179</v>
      </c>
      <c r="AS302" s="186" t="s">
        <v>199</v>
      </c>
      <c r="AT302" s="197" t="s">
        <v>199</v>
      </c>
      <c r="AW302" s="14" t="str">
        <f t="shared" si="108"/>
        <v>{62</v>
      </c>
      <c r="AX302" s="157" t="str" cm="1">
        <f t="array" ref="AX302">SUBSTITUTE(SUBSTITUTE(_xlfn.SWITCH(AM302, "ITM_T_HOME", "ITM_UP1", "ITM_T_END", "ITM_DOWN1", "DOCU_CHR_sub", "ITM_DOWN_ARROW", "DOCU_CHR_super", "ITM_UP_ARROW", "MNU_TAMALPHA", "ITM_alpha", "DOCU_CHR_caseFLIP", "ITM_NULL", "DOCU_CHR_numSET", "ITM_NULL", "DOCU_ITM_RADIX", "ITM_PERIOD", AM302), ".lo", ),"MNU_", "-MNU_")</f>
        <v>ITM_4</v>
      </c>
      <c r="AY302" s="157" t="str" cm="1">
        <f t="array" ref="AY302">SUBSTITUTE(SUBSTITUTE(_xlfn.SWITCH(AN302, "ITM_T_HOME", "ITM_UP1", "ITM_T_END", "ITM_DOWN1", "DOCU_CHR_sub", "ITM_DOWN_ARROW", "DOCU_CHR_super", "ITM_UP_ARROW", "MNU_TAMALPHA", "ITM_alpha", "DOCU_CHR_caseFLIP", "ITM_NULL", "DOCU_CHR_numSET", "ITM_NULL", "DOCU_ITM_RADIX", "ITM_PERIOD", AN302), ".lo", ),"MNU_", "-MNU_")</f>
        <v>-MNU_BASE</v>
      </c>
      <c r="AZ302" s="157" t="str" cm="1">
        <f t="array" ref="AZ302">SUBSTITUTE(SUBSTITUTE(_xlfn.SWITCH(AO302, "ITM_T_HOME", "ITM_UP1", "ITM_T_END", "ITM_DOWN1", "DOCU_CHR_sub", "ITM_DOWN_ARROW", "DOCU_CHR_super", "ITM_UP_ARROW", "MNU_TAMALPHA", "ITM_alpha", "DOCU_CHR_caseFLIP", "ITM_NULL", "DOCU_CHR_numSET", "ITM_NULL", "DOCU_ITM_RADIX", "ITM_PERIOD", AO302), ".lo", ),"MNU_", "-MNU_")</f>
        <v>-MNU_BITS</v>
      </c>
      <c r="BA302" s="173" t="str" cm="1">
        <f t="array" ref="BA302">SUBSTITUTE(SUBSTITUTE(_xlfn.SWITCH(AP302, "ITM_T_HOME", "ITM_UP1", "ITM_T_END", "ITM_DOWN1", "DOCU_CHR_sub", "ITM_DOWN_ARROW", "DOCU_CHR_super", "ITM_UP_ARROW", "MNU_TAMALPHA", "ITM_alpha", "DOCU_CHR_caseFLIP", "ITM_NULL", "DOCU_CHR_numSET", "ITM_NULL", "DOCU_ITM_RADIX", "ITM_PERIOD", AP302), ".lo", ),"MNU_", "-MNU_")</f>
        <v>ITM_4</v>
      </c>
      <c r="BB302" s="157" t="str" cm="1">
        <f t="array" ref="BB302">SUBSTITUTE(SUBSTITUTE(_xlfn.SWITCH(AQ302, "ITM_T_HOME", "ITM_UP1", "ITM_T_END", "ITM_DOWN1", "DOCU_CHR_sub", "ITM_DOWN_ARROW", "DOCU_CHR_super", "ITM_UP_ARROW", "MNU_TAMALPHA", "ITM_alpha", "DOCU_CHR_caseFLIP", "ITM_NULL", "DOCU_CHR_numSET", "ITM_NULL", "DOCU_ITM_RADIX", "ITM_PERIOD", AQ302), ".lo", ),"MNU_", "-MNU_")</f>
        <v>ITM_R</v>
      </c>
      <c r="BC302" s="157" t="str" cm="1">
        <f t="array" ref="BC302">SUBSTITUTE(SUBSTITUTE(_xlfn.SWITCH(AR302, "ITM_T_HOME", "ITM_UP1", "ITM_T_END", "ITM_DOWN1", "DOCU_CHR_sub", "ITM_DOWN_ARROW", "DOCU_CHR_super", "ITM_UP_ARROW", "MNU_TAMALPHA", "ITM_alpha", "DOCU_CHR_caseFLIP", "ITM_NULL", "DOCU_CHR_numSET", "ITM_NULL", "DOCU_ITM_RADIX", "ITM_PERIOD", AR302), ".lo", ),"MNU_", "-MNU_")</f>
        <v>ITM_r</v>
      </c>
      <c r="BD302" s="157" t="str" cm="1">
        <f t="array" ref="BD302">SUBSTITUTE(SUBSTITUTE(_xlfn.SWITCH(AS302, "ITM_T_HOME", "ITM_UP1", "ITM_T_END", "ITM_DOWN1", "DOCU_CHR_sub", "ITM_DOWN_ARROW", "DOCU_CHR_super", "ITM_UP_ARROW", "MNU_TAMALPHA", "ITM_alpha", "DOCU_CHR_caseFLIP", "ITM_NULL", "DOCU_CHR_numSET", "ITM_NULL", "DOCU_ITM_RADIX", "ITM_PERIOD", AS302), ".lo", ),"MNU_", "-MNU_")</f>
        <v>ITM_4</v>
      </c>
      <c r="BE302" s="157" t="str" cm="1">
        <f t="array" ref="BE302">SUBSTITUTE(SUBSTITUTE(_xlfn.SWITCH(AT302, "ITM_T_HOME", "ITM_UP1", "ITM_T_END", "ITM_DOWN1", "DOCU_CHR_sub", "ITM_DOWN_ARROW", "DOCU_CHR_super", "ITM_UP_ARROW", "MNU_TAMALPHA", "ITM_alpha", "DOCU_CHR_caseFLIP", "ITM_NULL", "DOCU_CHR_numSET", "ITM_NULL", "DOCU_ITM_RADIX", "ITM_PERIOD", AT302), ".lo", ),"MNU_", "-MNU_")</f>
        <v>ITM_4</v>
      </c>
      <c r="BG302" s="75"/>
      <c r="BI302" s="13" t="str">
        <f t="shared" si="106"/>
        <v xml:space="preserve">  {62,                  ITM_4,                -MNU_BASE,            -MNU_BITS,            ITM_4,                ITM_R,                ITM_r,                ITM_4,                ITM_4               },</v>
      </c>
    </row>
    <row r="303" spans="24:61" ht="21" x14ac:dyDescent="0.2">
      <c r="X303" s="141" t="str">
        <f t="shared" si="97"/>
        <v>D47</v>
      </c>
      <c r="Y303" s="142">
        <v>6</v>
      </c>
      <c r="Z303" s="142">
        <v>3</v>
      </c>
      <c r="AA303" s="144" t="str">
        <f t="shared" si="109"/>
        <v>D47.63</v>
      </c>
      <c r="AB303" s="148">
        <v>5</v>
      </c>
      <c r="AC303" s="149" t="s">
        <v>200</v>
      </c>
      <c r="AD303" s="150" t="s">
        <v>201</v>
      </c>
      <c r="AE303" s="3"/>
      <c r="AF303" s="52" t="s">
        <v>184</v>
      </c>
      <c r="AG303" s="77" t="b">
        <f t="shared" si="107"/>
        <v>1</v>
      </c>
      <c r="AH303" s="83" t="str">
        <f t="shared" si="98"/>
        <v>s</v>
      </c>
      <c r="AI303" s="84">
        <f t="shared" si="99"/>
        <v>5</v>
      </c>
      <c r="AJ303" s="85">
        <f t="shared" si="100"/>
        <v>5</v>
      </c>
      <c r="AK303" s="6"/>
      <c r="AL303" s="8" t="str">
        <f t="shared" si="101"/>
        <v>{63</v>
      </c>
      <c r="AM303" s="27" t="str">
        <f t="shared" si="102"/>
        <v>ITM_5</v>
      </c>
      <c r="AN303" s="27" t="str">
        <f t="shared" si="110"/>
        <v>MNU_UNITCONV</v>
      </c>
      <c r="AO303" s="27" t="str">
        <f t="shared" si="111"/>
        <v>MNU_CLK</v>
      </c>
      <c r="AP303" s="46" t="str">
        <f>IF(NOT(ISNA(MATCH(AM303,Lookups!E:E,))),VLOOKUP(AM303,Lookups!E:F,2,0),
IF(NOT(ISNA(MATCH(AN303,Lookups!E:E,))),VLOOKUP(AN303,Lookups!E:F,2,0),
IF(NOT(ISNA(MATCH(AO303,Lookups!E:E,))),VLOOKUP(AO303,Lookups!E:F,2,0),"ITM_NULL")))</f>
        <v>ITM_5</v>
      </c>
      <c r="AQ303" s="28" t="str">
        <f t="shared" si="105"/>
        <v>ITM_S</v>
      </c>
      <c r="AR303" s="195" t="s">
        <v>185</v>
      </c>
      <c r="AS303" s="186" t="s">
        <v>204</v>
      </c>
      <c r="AT303" s="197" t="s">
        <v>204</v>
      </c>
      <c r="AW303" s="14" t="str">
        <f t="shared" si="108"/>
        <v>{63</v>
      </c>
      <c r="AX303" s="157" t="str" cm="1">
        <f t="array" ref="AX303">SUBSTITUTE(SUBSTITUTE(_xlfn.SWITCH(AM303, "ITM_T_HOME", "ITM_UP1", "ITM_T_END", "ITM_DOWN1", "DOCU_CHR_sub", "ITM_DOWN_ARROW", "DOCU_CHR_super", "ITM_UP_ARROW", "MNU_TAMALPHA", "ITM_alpha", "DOCU_CHR_caseFLIP", "ITM_NULL", "DOCU_CHR_numSET", "ITM_NULL", "DOCU_ITM_RADIX", "ITM_PERIOD", AM303), ".lo", ),"MNU_", "-MNU_")</f>
        <v>ITM_5</v>
      </c>
      <c r="AY303" s="157" t="str" cm="1">
        <f t="array" ref="AY303">SUBSTITUTE(SUBSTITUTE(_xlfn.SWITCH(AN303, "ITM_T_HOME", "ITM_UP1", "ITM_T_END", "ITM_DOWN1", "DOCU_CHR_sub", "ITM_DOWN_ARROW", "DOCU_CHR_super", "ITM_UP_ARROW", "MNU_TAMALPHA", "ITM_alpha", "DOCU_CHR_caseFLIP", "ITM_NULL", "DOCU_CHR_numSET", "ITM_NULL", "DOCU_ITM_RADIX", "ITM_PERIOD", AN303), ".lo", ),"MNU_", "-MNU_")</f>
        <v>-MNU_UNITCONV</v>
      </c>
      <c r="AZ303" s="157" t="str" cm="1">
        <f t="array" ref="AZ303">SUBSTITUTE(SUBSTITUTE(_xlfn.SWITCH(AO303, "ITM_T_HOME", "ITM_UP1", "ITM_T_END", "ITM_DOWN1", "DOCU_CHR_sub", "ITM_DOWN_ARROW", "DOCU_CHR_super", "ITM_UP_ARROW", "MNU_TAMALPHA", "ITM_alpha", "DOCU_CHR_caseFLIP", "ITM_NULL", "DOCU_CHR_numSET", "ITM_NULL", "DOCU_ITM_RADIX", "ITM_PERIOD", AO303), ".lo", ),"MNU_", "-MNU_")</f>
        <v>-MNU_CLK</v>
      </c>
      <c r="BA303" s="173" t="str" cm="1">
        <f t="array" ref="BA303">SUBSTITUTE(SUBSTITUTE(_xlfn.SWITCH(AP303, "ITM_T_HOME", "ITM_UP1", "ITM_T_END", "ITM_DOWN1", "DOCU_CHR_sub", "ITM_DOWN_ARROW", "DOCU_CHR_super", "ITM_UP_ARROW", "MNU_TAMALPHA", "ITM_alpha", "DOCU_CHR_caseFLIP", "ITM_NULL", "DOCU_CHR_numSET", "ITM_NULL", "DOCU_ITM_RADIX", "ITM_PERIOD", AP303), ".lo", ),"MNU_", "-MNU_")</f>
        <v>ITM_5</v>
      </c>
      <c r="BB303" s="157" t="str" cm="1">
        <f t="array" ref="BB303">SUBSTITUTE(SUBSTITUTE(_xlfn.SWITCH(AQ303, "ITM_T_HOME", "ITM_UP1", "ITM_T_END", "ITM_DOWN1", "DOCU_CHR_sub", "ITM_DOWN_ARROW", "DOCU_CHR_super", "ITM_UP_ARROW", "MNU_TAMALPHA", "ITM_alpha", "DOCU_CHR_caseFLIP", "ITM_NULL", "DOCU_CHR_numSET", "ITM_NULL", "DOCU_ITM_RADIX", "ITM_PERIOD", AQ303), ".lo", ),"MNU_", "-MNU_")</f>
        <v>ITM_S</v>
      </c>
      <c r="BC303" s="157" t="str" cm="1">
        <f t="array" ref="BC303">SUBSTITUTE(SUBSTITUTE(_xlfn.SWITCH(AR303, "ITM_T_HOME", "ITM_UP1", "ITM_T_END", "ITM_DOWN1", "DOCU_CHR_sub", "ITM_DOWN_ARROW", "DOCU_CHR_super", "ITM_UP_ARROW", "MNU_TAMALPHA", "ITM_alpha", "DOCU_CHR_caseFLIP", "ITM_NULL", "DOCU_CHR_numSET", "ITM_NULL", "DOCU_ITM_RADIX", "ITM_PERIOD", AR303), ".lo", ),"MNU_", "-MNU_")</f>
        <v>ITM_s</v>
      </c>
      <c r="BD303" s="157" t="str" cm="1">
        <f t="array" ref="BD303">SUBSTITUTE(SUBSTITUTE(_xlfn.SWITCH(AS303, "ITM_T_HOME", "ITM_UP1", "ITM_T_END", "ITM_DOWN1", "DOCU_CHR_sub", "ITM_DOWN_ARROW", "DOCU_CHR_super", "ITM_UP_ARROW", "MNU_TAMALPHA", "ITM_alpha", "DOCU_CHR_caseFLIP", "ITM_NULL", "DOCU_CHR_numSET", "ITM_NULL", "DOCU_ITM_RADIX", "ITM_PERIOD", AS303), ".lo", ),"MNU_", "-MNU_")</f>
        <v>ITM_5</v>
      </c>
      <c r="BE303" s="157" t="str" cm="1">
        <f t="array" ref="BE303">SUBSTITUTE(SUBSTITUTE(_xlfn.SWITCH(AT303, "ITM_T_HOME", "ITM_UP1", "ITM_T_END", "ITM_DOWN1", "DOCU_CHR_sub", "ITM_DOWN_ARROW", "DOCU_CHR_super", "ITM_UP_ARROW", "MNU_TAMALPHA", "ITM_alpha", "DOCU_CHR_caseFLIP", "ITM_NULL", "DOCU_CHR_numSET", "ITM_NULL", "DOCU_ITM_RADIX", "ITM_PERIOD", AT303), ".lo", ),"MNU_", "-MNU_")</f>
        <v>ITM_5</v>
      </c>
      <c r="BG303" s="75"/>
      <c r="BI303" s="13" t="str">
        <f t="shared" si="106"/>
        <v xml:space="preserve">  {63,                  ITM_5,                -MNU_UNITCONV,        -MNU_CLK,             ITM_5,                ITM_S,                ITM_s,                ITM_5,                ITM_5               },</v>
      </c>
    </row>
    <row r="304" spans="24:61" ht="21" x14ac:dyDescent="0.2">
      <c r="X304" s="141" t="str">
        <f t="shared" si="97"/>
        <v>D47</v>
      </c>
      <c r="Y304" s="142">
        <v>6</v>
      </c>
      <c r="Z304" s="142">
        <v>4</v>
      </c>
      <c r="AA304" s="144" t="str">
        <f t="shared" si="109"/>
        <v>D47.64</v>
      </c>
      <c r="AB304" s="148">
        <v>6</v>
      </c>
      <c r="AC304" s="149" t="s">
        <v>205</v>
      </c>
      <c r="AD304" s="150" t="s">
        <v>206</v>
      </c>
      <c r="AE304" s="3"/>
      <c r="AF304" s="52" t="s">
        <v>197</v>
      </c>
      <c r="AG304" s="77" t="b">
        <f t="shared" si="107"/>
        <v>1</v>
      </c>
      <c r="AH304" s="83" t="str">
        <f t="shared" si="98"/>
        <v>t</v>
      </c>
      <c r="AI304" s="84">
        <f t="shared" si="99"/>
        <v>6</v>
      </c>
      <c r="AJ304" s="85">
        <f t="shared" si="100"/>
        <v>6</v>
      </c>
      <c r="AK304" s="6"/>
      <c r="AL304" s="8" t="str">
        <f t="shared" si="101"/>
        <v>{64</v>
      </c>
      <c r="AM304" s="27" t="str">
        <f t="shared" si="102"/>
        <v>ITM_6</v>
      </c>
      <c r="AN304" s="27" t="str">
        <f t="shared" si="110"/>
        <v>MNU_FLAGS</v>
      </c>
      <c r="AO304" s="27" t="str">
        <f t="shared" si="111"/>
        <v>MNU_PARTS</v>
      </c>
      <c r="AP304" s="46" t="str">
        <f>IF(NOT(ISNA(MATCH(AM304,Lookups!E:E,))),VLOOKUP(AM304,Lookups!E:F,2,0),
IF(NOT(ISNA(MATCH(AN304,Lookups!E:E,))),VLOOKUP(AN304,Lookups!E:F,2,0),
IF(NOT(ISNA(MATCH(AO304,Lookups!E:E,))),VLOOKUP(AO304,Lookups!E:F,2,0),"ITM_NULL")))</f>
        <v>ITM_6</v>
      </c>
      <c r="AQ304" s="28" t="str">
        <f t="shared" si="105"/>
        <v>ITM_T</v>
      </c>
      <c r="AR304" s="195" t="s">
        <v>198</v>
      </c>
      <c r="AS304" s="186" t="s">
        <v>209</v>
      </c>
      <c r="AT304" s="197" t="s">
        <v>209</v>
      </c>
      <c r="AW304" s="14" t="str">
        <f t="shared" si="108"/>
        <v>{64</v>
      </c>
      <c r="AX304" s="157" t="str" cm="1">
        <f t="array" ref="AX304">SUBSTITUTE(SUBSTITUTE(_xlfn.SWITCH(AM304, "ITM_T_HOME", "ITM_UP1", "ITM_T_END", "ITM_DOWN1", "DOCU_CHR_sub", "ITM_DOWN_ARROW", "DOCU_CHR_super", "ITM_UP_ARROW", "MNU_TAMALPHA", "ITM_alpha", "DOCU_CHR_caseFLIP", "ITM_NULL", "DOCU_CHR_numSET", "ITM_NULL", "DOCU_ITM_RADIX", "ITM_PERIOD", AM304), ".lo", ),"MNU_", "-MNU_")</f>
        <v>ITM_6</v>
      </c>
      <c r="AY304" s="157" t="str" cm="1">
        <f t="array" ref="AY304">SUBSTITUTE(SUBSTITUTE(_xlfn.SWITCH(AN304, "ITM_T_HOME", "ITM_UP1", "ITM_T_END", "ITM_DOWN1", "DOCU_CHR_sub", "ITM_DOWN_ARROW", "DOCU_CHR_super", "ITM_UP_ARROW", "MNU_TAMALPHA", "ITM_alpha", "DOCU_CHR_caseFLIP", "ITM_NULL", "DOCU_CHR_numSET", "ITM_NULL", "DOCU_ITM_RADIX", "ITM_PERIOD", AN304), ".lo", ),"MNU_", "-MNU_")</f>
        <v>-MNU_FLAGS</v>
      </c>
      <c r="AZ304" s="157" t="str" cm="1">
        <f t="array" ref="AZ304">SUBSTITUTE(SUBSTITUTE(_xlfn.SWITCH(AO304, "ITM_T_HOME", "ITM_UP1", "ITM_T_END", "ITM_DOWN1", "DOCU_CHR_sub", "ITM_DOWN_ARROW", "DOCU_CHR_super", "ITM_UP_ARROW", "MNU_TAMALPHA", "ITM_alpha", "DOCU_CHR_caseFLIP", "ITM_NULL", "DOCU_CHR_numSET", "ITM_NULL", "DOCU_ITM_RADIX", "ITM_PERIOD", AO304), ".lo", ),"MNU_", "-MNU_")</f>
        <v>-MNU_PARTS</v>
      </c>
      <c r="BA304" s="173" t="str" cm="1">
        <f t="array" ref="BA304">SUBSTITUTE(SUBSTITUTE(_xlfn.SWITCH(AP304, "ITM_T_HOME", "ITM_UP1", "ITM_T_END", "ITM_DOWN1", "DOCU_CHR_sub", "ITM_DOWN_ARROW", "DOCU_CHR_super", "ITM_UP_ARROW", "MNU_TAMALPHA", "ITM_alpha", "DOCU_CHR_caseFLIP", "ITM_NULL", "DOCU_CHR_numSET", "ITM_NULL", "DOCU_ITM_RADIX", "ITM_PERIOD", AP304), ".lo", ),"MNU_", "-MNU_")</f>
        <v>ITM_6</v>
      </c>
      <c r="BB304" s="157" t="str" cm="1">
        <f t="array" ref="BB304">SUBSTITUTE(SUBSTITUTE(_xlfn.SWITCH(AQ304, "ITM_T_HOME", "ITM_UP1", "ITM_T_END", "ITM_DOWN1", "DOCU_CHR_sub", "ITM_DOWN_ARROW", "DOCU_CHR_super", "ITM_UP_ARROW", "MNU_TAMALPHA", "ITM_alpha", "DOCU_CHR_caseFLIP", "ITM_NULL", "DOCU_CHR_numSET", "ITM_NULL", "DOCU_ITM_RADIX", "ITM_PERIOD", AQ304), ".lo", ),"MNU_", "-MNU_")</f>
        <v>ITM_T</v>
      </c>
      <c r="BC304" s="157" t="str" cm="1">
        <f t="array" ref="BC304">SUBSTITUTE(SUBSTITUTE(_xlfn.SWITCH(AR304, "ITM_T_HOME", "ITM_UP1", "ITM_T_END", "ITM_DOWN1", "DOCU_CHR_sub", "ITM_DOWN_ARROW", "DOCU_CHR_super", "ITM_UP_ARROW", "MNU_TAMALPHA", "ITM_alpha", "DOCU_CHR_caseFLIP", "ITM_NULL", "DOCU_CHR_numSET", "ITM_NULL", "DOCU_ITM_RADIX", "ITM_PERIOD", AR304), ".lo", ),"MNU_", "-MNU_")</f>
        <v>ITM_t</v>
      </c>
      <c r="BD304" s="157" t="str" cm="1">
        <f t="array" ref="BD304">SUBSTITUTE(SUBSTITUTE(_xlfn.SWITCH(AS304, "ITM_T_HOME", "ITM_UP1", "ITM_T_END", "ITM_DOWN1", "DOCU_CHR_sub", "ITM_DOWN_ARROW", "DOCU_CHR_super", "ITM_UP_ARROW", "MNU_TAMALPHA", "ITM_alpha", "DOCU_CHR_caseFLIP", "ITM_NULL", "DOCU_CHR_numSET", "ITM_NULL", "DOCU_ITM_RADIX", "ITM_PERIOD", AS304), ".lo", ),"MNU_", "-MNU_")</f>
        <v>ITM_6</v>
      </c>
      <c r="BE304" s="157" t="str" cm="1">
        <f t="array" ref="BE304">SUBSTITUTE(SUBSTITUTE(_xlfn.SWITCH(AT304, "ITM_T_HOME", "ITM_UP1", "ITM_T_END", "ITM_DOWN1", "DOCU_CHR_sub", "ITM_DOWN_ARROW", "DOCU_CHR_super", "ITM_UP_ARROW", "MNU_TAMALPHA", "ITM_alpha", "DOCU_CHR_caseFLIP", "ITM_NULL", "DOCU_CHR_numSET", "ITM_NULL", "DOCU_ITM_RADIX", "ITM_PERIOD", AT304), ".lo", ),"MNU_", "-MNU_")</f>
        <v>ITM_6</v>
      </c>
      <c r="BG304" s="75"/>
      <c r="BI304" s="13" t="str">
        <f t="shared" si="106"/>
        <v xml:space="preserve">  {64,                  ITM_6,                -MNU_FLAGS,           -MNU_PARTS,           ITM_6,                ITM_T,                ITM_t,                ITM_6,                ITM_6               },</v>
      </c>
    </row>
    <row r="305" spans="24:61" ht="21" x14ac:dyDescent="0.2">
      <c r="X305" s="141" t="str">
        <f t="shared" si="97"/>
        <v>D47</v>
      </c>
      <c r="Y305" s="142">
        <v>6</v>
      </c>
      <c r="Z305" s="142">
        <v>5</v>
      </c>
      <c r="AA305" s="144" t="str">
        <f t="shared" si="109"/>
        <v>D47.65</v>
      </c>
      <c r="AB305" s="153" t="s">
        <v>210</v>
      </c>
      <c r="AC305" s="149" t="s">
        <v>211</v>
      </c>
      <c r="AD305" s="150" t="s">
        <v>212</v>
      </c>
      <c r="AE305" s="3"/>
      <c r="AF305" s="52" t="s">
        <v>202</v>
      </c>
      <c r="AG305" s="77" t="b">
        <f t="shared" si="107"/>
        <v>1</v>
      </c>
      <c r="AH305" s="83" t="str">
        <f t="shared" si="98"/>
        <v>u</v>
      </c>
      <c r="AI305" s="84" t="str">
        <f t="shared" si="99"/>
        <v>✕</v>
      </c>
      <c r="AJ305" s="85" t="str">
        <f t="shared" si="100"/>
        <v>✕</v>
      </c>
      <c r="AK305" s="6"/>
      <c r="AL305" s="8" t="str">
        <f t="shared" si="101"/>
        <v>{65</v>
      </c>
      <c r="AM305" s="27" t="str">
        <f t="shared" si="102"/>
        <v>ITM_MULT</v>
      </c>
      <c r="AN305" s="27" t="str">
        <f t="shared" si="110"/>
        <v>MNU_PROB</v>
      </c>
      <c r="AO305" s="27" t="str">
        <f t="shared" si="111"/>
        <v>MNU_INTS</v>
      </c>
      <c r="AP305" s="46" t="str">
        <f>IF(NOT(ISNA(MATCH(AM305,Lookups!E:E,))),VLOOKUP(AM305,Lookups!E:F,2,0),
IF(NOT(ISNA(MATCH(AN305,Lookups!E:E,))),VLOOKUP(AN305,Lookups!E:F,2,0),
IF(NOT(ISNA(MATCH(AO305,Lookups!E:E,))),VLOOKUP(AO305,Lookups!E:F,2,0),"ITM_NULL")))</f>
        <v>ITM_CROSS</v>
      </c>
      <c r="AQ305" s="28" t="str">
        <f t="shared" si="105"/>
        <v>ITM_U</v>
      </c>
      <c r="AR305" s="195" t="s">
        <v>203</v>
      </c>
      <c r="AS305" s="186" t="s">
        <v>215</v>
      </c>
      <c r="AT305" s="197" t="s">
        <v>216</v>
      </c>
      <c r="AW305" s="14" t="str">
        <f t="shared" si="108"/>
        <v>{65</v>
      </c>
      <c r="AX305" s="157" t="str" cm="1">
        <f t="array" ref="AX305">SUBSTITUTE(SUBSTITUTE(_xlfn.SWITCH(AM305, "ITM_T_HOME", "ITM_UP1", "ITM_T_END", "ITM_DOWN1", "DOCU_CHR_sub", "ITM_DOWN_ARROW", "DOCU_CHR_super", "ITM_UP_ARROW", "MNU_TAMALPHA", "ITM_alpha", "DOCU_CHR_caseFLIP", "ITM_NULL", "DOCU_CHR_numSET", "ITM_NULL", "DOCU_ITM_RADIX", "ITM_PERIOD", AM305), ".lo", ),"MNU_", "-MNU_")</f>
        <v>ITM_MULT</v>
      </c>
      <c r="AY305" s="157" t="str" cm="1">
        <f t="array" ref="AY305">SUBSTITUTE(SUBSTITUTE(_xlfn.SWITCH(AN305, "ITM_T_HOME", "ITM_UP1", "ITM_T_END", "ITM_DOWN1", "DOCU_CHR_sub", "ITM_DOWN_ARROW", "DOCU_CHR_super", "ITM_UP_ARROW", "MNU_TAMALPHA", "ITM_alpha", "DOCU_CHR_caseFLIP", "ITM_NULL", "DOCU_CHR_numSET", "ITM_NULL", "DOCU_ITM_RADIX", "ITM_PERIOD", AN305), ".lo", ),"MNU_", "-MNU_")</f>
        <v>-MNU_PROB</v>
      </c>
      <c r="AZ305" s="157" t="str" cm="1">
        <f t="array" ref="AZ305">SUBSTITUTE(SUBSTITUTE(_xlfn.SWITCH(AO305, "ITM_T_HOME", "ITM_UP1", "ITM_T_END", "ITM_DOWN1", "DOCU_CHR_sub", "ITM_DOWN_ARROW", "DOCU_CHR_super", "ITM_UP_ARROW", "MNU_TAMALPHA", "ITM_alpha", "DOCU_CHR_caseFLIP", "ITM_NULL", "DOCU_CHR_numSET", "ITM_NULL", "DOCU_ITM_RADIX", "ITM_PERIOD", AO305), ".lo", ),"MNU_", "-MNU_")</f>
        <v>-MNU_INTS</v>
      </c>
      <c r="BA305" s="173" t="str" cm="1">
        <f t="array" ref="BA305">SUBSTITUTE(SUBSTITUTE(_xlfn.SWITCH(AP305, "ITM_T_HOME", "ITM_UP1", "ITM_T_END", "ITM_DOWN1", "DOCU_CHR_sub", "ITM_DOWN_ARROW", "DOCU_CHR_super", "ITM_UP_ARROW", "MNU_TAMALPHA", "ITM_alpha", "DOCU_CHR_caseFLIP", "ITM_NULL", "DOCU_CHR_numSET", "ITM_NULL", "DOCU_ITM_RADIX", "ITM_PERIOD", AP305), ".lo", ),"MNU_", "-MNU_")</f>
        <v>ITM_CROSS</v>
      </c>
      <c r="BB305" s="157" t="str" cm="1">
        <f t="array" ref="BB305">SUBSTITUTE(SUBSTITUTE(_xlfn.SWITCH(AQ305, "ITM_T_HOME", "ITM_UP1", "ITM_T_END", "ITM_DOWN1", "DOCU_CHR_sub", "ITM_DOWN_ARROW", "DOCU_CHR_super", "ITM_UP_ARROW", "MNU_TAMALPHA", "ITM_alpha", "DOCU_CHR_caseFLIP", "ITM_NULL", "DOCU_CHR_numSET", "ITM_NULL", "DOCU_ITM_RADIX", "ITM_PERIOD", AQ305), ".lo", ),"MNU_", "-MNU_")</f>
        <v>ITM_U</v>
      </c>
      <c r="BC305" s="157" t="str" cm="1">
        <f t="array" ref="BC305">SUBSTITUTE(SUBSTITUTE(_xlfn.SWITCH(AR305, "ITM_T_HOME", "ITM_UP1", "ITM_T_END", "ITM_DOWN1", "DOCU_CHR_sub", "ITM_DOWN_ARROW", "DOCU_CHR_super", "ITM_UP_ARROW", "MNU_TAMALPHA", "ITM_alpha", "DOCU_CHR_caseFLIP", "ITM_NULL", "DOCU_CHR_numSET", "ITM_NULL", "DOCU_ITM_RADIX", "ITM_PERIOD", AR305), ".lo", ),"MNU_", "-MNU_")</f>
        <v>ITM_u</v>
      </c>
      <c r="BD305" s="157" t="str" cm="1">
        <f t="array" ref="BD305">SUBSTITUTE(SUBSTITUTE(_xlfn.SWITCH(AS305, "ITM_T_HOME", "ITM_UP1", "ITM_T_END", "ITM_DOWN1", "DOCU_CHR_sub", "ITM_DOWN_ARROW", "DOCU_CHR_super", "ITM_UP_ARROW", "MNU_TAMALPHA", "ITM_alpha", "DOCU_CHR_caseFLIP", "ITM_NULL", "DOCU_CHR_numSET", "ITM_NULL", "DOCU_ITM_RADIX", "ITM_PERIOD", AS305), ".lo", ),"MNU_", "-MNU_")</f>
        <v>ITM_CROSS</v>
      </c>
      <c r="BE305" s="157" t="str" cm="1">
        <f t="array" ref="BE305">SUBSTITUTE(SUBSTITUTE(_xlfn.SWITCH(AT305, "ITM_T_HOME", "ITM_UP1", "ITM_T_END", "ITM_DOWN1", "DOCU_CHR_sub", "ITM_DOWN_ARROW", "DOCU_CHR_super", "ITM_UP_ARROW", "MNU_TAMALPHA", "ITM_alpha", "DOCU_CHR_caseFLIP", "ITM_NULL", "DOCU_CHR_numSET", "ITM_NULL", "DOCU_ITM_RADIX", "ITM_PERIOD", AT305), ".lo", ),"MNU_", "-MNU_")</f>
        <v>ITM_MULT</v>
      </c>
      <c r="BG305" s="75"/>
      <c r="BI305" s="13" t="str">
        <f t="shared" si="106"/>
        <v xml:space="preserve">  {65,                  ITM_MULT,             -MNU_PROB,            -MNU_INTS,            ITM_CROSS,            ITM_U,                ITM_u,                ITM_CROSS,            ITM_MULT            },</v>
      </c>
    </row>
    <row r="306" spans="24:61" ht="21" x14ac:dyDescent="0.2">
      <c r="X306" s="141" t="str">
        <f t="shared" si="97"/>
        <v>D47</v>
      </c>
      <c r="Y306" s="138">
        <v>7</v>
      </c>
      <c r="Z306" s="138">
        <v>1</v>
      </c>
      <c r="AA306" s="144" t="str">
        <f t="shared" si="109"/>
        <v>D47.71</v>
      </c>
      <c r="AB306" s="148" t="s">
        <v>188</v>
      </c>
      <c r="AC306" s="149" t="s">
        <v>189</v>
      </c>
      <c r="AD306" s="150" t="s">
        <v>190</v>
      </c>
      <c r="AE306" s="3"/>
      <c r="AF306" s="52" t="s">
        <v>191</v>
      </c>
      <c r="AG306" s="77" t="b">
        <f t="shared" si="107"/>
        <v>0</v>
      </c>
      <c r="AH306" s="83" t="str">
        <f t="shared" si="98"/>
        <v>CASE DN</v>
      </c>
      <c r="AI306" s="84" t="str">
        <f t="shared" si="99"/>
        <v>Sub</v>
      </c>
      <c r="AJ306" s="85" t="str">
        <f t="shared" si="100"/>
        <v>Dn</v>
      </c>
      <c r="AK306" s="6"/>
      <c r="AL306" s="8" t="str">
        <f t="shared" si="101"/>
        <v>{71</v>
      </c>
      <c r="AM306" s="27" t="str">
        <f t="shared" si="102"/>
        <v>ITM_DOWN1</v>
      </c>
      <c r="AN306" s="27" t="str">
        <f t="shared" si="110"/>
        <v>ITM_SST</v>
      </c>
      <c r="AO306" s="27" t="str">
        <f t="shared" si="111"/>
        <v>ITM_FLGSV</v>
      </c>
      <c r="AP306" s="46" t="str">
        <f>IF(NOT(ISNA(MATCH(AM306,Lookups!E:E,))),VLOOKUP(AM306,Lookups!E:F,2,0),
IF(NOT(ISNA(MATCH(AN306,Lookups!E:E,))),VLOOKUP(AN306,Lookups!E:F,2,0),
IF(NOT(ISNA(MATCH(AO306,Lookups!E:E,))),VLOOKUP(AO306,Lookups!E:F,2,0),"ITM_NULL")))</f>
        <v>ITM_DOWN1</v>
      </c>
      <c r="AQ306" s="28" t="str">
        <f>VLOOKUP(AF306,labelitem,2,0)</f>
        <v>ITM_T_END</v>
      </c>
      <c r="AR306" s="198" t="s">
        <v>192</v>
      </c>
      <c r="AS306" s="186" t="s">
        <v>193</v>
      </c>
      <c r="AT306" s="197" t="s">
        <v>194</v>
      </c>
      <c r="AW306" s="14" t="str">
        <f t="shared" si="108"/>
        <v>{71</v>
      </c>
      <c r="AX306" s="157" t="str" cm="1">
        <f t="array" ref="AX306">SUBSTITUTE(SUBSTITUTE(_xlfn.SWITCH(AM306, "ITM_T_HOME", "ITM_UP1", "ITM_T_END", "ITM_DOWN1", "DOCU_CHR_sub", "ITM_DOWN_ARROW", "DOCU_CHR_super", "ITM_UP_ARROW", "MNU_TAMALPHA", "ITM_alpha", "DOCU_CHR_caseFLIP", "ITM_NULL", "DOCU_CHR_numSET", "ITM_NULL", "DOCU_ITM_RADIX", "ITM_PERIOD", AM306), ".lo", ),"MNU_", "-MNU_")</f>
        <v>ITM_DOWN1</v>
      </c>
      <c r="AY306" s="157" t="str" cm="1">
        <f t="array" ref="AY306">SUBSTITUTE(SUBSTITUTE(_xlfn.SWITCH(AN306, "ITM_T_HOME", "ITM_UP1", "ITM_T_END", "ITM_DOWN1", "DOCU_CHR_sub", "ITM_DOWN_ARROW", "DOCU_CHR_super", "ITM_UP_ARROW", "MNU_TAMALPHA", "ITM_alpha", "DOCU_CHR_caseFLIP", "ITM_NULL", "DOCU_CHR_numSET", "ITM_NULL", "DOCU_ITM_RADIX", "ITM_PERIOD", AN306), ".lo", ),"MNU_", "-MNU_")</f>
        <v>ITM_SST</v>
      </c>
      <c r="AZ306" s="157" t="str" cm="1">
        <f t="array" ref="AZ306">SUBSTITUTE(SUBSTITUTE(_xlfn.SWITCH(AO306, "ITM_T_HOME", "ITM_UP1", "ITM_T_END", "ITM_DOWN1", "DOCU_CHR_sub", "ITM_DOWN_ARROW", "DOCU_CHR_super", "ITM_UP_ARROW", "MNU_TAMALPHA", "ITM_alpha", "DOCU_CHR_caseFLIP", "ITM_NULL", "DOCU_CHR_numSET", "ITM_NULL", "DOCU_ITM_RADIX", "ITM_PERIOD", AO306), ".lo", ),"MNU_", "-MNU_")</f>
        <v>ITM_FLGSV</v>
      </c>
      <c r="BA306" s="173" t="str" cm="1">
        <f t="array" ref="BA306">SUBSTITUTE(SUBSTITUTE(_xlfn.SWITCH(AP306, "ITM_T_HOME", "ITM_UP1", "ITM_T_END", "ITM_DOWN1", "DOCU_CHR_sub", "ITM_DOWN_ARROW", "DOCU_CHR_super", "ITM_UP_ARROW", "MNU_TAMALPHA", "ITM_alpha", "DOCU_CHR_caseFLIP", "ITM_NULL", "DOCU_CHR_numSET", "ITM_NULL", "DOCU_ITM_RADIX", "ITM_PERIOD", AP306), ".lo", ),"MNU_", "-MNU_")</f>
        <v>ITM_DOWN1</v>
      </c>
      <c r="BB306" s="157" t="str" cm="1">
        <f t="array" ref="BB306">SUBSTITUTE(SUBSTITUTE(_xlfn.SWITCH(AQ306, "ITM_T_HOME", "ITM_UP1", "ITM_T_END", "ITM_DOWN1", "DOCU_CHR_sub", "ITM_DOWN_ARROW", "DOCU_CHR_super", "ITM_UP_ARROW", "MNU_TAMALPHA", "ITM_alpha", "DOCU_CHR_caseFLIP", "ITM_NULL", "DOCU_CHR_numSET", "ITM_NULL", "DOCU_ITM_RADIX", "ITM_PERIOD", AQ306), ".lo", ),"MNU_", "-MNU_")</f>
        <v>ITM_DOWN1</v>
      </c>
      <c r="BC306" s="157" t="str" cm="1">
        <f t="array" ref="BC306">SUBSTITUTE(SUBSTITUTE(_xlfn.SWITCH(AR306, "ITM_T_HOME", "ITM_UP1", "ITM_T_END", "ITM_DOWN1", "DOCU_CHR_sub", "ITM_DOWN_ARROW", "DOCU_CHR_super", "ITM_UP_ARROW", "MNU_TAMALPHA", "ITM_alpha", "DOCU_CHR_caseFLIP", "ITM_NULL", "DOCU_CHR_numSET", "ITM_NULL", "DOCU_ITM_RADIX", "ITM_PERIOD", AR306), ".lo", ),"MNU_", "-MNU_")</f>
        <v>CHR_caseDN</v>
      </c>
      <c r="BD306" s="157" t="str" cm="1">
        <f t="array" ref="BD306">SUBSTITUTE(SUBSTITUTE(_xlfn.SWITCH(AS306, "ITM_T_HOME", "ITM_UP1", "ITM_T_END", "ITM_DOWN1", "DOCU_CHR_sub", "ITM_DOWN_ARROW", "DOCU_CHR_super", "ITM_UP_ARROW", "MNU_TAMALPHA", "ITM_alpha", "DOCU_CHR_caseFLIP", "ITM_NULL", "DOCU_CHR_numSET", "ITM_NULL", "DOCU_ITM_RADIX", "ITM_PERIOD", AS306), ".lo", ),"MNU_", "-MNU_")</f>
        <v>ITM_DOWN_ARROW</v>
      </c>
      <c r="BE306" s="157" t="str" cm="1">
        <f t="array" ref="BE306">SUBSTITUTE(SUBSTITUTE(_xlfn.SWITCH(AT306, "ITM_T_HOME", "ITM_UP1", "ITM_T_END", "ITM_DOWN1", "DOCU_CHR_sub", "ITM_DOWN_ARROW", "DOCU_CHR_super", "ITM_UP_ARROW", "MNU_TAMALPHA", "ITM_alpha", "DOCU_CHR_caseFLIP", "ITM_NULL", "DOCU_CHR_numSET", "ITM_NULL", "DOCU_ITM_RADIX", "ITM_PERIOD", AT306), ".lo", ),"MNU_", "-MNU_")</f>
        <v>ITM_DOWN1</v>
      </c>
      <c r="BG306" s="75"/>
      <c r="BI306" s="13" t="str">
        <f t="shared" si="106"/>
        <v xml:space="preserve">  {71,                  ITM_DOWN1,            ITM_SST,              ITM_FLGSV,            ITM_DOWN1,            ITM_DOWN1,            CHR_caseDN,           ITM_DOWN_ARROW,       ITM_DOWN1           },</v>
      </c>
    </row>
    <row r="307" spans="24:61" ht="21" x14ac:dyDescent="0.2">
      <c r="X307" s="141" t="str">
        <f t="shared" si="97"/>
        <v>D47</v>
      </c>
      <c r="Y307" s="142">
        <v>7</v>
      </c>
      <c r="Z307" s="142">
        <v>2</v>
      </c>
      <c r="AA307" s="144" t="str">
        <f t="shared" si="109"/>
        <v>D47.72</v>
      </c>
      <c r="AB307" s="148">
        <v>1</v>
      </c>
      <c r="AC307" s="149" t="s">
        <v>222</v>
      </c>
      <c r="AD307" s="150" t="s">
        <v>223</v>
      </c>
      <c r="AE307" s="3"/>
      <c r="AF307" s="52" t="s">
        <v>207</v>
      </c>
      <c r="AG307" s="77" t="b">
        <f t="shared" si="107"/>
        <v>1</v>
      </c>
      <c r="AH307" s="83" t="str">
        <f t="shared" si="98"/>
        <v>v</v>
      </c>
      <c r="AI307" s="84">
        <f t="shared" si="99"/>
        <v>1</v>
      </c>
      <c r="AJ307" s="85">
        <f t="shared" si="100"/>
        <v>1</v>
      </c>
      <c r="AK307" s="6"/>
      <c r="AL307" s="8" t="str">
        <f t="shared" si="101"/>
        <v>{72</v>
      </c>
      <c r="AM307" s="27" t="str">
        <f t="shared" si="102"/>
        <v>ITM_1</v>
      </c>
      <c r="AN307" s="27" t="str">
        <f t="shared" si="110"/>
        <v>ITM_ASSIGN</v>
      </c>
      <c r="AO307" s="27" t="str">
        <f t="shared" si="111"/>
        <v>MNU_KEYS</v>
      </c>
      <c r="AP307" s="46" t="str">
        <f>IF(NOT(ISNA(MATCH(AM307,Lookups!E:E,))),VLOOKUP(AM307,Lookups!E:F,2,0),
IF(NOT(ISNA(MATCH(AN307,Lookups!E:E,))),VLOOKUP(AN307,Lookups!E:F,2,0),
IF(NOT(ISNA(MATCH(AO307,Lookups!E:E,))),VLOOKUP(AO307,Lookups!E:F,2,0),"ITM_NULL")))</f>
        <v>ITM_1</v>
      </c>
      <c r="AQ307" s="28" t="str">
        <f t="shared" si="105"/>
        <v>ITM_V</v>
      </c>
      <c r="AR307" s="195" t="s">
        <v>208</v>
      </c>
      <c r="AS307" s="186" t="s">
        <v>226</v>
      </c>
      <c r="AT307" s="197" t="s">
        <v>226</v>
      </c>
      <c r="AW307" s="14" t="str">
        <f t="shared" si="108"/>
        <v>{72</v>
      </c>
      <c r="AX307" s="157" t="str" cm="1">
        <f t="array" ref="AX307">SUBSTITUTE(SUBSTITUTE(_xlfn.SWITCH(AM307, "ITM_T_HOME", "ITM_UP1", "ITM_T_END", "ITM_DOWN1", "DOCU_CHR_sub", "ITM_DOWN_ARROW", "DOCU_CHR_super", "ITM_UP_ARROW", "MNU_TAMALPHA", "ITM_alpha", "DOCU_CHR_caseFLIP", "ITM_NULL", "DOCU_CHR_numSET", "ITM_NULL", "DOCU_ITM_RADIX", "ITM_PERIOD", AM307), ".lo", ),"MNU_", "-MNU_")</f>
        <v>ITM_1</v>
      </c>
      <c r="AY307" s="157" t="str" cm="1">
        <f t="array" ref="AY307">SUBSTITUTE(SUBSTITUTE(_xlfn.SWITCH(AN307, "ITM_T_HOME", "ITM_UP1", "ITM_T_END", "ITM_DOWN1", "DOCU_CHR_sub", "ITM_DOWN_ARROW", "DOCU_CHR_super", "ITM_UP_ARROW", "MNU_TAMALPHA", "ITM_alpha", "DOCU_CHR_caseFLIP", "ITM_NULL", "DOCU_CHR_numSET", "ITM_NULL", "DOCU_ITM_RADIX", "ITM_PERIOD", AN307), ".lo", ),"MNU_", "-MNU_")</f>
        <v>ITM_ASSIGN</v>
      </c>
      <c r="AZ307" s="157" t="str" cm="1">
        <f t="array" ref="AZ307">SUBSTITUTE(SUBSTITUTE(_xlfn.SWITCH(AO307, "ITM_T_HOME", "ITM_UP1", "ITM_T_END", "ITM_DOWN1", "DOCU_CHR_sub", "ITM_DOWN_ARROW", "DOCU_CHR_super", "ITM_UP_ARROW", "MNU_TAMALPHA", "ITM_alpha", "DOCU_CHR_caseFLIP", "ITM_NULL", "DOCU_CHR_numSET", "ITM_NULL", "DOCU_ITM_RADIX", "ITM_PERIOD", AO307), ".lo", ),"MNU_", "-MNU_")</f>
        <v>-MNU_KEYS</v>
      </c>
      <c r="BA307" s="173" t="str" cm="1">
        <f t="array" ref="BA307">SUBSTITUTE(SUBSTITUTE(_xlfn.SWITCH(AP307, "ITM_T_HOME", "ITM_UP1", "ITM_T_END", "ITM_DOWN1", "DOCU_CHR_sub", "ITM_DOWN_ARROW", "DOCU_CHR_super", "ITM_UP_ARROW", "MNU_TAMALPHA", "ITM_alpha", "DOCU_CHR_caseFLIP", "ITM_NULL", "DOCU_CHR_numSET", "ITM_NULL", "DOCU_ITM_RADIX", "ITM_PERIOD", AP307), ".lo", ),"MNU_", "-MNU_")</f>
        <v>ITM_1</v>
      </c>
      <c r="BB307" s="157" t="str" cm="1">
        <f t="array" ref="BB307">SUBSTITUTE(SUBSTITUTE(_xlfn.SWITCH(AQ307, "ITM_T_HOME", "ITM_UP1", "ITM_T_END", "ITM_DOWN1", "DOCU_CHR_sub", "ITM_DOWN_ARROW", "DOCU_CHR_super", "ITM_UP_ARROW", "MNU_TAMALPHA", "ITM_alpha", "DOCU_CHR_caseFLIP", "ITM_NULL", "DOCU_CHR_numSET", "ITM_NULL", "DOCU_ITM_RADIX", "ITM_PERIOD", AQ307), ".lo", ),"MNU_", "-MNU_")</f>
        <v>ITM_V</v>
      </c>
      <c r="BC307" s="157" t="str" cm="1">
        <f t="array" ref="BC307">SUBSTITUTE(SUBSTITUTE(_xlfn.SWITCH(AR307, "ITM_T_HOME", "ITM_UP1", "ITM_T_END", "ITM_DOWN1", "DOCU_CHR_sub", "ITM_DOWN_ARROW", "DOCU_CHR_super", "ITM_UP_ARROW", "MNU_TAMALPHA", "ITM_alpha", "DOCU_CHR_caseFLIP", "ITM_NULL", "DOCU_CHR_numSET", "ITM_NULL", "DOCU_ITM_RADIX", "ITM_PERIOD", AR307), ".lo", ),"MNU_", "-MNU_")</f>
        <v>ITM_v</v>
      </c>
      <c r="BD307" s="157" t="str" cm="1">
        <f t="array" ref="BD307">SUBSTITUTE(SUBSTITUTE(_xlfn.SWITCH(AS307, "ITM_T_HOME", "ITM_UP1", "ITM_T_END", "ITM_DOWN1", "DOCU_CHR_sub", "ITM_DOWN_ARROW", "DOCU_CHR_super", "ITM_UP_ARROW", "MNU_TAMALPHA", "ITM_alpha", "DOCU_CHR_caseFLIP", "ITM_NULL", "DOCU_CHR_numSET", "ITM_NULL", "DOCU_ITM_RADIX", "ITM_PERIOD", AS307), ".lo", ),"MNU_", "-MNU_")</f>
        <v>ITM_1</v>
      </c>
      <c r="BE307" s="157" t="str" cm="1">
        <f t="array" ref="BE307">SUBSTITUTE(SUBSTITUTE(_xlfn.SWITCH(AT307, "ITM_T_HOME", "ITM_UP1", "ITM_T_END", "ITM_DOWN1", "DOCU_CHR_sub", "ITM_DOWN_ARROW", "DOCU_CHR_super", "ITM_UP_ARROW", "MNU_TAMALPHA", "ITM_alpha", "DOCU_CHR_caseFLIP", "ITM_NULL", "DOCU_CHR_numSET", "ITM_NULL", "DOCU_ITM_RADIX", "ITM_PERIOD", AT307), ".lo", ),"MNU_", "-MNU_")</f>
        <v>ITM_1</v>
      </c>
      <c r="BG307" s="75"/>
      <c r="BI307" s="13" t="str">
        <f t="shared" si="106"/>
        <v xml:space="preserve">  {72,                  ITM_1,                ITM_ASSIGN,           -MNU_KEYS,            ITM_1,                ITM_V,                ITM_v,                ITM_1,                ITM_1               },</v>
      </c>
    </row>
    <row r="308" spans="24:61" ht="21" x14ac:dyDescent="0.2">
      <c r="X308" s="141" t="str">
        <f t="shared" si="97"/>
        <v>D47</v>
      </c>
      <c r="Y308" s="142">
        <v>7</v>
      </c>
      <c r="Z308" s="142">
        <v>3</v>
      </c>
      <c r="AA308" s="144" t="str">
        <f t="shared" si="109"/>
        <v>D47.73</v>
      </c>
      <c r="AB308" s="148">
        <v>2</v>
      </c>
      <c r="AC308" s="152" t="s">
        <v>447</v>
      </c>
      <c r="AD308" s="119" t="s">
        <v>645</v>
      </c>
      <c r="AE308" s="3"/>
      <c r="AF308" s="52" t="s">
        <v>213</v>
      </c>
      <c r="AG308" s="77" t="b">
        <f t="shared" si="107"/>
        <v>1</v>
      </c>
      <c r="AH308" s="83" t="str">
        <f t="shared" si="98"/>
        <v>w</v>
      </c>
      <c r="AI308" s="84">
        <f t="shared" si="99"/>
        <v>2</v>
      </c>
      <c r="AJ308" s="85">
        <f t="shared" si="100"/>
        <v>2</v>
      </c>
      <c r="AK308" s="6"/>
      <c r="AL308" s="8" t="str">
        <f t="shared" si="101"/>
        <v>{73</v>
      </c>
      <c r="AM308" s="27" t="str">
        <f t="shared" si="102"/>
        <v>ITM_2</v>
      </c>
      <c r="AN308" s="27" t="str">
        <f t="shared" si="110"/>
        <v>MNU_SETUP</v>
      </c>
      <c r="AO308" s="27" t="str">
        <f t="shared" si="111"/>
        <v>MNU_ALPHAFN</v>
      </c>
      <c r="AP308" s="46" t="str">
        <f>IF(NOT(ISNA(MATCH(AM308,Lookups!E:E,))),VLOOKUP(AM308,Lookups!E:F,2,0),
IF(NOT(ISNA(MATCH(AN308,Lookups!E:E,))),VLOOKUP(AN308,Lookups!E:F,2,0),
IF(NOT(ISNA(MATCH(AO308,Lookups!E:E,))),VLOOKUP(AO308,Lookups!E:F,2,0),"ITM_NULL")))</f>
        <v>ITM_2</v>
      </c>
      <c r="AQ308" s="28" t="str">
        <f t="shared" si="105"/>
        <v>ITM_W</v>
      </c>
      <c r="AR308" s="195" t="s">
        <v>214</v>
      </c>
      <c r="AS308" s="186" t="s">
        <v>230</v>
      </c>
      <c r="AT308" s="197" t="s">
        <v>230</v>
      </c>
      <c r="AW308" s="14" t="str">
        <f t="shared" si="108"/>
        <v>{73</v>
      </c>
      <c r="AX308" s="157" t="str" cm="1">
        <f t="array" ref="AX308">SUBSTITUTE(SUBSTITUTE(_xlfn.SWITCH(AM308, "ITM_T_HOME", "ITM_UP1", "ITM_T_END", "ITM_DOWN1", "DOCU_CHR_sub", "ITM_DOWN_ARROW", "DOCU_CHR_super", "ITM_UP_ARROW", "MNU_TAMALPHA", "ITM_alpha", "DOCU_CHR_caseFLIP", "ITM_NULL", "DOCU_CHR_numSET", "ITM_NULL", "DOCU_ITM_RADIX", "ITM_PERIOD", AM308), ".lo", ),"MNU_", "-MNU_")</f>
        <v>ITM_2</v>
      </c>
      <c r="AY308" s="157" t="str" cm="1">
        <f t="array" ref="AY308">SUBSTITUTE(SUBSTITUTE(_xlfn.SWITCH(AN308, "ITM_T_HOME", "ITM_UP1", "ITM_T_END", "ITM_DOWN1", "DOCU_CHR_sub", "ITM_DOWN_ARROW", "DOCU_CHR_super", "ITM_UP_ARROW", "MNU_TAMALPHA", "ITM_alpha", "DOCU_CHR_caseFLIP", "ITM_NULL", "DOCU_CHR_numSET", "ITM_NULL", "DOCU_ITM_RADIX", "ITM_PERIOD", AN308), ".lo", ),"MNU_", "-MNU_")</f>
        <v>-MNU_SETUP</v>
      </c>
      <c r="AZ308" s="157" t="str" cm="1">
        <f t="array" ref="AZ308">SUBSTITUTE(SUBSTITUTE(_xlfn.SWITCH(AO308, "ITM_T_HOME", "ITM_UP1", "ITM_T_END", "ITM_DOWN1", "DOCU_CHR_sub", "ITM_DOWN_ARROW", "DOCU_CHR_super", "ITM_UP_ARROW", "MNU_TAMALPHA", "ITM_alpha", "DOCU_CHR_caseFLIP", "ITM_NULL", "DOCU_CHR_numSET", "ITM_NULL", "DOCU_ITM_RADIX", "ITM_PERIOD", AO308), ".lo", ),"MNU_", "-MNU_")</f>
        <v>-MNU_ALPHAFN</v>
      </c>
      <c r="BA308" s="173" t="str" cm="1">
        <f t="array" ref="BA308">SUBSTITUTE(SUBSTITUTE(_xlfn.SWITCH(AP308, "ITM_T_HOME", "ITM_UP1", "ITM_T_END", "ITM_DOWN1", "DOCU_CHR_sub", "ITM_DOWN_ARROW", "DOCU_CHR_super", "ITM_UP_ARROW", "MNU_TAMALPHA", "ITM_alpha", "DOCU_CHR_caseFLIP", "ITM_NULL", "DOCU_CHR_numSET", "ITM_NULL", "DOCU_ITM_RADIX", "ITM_PERIOD", AP308), ".lo", ),"MNU_", "-MNU_")</f>
        <v>ITM_2</v>
      </c>
      <c r="BB308" s="157" t="str" cm="1">
        <f t="array" ref="BB308">SUBSTITUTE(SUBSTITUTE(_xlfn.SWITCH(AQ308, "ITM_T_HOME", "ITM_UP1", "ITM_T_END", "ITM_DOWN1", "DOCU_CHR_sub", "ITM_DOWN_ARROW", "DOCU_CHR_super", "ITM_UP_ARROW", "MNU_TAMALPHA", "ITM_alpha", "DOCU_CHR_caseFLIP", "ITM_NULL", "DOCU_CHR_numSET", "ITM_NULL", "DOCU_ITM_RADIX", "ITM_PERIOD", AQ308), ".lo", ),"MNU_", "-MNU_")</f>
        <v>ITM_W</v>
      </c>
      <c r="BC308" s="157" t="str" cm="1">
        <f t="array" ref="BC308">SUBSTITUTE(SUBSTITUTE(_xlfn.SWITCH(AR308, "ITM_T_HOME", "ITM_UP1", "ITM_T_END", "ITM_DOWN1", "DOCU_CHR_sub", "ITM_DOWN_ARROW", "DOCU_CHR_super", "ITM_UP_ARROW", "MNU_TAMALPHA", "ITM_alpha", "DOCU_CHR_caseFLIP", "ITM_NULL", "DOCU_CHR_numSET", "ITM_NULL", "DOCU_ITM_RADIX", "ITM_PERIOD", AR308), ".lo", ),"MNU_", "-MNU_")</f>
        <v>ITM_w</v>
      </c>
      <c r="BD308" s="157" t="str" cm="1">
        <f t="array" ref="BD308">SUBSTITUTE(SUBSTITUTE(_xlfn.SWITCH(AS308, "ITM_T_HOME", "ITM_UP1", "ITM_T_END", "ITM_DOWN1", "DOCU_CHR_sub", "ITM_DOWN_ARROW", "DOCU_CHR_super", "ITM_UP_ARROW", "MNU_TAMALPHA", "ITM_alpha", "DOCU_CHR_caseFLIP", "ITM_NULL", "DOCU_CHR_numSET", "ITM_NULL", "DOCU_ITM_RADIX", "ITM_PERIOD", AS308), ".lo", ),"MNU_", "-MNU_")</f>
        <v>ITM_2</v>
      </c>
      <c r="BE308" s="157" t="str" cm="1">
        <f t="array" ref="BE308">SUBSTITUTE(SUBSTITUTE(_xlfn.SWITCH(AT308, "ITM_T_HOME", "ITM_UP1", "ITM_T_END", "ITM_DOWN1", "DOCU_CHR_sub", "ITM_DOWN_ARROW", "DOCU_CHR_super", "ITM_UP_ARROW", "MNU_TAMALPHA", "ITM_alpha", "DOCU_CHR_caseFLIP", "ITM_NULL", "DOCU_CHR_numSET", "ITM_NULL", "DOCU_ITM_RADIX", "ITM_PERIOD", AT308), ".lo", ),"MNU_", "-MNU_")</f>
        <v>ITM_2</v>
      </c>
      <c r="BG308" s="75"/>
      <c r="BI308" s="13" t="str">
        <f t="shared" si="106"/>
        <v xml:space="preserve">  {73,                  ITM_2,                -MNU_SETUP,           -MNU_ALPHAFN,         ITM_2,                ITM_W,                ITM_w,                ITM_2,                ITM_2               },</v>
      </c>
    </row>
    <row r="309" spans="24:61" ht="21" x14ac:dyDescent="0.2">
      <c r="X309" s="141" t="str">
        <f t="shared" si="97"/>
        <v>D47</v>
      </c>
      <c r="Y309" s="142">
        <v>7</v>
      </c>
      <c r="Z309" s="142">
        <v>4</v>
      </c>
      <c r="AA309" s="144" t="str">
        <f t="shared" si="109"/>
        <v>D47.74</v>
      </c>
      <c r="AB309" s="148">
        <v>3</v>
      </c>
      <c r="AC309" s="149" t="s">
        <v>231</v>
      </c>
      <c r="AD309" s="150" t="s">
        <v>232</v>
      </c>
      <c r="AE309" s="3"/>
      <c r="AF309" s="52" t="s">
        <v>224</v>
      </c>
      <c r="AG309" s="77" t="b">
        <f t="shared" si="107"/>
        <v>1</v>
      </c>
      <c r="AH309" s="83" t="str">
        <f t="shared" si="98"/>
        <v>x</v>
      </c>
      <c r="AI309" s="84">
        <f t="shared" si="99"/>
        <v>3</v>
      </c>
      <c r="AJ309" s="85">
        <f t="shared" si="100"/>
        <v>3</v>
      </c>
      <c r="AK309" s="6"/>
      <c r="AL309" s="8" t="str">
        <f t="shared" si="101"/>
        <v>{74</v>
      </c>
      <c r="AM309" s="27" t="str">
        <f t="shared" si="102"/>
        <v>ITM_3</v>
      </c>
      <c r="AN309" s="27" t="str">
        <f t="shared" si="110"/>
        <v>MNU_PFN</v>
      </c>
      <c r="AO309" s="27" t="str">
        <f t="shared" si="111"/>
        <v>MNU_LOOP</v>
      </c>
      <c r="AP309" s="46" t="str">
        <f>IF(NOT(ISNA(MATCH(AM309,Lookups!E:E,))),VLOOKUP(AM309,Lookups!E:F,2,0),
IF(NOT(ISNA(MATCH(AN309,Lookups!E:E,))),VLOOKUP(AN309,Lookups!E:F,2,0),
IF(NOT(ISNA(MATCH(AO309,Lookups!E:E,))),VLOOKUP(AO309,Lookups!E:F,2,0),"ITM_NULL")))</f>
        <v>ITM_3</v>
      </c>
      <c r="AQ309" s="28" t="str">
        <f t="shared" si="105"/>
        <v>ITM_X</v>
      </c>
      <c r="AR309" s="195" t="s">
        <v>225</v>
      </c>
      <c r="AS309" s="186" t="s">
        <v>235</v>
      </c>
      <c r="AT309" s="197" t="s">
        <v>235</v>
      </c>
      <c r="AW309" s="14" t="str">
        <f t="shared" si="108"/>
        <v>{74</v>
      </c>
      <c r="AX309" s="157" t="str" cm="1">
        <f t="array" ref="AX309">SUBSTITUTE(SUBSTITUTE(_xlfn.SWITCH(AM309, "ITM_T_HOME", "ITM_UP1", "ITM_T_END", "ITM_DOWN1", "DOCU_CHR_sub", "ITM_DOWN_ARROW", "DOCU_CHR_super", "ITM_UP_ARROW", "MNU_TAMALPHA", "ITM_alpha", "DOCU_CHR_caseFLIP", "ITM_NULL", "DOCU_CHR_numSET", "ITM_NULL", "DOCU_ITM_RADIX", "ITM_PERIOD", AM309), ".lo", ),"MNU_", "-MNU_")</f>
        <v>ITM_3</v>
      </c>
      <c r="AY309" s="157" t="str" cm="1">
        <f t="array" ref="AY309">SUBSTITUTE(SUBSTITUTE(_xlfn.SWITCH(AN309, "ITM_T_HOME", "ITM_UP1", "ITM_T_END", "ITM_DOWN1", "DOCU_CHR_sub", "ITM_DOWN_ARROW", "DOCU_CHR_super", "ITM_UP_ARROW", "MNU_TAMALPHA", "ITM_alpha", "DOCU_CHR_caseFLIP", "ITM_NULL", "DOCU_CHR_numSET", "ITM_NULL", "DOCU_ITM_RADIX", "ITM_PERIOD", AN309), ".lo", ),"MNU_", "-MNU_")</f>
        <v>-MNU_PFN</v>
      </c>
      <c r="AZ309" s="157" t="str" cm="1">
        <f t="array" ref="AZ309">SUBSTITUTE(SUBSTITUTE(_xlfn.SWITCH(AO309, "ITM_T_HOME", "ITM_UP1", "ITM_T_END", "ITM_DOWN1", "DOCU_CHR_sub", "ITM_DOWN_ARROW", "DOCU_CHR_super", "ITM_UP_ARROW", "MNU_TAMALPHA", "ITM_alpha", "DOCU_CHR_caseFLIP", "ITM_NULL", "DOCU_CHR_numSET", "ITM_NULL", "DOCU_ITM_RADIX", "ITM_PERIOD", AO309), ".lo", ),"MNU_", "-MNU_")</f>
        <v>-MNU_LOOP</v>
      </c>
      <c r="BA309" s="173" t="str" cm="1">
        <f t="array" ref="BA309">SUBSTITUTE(SUBSTITUTE(_xlfn.SWITCH(AP309, "ITM_T_HOME", "ITM_UP1", "ITM_T_END", "ITM_DOWN1", "DOCU_CHR_sub", "ITM_DOWN_ARROW", "DOCU_CHR_super", "ITM_UP_ARROW", "MNU_TAMALPHA", "ITM_alpha", "DOCU_CHR_caseFLIP", "ITM_NULL", "DOCU_CHR_numSET", "ITM_NULL", "DOCU_ITM_RADIX", "ITM_PERIOD", AP309), ".lo", ),"MNU_", "-MNU_")</f>
        <v>ITM_3</v>
      </c>
      <c r="BB309" s="157" t="str" cm="1">
        <f t="array" ref="BB309">SUBSTITUTE(SUBSTITUTE(_xlfn.SWITCH(AQ309, "ITM_T_HOME", "ITM_UP1", "ITM_T_END", "ITM_DOWN1", "DOCU_CHR_sub", "ITM_DOWN_ARROW", "DOCU_CHR_super", "ITM_UP_ARROW", "MNU_TAMALPHA", "ITM_alpha", "DOCU_CHR_caseFLIP", "ITM_NULL", "DOCU_CHR_numSET", "ITM_NULL", "DOCU_ITM_RADIX", "ITM_PERIOD", AQ309), ".lo", ),"MNU_", "-MNU_")</f>
        <v>ITM_X</v>
      </c>
      <c r="BC309" s="157" t="str" cm="1">
        <f t="array" ref="BC309">SUBSTITUTE(SUBSTITUTE(_xlfn.SWITCH(AR309, "ITM_T_HOME", "ITM_UP1", "ITM_T_END", "ITM_DOWN1", "DOCU_CHR_sub", "ITM_DOWN_ARROW", "DOCU_CHR_super", "ITM_UP_ARROW", "MNU_TAMALPHA", "ITM_alpha", "DOCU_CHR_caseFLIP", "ITM_NULL", "DOCU_CHR_numSET", "ITM_NULL", "DOCU_ITM_RADIX", "ITM_PERIOD", AR309), ".lo", ),"MNU_", "-MNU_")</f>
        <v>ITM_x</v>
      </c>
      <c r="BD309" s="157" t="str" cm="1">
        <f t="array" ref="BD309">SUBSTITUTE(SUBSTITUTE(_xlfn.SWITCH(AS309, "ITM_T_HOME", "ITM_UP1", "ITM_T_END", "ITM_DOWN1", "DOCU_CHR_sub", "ITM_DOWN_ARROW", "DOCU_CHR_super", "ITM_UP_ARROW", "MNU_TAMALPHA", "ITM_alpha", "DOCU_CHR_caseFLIP", "ITM_NULL", "DOCU_CHR_numSET", "ITM_NULL", "DOCU_ITM_RADIX", "ITM_PERIOD", AS309), ".lo", ),"MNU_", "-MNU_")</f>
        <v>ITM_3</v>
      </c>
      <c r="BE309" s="157" t="str" cm="1">
        <f t="array" ref="BE309">SUBSTITUTE(SUBSTITUTE(_xlfn.SWITCH(AT309, "ITM_T_HOME", "ITM_UP1", "ITM_T_END", "ITM_DOWN1", "DOCU_CHR_sub", "ITM_DOWN_ARROW", "DOCU_CHR_super", "ITM_UP_ARROW", "MNU_TAMALPHA", "ITM_alpha", "DOCU_CHR_caseFLIP", "ITM_NULL", "DOCU_CHR_numSET", "ITM_NULL", "DOCU_ITM_RADIX", "ITM_PERIOD", AT309), ".lo", ),"MNU_", "-MNU_")</f>
        <v>ITM_3</v>
      </c>
      <c r="BG309" s="75"/>
      <c r="BI309" s="13" t="str">
        <f t="shared" si="106"/>
        <v xml:space="preserve">  {74,                  ITM_3,                -MNU_PFN,             -MNU_LOOP,            ITM_3,                ITM_X,                ITM_x,                ITM_3,                ITM_3               },</v>
      </c>
    </row>
    <row r="310" spans="24:61" ht="21" x14ac:dyDescent="0.2">
      <c r="X310" s="141" t="str">
        <f t="shared" si="97"/>
        <v>D47</v>
      </c>
      <c r="Y310" s="142">
        <v>7</v>
      </c>
      <c r="Z310" s="142">
        <v>5</v>
      </c>
      <c r="AA310" s="144" t="str">
        <f t="shared" si="109"/>
        <v>D47.75</v>
      </c>
      <c r="AB310" s="148" t="s">
        <v>236</v>
      </c>
      <c r="AC310" s="149" t="s">
        <v>172</v>
      </c>
      <c r="AD310" s="150" t="s">
        <v>238</v>
      </c>
      <c r="AE310" s="3"/>
      <c r="AF310" s="52" t="s">
        <v>228</v>
      </c>
      <c r="AG310" s="77" t="b">
        <f t="shared" si="107"/>
        <v>1</v>
      </c>
      <c r="AH310" s="83" t="str">
        <f t="shared" si="98"/>
        <v>y</v>
      </c>
      <c r="AI310" s="84" t="str">
        <f t="shared" si="99"/>
        <v>-</v>
      </c>
      <c r="AJ310" s="85" t="str">
        <f t="shared" si="100"/>
        <v>-</v>
      </c>
      <c r="AK310" s="6"/>
      <c r="AL310" s="8" t="str">
        <f t="shared" si="101"/>
        <v>{75</v>
      </c>
      <c r="AM310" s="27" t="str">
        <f t="shared" si="102"/>
        <v>ITM_SUB</v>
      </c>
      <c r="AN310" s="27" t="str">
        <f t="shared" si="110"/>
        <v>MNU_FIN</v>
      </c>
      <c r="AO310" s="27" t="str">
        <f t="shared" si="111"/>
        <v>MNU_IO</v>
      </c>
      <c r="AP310" s="46" t="str">
        <f>IF(NOT(ISNA(MATCH(AM310,Lookups!E:E,))),VLOOKUP(AM310,Lookups!E:F,2,0),
IF(NOT(ISNA(MATCH(AN310,Lookups!E:E,))),VLOOKUP(AN310,Lookups!E:F,2,0),
IF(NOT(ISNA(MATCH(AO310,Lookups!E:E,))),VLOOKUP(AO310,Lookups!E:F,2,0),"ITM_NULL")))</f>
        <v>ITM_MINUS</v>
      </c>
      <c r="AQ310" s="28" t="str">
        <f t="shared" si="105"/>
        <v>ITM_Y</v>
      </c>
      <c r="AR310" s="195" t="s">
        <v>229</v>
      </c>
      <c r="AS310" s="186" t="s">
        <v>240</v>
      </c>
      <c r="AT310" s="197" t="s">
        <v>241</v>
      </c>
      <c r="AW310" s="14" t="str">
        <f t="shared" si="108"/>
        <v>{75</v>
      </c>
      <c r="AX310" s="157" t="str" cm="1">
        <f t="array" ref="AX310">SUBSTITUTE(SUBSTITUTE(_xlfn.SWITCH(AM310, "ITM_T_HOME", "ITM_UP1", "ITM_T_END", "ITM_DOWN1", "DOCU_CHR_sub", "ITM_DOWN_ARROW", "DOCU_CHR_super", "ITM_UP_ARROW", "MNU_TAMALPHA", "ITM_alpha", "DOCU_CHR_caseFLIP", "ITM_NULL", "DOCU_CHR_numSET", "ITM_NULL", "DOCU_ITM_RADIX", "ITM_PERIOD", AM310), ".lo", ),"MNU_", "-MNU_")</f>
        <v>ITM_SUB</v>
      </c>
      <c r="AY310" s="157" t="str" cm="1">
        <f t="array" ref="AY310">SUBSTITUTE(SUBSTITUTE(_xlfn.SWITCH(AN310, "ITM_T_HOME", "ITM_UP1", "ITM_T_END", "ITM_DOWN1", "DOCU_CHR_sub", "ITM_DOWN_ARROW", "DOCU_CHR_super", "ITM_UP_ARROW", "MNU_TAMALPHA", "ITM_alpha", "DOCU_CHR_caseFLIP", "ITM_NULL", "DOCU_CHR_numSET", "ITM_NULL", "DOCU_ITM_RADIX", "ITM_PERIOD", AN310), ".lo", ),"MNU_", "-MNU_")</f>
        <v>-MNU_FIN</v>
      </c>
      <c r="AZ310" s="157" t="str" cm="1">
        <f t="array" ref="AZ310">SUBSTITUTE(SUBSTITUTE(_xlfn.SWITCH(AO310, "ITM_T_HOME", "ITM_UP1", "ITM_T_END", "ITM_DOWN1", "DOCU_CHR_sub", "ITM_DOWN_ARROW", "DOCU_CHR_super", "ITM_UP_ARROW", "MNU_TAMALPHA", "ITM_alpha", "DOCU_CHR_caseFLIP", "ITM_NULL", "DOCU_CHR_numSET", "ITM_NULL", "DOCU_ITM_RADIX", "ITM_PERIOD", AO310), ".lo", ),"MNU_", "-MNU_")</f>
        <v>-MNU_IO</v>
      </c>
      <c r="BA310" s="173" t="str" cm="1">
        <f t="array" ref="BA310">SUBSTITUTE(SUBSTITUTE(_xlfn.SWITCH(AP310, "ITM_T_HOME", "ITM_UP1", "ITM_T_END", "ITM_DOWN1", "DOCU_CHR_sub", "ITM_DOWN_ARROW", "DOCU_CHR_super", "ITM_UP_ARROW", "MNU_TAMALPHA", "ITM_alpha", "DOCU_CHR_caseFLIP", "ITM_NULL", "DOCU_CHR_numSET", "ITM_NULL", "DOCU_ITM_RADIX", "ITM_PERIOD", AP310), ".lo", ),"MNU_", "-MNU_")</f>
        <v>ITM_MINUS</v>
      </c>
      <c r="BB310" s="157" t="str" cm="1">
        <f t="array" ref="BB310">SUBSTITUTE(SUBSTITUTE(_xlfn.SWITCH(AQ310, "ITM_T_HOME", "ITM_UP1", "ITM_T_END", "ITM_DOWN1", "DOCU_CHR_sub", "ITM_DOWN_ARROW", "DOCU_CHR_super", "ITM_UP_ARROW", "MNU_TAMALPHA", "ITM_alpha", "DOCU_CHR_caseFLIP", "ITM_NULL", "DOCU_CHR_numSET", "ITM_NULL", "DOCU_ITM_RADIX", "ITM_PERIOD", AQ310), ".lo", ),"MNU_", "-MNU_")</f>
        <v>ITM_Y</v>
      </c>
      <c r="BC310" s="157" t="str" cm="1">
        <f t="array" ref="BC310">SUBSTITUTE(SUBSTITUTE(_xlfn.SWITCH(AR310, "ITM_T_HOME", "ITM_UP1", "ITM_T_END", "ITM_DOWN1", "DOCU_CHR_sub", "ITM_DOWN_ARROW", "DOCU_CHR_super", "ITM_UP_ARROW", "MNU_TAMALPHA", "ITM_alpha", "DOCU_CHR_caseFLIP", "ITM_NULL", "DOCU_CHR_numSET", "ITM_NULL", "DOCU_ITM_RADIX", "ITM_PERIOD", AR310), ".lo", ),"MNU_", "-MNU_")</f>
        <v>ITM_y</v>
      </c>
      <c r="BD310" s="157" t="str" cm="1">
        <f t="array" ref="BD310">SUBSTITUTE(SUBSTITUTE(_xlfn.SWITCH(AS310, "ITM_T_HOME", "ITM_UP1", "ITM_T_END", "ITM_DOWN1", "DOCU_CHR_sub", "ITM_DOWN_ARROW", "DOCU_CHR_super", "ITM_UP_ARROW", "MNU_TAMALPHA", "ITM_alpha", "DOCU_CHR_caseFLIP", "ITM_NULL", "DOCU_CHR_numSET", "ITM_NULL", "DOCU_ITM_RADIX", "ITM_PERIOD", AS310), ".lo", ),"MNU_", "-MNU_")</f>
        <v>ITM_MINUS</v>
      </c>
      <c r="BE310" s="157" t="str" cm="1">
        <f t="array" ref="BE310">SUBSTITUTE(SUBSTITUTE(_xlfn.SWITCH(AT310, "ITM_T_HOME", "ITM_UP1", "ITM_T_END", "ITM_DOWN1", "DOCU_CHR_sub", "ITM_DOWN_ARROW", "DOCU_CHR_super", "ITM_UP_ARROW", "MNU_TAMALPHA", "ITM_alpha", "DOCU_CHR_caseFLIP", "ITM_NULL", "DOCU_CHR_numSET", "ITM_NULL", "DOCU_ITM_RADIX", "ITM_PERIOD", AT310), ".lo", ),"MNU_", "-MNU_")</f>
        <v>ITM_SUB</v>
      </c>
      <c r="BG310" s="75"/>
      <c r="BI310" s="13" t="str">
        <f t="shared" si="106"/>
        <v xml:space="preserve">  {75,                  ITM_SUB,              -MNU_FIN,             -MNU_IO,              ITM_MINUS,            ITM_Y,                ITM_y,                ITM_MINUS,            ITM_SUB             },</v>
      </c>
    </row>
    <row r="311" spans="24:61" ht="21" x14ac:dyDescent="0.2">
      <c r="X311" s="141" t="str">
        <f t="shared" si="97"/>
        <v>D47</v>
      </c>
      <c r="Y311" s="138">
        <v>8</v>
      </c>
      <c r="Z311" s="138">
        <v>1</v>
      </c>
      <c r="AA311" s="144" t="str">
        <f t="shared" si="109"/>
        <v>D47.81</v>
      </c>
      <c r="AB311" s="148" t="s">
        <v>242</v>
      </c>
      <c r="AC311" s="149" t="s">
        <v>243</v>
      </c>
      <c r="AD311" s="150" t="s">
        <v>244</v>
      </c>
      <c r="AE311" s="3"/>
      <c r="AF311" s="52" t="s">
        <v>242</v>
      </c>
      <c r="AG311" s="77" t="b">
        <f t="shared" si="107"/>
        <v>0</v>
      </c>
      <c r="AH311" s="83" t="str">
        <f t="shared" si="98"/>
        <v>OFF</v>
      </c>
      <c r="AI311" s="84" t="str">
        <f t="shared" si="99"/>
        <v>SNAP</v>
      </c>
      <c r="AJ311" s="85" t="str">
        <f t="shared" si="100"/>
        <v>EXIT</v>
      </c>
      <c r="AK311" s="6"/>
      <c r="AL311" s="8" t="str">
        <f t="shared" si="101"/>
        <v>{81</v>
      </c>
      <c r="AM311" s="27" t="str">
        <f t="shared" si="102"/>
        <v>ITM_EXIT1</v>
      </c>
      <c r="AN311" s="27" t="str">
        <f t="shared" si="110"/>
        <v>ITM_OFF</v>
      </c>
      <c r="AO311" s="27" t="str">
        <f t="shared" si="111"/>
        <v>ITM_SNAP</v>
      </c>
      <c r="AP311" s="46" t="str">
        <f>IF(NOT(ISNA(MATCH(AM311,Lookups!E:E,))),VLOOKUP(AM311,Lookups!E:F,2,0),
IF(NOT(ISNA(MATCH(AN311,Lookups!E:E,))),VLOOKUP(AN311,Lookups!E:F,2,0),
IF(NOT(ISNA(MATCH(AO311,Lookups!E:E,))),VLOOKUP(AO311,Lookups!E:F,2,0),"ITM_NULL")))</f>
        <v>ITM_EXIT1</v>
      </c>
      <c r="AQ311" s="28" t="str">
        <f t="shared" si="105"/>
        <v>ITM_EXIT1</v>
      </c>
      <c r="AR311" s="198" t="s">
        <v>245</v>
      </c>
      <c r="AS311" s="186" t="s">
        <v>246</v>
      </c>
      <c r="AT311" s="197" t="s">
        <v>247</v>
      </c>
      <c r="AW311" s="14" t="str">
        <f t="shared" si="108"/>
        <v>{81</v>
      </c>
      <c r="AX311" s="157" t="str" cm="1">
        <f t="array" ref="AX311">SUBSTITUTE(SUBSTITUTE(_xlfn.SWITCH(AM311, "ITM_T_HOME", "ITM_UP1", "ITM_T_END", "ITM_DOWN1", "DOCU_CHR_sub", "ITM_DOWN_ARROW", "DOCU_CHR_super", "ITM_UP_ARROW", "MNU_TAMALPHA", "ITM_alpha", "DOCU_CHR_caseFLIP", "ITM_NULL", "DOCU_CHR_numSET", "ITM_NULL", "DOCU_ITM_RADIX", "ITM_PERIOD", AM311), ".lo", ),"MNU_", "-MNU_")</f>
        <v>ITM_EXIT1</v>
      </c>
      <c r="AY311" s="157" t="str" cm="1">
        <f t="array" ref="AY311">SUBSTITUTE(SUBSTITUTE(_xlfn.SWITCH(AN311, "ITM_T_HOME", "ITM_UP1", "ITM_T_END", "ITM_DOWN1", "DOCU_CHR_sub", "ITM_DOWN_ARROW", "DOCU_CHR_super", "ITM_UP_ARROW", "MNU_TAMALPHA", "ITM_alpha", "DOCU_CHR_caseFLIP", "ITM_NULL", "DOCU_CHR_numSET", "ITM_NULL", "DOCU_ITM_RADIX", "ITM_PERIOD", AN311), ".lo", ),"MNU_", "-MNU_")</f>
        <v>ITM_OFF</v>
      </c>
      <c r="AZ311" s="157" t="str" cm="1">
        <f t="array" ref="AZ311">SUBSTITUTE(SUBSTITUTE(_xlfn.SWITCH(AO311, "ITM_T_HOME", "ITM_UP1", "ITM_T_END", "ITM_DOWN1", "DOCU_CHR_sub", "ITM_DOWN_ARROW", "DOCU_CHR_super", "ITM_UP_ARROW", "MNU_TAMALPHA", "ITM_alpha", "DOCU_CHR_caseFLIP", "ITM_NULL", "DOCU_CHR_numSET", "ITM_NULL", "DOCU_ITM_RADIX", "ITM_PERIOD", AO311), ".lo", ),"MNU_", "-MNU_")</f>
        <v>ITM_SNAP</v>
      </c>
      <c r="BA311" s="173" t="str" cm="1">
        <f t="array" ref="BA311">SUBSTITUTE(SUBSTITUTE(_xlfn.SWITCH(AP311, "ITM_T_HOME", "ITM_UP1", "ITM_T_END", "ITM_DOWN1", "DOCU_CHR_sub", "ITM_DOWN_ARROW", "DOCU_CHR_super", "ITM_UP_ARROW", "MNU_TAMALPHA", "ITM_alpha", "DOCU_CHR_caseFLIP", "ITM_NULL", "DOCU_CHR_numSET", "ITM_NULL", "DOCU_ITM_RADIX", "ITM_PERIOD", AP311), ".lo", ),"MNU_", "-MNU_")</f>
        <v>ITM_EXIT1</v>
      </c>
      <c r="BB311" s="157" t="str" cm="1">
        <f t="array" ref="BB311">SUBSTITUTE(SUBSTITUTE(_xlfn.SWITCH(AQ311, "ITM_T_HOME", "ITM_UP1", "ITM_T_END", "ITM_DOWN1", "DOCU_CHR_sub", "ITM_DOWN_ARROW", "DOCU_CHR_super", "ITM_UP_ARROW", "MNU_TAMALPHA", "ITM_alpha", "DOCU_CHR_caseFLIP", "ITM_NULL", "DOCU_CHR_numSET", "ITM_NULL", "DOCU_ITM_RADIX", "ITM_PERIOD", AQ311), ".lo", ),"MNU_", "-MNU_")</f>
        <v>ITM_EXIT1</v>
      </c>
      <c r="BC311" s="157" t="str" cm="1">
        <f t="array" ref="BC311">SUBSTITUTE(SUBSTITUTE(_xlfn.SWITCH(AR311, "ITM_T_HOME", "ITM_UP1", "ITM_T_END", "ITM_DOWN1", "DOCU_CHR_sub", "ITM_DOWN_ARROW", "DOCU_CHR_super", "ITM_UP_ARROW", "MNU_TAMALPHA", "ITM_alpha", "DOCU_CHR_caseFLIP", "ITM_NULL", "DOCU_CHR_numSET", "ITM_NULL", "DOCU_ITM_RADIX", "ITM_PERIOD", AR311), ".lo", ),"MNU_", "-MNU_")</f>
        <v>ITM_OFF</v>
      </c>
      <c r="BD311" s="157" t="str" cm="1">
        <f t="array" ref="BD311">SUBSTITUTE(SUBSTITUTE(_xlfn.SWITCH(AS311, "ITM_T_HOME", "ITM_UP1", "ITM_T_END", "ITM_DOWN1", "DOCU_CHR_sub", "ITM_DOWN_ARROW", "DOCU_CHR_super", "ITM_UP_ARROW", "MNU_TAMALPHA", "ITM_alpha", "DOCU_CHR_caseFLIP", "ITM_NULL", "DOCU_CHR_numSET", "ITM_NULL", "DOCU_ITM_RADIX", "ITM_PERIOD", AS311), ".lo", ),"MNU_", "-MNU_")</f>
        <v>ITM_SNAP</v>
      </c>
      <c r="BE311" s="157" t="str" cm="1">
        <f t="array" ref="BE311">SUBSTITUTE(SUBSTITUTE(_xlfn.SWITCH(AT311, "ITM_T_HOME", "ITM_UP1", "ITM_T_END", "ITM_DOWN1", "DOCU_CHR_sub", "ITM_DOWN_ARROW", "DOCU_CHR_super", "ITM_UP_ARROW", "MNU_TAMALPHA", "ITM_alpha", "DOCU_CHR_caseFLIP", "ITM_NULL", "DOCU_CHR_numSET", "ITM_NULL", "DOCU_ITM_RADIX", "ITM_PERIOD", AT311), ".lo", ),"MNU_", "-MNU_")</f>
        <v>ITM_EXIT1</v>
      </c>
      <c r="BG311" s="75"/>
      <c r="BI311" s="13" t="str">
        <f t="shared" si="106"/>
        <v xml:space="preserve">  {81,                  ITM_EXIT1,            ITM_OFF,              ITM_SNAP,             ITM_EXIT1,            ITM_EXIT1,            ITM_OFF,              ITM_SNAP,             ITM_EXIT1           },</v>
      </c>
    </row>
    <row r="312" spans="24:61" ht="21" x14ac:dyDescent="0.2">
      <c r="X312" s="141" t="str">
        <f t="shared" si="97"/>
        <v>D47</v>
      </c>
      <c r="Y312" s="142">
        <v>8</v>
      </c>
      <c r="Z312" s="142">
        <v>2</v>
      </c>
      <c r="AA312" s="144" t="str">
        <f t="shared" si="109"/>
        <v>D47.82</v>
      </c>
      <c r="AB312" s="148">
        <v>0</v>
      </c>
      <c r="AC312" s="149" t="s">
        <v>248</v>
      </c>
      <c r="AD312" s="150" t="s">
        <v>249</v>
      </c>
      <c r="AE312" s="3"/>
      <c r="AF312" s="52" t="s">
        <v>233</v>
      </c>
      <c r="AG312" s="77" t="b">
        <f t="shared" si="107"/>
        <v>1</v>
      </c>
      <c r="AH312" s="83" t="str">
        <f t="shared" si="98"/>
        <v>z</v>
      </c>
      <c r="AI312" s="84">
        <f t="shared" si="99"/>
        <v>0</v>
      </c>
      <c r="AJ312" s="85">
        <f t="shared" si="100"/>
        <v>0</v>
      </c>
      <c r="AK312" s="6"/>
      <c r="AL312" s="8" t="str">
        <f t="shared" si="101"/>
        <v>{82</v>
      </c>
      <c r="AM312" s="27" t="str">
        <f t="shared" si="102"/>
        <v>ITM_0</v>
      </c>
      <c r="AN312" s="27" t="str">
        <f t="shared" si="110"/>
        <v>ITM_VIEW</v>
      </c>
      <c r="AO312" s="27" t="str">
        <f t="shared" si="111"/>
        <v>ITM_TIMER</v>
      </c>
      <c r="AP312" s="46" t="str">
        <f>IF(NOT(ISNA(MATCH(AM312,Lookups!E:E,))),VLOOKUP(AM312,Lookups!E:F,2,0),
IF(NOT(ISNA(MATCH(AN312,Lookups!E:E,))),VLOOKUP(AN312,Lookups!E:F,2,0),
IF(NOT(ISNA(MATCH(AO312,Lookups!E:E,))),VLOOKUP(AO312,Lookups!E:F,2,0),"ITM_NULL")))</f>
        <v>ITM_0</v>
      </c>
      <c r="AQ312" s="28" t="str">
        <f t="shared" si="105"/>
        <v>ITM_Z</v>
      </c>
      <c r="AR312" s="195" t="s">
        <v>234</v>
      </c>
      <c r="AS312" s="186" t="s">
        <v>252</v>
      </c>
      <c r="AT312" s="197" t="s">
        <v>252</v>
      </c>
      <c r="AW312" s="14" t="str">
        <f t="shared" si="108"/>
        <v>{82</v>
      </c>
      <c r="AX312" s="157" t="str" cm="1">
        <f t="array" ref="AX312">SUBSTITUTE(SUBSTITUTE(_xlfn.SWITCH(AM312, "ITM_T_HOME", "ITM_UP1", "ITM_T_END", "ITM_DOWN1", "DOCU_CHR_sub", "ITM_DOWN_ARROW", "DOCU_CHR_super", "ITM_UP_ARROW", "MNU_TAMALPHA", "ITM_alpha", "DOCU_CHR_caseFLIP", "ITM_NULL", "DOCU_CHR_numSET", "ITM_NULL", "DOCU_ITM_RADIX", "ITM_PERIOD", AM312), ".lo", ),"MNU_", "-MNU_")</f>
        <v>ITM_0</v>
      </c>
      <c r="AY312" s="157" t="str" cm="1">
        <f t="array" ref="AY312">SUBSTITUTE(SUBSTITUTE(_xlfn.SWITCH(AN312, "ITM_T_HOME", "ITM_UP1", "ITM_T_END", "ITM_DOWN1", "DOCU_CHR_sub", "ITM_DOWN_ARROW", "DOCU_CHR_super", "ITM_UP_ARROW", "MNU_TAMALPHA", "ITM_alpha", "DOCU_CHR_caseFLIP", "ITM_NULL", "DOCU_CHR_numSET", "ITM_NULL", "DOCU_ITM_RADIX", "ITM_PERIOD", AN312), ".lo", ),"MNU_", "-MNU_")</f>
        <v>ITM_VIEW</v>
      </c>
      <c r="AZ312" s="157" t="str" cm="1">
        <f t="array" ref="AZ312">SUBSTITUTE(SUBSTITUTE(_xlfn.SWITCH(AO312, "ITM_T_HOME", "ITM_UP1", "ITM_T_END", "ITM_DOWN1", "DOCU_CHR_sub", "ITM_DOWN_ARROW", "DOCU_CHR_super", "ITM_UP_ARROW", "MNU_TAMALPHA", "ITM_alpha", "DOCU_CHR_caseFLIP", "ITM_NULL", "DOCU_CHR_numSET", "ITM_NULL", "DOCU_ITM_RADIX", "ITM_PERIOD", AO312), ".lo", ),"MNU_", "-MNU_")</f>
        <v>ITM_TIMER</v>
      </c>
      <c r="BA312" s="173" t="str" cm="1">
        <f t="array" ref="BA312">SUBSTITUTE(SUBSTITUTE(_xlfn.SWITCH(AP312, "ITM_T_HOME", "ITM_UP1", "ITM_T_END", "ITM_DOWN1", "DOCU_CHR_sub", "ITM_DOWN_ARROW", "DOCU_CHR_super", "ITM_UP_ARROW", "MNU_TAMALPHA", "ITM_alpha", "DOCU_CHR_caseFLIP", "ITM_NULL", "DOCU_CHR_numSET", "ITM_NULL", "DOCU_ITM_RADIX", "ITM_PERIOD", AP312), ".lo", ),"MNU_", "-MNU_")</f>
        <v>ITM_0</v>
      </c>
      <c r="BB312" s="157" t="str" cm="1">
        <f t="array" ref="BB312">SUBSTITUTE(SUBSTITUTE(_xlfn.SWITCH(AQ312, "ITM_T_HOME", "ITM_UP1", "ITM_T_END", "ITM_DOWN1", "DOCU_CHR_sub", "ITM_DOWN_ARROW", "DOCU_CHR_super", "ITM_UP_ARROW", "MNU_TAMALPHA", "ITM_alpha", "DOCU_CHR_caseFLIP", "ITM_NULL", "DOCU_CHR_numSET", "ITM_NULL", "DOCU_ITM_RADIX", "ITM_PERIOD", AQ312), ".lo", ),"MNU_", "-MNU_")</f>
        <v>ITM_Z</v>
      </c>
      <c r="BC312" s="157" t="str" cm="1">
        <f t="array" ref="BC312">SUBSTITUTE(SUBSTITUTE(_xlfn.SWITCH(AR312, "ITM_T_HOME", "ITM_UP1", "ITM_T_END", "ITM_DOWN1", "DOCU_CHR_sub", "ITM_DOWN_ARROW", "DOCU_CHR_super", "ITM_UP_ARROW", "MNU_TAMALPHA", "ITM_alpha", "DOCU_CHR_caseFLIP", "ITM_NULL", "DOCU_CHR_numSET", "ITM_NULL", "DOCU_ITM_RADIX", "ITM_PERIOD", AR312), ".lo", ),"MNU_", "-MNU_")</f>
        <v>ITM_z</v>
      </c>
      <c r="BD312" s="157" t="str" cm="1">
        <f t="array" ref="BD312">SUBSTITUTE(SUBSTITUTE(_xlfn.SWITCH(AS312, "ITM_T_HOME", "ITM_UP1", "ITM_T_END", "ITM_DOWN1", "DOCU_CHR_sub", "ITM_DOWN_ARROW", "DOCU_CHR_super", "ITM_UP_ARROW", "MNU_TAMALPHA", "ITM_alpha", "DOCU_CHR_caseFLIP", "ITM_NULL", "DOCU_CHR_numSET", "ITM_NULL", "DOCU_ITM_RADIX", "ITM_PERIOD", AS312), ".lo", ),"MNU_", "-MNU_")</f>
        <v>ITM_0</v>
      </c>
      <c r="BE312" s="157" t="str" cm="1">
        <f t="array" ref="BE312">SUBSTITUTE(SUBSTITUTE(_xlfn.SWITCH(AT312, "ITM_T_HOME", "ITM_UP1", "ITM_T_END", "ITM_DOWN1", "DOCU_CHR_sub", "ITM_DOWN_ARROW", "DOCU_CHR_super", "ITM_UP_ARROW", "MNU_TAMALPHA", "ITM_alpha", "DOCU_CHR_caseFLIP", "ITM_NULL", "DOCU_CHR_numSET", "ITM_NULL", "DOCU_ITM_RADIX", "ITM_PERIOD", AT312), ".lo", ),"MNU_", "-MNU_")</f>
        <v>ITM_0</v>
      </c>
      <c r="BG312" s="75"/>
      <c r="BI312" s="13" t="str">
        <f t="shared" si="106"/>
        <v xml:space="preserve">  {82,                  ITM_0,                ITM_VIEW,             ITM_TIMER,            ITM_0,                ITM_Z,                ITM_z,                ITM_0,                ITM_0               },</v>
      </c>
    </row>
    <row r="313" spans="24:61" ht="21" x14ac:dyDescent="0.2">
      <c r="X313" s="141" t="str">
        <f t="shared" si="97"/>
        <v>D47</v>
      </c>
      <c r="Y313" s="142">
        <v>8</v>
      </c>
      <c r="Z313" s="142">
        <v>3</v>
      </c>
      <c r="AA313" s="144" t="str">
        <f t="shared" si="109"/>
        <v>D47.83</v>
      </c>
      <c r="AB313" s="117" t="s">
        <v>253</v>
      </c>
      <c r="AC313" s="149" t="s">
        <v>254</v>
      </c>
      <c r="AD313" s="150" t="s">
        <v>255</v>
      </c>
      <c r="AE313" s="3"/>
      <c r="AF313" s="52" t="s">
        <v>256</v>
      </c>
      <c r="AG313" s="77" t="b">
        <f t="shared" si="107"/>
        <v>0</v>
      </c>
      <c r="AH313" s="83" t="str">
        <f t="shared" si="98"/>
        <v>.</v>
      </c>
      <c r="AI313" s="84" t="str">
        <f t="shared" si="99"/>
        <v>.</v>
      </c>
      <c r="AJ313" s="85" t="str">
        <f t="shared" si="100"/>
        <v>.</v>
      </c>
      <c r="AK313" s="6"/>
      <c r="AL313" s="8" t="str">
        <f t="shared" si="101"/>
        <v>{83</v>
      </c>
      <c r="AM313" s="27" t="str">
        <f t="shared" si="102"/>
        <v>DOCU_ITM_RADIX</v>
      </c>
      <c r="AN313" s="27" t="str">
        <f t="shared" si="110"/>
        <v>ITM_SHOW</v>
      </c>
      <c r="AO313" s="27" t="str">
        <f t="shared" si="111"/>
        <v>MNU_INFO</v>
      </c>
      <c r="AP313" s="46" t="str">
        <f>IF(NOT(ISNA(MATCH(AM313,Lookups!E:E,))),VLOOKUP(AM313,Lookups!E:F,2,0),
IF(NOT(ISNA(MATCH(AN313,Lookups!E:E,))),VLOOKUP(AN313,Lookups!E:F,2,0),
IF(NOT(ISNA(MATCH(AO313,Lookups!E:E,))),VLOOKUP(AO313,Lookups!E:F,2,0),"ITM_NULL")))</f>
        <v>ITM_PERIOD</v>
      </c>
      <c r="AQ313" s="28" t="str">
        <f t="shared" si="105"/>
        <v>ITM_COMMA</v>
      </c>
      <c r="AR313" s="198" t="s">
        <v>257</v>
      </c>
      <c r="AS313" s="186" t="s">
        <v>257</v>
      </c>
      <c r="AT313" s="197" t="s">
        <v>257</v>
      </c>
      <c r="AW313" s="14" t="str">
        <f t="shared" si="108"/>
        <v>{83</v>
      </c>
      <c r="AX313" s="157" t="str" cm="1">
        <f t="array" ref="AX313">SUBSTITUTE(SUBSTITUTE(_xlfn.SWITCH(AM313, "ITM_T_HOME", "ITM_UP1", "ITM_T_END", "ITM_DOWN1", "DOCU_CHR_sub", "ITM_DOWN_ARROW", "DOCU_CHR_super", "ITM_UP_ARROW", "MNU_TAMALPHA", "ITM_alpha", "DOCU_CHR_caseFLIP", "ITM_NULL", "DOCU_CHR_numSET", "ITM_NULL", "DOCU_ITM_RADIX", "ITM_PERIOD", AM313), ".lo", ),"MNU_", "-MNU_")</f>
        <v>ITM_PERIOD</v>
      </c>
      <c r="AY313" s="157" t="str" cm="1">
        <f t="array" ref="AY313">SUBSTITUTE(SUBSTITUTE(_xlfn.SWITCH(AN313, "ITM_T_HOME", "ITM_UP1", "ITM_T_END", "ITM_DOWN1", "DOCU_CHR_sub", "ITM_DOWN_ARROW", "DOCU_CHR_super", "ITM_UP_ARROW", "MNU_TAMALPHA", "ITM_alpha", "DOCU_CHR_caseFLIP", "ITM_NULL", "DOCU_CHR_numSET", "ITM_NULL", "DOCU_ITM_RADIX", "ITM_PERIOD", AN313), ".lo", ),"MNU_", "-MNU_")</f>
        <v>ITM_SHOW</v>
      </c>
      <c r="AZ313" s="157" t="str" cm="1">
        <f t="array" ref="AZ313">SUBSTITUTE(SUBSTITUTE(_xlfn.SWITCH(AO313, "ITM_T_HOME", "ITM_UP1", "ITM_T_END", "ITM_DOWN1", "DOCU_CHR_sub", "ITM_DOWN_ARROW", "DOCU_CHR_super", "ITM_UP_ARROW", "MNU_TAMALPHA", "ITM_alpha", "DOCU_CHR_caseFLIP", "ITM_NULL", "DOCU_CHR_numSET", "ITM_NULL", "DOCU_ITM_RADIX", "ITM_PERIOD", AO313), ".lo", ),"MNU_", "-MNU_")</f>
        <v>-MNU_INFO</v>
      </c>
      <c r="BA313" s="173" t="str" cm="1">
        <f t="array" ref="BA313">SUBSTITUTE(SUBSTITUTE(_xlfn.SWITCH(AP313, "ITM_T_HOME", "ITM_UP1", "ITM_T_END", "ITM_DOWN1", "DOCU_CHR_sub", "ITM_DOWN_ARROW", "DOCU_CHR_super", "ITM_UP_ARROW", "MNU_TAMALPHA", "ITM_alpha", "DOCU_CHR_caseFLIP", "ITM_NULL", "DOCU_CHR_numSET", "ITM_NULL", "DOCU_ITM_RADIX", "ITM_PERIOD", AP313), ".lo", ),"MNU_", "-MNU_")</f>
        <v>ITM_PERIOD</v>
      </c>
      <c r="BB313" s="157" t="str" cm="1">
        <f t="array" ref="BB313">SUBSTITUTE(SUBSTITUTE(_xlfn.SWITCH(AQ313, "ITM_T_HOME", "ITM_UP1", "ITM_T_END", "ITM_DOWN1", "DOCU_CHR_sub", "ITM_DOWN_ARROW", "DOCU_CHR_super", "ITM_UP_ARROW", "MNU_TAMALPHA", "ITM_alpha", "DOCU_CHR_caseFLIP", "ITM_NULL", "DOCU_CHR_numSET", "ITM_NULL", "DOCU_ITM_RADIX", "ITM_PERIOD", AQ313), ".lo", ),"MNU_", "-MNU_")</f>
        <v>ITM_COMMA</v>
      </c>
      <c r="BC313" s="157" t="str" cm="1">
        <f t="array" ref="BC313">SUBSTITUTE(SUBSTITUTE(_xlfn.SWITCH(AR313, "ITM_T_HOME", "ITM_UP1", "ITM_T_END", "ITM_DOWN1", "DOCU_CHR_sub", "ITM_DOWN_ARROW", "DOCU_CHR_super", "ITM_UP_ARROW", "MNU_TAMALPHA", "ITM_alpha", "DOCU_CHR_caseFLIP", "ITM_NULL", "DOCU_CHR_numSET", "ITM_NULL", "DOCU_ITM_RADIX", "ITM_PERIOD", AR313), ".lo", ),"MNU_", "-MNU_")</f>
        <v>ITM_PERIOD</v>
      </c>
      <c r="BD313" s="157" t="str" cm="1">
        <f t="array" ref="BD313">SUBSTITUTE(SUBSTITUTE(_xlfn.SWITCH(AS313, "ITM_T_HOME", "ITM_UP1", "ITM_T_END", "ITM_DOWN1", "DOCU_CHR_sub", "ITM_DOWN_ARROW", "DOCU_CHR_super", "ITM_UP_ARROW", "MNU_TAMALPHA", "ITM_alpha", "DOCU_CHR_caseFLIP", "ITM_NULL", "DOCU_CHR_numSET", "ITM_NULL", "DOCU_ITM_RADIX", "ITM_PERIOD", AS313), ".lo", ),"MNU_", "-MNU_")</f>
        <v>ITM_PERIOD</v>
      </c>
      <c r="BE313" s="157" t="str" cm="1">
        <f t="array" ref="BE313">SUBSTITUTE(SUBSTITUTE(_xlfn.SWITCH(AT313, "ITM_T_HOME", "ITM_UP1", "ITM_T_END", "ITM_DOWN1", "DOCU_CHR_sub", "ITM_DOWN_ARROW", "DOCU_CHR_super", "ITM_UP_ARROW", "MNU_TAMALPHA", "ITM_alpha", "DOCU_CHR_caseFLIP", "ITM_NULL", "DOCU_CHR_numSET", "ITM_NULL", "DOCU_ITM_RADIX", "ITM_PERIOD", AT313), ".lo", ),"MNU_", "-MNU_")</f>
        <v>ITM_PERIOD</v>
      </c>
      <c r="BG313" s="75"/>
      <c r="BI313" s="13" t="str">
        <f t="shared" si="106"/>
        <v xml:space="preserve">  {83,                  ITM_PERIOD,           ITM_SHOW,             -MNU_INFO,            ITM_PERIOD,           ITM_COMMA,            ITM_PERIOD,           ITM_PERIOD,           ITM_PERIOD          },</v>
      </c>
    </row>
    <row r="314" spans="24:61" ht="21" x14ac:dyDescent="0.2">
      <c r="X314" s="141" t="str">
        <f t="shared" si="97"/>
        <v>D47</v>
      </c>
      <c r="Y314" s="142">
        <v>8</v>
      </c>
      <c r="Z314" s="142">
        <v>4</v>
      </c>
      <c r="AA314" s="144" t="str">
        <f t="shared" si="109"/>
        <v>D47.84</v>
      </c>
      <c r="AB314" s="148" t="s">
        <v>258</v>
      </c>
      <c r="AC314" s="149" t="s">
        <v>259</v>
      </c>
      <c r="AD314" s="150" t="s">
        <v>260</v>
      </c>
      <c r="AE314" s="3"/>
      <c r="AF314" s="53" t="s">
        <v>261</v>
      </c>
      <c r="AG314" s="77" t="b">
        <f t="shared" si="107"/>
        <v>0</v>
      </c>
      <c r="AH314" s="83" t="str">
        <f t="shared" si="98"/>
        <v>/</v>
      </c>
      <c r="AI314" s="84" t="str">
        <f t="shared" si="99"/>
        <v>/</v>
      </c>
      <c r="AJ314" s="85" t="str">
        <f t="shared" si="100"/>
        <v xml:space="preserve"> </v>
      </c>
      <c r="AK314" s="6"/>
      <c r="AL314" s="8" t="str">
        <f t="shared" si="101"/>
        <v>{84</v>
      </c>
      <c r="AM314" s="27" t="str">
        <f t="shared" ref="AM314" si="112">VLOOKUP(AB314,labelitem,2,0)</f>
        <v>ITM_RS</v>
      </c>
      <c r="AN314" s="27" t="str">
        <f t="shared" si="110"/>
        <v>ITM_PR</v>
      </c>
      <c r="AO314" s="27" t="str">
        <f t="shared" si="111"/>
        <v>MNU_TEST</v>
      </c>
      <c r="AP314" s="46" t="str">
        <f>IF(NOT(ISNA(MATCH(AM314,Lookups!E:E,))),VLOOKUP(AM314,Lookups!E:F,2,0),
IF(NOT(ISNA(MATCH(AN314,Lookups!E:E,))),VLOOKUP(AN314,Lookups!E:F,2,0),
IF(NOT(ISNA(MATCH(AO314,Lookups!E:E,))),VLOOKUP(AO314,Lookups!E:F,2,0),"ITM_NULL")))</f>
        <v>ITM_NULL</v>
      </c>
      <c r="AQ314" s="28" t="str">
        <f t="shared" si="105"/>
        <v>ITM_QUESTION_MARK</v>
      </c>
      <c r="AR314" s="198" t="s">
        <v>262</v>
      </c>
      <c r="AS314" s="186" t="s">
        <v>262</v>
      </c>
      <c r="AT314" s="197" t="s">
        <v>81</v>
      </c>
      <c r="AW314" s="14" t="str">
        <f t="shared" si="108"/>
        <v>{84</v>
      </c>
      <c r="AX314" s="157" t="str" cm="1">
        <f t="array" ref="AX314">SUBSTITUTE(SUBSTITUTE(_xlfn.SWITCH(AM314, "ITM_T_HOME", "ITM_UP1", "ITM_T_END", "ITM_DOWN1", "DOCU_CHR_sub", "ITM_DOWN_ARROW", "DOCU_CHR_super", "ITM_UP_ARROW", "MNU_TAMALPHA", "ITM_alpha", "DOCU_CHR_caseFLIP", "ITM_NULL", "DOCU_CHR_numSET", "ITM_NULL", "DOCU_ITM_RADIX", "ITM_PERIOD", AM314), ".lo", ),"MNU_", "-MNU_")</f>
        <v>ITM_RS</v>
      </c>
      <c r="AY314" s="157" t="str" cm="1">
        <f t="array" ref="AY314">SUBSTITUTE(SUBSTITUTE(_xlfn.SWITCH(AN314, "ITM_T_HOME", "ITM_UP1", "ITM_T_END", "ITM_DOWN1", "DOCU_CHR_sub", "ITM_DOWN_ARROW", "DOCU_CHR_super", "ITM_UP_ARROW", "MNU_TAMALPHA", "ITM_alpha", "DOCU_CHR_caseFLIP", "ITM_NULL", "DOCU_CHR_numSET", "ITM_NULL", "DOCU_ITM_RADIX", "ITM_PERIOD", AN314), ".lo", ),"MNU_", "-MNU_")</f>
        <v>ITM_PR</v>
      </c>
      <c r="AZ314" s="157" t="str" cm="1">
        <f t="array" ref="AZ314">SUBSTITUTE(SUBSTITUTE(_xlfn.SWITCH(AO314, "ITM_T_HOME", "ITM_UP1", "ITM_T_END", "ITM_DOWN1", "DOCU_CHR_sub", "ITM_DOWN_ARROW", "DOCU_CHR_super", "ITM_UP_ARROW", "MNU_TAMALPHA", "ITM_alpha", "DOCU_CHR_caseFLIP", "ITM_NULL", "DOCU_CHR_numSET", "ITM_NULL", "DOCU_ITM_RADIX", "ITM_PERIOD", AO314), ".lo", ),"MNU_", "-MNU_")</f>
        <v>-MNU_TEST</v>
      </c>
      <c r="BA314" s="173" t="str" cm="1">
        <f t="array" ref="BA314">SUBSTITUTE(SUBSTITUTE(_xlfn.SWITCH(AP314, "ITM_T_HOME", "ITM_UP1", "ITM_T_END", "ITM_DOWN1", "DOCU_CHR_sub", "ITM_DOWN_ARROW", "DOCU_CHR_super", "ITM_UP_ARROW", "MNU_TAMALPHA", "ITM_alpha", "DOCU_CHR_caseFLIP", "ITM_NULL", "DOCU_CHR_numSET", "ITM_NULL", "DOCU_ITM_RADIX", "ITM_PERIOD", AP314), ".lo", ),"MNU_", "-MNU_")</f>
        <v>ITM_NULL</v>
      </c>
      <c r="BB314" s="157" t="str" cm="1">
        <f t="array" ref="BB314">SUBSTITUTE(SUBSTITUTE(_xlfn.SWITCH(AQ314, "ITM_T_HOME", "ITM_UP1", "ITM_T_END", "ITM_DOWN1", "DOCU_CHR_sub", "ITM_DOWN_ARROW", "DOCU_CHR_super", "ITM_UP_ARROW", "MNU_TAMALPHA", "ITM_alpha", "DOCU_CHR_caseFLIP", "ITM_NULL", "DOCU_CHR_numSET", "ITM_NULL", "DOCU_ITM_RADIX", "ITM_PERIOD", AQ314), ".lo", ),"MNU_", "-MNU_")</f>
        <v>ITM_QUESTION_MARK</v>
      </c>
      <c r="BC314" s="157" t="str" cm="1">
        <f t="array" ref="BC314">SUBSTITUTE(SUBSTITUTE(_xlfn.SWITCH(AR314, "ITM_T_HOME", "ITM_UP1", "ITM_T_END", "ITM_DOWN1", "DOCU_CHR_sub", "ITM_DOWN_ARROW", "DOCU_CHR_super", "ITM_UP_ARROW", "MNU_TAMALPHA", "ITM_alpha", "DOCU_CHR_caseFLIP", "ITM_NULL", "DOCU_CHR_numSET", "ITM_NULL", "DOCU_ITM_RADIX", "ITM_PERIOD", AR314), ".lo", ),"MNU_", "-MNU_")</f>
        <v>ITM_SLASH</v>
      </c>
      <c r="BD314" s="157" t="str" cm="1">
        <f t="array" ref="BD314">SUBSTITUTE(SUBSTITUTE(_xlfn.SWITCH(AS314, "ITM_T_HOME", "ITM_UP1", "ITM_T_END", "ITM_DOWN1", "DOCU_CHR_sub", "ITM_DOWN_ARROW", "DOCU_CHR_super", "ITM_UP_ARROW", "MNU_TAMALPHA", "ITM_alpha", "DOCU_CHR_caseFLIP", "ITM_NULL", "DOCU_CHR_numSET", "ITM_NULL", "DOCU_ITM_RADIX", "ITM_PERIOD", AS314), ".lo", ),"MNU_", "-MNU_")</f>
        <v>ITM_SLASH</v>
      </c>
      <c r="BE314" s="157" t="str" cm="1">
        <f t="array" ref="BE314">SUBSTITUTE(SUBSTITUTE(_xlfn.SWITCH(AT314, "ITM_T_HOME", "ITM_UP1", "ITM_T_END", "ITM_DOWN1", "DOCU_CHR_sub", "ITM_DOWN_ARROW", "DOCU_CHR_super", "ITM_UP_ARROW", "MNU_TAMALPHA", "ITM_alpha", "DOCU_CHR_caseFLIP", "ITM_NULL", "DOCU_CHR_numSET", "ITM_NULL", "DOCU_ITM_RADIX", "ITM_PERIOD", AT314), ".lo", ),"MNU_", "-MNU_")</f>
        <v>ITM_NULL</v>
      </c>
      <c r="BG314" s="75"/>
      <c r="BI314" s="13" t="str">
        <f t="shared" si="106"/>
        <v xml:space="preserve">  {84,                  ITM_RS,               ITM_PR,               -MNU_TEST,            ITM_NULL,             ITM_QUESTION_MARK,    ITM_SLASH,            ITM_SLASH,            ITM_NULL            },</v>
      </c>
    </row>
    <row r="315" spans="24:61" ht="22" thickBot="1" x14ac:dyDescent="0.25">
      <c r="X315" s="141" t="str">
        <f t="shared" si="97"/>
        <v>D47</v>
      </c>
      <c r="Y315" s="142">
        <v>8</v>
      </c>
      <c r="Z315" s="142">
        <v>5</v>
      </c>
      <c r="AA315" s="144" t="str">
        <f t="shared" si="109"/>
        <v>D47.85</v>
      </c>
      <c r="AB315" s="154" t="s">
        <v>263</v>
      </c>
      <c r="AC315" s="155" t="s">
        <v>264</v>
      </c>
      <c r="AD315" s="156" t="s">
        <v>265</v>
      </c>
      <c r="AE315" s="125"/>
      <c r="AF315" s="54" t="s">
        <v>266</v>
      </c>
      <c r="AG315" s="77" t="b">
        <f t="shared" si="107"/>
        <v>0</v>
      </c>
      <c r="AH315" s="86" t="str">
        <f t="shared" si="98"/>
        <v>+</v>
      </c>
      <c r="AI315" s="87" t="str">
        <f t="shared" si="99"/>
        <v>+</v>
      </c>
      <c r="AJ315" s="88" t="str">
        <f t="shared" si="100"/>
        <v>+</v>
      </c>
      <c r="AK315" s="6"/>
      <c r="AL315" s="8" t="str">
        <f t="shared" si="101"/>
        <v>{85</v>
      </c>
      <c r="AM315" s="27" t="str">
        <f t="shared" si="102"/>
        <v>ITM_ADD</v>
      </c>
      <c r="AN315" s="27" t="str">
        <f t="shared" si="110"/>
        <v>MNU_CATALOG</v>
      </c>
      <c r="AO315" s="27" t="str">
        <f t="shared" si="111"/>
        <v>MNU_CONST</v>
      </c>
      <c r="AP315" s="46" t="str">
        <f>IF(NOT(ISNA(MATCH(AM315,Lookups!E:E,))),VLOOKUP(AM315,Lookups!E:F,2,0),
IF(NOT(ISNA(MATCH(AN315,Lookups!E:E,))),VLOOKUP(AN315,Lookups!E:F,2,0),
IF(NOT(ISNA(MATCH(AO315,Lookups!E:E,))),VLOOKUP(AO315,Lookups!E:F,2,0),"ITM_NULL")))</f>
        <v>ITM_PLUS</v>
      </c>
      <c r="AQ315" s="28" t="str">
        <f t="shared" si="105"/>
        <v>ITM_SPACE</v>
      </c>
      <c r="AR315" s="199" t="s">
        <v>267</v>
      </c>
      <c r="AS315" s="200" t="s">
        <v>267</v>
      </c>
      <c r="AT315" s="201" t="s">
        <v>268</v>
      </c>
      <c r="AW315" s="14" t="str">
        <f t="shared" si="108"/>
        <v>{85</v>
      </c>
      <c r="AX315" s="157" t="str" cm="1">
        <f t="array" ref="AX315">SUBSTITUTE(SUBSTITUTE(_xlfn.SWITCH(AM315, "ITM_T_HOME", "ITM_UP1", "ITM_T_END", "ITM_DOWN1", "DOCU_CHR_sub", "ITM_DOWN_ARROW", "DOCU_CHR_super", "ITM_UP_ARROW", "MNU_TAMALPHA", "ITM_alpha", "DOCU_CHR_caseFLIP", "ITM_NULL", "DOCU_CHR_numSET", "ITM_NULL", "DOCU_ITM_RADIX", "ITM_PERIOD", AM315), ".lo", ),"MNU_", "-MNU_")</f>
        <v>ITM_ADD</v>
      </c>
      <c r="AY315" s="157" t="str" cm="1">
        <f t="array" ref="AY315">SUBSTITUTE(SUBSTITUTE(_xlfn.SWITCH(AN315, "ITM_T_HOME", "ITM_UP1", "ITM_T_END", "ITM_DOWN1", "DOCU_CHR_sub", "ITM_DOWN_ARROW", "DOCU_CHR_super", "ITM_UP_ARROW", "MNU_TAMALPHA", "ITM_alpha", "DOCU_CHR_caseFLIP", "ITM_NULL", "DOCU_CHR_numSET", "ITM_NULL", "DOCU_ITM_RADIX", "ITM_PERIOD", AN315), ".lo", ),"MNU_", "-MNU_")</f>
        <v>-MNU_CATALOG</v>
      </c>
      <c r="AZ315" s="157" t="str" cm="1">
        <f t="array" ref="AZ315">SUBSTITUTE(SUBSTITUTE(_xlfn.SWITCH(AO315, "ITM_T_HOME", "ITM_UP1", "ITM_T_END", "ITM_DOWN1", "DOCU_CHR_sub", "ITM_DOWN_ARROW", "DOCU_CHR_super", "ITM_UP_ARROW", "MNU_TAMALPHA", "ITM_alpha", "DOCU_CHR_caseFLIP", "ITM_NULL", "DOCU_CHR_numSET", "ITM_NULL", "DOCU_ITM_RADIX", "ITM_PERIOD", AO315), ".lo", ),"MNU_", "-MNU_")</f>
        <v>-MNU_CONST</v>
      </c>
      <c r="BA315" s="173" t="str" cm="1">
        <f t="array" ref="BA315">SUBSTITUTE(SUBSTITUTE(_xlfn.SWITCH(AP315, "ITM_T_HOME", "ITM_UP1", "ITM_T_END", "ITM_DOWN1", "DOCU_CHR_sub", "ITM_DOWN_ARROW", "DOCU_CHR_super", "ITM_UP_ARROW", "MNU_TAMALPHA", "ITM_alpha", "DOCU_CHR_caseFLIP", "ITM_NULL", "DOCU_CHR_numSET", "ITM_NULL", "DOCU_ITM_RADIX", "ITM_PERIOD", AP315), ".lo", ),"MNU_", "-MNU_")</f>
        <v>ITM_PLUS</v>
      </c>
      <c r="BB315" s="157" t="str" cm="1">
        <f t="array" ref="BB315">SUBSTITUTE(SUBSTITUTE(_xlfn.SWITCH(AQ315, "ITM_T_HOME", "ITM_UP1", "ITM_T_END", "ITM_DOWN1", "DOCU_CHR_sub", "ITM_DOWN_ARROW", "DOCU_CHR_super", "ITM_UP_ARROW", "MNU_TAMALPHA", "ITM_alpha", "DOCU_CHR_caseFLIP", "ITM_NULL", "DOCU_CHR_numSET", "ITM_NULL", "DOCU_ITM_RADIX", "ITM_PERIOD", AQ315), ".lo", ),"MNU_", "-MNU_")</f>
        <v>ITM_SPACE</v>
      </c>
      <c r="BC315" s="157" t="str" cm="1">
        <f t="array" ref="BC315">SUBSTITUTE(SUBSTITUTE(_xlfn.SWITCH(AR315, "ITM_T_HOME", "ITM_UP1", "ITM_T_END", "ITM_DOWN1", "DOCU_CHR_sub", "ITM_DOWN_ARROW", "DOCU_CHR_super", "ITM_UP_ARROW", "MNU_TAMALPHA", "ITM_alpha", "DOCU_CHR_caseFLIP", "ITM_NULL", "DOCU_CHR_numSET", "ITM_NULL", "DOCU_ITM_RADIX", "ITM_PERIOD", AR315), ".lo", ),"MNU_", "-MNU_")</f>
        <v>ITM_PLUS</v>
      </c>
      <c r="BD315" s="157" t="str" cm="1">
        <f t="array" ref="BD315">SUBSTITUTE(SUBSTITUTE(_xlfn.SWITCH(AS315, "ITM_T_HOME", "ITM_UP1", "ITM_T_END", "ITM_DOWN1", "DOCU_CHR_sub", "ITM_DOWN_ARROW", "DOCU_CHR_super", "ITM_UP_ARROW", "MNU_TAMALPHA", "ITM_alpha", "DOCU_CHR_caseFLIP", "ITM_NULL", "DOCU_CHR_numSET", "ITM_NULL", "DOCU_ITM_RADIX", "ITM_PERIOD", AS315), ".lo", ),"MNU_", "-MNU_")</f>
        <v>ITM_PLUS</v>
      </c>
      <c r="BE315" s="157" t="str" cm="1">
        <f t="array" ref="BE315">SUBSTITUTE(SUBSTITUTE(_xlfn.SWITCH(AT315, "ITM_T_HOME", "ITM_UP1", "ITM_T_END", "ITM_DOWN1", "DOCU_CHR_sub", "ITM_DOWN_ARROW", "DOCU_CHR_super", "ITM_UP_ARROW", "MNU_TAMALPHA", "ITM_alpha", "DOCU_CHR_caseFLIP", "ITM_NULL", "DOCU_CHR_numSET", "ITM_NULL", "DOCU_ITM_RADIX", "ITM_PERIOD", AT315), ".lo", ),"MNU_", "-MNU_")</f>
        <v>ITM_ADD</v>
      </c>
      <c r="BG315" s="75"/>
      <c r="BI315" s="73" t="str">
        <f>"  "&amp;AW315&amp;", "&amp;REPT(" ",$BH$54-LEN(AW315))&amp;
AX315&amp;", "&amp;REPT(" ",$BH$54-LEN(AX315))&amp;
AY315&amp;", "&amp;REPT(" ",$BH$54-LEN(AY315))&amp;
AZ315&amp;", "&amp;REPT(" ",$BH$54-LEN(AZ315))&amp;
BA315&amp;", "&amp;REPT(" ",$BH$54-LEN(BA315))&amp;
BB315&amp;", "&amp;REPT(" ",$BH$54-LEN(BB315))&amp;
BC315&amp;", "&amp;REPT(" ",$BH$54-LEN(BC315))&amp;
BD315&amp;", "&amp;REPT(" ",$BH$54-LEN(BD315))&amp;
BE315&amp;REPT(" ",$BH$54-LEN(BE315))&amp;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316" spans="24:61" ht="21" x14ac:dyDescent="0.2">
      <c r="AK316" s="6"/>
      <c r="AL316" s="111"/>
      <c r="AM316" s="29"/>
      <c r="AN316" s="29"/>
      <c r="AO316" s="29"/>
      <c r="AP316" s="47"/>
      <c r="AQ316" s="29"/>
      <c r="AR316" s="202"/>
      <c r="AS316" s="202"/>
      <c r="AT316" s="202"/>
      <c r="BG316" s="75"/>
      <c r="BI316" s="16" t="s">
        <v>269</v>
      </c>
    </row>
    <row r="317" spans="24:61" ht="21" x14ac:dyDescent="0.2">
      <c r="AK317" s="6"/>
      <c r="AL317" s="111"/>
      <c r="AM317" s="29"/>
      <c r="AN317" s="29"/>
      <c r="AO317" s="29"/>
      <c r="AP317" s="47"/>
      <c r="AQ317" s="29"/>
      <c r="AR317" s="202"/>
      <c r="AS317" s="202"/>
      <c r="AT317" s="202"/>
      <c r="BG317" s="75"/>
      <c r="BI317" s="13" t="s">
        <v>270</v>
      </c>
    </row>
    <row r="318" spans="24:61" ht="21" x14ac:dyDescent="0.2">
      <c r="X318" s="126" t="s">
        <v>25</v>
      </c>
      <c r="Y318" s="106">
        <v>1</v>
      </c>
      <c r="Z318" s="106">
        <v>1</v>
      </c>
      <c r="AA318" s="107" t="str">
        <f t="shared" ref="AA318:AA360" si="113">X318&amp;"."&amp;Y318&amp;Z318</f>
        <v>DM42.11</v>
      </c>
      <c r="AB318" s="108" t="s">
        <v>31</v>
      </c>
      <c r="AC318" s="15"/>
      <c r="AD318" s="15"/>
      <c r="AE318" s="102"/>
      <c r="AF318" s="15"/>
      <c r="AH318" s="90"/>
      <c r="AI318" s="90"/>
      <c r="AJ318" s="90"/>
      <c r="AK318" s="6"/>
      <c r="AL318" s="1"/>
      <c r="BI318" s="12" t="s">
        <v>653</v>
      </c>
    </row>
    <row r="319" spans="24:61" ht="21" x14ac:dyDescent="0.2">
      <c r="X319" s="127" t="str">
        <f>X318</f>
        <v>DM42</v>
      </c>
      <c r="Y319" s="109">
        <v>1</v>
      </c>
      <c r="Z319" s="109">
        <v>2</v>
      </c>
      <c r="AA319" s="107" t="str">
        <f t="shared" si="113"/>
        <v>DM42.12</v>
      </c>
      <c r="AB319" s="108" t="s">
        <v>32</v>
      </c>
      <c r="AC319" s="15"/>
      <c r="AD319" s="15"/>
      <c r="AE319" s="102"/>
      <c r="AF319" s="15"/>
      <c r="AH319" s="90"/>
      <c r="AI319" s="90"/>
      <c r="AJ319" s="90"/>
      <c r="AK319" s="6"/>
      <c r="AL319" s="1"/>
      <c r="BI319" s="12"/>
    </row>
    <row r="320" spans="24:61" ht="21" x14ac:dyDescent="0.2">
      <c r="X320" s="127" t="str">
        <f t="shared" ref="X320:X360" si="114">X319</f>
        <v>DM42</v>
      </c>
      <c r="Y320" s="109">
        <v>1</v>
      </c>
      <c r="Z320" s="109">
        <v>3</v>
      </c>
      <c r="AA320" s="107" t="str">
        <f t="shared" si="113"/>
        <v>DM42.13</v>
      </c>
      <c r="AB320" s="108" t="s">
        <v>33</v>
      </c>
      <c r="AC320" s="15"/>
      <c r="AD320" s="15"/>
      <c r="AE320" s="102"/>
      <c r="AF320" s="15"/>
      <c r="AH320" s="90"/>
      <c r="AI320" s="90"/>
      <c r="AJ320" s="90"/>
      <c r="AK320" s="6"/>
      <c r="AL320" s="1"/>
      <c r="AM320" s="72" t="s">
        <v>34</v>
      </c>
      <c r="AX320" s="72" t="s">
        <v>35</v>
      </c>
      <c r="AY320" s="27" t="s">
        <v>36</v>
      </c>
      <c r="BG320" s="75"/>
      <c r="BI320" s="17" t="str">
        <f>"// "&amp;X320&amp;" Layout from Layout_template_automation template: Do not change manually"</f>
        <v>// DM42 Layout from Layout_template_automation template: Do not change manually</v>
      </c>
    </row>
    <row r="321" spans="24:61" ht="22" thickBot="1" x14ac:dyDescent="0.25">
      <c r="X321" s="127" t="str">
        <f t="shared" si="114"/>
        <v>DM42</v>
      </c>
      <c r="Y321" s="109">
        <v>1</v>
      </c>
      <c r="Z321" s="109">
        <v>4</v>
      </c>
      <c r="AA321" s="107" t="str">
        <f t="shared" si="113"/>
        <v>DM42.14</v>
      </c>
      <c r="AB321" s="108" t="s">
        <v>37</v>
      </c>
      <c r="AC321" s="15"/>
      <c r="AD321" s="15"/>
      <c r="AE321" s="102"/>
      <c r="AF321" s="15"/>
      <c r="AH321" s="90"/>
      <c r="AI321" s="90"/>
      <c r="AJ321" s="90"/>
      <c r="AK321" s="6"/>
      <c r="AL321" s="1"/>
      <c r="BG321" s="75"/>
      <c r="BI321" s="16" t="s">
        <v>38</v>
      </c>
    </row>
    <row r="322" spans="24:61" ht="22" thickBot="1" x14ac:dyDescent="0.25">
      <c r="X322" s="127" t="str">
        <f t="shared" si="114"/>
        <v>DM42</v>
      </c>
      <c r="Y322" s="109">
        <v>1</v>
      </c>
      <c r="Z322" s="109">
        <v>5</v>
      </c>
      <c r="AA322" s="107" t="str">
        <f t="shared" si="113"/>
        <v>DM42.15</v>
      </c>
      <c r="AB322" s="108" t="s">
        <v>37</v>
      </c>
      <c r="AC322" s="15"/>
      <c r="AD322" s="15"/>
      <c r="AE322" s="102"/>
      <c r="AF322" s="15"/>
      <c r="AH322" s="90"/>
      <c r="AI322" s="90"/>
      <c r="AJ322" s="90"/>
      <c r="AK322" s="6"/>
      <c r="AL322" s="185" t="str">
        <f>X322</f>
        <v>DM42</v>
      </c>
      <c r="AM322" s="224" t="s">
        <v>39</v>
      </c>
      <c r="AN322" s="224"/>
      <c r="AO322" s="224"/>
      <c r="AP322" s="71" t="s">
        <v>40</v>
      </c>
      <c r="AQ322" s="31" t="s">
        <v>41</v>
      </c>
      <c r="AR322" s="189" t="s">
        <v>42</v>
      </c>
      <c r="AS322" s="190" t="s">
        <v>42</v>
      </c>
      <c r="AT322" s="191" t="s">
        <v>42</v>
      </c>
      <c r="BG322" s="75"/>
      <c r="BI322" s="16" t="str">
        <f>"TO_QSPI const calcKey_t kbd_std_"&amp;X323&amp;"[37] = {"</f>
        <v>TO_QSPI const calcKey_t kbd_std_DM42[37] = {</v>
      </c>
    </row>
    <row r="323" spans="24:61" ht="22" thickBot="1" x14ac:dyDescent="0.25">
      <c r="X323" s="127" t="str">
        <f t="shared" si="114"/>
        <v>DM42</v>
      </c>
      <c r="Y323" s="109">
        <v>1</v>
      </c>
      <c r="Z323" s="109">
        <v>6</v>
      </c>
      <c r="AA323" s="107" t="str">
        <f t="shared" si="113"/>
        <v>DM42.16</v>
      </c>
      <c r="AB323" s="110" t="s">
        <v>43</v>
      </c>
      <c r="AC323" s="30"/>
      <c r="AD323" s="30"/>
      <c r="AE323" s="102"/>
      <c r="AF323" s="30"/>
      <c r="AH323" s="91"/>
      <c r="AI323" s="91"/>
      <c r="AJ323" s="91"/>
      <c r="AK323" s="6"/>
      <c r="AL323" s="1"/>
      <c r="BG323" s="75"/>
      <c r="BI323" s="16" t="s">
        <v>44</v>
      </c>
    </row>
    <row r="324" spans="24:61" ht="21" x14ac:dyDescent="0.2">
      <c r="X324" s="127" t="str">
        <f t="shared" si="114"/>
        <v>DM42</v>
      </c>
      <c r="Y324" s="106">
        <v>2</v>
      </c>
      <c r="Z324" s="106">
        <v>1</v>
      </c>
      <c r="AA324" s="112" t="str">
        <f t="shared" si="113"/>
        <v>DM42.21</v>
      </c>
      <c r="AB324" s="113" t="s">
        <v>47</v>
      </c>
      <c r="AC324" s="114" t="s">
        <v>451</v>
      </c>
      <c r="AD324" s="115" t="s">
        <v>49</v>
      </c>
      <c r="AE324" s="116"/>
      <c r="AF324" s="48" t="s">
        <v>50</v>
      </c>
      <c r="AG324" s="77" t="b">
        <f>AF324=AH324</f>
        <v>1</v>
      </c>
      <c r="AH324" s="80" t="str">
        <f t="shared" ref="AH324:AH360" si="115">INDEX(labelitem,MATCH(AR324,items,0),1)</f>
        <v>a</v>
      </c>
      <c r="AI324" s="81" t="str">
        <f t="shared" ref="AI324:AI360" si="116">INDEX(labelitem,MATCH(AS324,items,0),1)</f>
        <v>Sigma</v>
      </c>
      <c r="AJ324" s="82" t="str">
        <f t="shared" ref="AJ324:AJ360" si="117">INDEX(labelitem,MATCH(AT324,items,0),1)</f>
        <v>Reg A</v>
      </c>
      <c r="AK324" s="6"/>
      <c r="AL324" s="8" t="str">
        <f t="shared" ref="AL324:AL360" si="118">"{"&amp;Y324*10+Z324</f>
        <v>{21</v>
      </c>
      <c r="AM324" s="27" t="str">
        <f t="shared" ref="AM324:AM360" si="119">VLOOKUP(AB324,labelitem,2,0)</f>
        <v>ITM_SIGMAPLUS</v>
      </c>
      <c r="AN324" s="27" t="str">
        <f t="shared" ref="AN324:AN360" si="120">VLOOKUP(AC324,labelitem,2,0)</f>
        <v>ITM_SIGMAMINUS</v>
      </c>
      <c r="AO324" s="27" t="str">
        <f t="shared" ref="AO324:AO360" si="121">VLOOKUP(AD324,labelitem,2,0)</f>
        <v>ITM_TGLFRT</v>
      </c>
      <c r="AP324" s="46" t="str">
        <f>IF(NOT(ISNA(MATCH(AM324,Lookups!E:E,))),VLOOKUP(AM324,Lookups!E:F,2,0),
IF(NOT(ISNA(MATCH(AN324,Lookups!E:E,))),VLOOKUP(AN324,Lookups!E:F,2,0),
IF(NOT(ISNA(MATCH(AO324,Lookups!E:E,))),VLOOKUP(AO324,Lookups!E:F,2,0),"ITM_NULL")))</f>
        <v>ITM_NULL</v>
      </c>
      <c r="AQ324" s="28" t="str">
        <f t="shared" ref="AQ324:AQ336" si="122">VLOOKUP(AF324,labelitem,2,0)</f>
        <v>ITM_A</v>
      </c>
      <c r="AR324" s="192" t="s">
        <v>51</v>
      </c>
      <c r="AS324" s="193" t="s">
        <v>52</v>
      </c>
      <c r="AT324" s="194" t="s">
        <v>53</v>
      </c>
      <c r="AW324" s="14" t="str">
        <f>AL324</f>
        <v>{21</v>
      </c>
      <c r="AX324" s="157" t="str" cm="1">
        <f t="array" ref="AX324">SUBSTITUTE(SUBSTITUTE(_xlfn.SWITCH(AM324, "ITM_T_HOME", "ITM_UP1", "ITM_T_END", "ITM_DOWN1", "DOCU_CHR_sub", "ITM_DOWN_ARROW", "DOCU_CHR_super", "ITM_UP_ARROW", "MNU_TAMALPHA", "ITM_alpha", "DOCU_CHR_caseFLIP", "ITM_NULL", "DOCU_CHR_numSET", "ITM_NULL", "DOCU_ITM_RADIX", "ITM_PERIOD", AM324), ".lo", ),"MNU_", "-MNU_")</f>
        <v>ITM_SIGMAPLUS</v>
      </c>
      <c r="AY324" s="157" t="str" cm="1">
        <f t="array" ref="AY324">SUBSTITUTE(SUBSTITUTE(_xlfn.SWITCH(AN324, "ITM_T_HOME", "ITM_UP1", "ITM_T_END", "ITM_DOWN1", "DOCU_CHR_sub", "ITM_DOWN_ARROW", "DOCU_CHR_super", "ITM_UP_ARROW", "MNU_TAMALPHA", "ITM_alpha", "DOCU_CHR_caseFLIP", "ITM_NULL", "DOCU_CHR_numSET", "ITM_NULL", "DOCU_ITM_RADIX", "ITM_PERIOD", AN324), ".lo", ),"MNU_", "-MNU_")</f>
        <v>ITM_SIGMAMINUS</v>
      </c>
      <c r="AZ324" s="157" t="str" cm="1">
        <f t="array" ref="AZ324">SUBSTITUTE(SUBSTITUTE(_xlfn.SWITCH(AO324, "ITM_T_HOME", "ITM_UP1", "ITM_T_END", "ITM_DOWN1", "DOCU_CHR_sub", "ITM_DOWN_ARROW", "DOCU_CHR_super", "ITM_UP_ARROW", "MNU_TAMALPHA", "ITM_alpha", "DOCU_CHR_caseFLIP", "ITM_NULL", "DOCU_CHR_numSET", "ITM_NULL", "DOCU_ITM_RADIX", "ITM_PERIOD", AO324), ".lo", ),"MNU_", "-MNU_")</f>
        <v>ITM_TGLFRT</v>
      </c>
      <c r="BA324" s="173" t="str" cm="1">
        <f t="array" ref="BA324">SUBSTITUTE(SUBSTITUTE(_xlfn.SWITCH(AP324, "ITM_T_HOME", "ITM_UP1", "ITM_T_END", "ITM_DOWN1", "DOCU_CHR_sub", "ITM_DOWN_ARROW", "DOCU_CHR_super", "ITM_UP_ARROW", "MNU_TAMALPHA", "ITM_alpha", "DOCU_CHR_caseFLIP", "ITM_NULL", "DOCU_CHR_numSET", "ITM_NULL", "DOCU_ITM_RADIX", "ITM_PERIOD", AP324), ".lo", ),"MNU_", "-MNU_")</f>
        <v>ITM_NULL</v>
      </c>
      <c r="BB324" s="157" t="str" cm="1">
        <f t="array" ref="BB324">SUBSTITUTE(SUBSTITUTE(_xlfn.SWITCH(AQ324, "ITM_T_HOME", "ITM_UP1", "ITM_T_END", "ITM_DOWN1", "DOCU_CHR_sub", "ITM_DOWN_ARROW", "DOCU_CHR_super", "ITM_UP_ARROW", "MNU_TAMALPHA", "ITM_alpha", "DOCU_CHR_caseFLIP", "ITM_NULL", "DOCU_CHR_numSET", "ITM_NULL", "DOCU_ITM_RADIX", "ITM_PERIOD", AQ324), ".lo", ),"MNU_", "-MNU_")</f>
        <v>ITM_A</v>
      </c>
      <c r="BC324" s="157" t="str" cm="1">
        <f t="array" ref="BC324">SUBSTITUTE(SUBSTITUTE(_xlfn.SWITCH(AR324, "ITM_T_HOME", "ITM_UP1", "ITM_T_END", "ITM_DOWN1", "DOCU_CHR_sub", "ITM_DOWN_ARROW", "DOCU_CHR_super", "ITM_UP_ARROW", "MNU_TAMALPHA", "ITM_alpha", "DOCU_CHR_caseFLIP", "ITM_NULL", "DOCU_CHR_numSET", "ITM_NULL", "DOCU_ITM_RADIX", "ITM_PERIOD", AR324), ".lo", ),"MNU_", "-MNU_")</f>
        <v>ITM_a</v>
      </c>
      <c r="BD324" s="157" t="str" cm="1">
        <f t="array" ref="BD324">SUBSTITUTE(SUBSTITUTE(_xlfn.SWITCH(AS324, "ITM_T_HOME", "ITM_UP1", "ITM_T_END", "ITM_DOWN1", "DOCU_CHR_sub", "ITM_DOWN_ARROW", "DOCU_CHR_super", "ITM_UP_ARROW", "MNU_TAMALPHA", "ITM_alpha", "DOCU_CHR_caseFLIP", "ITM_NULL", "DOCU_CHR_numSET", "ITM_NULL", "DOCU_ITM_RADIX", "ITM_PERIOD", AS324), ".lo", ),"MNU_", "-MNU_")</f>
        <v>ITM_SIGMA</v>
      </c>
      <c r="BE324" s="157" t="str" cm="1">
        <f t="array" ref="BE324">SUBSTITUTE(SUBSTITUTE(_xlfn.SWITCH(AT324, "ITM_T_HOME", "ITM_UP1", "ITM_T_END", "ITM_DOWN1", "DOCU_CHR_sub", "ITM_DOWN_ARROW", "DOCU_CHR_super", "ITM_UP_ARROW", "MNU_TAMALPHA", "ITM_alpha", "DOCU_CHR_caseFLIP", "ITM_NULL", "DOCU_CHR_numSET", "ITM_NULL", "DOCU_ITM_RADIX", "ITM_PERIOD", AT324), ".lo", ),"MNU_", "-MNU_")</f>
        <v>ITM_REG_A</v>
      </c>
      <c r="BG324" s="75"/>
      <c r="BI324" s="13" t="str">
        <f t="shared" ref="BI324:BI359" si="123">"  "&amp;AW324&amp;", "&amp;REPT(" ",$BH$54-LEN(AW324))&amp;
AX324&amp;", "&amp;REPT(" ",$BH$54-LEN(AX324))&amp;
AY324&amp;", "&amp;REPT(" ",$BH$54-LEN(AY324))&amp;
AZ324&amp;", "&amp;REPT(" ",$BH$54-LEN(AZ324))&amp;
BA324&amp;", "&amp;REPT(" ",$BH$54-LEN(BA324))&amp;
BB324&amp;", "&amp;REPT(" ",$BH$54-LEN(BB324))&amp;
BC324&amp;", "&amp;REPT(" ",$BH$54-LEN(BC324))&amp;
BD324&amp;", "&amp;REPT(" ",$BH$54-LEN(BD324))&amp;
BE324&amp;REPT(" ",$BH$54-LEN(BE324))&amp;
"},"</f>
        <v xml:space="preserve">  {21,                  ITM_SIGMAPLUS,        ITM_SIGMAMINUS,       ITM_TGLFRT,           ITM_NULL,             ITM_A,                ITM_a,                ITM_SIGMA,            ITM_REG_A           },</v>
      </c>
    </row>
    <row r="325" spans="24:61" ht="21" x14ac:dyDescent="0.2">
      <c r="X325" s="127" t="str">
        <f t="shared" si="114"/>
        <v>DM42</v>
      </c>
      <c r="Y325" s="109">
        <v>2</v>
      </c>
      <c r="Z325" s="109">
        <v>2</v>
      </c>
      <c r="AA325" s="112" t="str">
        <f t="shared" si="113"/>
        <v>DM42.22</v>
      </c>
      <c r="AB325" s="117" t="s">
        <v>54</v>
      </c>
      <c r="AC325" s="118" t="s">
        <v>55</v>
      </c>
      <c r="AD325" s="119" t="s">
        <v>56</v>
      </c>
      <c r="AE325" s="3"/>
      <c r="AF325" s="49" t="s">
        <v>57</v>
      </c>
      <c r="AG325" s="77" t="b">
        <f t="shared" ref="AG325:AG360" si="124">AF325=AH325</f>
        <v>1</v>
      </c>
      <c r="AH325" s="83" t="str">
        <f t="shared" si="115"/>
        <v>b</v>
      </c>
      <c r="AI325" s="84" t="str">
        <f t="shared" si="116"/>
        <v>^</v>
      </c>
      <c r="AJ325" s="85" t="str">
        <f t="shared" si="117"/>
        <v>Reg B</v>
      </c>
      <c r="AK325" s="6"/>
      <c r="AL325" s="8" t="str">
        <f t="shared" si="118"/>
        <v>{22</v>
      </c>
      <c r="AM325" s="27" t="str">
        <f t="shared" si="119"/>
        <v>ITM_1ONX</v>
      </c>
      <c r="AN325" s="27" t="str">
        <f t="shared" si="120"/>
        <v>ITM_YX</v>
      </c>
      <c r="AO325" s="27" t="str">
        <f t="shared" si="121"/>
        <v>ITM_HASH_JM</v>
      </c>
      <c r="AP325" s="46" t="str">
        <f>IF(NOT(ISNA(MATCH(AM325,Lookups!E:E,))),VLOOKUP(AM325,Lookups!E:F,2,0),
IF(NOT(ISNA(MATCH(AN325,Lookups!E:E,))),VLOOKUP(AN325,Lookups!E:F,2,0),
IF(NOT(ISNA(MATCH(AO325,Lookups!E:E,))),VLOOKUP(AO325,Lookups!E:F,2,0),"ITM_NULL")))</f>
        <v>ITM_NUMBER_SIGN</v>
      </c>
      <c r="AQ325" s="28" t="str">
        <f t="shared" si="122"/>
        <v>ITM_B</v>
      </c>
      <c r="AR325" s="195" t="s">
        <v>58</v>
      </c>
      <c r="AS325" s="186" t="s">
        <v>59</v>
      </c>
      <c r="AT325" s="196" t="s">
        <v>60</v>
      </c>
      <c r="AW325" s="14" t="str">
        <f t="shared" ref="AW325:AW360" si="125">AL325</f>
        <v>{22</v>
      </c>
      <c r="AX325" s="157" t="str" cm="1">
        <f t="array" ref="AX325">SUBSTITUTE(SUBSTITUTE(_xlfn.SWITCH(AM325, "ITM_T_HOME", "ITM_UP1", "ITM_T_END", "ITM_DOWN1", "DOCU_CHR_sub", "ITM_DOWN_ARROW", "DOCU_CHR_super", "ITM_UP_ARROW", "MNU_TAMALPHA", "ITM_alpha", "DOCU_CHR_caseFLIP", "ITM_NULL", "DOCU_CHR_numSET", "ITM_NULL", "DOCU_ITM_RADIX", "ITM_PERIOD", AM325), ".lo", ),"MNU_", "-MNU_")</f>
        <v>ITM_1ONX</v>
      </c>
      <c r="AY325" s="157" t="str" cm="1">
        <f t="array" ref="AY325">SUBSTITUTE(SUBSTITUTE(_xlfn.SWITCH(AN325, "ITM_T_HOME", "ITM_UP1", "ITM_T_END", "ITM_DOWN1", "DOCU_CHR_sub", "ITM_DOWN_ARROW", "DOCU_CHR_super", "ITM_UP_ARROW", "MNU_TAMALPHA", "ITM_alpha", "DOCU_CHR_caseFLIP", "ITM_NULL", "DOCU_CHR_numSET", "ITM_NULL", "DOCU_ITM_RADIX", "ITM_PERIOD", AN325), ".lo", ),"MNU_", "-MNU_")</f>
        <v>ITM_YX</v>
      </c>
      <c r="AZ325" s="157" t="str" cm="1">
        <f t="array" ref="AZ325">SUBSTITUTE(SUBSTITUTE(_xlfn.SWITCH(AO325, "ITM_T_HOME", "ITM_UP1", "ITM_T_END", "ITM_DOWN1", "DOCU_CHR_sub", "ITM_DOWN_ARROW", "DOCU_CHR_super", "ITM_UP_ARROW", "MNU_TAMALPHA", "ITM_alpha", "DOCU_CHR_caseFLIP", "ITM_NULL", "DOCU_CHR_numSET", "ITM_NULL", "DOCU_ITM_RADIX", "ITM_PERIOD", AO325), ".lo", ),"MNU_", "-MNU_")</f>
        <v>ITM_HASH_JM</v>
      </c>
      <c r="BA325" s="173" t="str" cm="1">
        <f t="array" ref="BA325">SUBSTITUTE(SUBSTITUTE(_xlfn.SWITCH(AP325, "ITM_T_HOME", "ITM_UP1", "ITM_T_END", "ITM_DOWN1", "DOCU_CHR_sub", "ITM_DOWN_ARROW", "DOCU_CHR_super", "ITM_UP_ARROW", "MNU_TAMALPHA", "ITM_alpha", "DOCU_CHR_caseFLIP", "ITM_NULL", "DOCU_CHR_numSET", "ITM_NULL", "DOCU_ITM_RADIX", "ITM_PERIOD", AP325), ".lo", ),"MNU_", "-MNU_")</f>
        <v>ITM_NUMBER_SIGN</v>
      </c>
      <c r="BB325" s="157" t="str" cm="1">
        <f t="array" ref="BB325">SUBSTITUTE(SUBSTITUTE(_xlfn.SWITCH(AQ325, "ITM_T_HOME", "ITM_UP1", "ITM_T_END", "ITM_DOWN1", "DOCU_CHR_sub", "ITM_DOWN_ARROW", "DOCU_CHR_super", "ITM_UP_ARROW", "MNU_TAMALPHA", "ITM_alpha", "DOCU_CHR_caseFLIP", "ITM_NULL", "DOCU_CHR_numSET", "ITM_NULL", "DOCU_ITM_RADIX", "ITM_PERIOD", AQ325), ".lo", ),"MNU_", "-MNU_")</f>
        <v>ITM_B</v>
      </c>
      <c r="BC325" s="157" t="str" cm="1">
        <f t="array" ref="BC325">SUBSTITUTE(SUBSTITUTE(_xlfn.SWITCH(AR325, "ITM_T_HOME", "ITM_UP1", "ITM_T_END", "ITM_DOWN1", "DOCU_CHR_sub", "ITM_DOWN_ARROW", "DOCU_CHR_super", "ITM_UP_ARROW", "MNU_TAMALPHA", "ITM_alpha", "DOCU_CHR_caseFLIP", "ITM_NULL", "DOCU_CHR_numSET", "ITM_NULL", "DOCU_ITM_RADIX", "ITM_PERIOD", AR325), ".lo", ),"MNU_", "-MNU_")</f>
        <v>ITM_b</v>
      </c>
      <c r="BD325" s="157" t="str" cm="1">
        <f t="array" ref="BD325">SUBSTITUTE(SUBSTITUTE(_xlfn.SWITCH(AS325, "ITM_T_HOME", "ITM_UP1", "ITM_T_END", "ITM_DOWN1", "DOCU_CHR_sub", "ITM_DOWN_ARROW", "DOCU_CHR_super", "ITM_UP_ARROW", "MNU_TAMALPHA", "ITM_alpha", "DOCU_CHR_caseFLIP", "ITM_NULL", "DOCU_CHR_numSET", "ITM_NULL", "DOCU_ITM_RADIX", "ITM_PERIOD", AS325), ".lo", ),"MNU_", "-MNU_")</f>
        <v>ITM_CIRCUMFLEX</v>
      </c>
      <c r="BE325" s="157" t="str" cm="1">
        <f t="array" ref="BE325">SUBSTITUTE(SUBSTITUTE(_xlfn.SWITCH(AT325, "ITM_T_HOME", "ITM_UP1", "ITM_T_END", "ITM_DOWN1", "DOCU_CHR_sub", "ITM_DOWN_ARROW", "DOCU_CHR_super", "ITM_UP_ARROW", "MNU_TAMALPHA", "ITM_alpha", "DOCU_CHR_caseFLIP", "ITM_NULL", "DOCU_CHR_numSET", "ITM_NULL", "DOCU_ITM_RADIX", "ITM_PERIOD", AT325), ".lo", ),"MNU_", "-MNU_")</f>
        <v>ITM_REG_B</v>
      </c>
      <c r="BG325" s="75"/>
      <c r="BI325" s="13" t="str">
        <f t="shared" si="123"/>
        <v xml:space="preserve">  {22,                  ITM_1ONX,             ITM_YX,               ITM_HASH_JM,          ITM_NUMBER_SIGN,      ITM_B,                ITM_b,                ITM_CIRCUMFLEX,       ITM_REG_B           },</v>
      </c>
    </row>
    <row r="326" spans="24:61" ht="21" x14ac:dyDescent="0.2">
      <c r="X326" s="127" t="str">
        <f t="shared" si="114"/>
        <v>DM42</v>
      </c>
      <c r="Y326" s="109">
        <v>2</v>
      </c>
      <c r="Z326" s="109">
        <v>3</v>
      </c>
      <c r="AA326" s="112" t="str">
        <f t="shared" si="113"/>
        <v>DM42.23</v>
      </c>
      <c r="AB326" s="117" t="s">
        <v>61</v>
      </c>
      <c r="AC326" s="118" t="s">
        <v>62</v>
      </c>
      <c r="AD326" s="119" t="s">
        <v>63</v>
      </c>
      <c r="AE326" s="3"/>
      <c r="AF326" s="49" t="s">
        <v>64</v>
      </c>
      <c r="AG326" s="77" t="b">
        <f t="shared" si="124"/>
        <v>1</v>
      </c>
      <c r="AH326" s="83" t="str">
        <f t="shared" si="115"/>
        <v>c</v>
      </c>
      <c r="AI326" s="84" t="str">
        <f t="shared" si="116"/>
        <v>√</v>
      </c>
      <c r="AJ326" s="85" t="str">
        <f t="shared" si="117"/>
        <v>Reg C</v>
      </c>
      <c r="AK326" s="6"/>
      <c r="AL326" s="8" t="str">
        <f t="shared" si="118"/>
        <v>{23</v>
      </c>
      <c r="AM326" s="27" t="str">
        <f t="shared" si="119"/>
        <v>ITM_SQUAREROOTX</v>
      </c>
      <c r="AN326" s="27" t="str">
        <f t="shared" si="120"/>
        <v>ITM_SQUARE</v>
      </c>
      <c r="AO326" s="27" t="str">
        <f t="shared" si="121"/>
        <v>ITM_ms</v>
      </c>
      <c r="AP326" s="46" t="str">
        <f>IF(NOT(ISNA(MATCH(AM326,Lookups!E:E,))),VLOOKUP(AM326,Lookups!E:F,2,0),
IF(NOT(ISNA(MATCH(AN326,Lookups!E:E,))),VLOOKUP(AN326,Lookups!E:F,2,0),
IF(NOT(ISNA(MATCH(AO326,Lookups!E:E,))),VLOOKUP(AO326,Lookups!E:F,2,0),"ITM_NULL")))</f>
        <v>ITM_ROOT_SIGN</v>
      </c>
      <c r="AQ326" s="28" t="str">
        <f t="shared" si="122"/>
        <v>ITM_C</v>
      </c>
      <c r="AR326" s="195" t="s">
        <v>65</v>
      </c>
      <c r="AS326" s="186" t="s">
        <v>66</v>
      </c>
      <c r="AT326" s="196" t="s">
        <v>67</v>
      </c>
      <c r="AW326" s="14" t="str">
        <f t="shared" si="125"/>
        <v>{23</v>
      </c>
      <c r="AX326" s="157" t="str" cm="1">
        <f t="array" ref="AX326">SUBSTITUTE(SUBSTITUTE(_xlfn.SWITCH(AM326, "ITM_T_HOME", "ITM_UP1", "ITM_T_END", "ITM_DOWN1", "DOCU_CHR_sub", "ITM_DOWN_ARROW", "DOCU_CHR_super", "ITM_UP_ARROW", "MNU_TAMALPHA", "ITM_alpha", "DOCU_CHR_caseFLIP", "ITM_NULL", "DOCU_CHR_numSET", "ITM_NULL", "DOCU_ITM_RADIX", "ITM_PERIOD", AM326), ".lo", ),"MNU_", "-MNU_")</f>
        <v>ITM_SQUAREROOTX</v>
      </c>
      <c r="AY326" s="157" t="str" cm="1">
        <f t="array" ref="AY326">SUBSTITUTE(SUBSTITUTE(_xlfn.SWITCH(AN326, "ITM_T_HOME", "ITM_UP1", "ITM_T_END", "ITM_DOWN1", "DOCU_CHR_sub", "ITM_DOWN_ARROW", "DOCU_CHR_super", "ITM_UP_ARROW", "MNU_TAMALPHA", "ITM_alpha", "DOCU_CHR_caseFLIP", "ITM_NULL", "DOCU_CHR_numSET", "ITM_NULL", "DOCU_ITM_RADIX", "ITM_PERIOD", AN326), ".lo", ),"MNU_", "-MNU_")</f>
        <v>ITM_SQUARE</v>
      </c>
      <c r="AZ326" s="157" t="str" cm="1">
        <f t="array" ref="AZ326">SUBSTITUTE(SUBSTITUTE(_xlfn.SWITCH(AO326, "ITM_T_HOME", "ITM_UP1", "ITM_T_END", "ITM_DOWN1", "DOCU_CHR_sub", "ITM_DOWN_ARROW", "DOCU_CHR_super", "ITM_UP_ARROW", "MNU_TAMALPHA", "ITM_alpha", "DOCU_CHR_caseFLIP", "ITM_NULL", "DOCU_CHR_numSET", "ITM_NULL", "DOCU_ITM_RADIX", "ITM_PERIOD", AO326), ".lo", ),"MNU_", "-MNU_")</f>
        <v>ITM_ms</v>
      </c>
      <c r="BA326" s="173" t="str" cm="1">
        <f t="array" ref="BA326">SUBSTITUTE(SUBSTITUTE(_xlfn.SWITCH(AP326, "ITM_T_HOME", "ITM_UP1", "ITM_T_END", "ITM_DOWN1", "DOCU_CHR_sub", "ITM_DOWN_ARROW", "DOCU_CHR_super", "ITM_UP_ARROW", "MNU_TAMALPHA", "ITM_alpha", "DOCU_CHR_caseFLIP", "ITM_NULL", "DOCU_CHR_numSET", "ITM_NULL", "DOCU_ITM_RADIX", "ITM_PERIOD", AP326), ".lo", ),"MNU_", "-MNU_")</f>
        <v>ITM_ROOT_SIGN</v>
      </c>
      <c r="BB326" s="157" t="str" cm="1">
        <f t="array" ref="BB326">SUBSTITUTE(SUBSTITUTE(_xlfn.SWITCH(AQ326, "ITM_T_HOME", "ITM_UP1", "ITM_T_END", "ITM_DOWN1", "DOCU_CHR_sub", "ITM_DOWN_ARROW", "DOCU_CHR_super", "ITM_UP_ARROW", "MNU_TAMALPHA", "ITM_alpha", "DOCU_CHR_caseFLIP", "ITM_NULL", "DOCU_CHR_numSET", "ITM_NULL", "DOCU_ITM_RADIX", "ITM_PERIOD", AQ326), ".lo", ),"MNU_", "-MNU_")</f>
        <v>ITM_C</v>
      </c>
      <c r="BC326" s="157" t="str" cm="1">
        <f t="array" ref="BC326">SUBSTITUTE(SUBSTITUTE(_xlfn.SWITCH(AR326, "ITM_T_HOME", "ITM_UP1", "ITM_T_END", "ITM_DOWN1", "DOCU_CHR_sub", "ITM_DOWN_ARROW", "DOCU_CHR_super", "ITM_UP_ARROW", "MNU_TAMALPHA", "ITM_alpha", "DOCU_CHR_caseFLIP", "ITM_NULL", "DOCU_CHR_numSET", "ITM_NULL", "DOCU_ITM_RADIX", "ITM_PERIOD", AR326), ".lo", ),"MNU_", "-MNU_")</f>
        <v>ITM_c</v>
      </c>
      <c r="BD326" s="157" t="str" cm="1">
        <f t="array" ref="BD326">SUBSTITUTE(SUBSTITUTE(_xlfn.SWITCH(AS326, "ITM_T_HOME", "ITM_UP1", "ITM_T_END", "ITM_DOWN1", "DOCU_CHR_sub", "ITM_DOWN_ARROW", "DOCU_CHR_super", "ITM_UP_ARROW", "MNU_TAMALPHA", "ITM_alpha", "DOCU_CHR_caseFLIP", "ITM_NULL", "DOCU_CHR_numSET", "ITM_NULL", "DOCU_ITM_RADIX", "ITM_PERIOD", AS326), ".lo", ),"MNU_", "-MNU_")</f>
        <v>ITM_ROOT_SIGN</v>
      </c>
      <c r="BE326" s="157" t="str" cm="1">
        <f t="array" ref="BE326">SUBSTITUTE(SUBSTITUTE(_xlfn.SWITCH(AT326, "ITM_T_HOME", "ITM_UP1", "ITM_T_END", "ITM_DOWN1", "DOCU_CHR_sub", "ITM_DOWN_ARROW", "DOCU_CHR_super", "ITM_UP_ARROW", "MNU_TAMALPHA", "ITM_alpha", "DOCU_CHR_caseFLIP", "ITM_NULL", "DOCU_CHR_numSET", "ITM_NULL", "DOCU_ITM_RADIX", "ITM_PERIOD", AT326), ".lo", ),"MNU_", "-MNU_")</f>
        <v>ITM_REG_C</v>
      </c>
      <c r="BG326" s="75"/>
      <c r="BI326" s="13" t="str">
        <f t="shared" si="123"/>
        <v xml:space="preserve">  {23,                  ITM_SQUAREROOTX,      ITM_SQUARE,           ITM_ms,               ITM_ROOT_SIGN,        ITM_C,                ITM_c,                ITM_ROOT_SIGN,        ITM_REG_C           },</v>
      </c>
    </row>
    <row r="327" spans="24:61" ht="21" x14ac:dyDescent="0.2">
      <c r="X327" s="127" t="str">
        <f t="shared" si="114"/>
        <v>DM42</v>
      </c>
      <c r="Y327" s="109">
        <v>2</v>
      </c>
      <c r="Z327" s="109">
        <v>4</v>
      </c>
      <c r="AA327" s="112" t="str">
        <f t="shared" si="113"/>
        <v>DM42.24</v>
      </c>
      <c r="AB327" s="117" t="s">
        <v>68</v>
      </c>
      <c r="AC327" s="118" t="s">
        <v>69</v>
      </c>
      <c r="AD327" s="119" t="s">
        <v>70</v>
      </c>
      <c r="AE327" s="3"/>
      <c r="AF327" s="49" t="s">
        <v>71</v>
      </c>
      <c r="AG327" s="77" t="b">
        <f t="shared" si="124"/>
        <v>1</v>
      </c>
      <c r="AH327" s="83" t="str">
        <f t="shared" si="115"/>
        <v>d</v>
      </c>
      <c r="AI327" s="84" t="str">
        <f t="shared" si="116"/>
        <v>LOG</v>
      </c>
      <c r="AJ327" s="85" t="str">
        <f t="shared" si="117"/>
        <v>Reg D</v>
      </c>
      <c r="AK327" s="6"/>
      <c r="AL327" s="8" t="str">
        <f t="shared" si="118"/>
        <v>{24</v>
      </c>
      <c r="AM327" s="27" t="str">
        <f t="shared" si="119"/>
        <v>ITM_LOG10</v>
      </c>
      <c r="AN327" s="27" t="str">
        <f t="shared" si="120"/>
        <v>ITM_10x</v>
      </c>
      <c r="AO327" s="27" t="str">
        <f t="shared" si="121"/>
        <v>ITM_dotD</v>
      </c>
      <c r="AP327" s="46" t="str">
        <f>IF(NOT(ISNA(MATCH(AM327,Lookups!E:E,))),VLOOKUP(AM327,Lookups!E:F,2,0),
IF(NOT(ISNA(MATCH(AN327,Lookups!E:E,))),VLOOKUP(AN327,Lookups!E:F,2,0),
IF(NOT(ISNA(MATCH(AO327,Lookups!E:E,))),VLOOKUP(AO327,Lookups!E:F,2,0),"ITM_NULL")))</f>
        <v>ITM_NULL</v>
      </c>
      <c r="AQ327" s="28" t="str">
        <f t="shared" si="122"/>
        <v>ITM_D</v>
      </c>
      <c r="AR327" s="195" t="s">
        <v>72</v>
      </c>
      <c r="AS327" s="186" t="s">
        <v>73</v>
      </c>
      <c r="AT327" s="196" t="s">
        <v>74</v>
      </c>
      <c r="AW327" s="14" t="str">
        <f t="shared" si="125"/>
        <v>{24</v>
      </c>
      <c r="AX327" s="157" t="str" cm="1">
        <f t="array" ref="AX327">SUBSTITUTE(SUBSTITUTE(_xlfn.SWITCH(AM327, "ITM_T_HOME", "ITM_UP1", "ITM_T_END", "ITM_DOWN1", "DOCU_CHR_sub", "ITM_DOWN_ARROW", "DOCU_CHR_super", "ITM_UP_ARROW", "MNU_TAMALPHA", "ITM_alpha", "DOCU_CHR_caseFLIP", "ITM_NULL", "DOCU_CHR_numSET", "ITM_NULL", "DOCU_ITM_RADIX", "ITM_PERIOD", AM327), ".lo", ),"MNU_", "-MNU_")</f>
        <v>ITM_LOG10</v>
      </c>
      <c r="AY327" s="157" t="str" cm="1">
        <f t="array" ref="AY327">SUBSTITUTE(SUBSTITUTE(_xlfn.SWITCH(AN327, "ITM_T_HOME", "ITM_UP1", "ITM_T_END", "ITM_DOWN1", "DOCU_CHR_sub", "ITM_DOWN_ARROW", "DOCU_CHR_super", "ITM_UP_ARROW", "MNU_TAMALPHA", "ITM_alpha", "DOCU_CHR_caseFLIP", "ITM_NULL", "DOCU_CHR_numSET", "ITM_NULL", "DOCU_ITM_RADIX", "ITM_PERIOD", AN327), ".lo", ),"MNU_", "-MNU_")</f>
        <v>ITM_10x</v>
      </c>
      <c r="AZ327" s="157" t="str" cm="1">
        <f t="array" ref="AZ327">SUBSTITUTE(SUBSTITUTE(_xlfn.SWITCH(AO327, "ITM_T_HOME", "ITM_UP1", "ITM_T_END", "ITM_DOWN1", "DOCU_CHR_sub", "ITM_DOWN_ARROW", "DOCU_CHR_super", "ITM_UP_ARROW", "MNU_TAMALPHA", "ITM_alpha", "DOCU_CHR_caseFLIP", "ITM_NULL", "DOCU_CHR_numSET", "ITM_NULL", "DOCU_ITM_RADIX", "ITM_PERIOD", AO327), ".lo", ),"MNU_", "-MNU_")</f>
        <v>ITM_dotD</v>
      </c>
      <c r="BA327" s="173" t="str" cm="1">
        <f t="array" ref="BA327">SUBSTITUTE(SUBSTITUTE(_xlfn.SWITCH(AP327, "ITM_T_HOME", "ITM_UP1", "ITM_T_END", "ITM_DOWN1", "DOCU_CHR_sub", "ITM_DOWN_ARROW", "DOCU_CHR_super", "ITM_UP_ARROW", "MNU_TAMALPHA", "ITM_alpha", "DOCU_CHR_caseFLIP", "ITM_NULL", "DOCU_CHR_numSET", "ITM_NULL", "DOCU_ITM_RADIX", "ITM_PERIOD", AP327), ".lo", ),"MNU_", "-MNU_")</f>
        <v>ITM_NULL</v>
      </c>
      <c r="BB327" s="157" t="str" cm="1">
        <f t="array" ref="BB327">SUBSTITUTE(SUBSTITUTE(_xlfn.SWITCH(AQ327, "ITM_T_HOME", "ITM_UP1", "ITM_T_END", "ITM_DOWN1", "DOCU_CHR_sub", "ITM_DOWN_ARROW", "DOCU_CHR_super", "ITM_UP_ARROW", "MNU_TAMALPHA", "ITM_alpha", "DOCU_CHR_caseFLIP", "ITM_NULL", "DOCU_CHR_numSET", "ITM_NULL", "DOCU_ITM_RADIX", "ITM_PERIOD", AQ327), ".lo", ),"MNU_", "-MNU_")</f>
        <v>ITM_D</v>
      </c>
      <c r="BC327" s="157" t="str" cm="1">
        <f t="array" ref="BC327">SUBSTITUTE(SUBSTITUTE(_xlfn.SWITCH(AR327, "ITM_T_HOME", "ITM_UP1", "ITM_T_END", "ITM_DOWN1", "DOCU_CHR_sub", "ITM_DOWN_ARROW", "DOCU_CHR_super", "ITM_UP_ARROW", "MNU_TAMALPHA", "ITM_alpha", "DOCU_CHR_caseFLIP", "ITM_NULL", "DOCU_CHR_numSET", "ITM_NULL", "DOCU_ITM_RADIX", "ITM_PERIOD", AR327), ".lo", ),"MNU_", "-MNU_")</f>
        <v>ITM_d</v>
      </c>
      <c r="BD327" s="157" t="str" cm="1">
        <f t="array" ref="BD327">SUBSTITUTE(SUBSTITUTE(_xlfn.SWITCH(AS327, "ITM_T_HOME", "ITM_UP1", "ITM_T_END", "ITM_DOWN1", "DOCU_CHR_sub", "ITM_DOWN_ARROW", "DOCU_CHR_super", "ITM_UP_ARROW", "MNU_TAMALPHA", "ITM_alpha", "DOCU_CHR_caseFLIP", "ITM_NULL", "DOCU_CHR_numSET", "ITM_NULL", "DOCU_ITM_RADIX", "ITM_PERIOD", AS327), ".lo", ),"MNU_", "-MNU_")</f>
        <v>ITM_LG_SIGN</v>
      </c>
      <c r="BE327" s="157" t="str" cm="1">
        <f t="array" ref="BE327">SUBSTITUTE(SUBSTITUTE(_xlfn.SWITCH(AT327, "ITM_T_HOME", "ITM_UP1", "ITM_T_END", "ITM_DOWN1", "DOCU_CHR_sub", "ITM_DOWN_ARROW", "DOCU_CHR_super", "ITM_UP_ARROW", "MNU_TAMALPHA", "ITM_alpha", "DOCU_CHR_caseFLIP", "ITM_NULL", "DOCU_CHR_numSET", "ITM_NULL", "DOCU_ITM_RADIX", "ITM_PERIOD", AT327), ".lo", ),"MNU_", "-MNU_")</f>
        <v>ITM_REG_D</v>
      </c>
      <c r="BG327" s="75"/>
      <c r="BI327" s="13" t="str">
        <f t="shared" si="123"/>
        <v xml:space="preserve">  {24,                  ITM_LOG10,            ITM_10x,              ITM_dotD,             ITM_NULL,             ITM_D,                ITM_d,                ITM_LG_SIGN,          ITM_REG_D           },</v>
      </c>
    </row>
    <row r="328" spans="24:61" ht="21" x14ac:dyDescent="0.2">
      <c r="X328" s="127" t="str">
        <f t="shared" si="114"/>
        <v>DM42</v>
      </c>
      <c r="Y328" s="109">
        <v>2</v>
      </c>
      <c r="Z328" s="109">
        <v>5</v>
      </c>
      <c r="AA328" s="112" t="str">
        <f t="shared" si="113"/>
        <v>DM42.25</v>
      </c>
      <c r="AB328" s="117" t="s">
        <v>75</v>
      </c>
      <c r="AC328" s="118" t="s">
        <v>76</v>
      </c>
      <c r="AD328" s="119" t="s">
        <v>77</v>
      </c>
      <c r="AE328" s="3"/>
      <c r="AF328" s="49" t="s">
        <v>78</v>
      </c>
      <c r="AG328" s="77" t="b">
        <f t="shared" si="124"/>
        <v>1</v>
      </c>
      <c r="AH328" s="83" t="str">
        <f t="shared" si="115"/>
        <v>e</v>
      </c>
      <c r="AI328" s="84" t="str">
        <f t="shared" si="116"/>
        <v>LN</v>
      </c>
      <c r="AJ328" s="85" t="str">
        <f t="shared" si="117"/>
        <v xml:space="preserve"> </v>
      </c>
      <c r="AK328" s="6"/>
      <c r="AL328" s="8" t="str">
        <f t="shared" si="118"/>
        <v>{25</v>
      </c>
      <c r="AM328" s="27" t="str">
        <f t="shared" si="119"/>
        <v>ITM_LN</v>
      </c>
      <c r="AN328" s="27" t="str">
        <f t="shared" si="120"/>
        <v>ITM_EXP</v>
      </c>
      <c r="AO328" s="27" t="str">
        <f t="shared" si="121"/>
        <v>ITM_LBL</v>
      </c>
      <c r="AP328" s="46" t="str">
        <f>IF(NOT(ISNA(MATCH(AM328,Lookups!E:E,))),VLOOKUP(AM328,Lookups!E:F,2,0),
IF(NOT(ISNA(MATCH(AN328,Lookups!E:E,))),VLOOKUP(AN328,Lookups!E:F,2,0),
IF(NOT(ISNA(MATCH(AO328,Lookups!E:E,))),VLOOKUP(AO328,Lookups!E:F,2,0),"ITM_NULL")))</f>
        <v>ITM_NULL</v>
      </c>
      <c r="AQ328" s="28" t="str">
        <f t="shared" si="122"/>
        <v>ITM_E</v>
      </c>
      <c r="AR328" s="195" t="s">
        <v>79</v>
      </c>
      <c r="AS328" s="186" t="s">
        <v>80</v>
      </c>
      <c r="AT328" s="197" t="s">
        <v>81</v>
      </c>
      <c r="AW328" s="14" t="str">
        <f t="shared" si="125"/>
        <v>{25</v>
      </c>
      <c r="AX328" s="157" t="str" cm="1">
        <f t="array" ref="AX328">SUBSTITUTE(SUBSTITUTE(_xlfn.SWITCH(AM328, "ITM_T_HOME", "ITM_UP1", "ITM_T_END", "ITM_DOWN1", "DOCU_CHR_sub", "ITM_DOWN_ARROW", "DOCU_CHR_super", "ITM_UP_ARROW", "MNU_TAMALPHA", "ITM_alpha", "DOCU_CHR_caseFLIP", "ITM_NULL", "DOCU_CHR_numSET", "ITM_NULL", "DOCU_ITM_RADIX", "ITM_PERIOD", AM328), ".lo", ),"MNU_", "-MNU_")</f>
        <v>ITM_LN</v>
      </c>
      <c r="AY328" s="157" t="str" cm="1">
        <f t="array" ref="AY328">SUBSTITUTE(SUBSTITUTE(_xlfn.SWITCH(AN328, "ITM_T_HOME", "ITM_UP1", "ITM_T_END", "ITM_DOWN1", "DOCU_CHR_sub", "ITM_DOWN_ARROW", "DOCU_CHR_super", "ITM_UP_ARROW", "MNU_TAMALPHA", "ITM_alpha", "DOCU_CHR_caseFLIP", "ITM_NULL", "DOCU_CHR_numSET", "ITM_NULL", "DOCU_ITM_RADIX", "ITM_PERIOD", AN328), ".lo", ),"MNU_", "-MNU_")</f>
        <v>ITM_EXP</v>
      </c>
      <c r="AZ328" s="157" t="str" cm="1">
        <f t="array" ref="AZ328">SUBSTITUTE(SUBSTITUTE(_xlfn.SWITCH(AO328, "ITM_T_HOME", "ITM_UP1", "ITM_T_END", "ITM_DOWN1", "DOCU_CHR_sub", "ITM_DOWN_ARROW", "DOCU_CHR_super", "ITM_UP_ARROW", "MNU_TAMALPHA", "ITM_alpha", "DOCU_CHR_caseFLIP", "ITM_NULL", "DOCU_CHR_numSET", "ITM_NULL", "DOCU_ITM_RADIX", "ITM_PERIOD", AO328), ".lo", ),"MNU_", "-MNU_")</f>
        <v>ITM_LBL</v>
      </c>
      <c r="BA328" s="173" t="str" cm="1">
        <f t="array" ref="BA328">SUBSTITUTE(SUBSTITUTE(_xlfn.SWITCH(AP328, "ITM_T_HOME", "ITM_UP1", "ITM_T_END", "ITM_DOWN1", "DOCU_CHR_sub", "ITM_DOWN_ARROW", "DOCU_CHR_super", "ITM_UP_ARROW", "MNU_TAMALPHA", "ITM_alpha", "DOCU_CHR_caseFLIP", "ITM_NULL", "DOCU_CHR_numSET", "ITM_NULL", "DOCU_ITM_RADIX", "ITM_PERIOD", AP328), ".lo", ),"MNU_", "-MNU_")</f>
        <v>ITM_NULL</v>
      </c>
      <c r="BB328" s="157" t="str" cm="1">
        <f t="array" ref="BB328">SUBSTITUTE(SUBSTITUTE(_xlfn.SWITCH(AQ328, "ITM_T_HOME", "ITM_UP1", "ITM_T_END", "ITM_DOWN1", "DOCU_CHR_sub", "ITM_DOWN_ARROW", "DOCU_CHR_super", "ITM_UP_ARROW", "MNU_TAMALPHA", "ITM_alpha", "DOCU_CHR_caseFLIP", "ITM_NULL", "DOCU_CHR_numSET", "ITM_NULL", "DOCU_ITM_RADIX", "ITM_PERIOD", AQ328), ".lo", ),"MNU_", "-MNU_")</f>
        <v>ITM_E</v>
      </c>
      <c r="BC328" s="157" t="str" cm="1">
        <f t="array" ref="BC328">SUBSTITUTE(SUBSTITUTE(_xlfn.SWITCH(AR328, "ITM_T_HOME", "ITM_UP1", "ITM_T_END", "ITM_DOWN1", "DOCU_CHR_sub", "ITM_DOWN_ARROW", "DOCU_CHR_super", "ITM_UP_ARROW", "MNU_TAMALPHA", "ITM_alpha", "DOCU_CHR_caseFLIP", "ITM_NULL", "DOCU_CHR_numSET", "ITM_NULL", "DOCU_ITM_RADIX", "ITM_PERIOD", AR328), ".lo", ),"MNU_", "-MNU_")</f>
        <v>ITM_e</v>
      </c>
      <c r="BD328" s="157" t="str" cm="1">
        <f t="array" ref="BD328">SUBSTITUTE(SUBSTITUTE(_xlfn.SWITCH(AS328, "ITM_T_HOME", "ITM_UP1", "ITM_T_END", "ITM_DOWN1", "DOCU_CHR_sub", "ITM_DOWN_ARROW", "DOCU_CHR_super", "ITM_UP_ARROW", "MNU_TAMALPHA", "ITM_alpha", "DOCU_CHR_caseFLIP", "ITM_NULL", "DOCU_CHR_numSET", "ITM_NULL", "DOCU_ITM_RADIX", "ITM_PERIOD", AS328), ".lo", ),"MNU_", "-MNU_")</f>
        <v>ITM_LN_SIGN</v>
      </c>
      <c r="BE328" s="157" t="str" cm="1">
        <f t="array" ref="BE328">SUBSTITUTE(SUBSTITUTE(_xlfn.SWITCH(AT328, "ITM_T_HOME", "ITM_UP1", "ITM_T_END", "ITM_DOWN1", "DOCU_CHR_sub", "ITM_DOWN_ARROW", "DOCU_CHR_super", "ITM_UP_ARROW", "MNU_TAMALPHA", "ITM_alpha", "DOCU_CHR_caseFLIP", "ITM_NULL", "DOCU_CHR_numSET", "ITM_NULL", "DOCU_ITM_RADIX", "ITM_PERIOD", AT328), ".lo", ),"MNU_", "-MNU_")</f>
        <v>ITM_NULL</v>
      </c>
      <c r="BG328" s="75"/>
      <c r="BI328" s="13" t="str">
        <f t="shared" si="123"/>
        <v xml:space="preserve">  {25,                  ITM_LN,               ITM_EXP,              ITM_LBL,              ITM_NULL,             ITM_E,                ITM_e,                ITM_LN_SIGN,          ITM_NULL            },</v>
      </c>
    </row>
    <row r="329" spans="24:61" ht="21" x14ac:dyDescent="0.2">
      <c r="X329" s="127" t="str">
        <f t="shared" si="114"/>
        <v>DM42</v>
      </c>
      <c r="Y329" s="109">
        <v>2</v>
      </c>
      <c r="Z329" s="109">
        <v>6</v>
      </c>
      <c r="AA329" s="112" t="str">
        <f t="shared" si="113"/>
        <v>DM42.26</v>
      </c>
      <c r="AB329" s="117" t="s">
        <v>82</v>
      </c>
      <c r="AC329" s="118" t="s">
        <v>84</v>
      </c>
      <c r="AD329" s="119" t="s">
        <v>379</v>
      </c>
      <c r="AE329" s="3"/>
      <c r="AF329" s="49" t="s">
        <v>85</v>
      </c>
      <c r="AG329" s="77" t="b">
        <f t="shared" si="124"/>
        <v>1</v>
      </c>
      <c r="AH329" s="83" t="str">
        <f t="shared" si="115"/>
        <v>f</v>
      </c>
      <c r="AI329" s="84" t="str">
        <f t="shared" si="116"/>
        <v>alpha</v>
      </c>
      <c r="AJ329" s="85" t="str">
        <f t="shared" si="117"/>
        <v>[TAMALPHA]</v>
      </c>
      <c r="AK329" s="6"/>
      <c r="AL329" s="8" t="str">
        <f t="shared" si="118"/>
        <v>{26</v>
      </c>
      <c r="AM329" s="27" t="str">
        <f t="shared" si="119"/>
        <v>ITM_XEQ</v>
      </c>
      <c r="AN329" s="27" t="str">
        <f t="shared" si="120"/>
        <v>ITM_GTO</v>
      </c>
      <c r="AO329" s="27" t="str">
        <f t="shared" si="121"/>
        <v>ITM_RTN</v>
      </c>
      <c r="AP329" s="46" t="str">
        <f>IF(NOT(ISNA(MATCH(AM329,Lookups!E:E,))),VLOOKUP(AM329,Lookups!E:F,2,0),
IF(NOT(ISNA(MATCH(AN329,Lookups!E:E,))),VLOOKUP(AN329,Lookups!E:F,2,0),
IF(NOT(ISNA(MATCH(AO329,Lookups!E:E,))),VLOOKUP(AO329,Lookups!E:F,2,0),"ITM_NULL")))</f>
        <v>ITM_NULL</v>
      </c>
      <c r="AQ329" s="28" t="str">
        <f t="shared" si="122"/>
        <v>ITM_F</v>
      </c>
      <c r="AR329" s="195" t="s">
        <v>86</v>
      </c>
      <c r="AS329" s="186" t="s">
        <v>87</v>
      </c>
      <c r="AT329" s="197" t="s">
        <v>622</v>
      </c>
      <c r="AW329" s="14" t="str">
        <f t="shared" si="125"/>
        <v>{26</v>
      </c>
      <c r="AX329" s="157" t="str" cm="1">
        <f t="array" ref="AX329">SUBSTITUTE(SUBSTITUTE(_xlfn.SWITCH(AM329, "ITM_T_HOME", "ITM_UP1", "ITM_T_END", "ITM_DOWN1", "DOCU_CHR_sub", "ITM_DOWN_ARROW", "DOCU_CHR_super", "ITM_UP_ARROW", "MNU_TAMALPHA", "ITM_alpha", "DOCU_CHR_caseFLIP", "ITM_NULL", "DOCU_CHR_numSET", "ITM_NULL", "DOCU_ITM_RADIX", "ITM_PERIOD", AM329), ".lo", ),"MNU_", "-MNU_")</f>
        <v>ITM_XEQ</v>
      </c>
      <c r="AY329" s="157" t="str" cm="1">
        <f t="array" ref="AY329">SUBSTITUTE(SUBSTITUTE(_xlfn.SWITCH(AN329, "ITM_T_HOME", "ITM_UP1", "ITM_T_END", "ITM_DOWN1", "DOCU_CHR_sub", "ITM_DOWN_ARROW", "DOCU_CHR_super", "ITM_UP_ARROW", "MNU_TAMALPHA", "ITM_alpha", "DOCU_CHR_caseFLIP", "ITM_NULL", "DOCU_CHR_numSET", "ITM_NULL", "DOCU_ITM_RADIX", "ITM_PERIOD", AN329), ".lo", ),"MNU_", "-MNU_")</f>
        <v>ITM_GTO</v>
      </c>
      <c r="AZ329" s="157" t="str" cm="1">
        <f t="array" ref="AZ329">SUBSTITUTE(SUBSTITUTE(_xlfn.SWITCH(AO329, "ITM_T_HOME", "ITM_UP1", "ITM_T_END", "ITM_DOWN1", "DOCU_CHR_sub", "ITM_DOWN_ARROW", "DOCU_CHR_super", "ITM_UP_ARROW", "MNU_TAMALPHA", "ITM_alpha", "DOCU_CHR_caseFLIP", "ITM_NULL", "DOCU_CHR_numSET", "ITM_NULL", "DOCU_ITM_RADIX", "ITM_PERIOD", AO329), ".lo", ),"MNU_", "-MNU_")</f>
        <v>ITM_RTN</v>
      </c>
      <c r="BA329" s="173" t="str" cm="1">
        <f t="array" ref="BA329">SUBSTITUTE(SUBSTITUTE(_xlfn.SWITCH(AP329, "ITM_T_HOME", "ITM_UP1", "ITM_T_END", "ITM_DOWN1", "DOCU_CHR_sub", "ITM_DOWN_ARROW", "DOCU_CHR_super", "ITM_UP_ARROW", "MNU_TAMALPHA", "ITM_alpha", "DOCU_CHR_caseFLIP", "ITM_NULL", "DOCU_CHR_numSET", "ITM_NULL", "DOCU_ITM_RADIX", "ITM_PERIOD", AP329), ".lo", ),"MNU_", "-MNU_")</f>
        <v>ITM_NULL</v>
      </c>
      <c r="BB329" s="157" t="str" cm="1">
        <f t="array" ref="BB329">SUBSTITUTE(SUBSTITUTE(_xlfn.SWITCH(AQ329, "ITM_T_HOME", "ITM_UP1", "ITM_T_END", "ITM_DOWN1", "DOCU_CHR_sub", "ITM_DOWN_ARROW", "DOCU_CHR_super", "ITM_UP_ARROW", "MNU_TAMALPHA", "ITM_alpha", "DOCU_CHR_caseFLIP", "ITM_NULL", "DOCU_CHR_numSET", "ITM_NULL", "DOCU_ITM_RADIX", "ITM_PERIOD", AQ329), ".lo", ),"MNU_", "-MNU_")</f>
        <v>ITM_F</v>
      </c>
      <c r="BC329" s="157" t="str" cm="1">
        <f t="array" ref="BC329">SUBSTITUTE(SUBSTITUTE(_xlfn.SWITCH(AR329, "ITM_T_HOME", "ITM_UP1", "ITM_T_END", "ITM_DOWN1", "DOCU_CHR_sub", "ITM_DOWN_ARROW", "DOCU_CHR_super", "ITM_UP_ARROW", "MNU_TAMALPHA", "ITM_alpha", "DOCU_CHR_caseFLIP", "ITM_NULL", "DOCU_CHR_numSET", "ITM_NULL", "DOCU_ITM_RADIX", "ITM_PERIOD", AR329), ".lo", ),"MNU_", "-MNU_")</f>
        <v>ITM_f</v>
      </c>
      <c r="BD329" s="157" t="str" cm="1">
        <f t="array" ref="BD329">SUBSTITUTE(SUBSTITUTE(_xlfn.SWITCH(AS329, "ITM_T_HOME", "ITM_UP1", "ITM_T_END", "ITM_DOWN1", "DOCU_CHR_sub", "ITM_DOWN_ARROW", "DOCU_CHR_super", "ITM_UP_ARROW", "MNU_TAMALPHA", "ITM_alpha", "DOCU_CHR_caseFLIP", "ITM_NULL", "DOCU_CHR_numSET", "ITM_NULL", "DOCU_ITM_RADIX", "ITM_PERIOD", AS329), ".lo", ),"MNU_", "-MNU_")</f>
        <v>ITM_alpha</v>
      </c>
      <c r="BE329" s="157" t="str" cm="1">
        <f t="array" ref="BE329">SUBSTITUTE(SUBSTITUTE(_xlfn.SWITCH(AT329, "ITM_T_HOME", "ITM_UP1", "ITM_T_END", "ITM_DOWN1", "DOCU_CHR_sub", "ITM_DOWN_ARROW", "DOCU_CHR_super", "ITM_UP_ARROW", "MNU_TAMALPHA", "ITM_alpha", "DOCU_CHR_caseFLIP", "ITM_NULL", "DOCU_CHR_numSET", "ITM_NULL", "DOCU_ITM_RADIX", "ITM_PERIOD", AT329), ".lo", ),"MNU_", "-MNU_")</f>
        <v>ITM_alpha</v>
      </c>
      <c r="BG329" s="75"/>
      <c r="BI329" s="13" t="str">
        <f t="shared" si="123"/>
        <v xml:space="preserve">  {26,                  ITM_XEQ,              ITM_GTO,              ITM_RTN,              ITM_NULL,             ITM_F,                ITM_f,                ITM_alpha,            ITM_alpha           },</v>
      </c>
    </row>
    <row r="330" spans="24:61" ht="21" x14ac:dyDescent="0.2">
      <c r="X330" s="127" t="str">
        <f t="shared" si="114"/>
        <v>DM42</v>
      </c>
      <c r="Y330" s="106">
        <v>3</v>
      </c>
      <c r="Z330" s="106">
        <v>1</v>
      </c>
      <c r="AA330" s="112" t="str">
        <f t="shared" si="113"/>
        <v>DM42.31</v>
      </c>
      <c r="AB330" s="117" t="s">
        <v>88</v>
      </c>
      <c r="AC330" s="118" t="s">
        <v>130</v>
      </c>
      <c r="AD330" s="119" t="s">
        <v>90</v>
      </c>
      <c r="AE330" s="3"/>
      <c r="AF330" s="49" t="s">
        <v>91</v>
      </c>
      <c r="AG330" s="77" t="b">
        <f t="shared" si="124"/>
        <v>1</v>
      </c>
      <c r="AH330" s="83" t="str">
        <f t="shared" si="115"/>
        <v>g</v>
      </c>
      <c r="AI330" s="84" t="str">
        <f t="shared" si="116"/>
        <v>|</v>
      </c>
      <c r="AJ330" s="85" t="str">
        <f t="shared" si="117"/>
        <v xml:space="preserve"> </v>
      </c>
      <c r="AK330" s="6"/>
      <c r="AL330" s="8" t="str">
        <f t="shared" si="118"/>
        <v>{31</v>
      </c>
      <c r="AM330" s="27" t="str">
        <f t="shared" si="119"/>
        <v>ITM_STO</v>
      </c>
      <c r="AN330" s="27" t="str">
        <f t="shared" si="120"/>
        <v>KEY_COMPLEX</v>
      </c>
      <c r="AO330" s="64" t="str">
        <f t="shared" si="121"/>
        <v>ITM_ARG</v>
      </c>
      <c r="AP330" s="46" t="str">
        <f>IF(NOT(ISNA(MATCH(AM330,Lookups!E:E,))),VLOOKUP(AM330,Lookups!E:F,2,0),
IF(NOT(ISNA(MATCH(AN330,Lookups!E:E,))),VLOOKUP(AN330,Lookups!E:F,2,0),
IF(NOT(ISNA(MATCH(AO330,Lookups!E:E,))),VLOOKUP(AO330,Lookups!E:F,2,0),"ITM_NULL")))</f>
        <v>ITM_NULL</v>
      </c>
      <c r="AQ330" s="28" t="str">
        <f t="shared" si="122"/>
        <v>ITM_G</v>
      </c>
      <c r="AR330" s="195" t="s">
        <v>92</v>
      </c>
      <c r="AS330" s="186" t="s">
        <v>93</v>
      </c>
      <c r="AT330" s="197" t="s">
        <v>81</v>
      </c>
      <c r="AW330" s="14" t="str">
        <f t="shared" si="125"/>
        <v>{31</v>
      </c>
      <c r="AX330" s="157" t="str" cm="1">
        <f t="array" ref="AX330">SUBSTITUTE(SUBSTITUTE(_xlfn.SWITCH(AM330, "ITM_T_HOME", "ITM_UP1", "ITM_T_END", "ITM_DOWN1", "DOCU_CHR_sub", "ITM_DOWN_ARROW", "DOCU_CHR_super", "ITM_UP_ARROW", "MNU_TAMALPHA", "ITM_alpha", "DOCU_CHR_caseFLIP", "ITM_NULL", "DOCU_CHR_numSET", "ITM_NULL", "DOCU_ITM_RADIX", "ITM_PERIOD", AM330), ".lo", ),"MNU_", "-MNU_")</f>
        <v>ITM_STO</v>
      </c>
      <c r="AY330" s="157" t="str" cm="1">
        <f t="array" ref="AY330">SUBSTITUTE(SUBSTITUTE(_xlfn.SWITCH(AN330, "ITM_T_HOME", "ITM_UP1", "ITM_T_END", "ITM_DOWN1", "DOCU_CHR_sub", "ITM_DOWN_ARROW", "DOCU_CHR_super", "ITM_UP_ARROW", "MNU_TAMALPHA", "ITM_alpha", "DOCU_CHR_caseFLIP", "ITM_NULL", "DOCU_CHR_numSET", "ITM_NULL", "DOCU_ITM_RADIX", "ITM_PERIOD", AN330), ".lo", ),"MNU_", "-MNU_")</f>
        <v>KEY_COMPLEX</v>
      </c>
      <c r="AZ330" s="157" t="str" cm="1">
        <f t="array" ref="AZ330">SUBSTITUTE(SUBSTITUTE(_xlfn.SWITCH(AO330, "ITM_T_HOME", "ITM_UP1", "ITM_T_END", "ITM_DOWN1", "DOCU_CHR_sub", "ITM_DOWN_ARROW", "DOCU_CHR_super", "ITM_UP_ARROW", "MNU_TAMALPHA", "ITM_alpha", "DOCU_CHR_caseFLIP", "ITM_NULL", "DOCU_CHR_numSET", "ITM_NULL", "DOCU_ITM_RADIX", "ITM_PERIOD", AO330), ".lo", ),"MNU_", "-MNU_")</f>
        <v>ITM_ARG</v>
      </c>
      <c r="BA330" s="173" t="str" cm="1">
        <f t="array" ref="BA330">SUBSTITUTE(SUBSTITUTE(_xlfn.SWITCH(AP330, "ITM_T_HOME", "ITM_UP1", "ITM_T_END", "ITM_DOWN1", "DOCU_CHR_sub", "ITM_DOWN_ARROW", "DOCU_CHR_super", "ITM_UP_ARROW", "MNU_TAMALPHA", "ITM_alpha", "DOCU_CHR_caseFLIP", "ITM_NULL", "DOCU_CHR_numSET", "ITM_NULL", "DOCU_ITM_RADIX", "ITM_PERIOD", AP330), ".lo", ),"MNU_", "-MNU_")</f>
        <v>ITM_NULL</v>
      </c>
      <c r="BB330" s="157" t="str" cm="1">
        <f t="array" ref="BB330">SUBSTITUTE(SUBSTITUTE(_xlfn.SWITCH(AQ330, "ITM_T_HOME", "ITM_UP1", "ITM_T_END", "ITM_DOWN1", "DOCU_CHR_sub", "ITM_DOWN_ARROW", "DOCU_CHR_super", "ITM_UP_ARROW", "MNU_TAMALPHA", "ITM_alpha", "DOCU_CHR_caseFLIP", "ITM_NULL", "DOCU_CHR_numSET", "ITM_NULL", "DOCU_ITM_RADIX", "ITM_PERIOD", AQ330), ".lo", ),"MNU_", "-MNU_")</f>
        <v>ITM_G</v>
      </c>
      <c r="BC330" s="157" t="str" cm="1">
        <f t="array" ref="BC330">SUBSTITUTE(SUBSTITUTE(_xlfn.SWITCH(AR330, "ITM_T_HOME", "ITM_UP1", "ITM_T_END", "ITM_DOWN1", "DOCU_CHR_sub", "ITM_DOWN_ARROW", "DOCU_CHR_super", "ITM_UP_ARROW", "MNU_TAMALPHA", "ITM_alpha", "DOCU_CHR_caseFLIP", "ITM_NULL", "DOCU_CHR_numSET", "ITM_NULL", "DOCU_ITM_RADIX", "ITM_PERIOD", AR330), ".lo", ),"MNU_", "-MNU_")</f>
        <v>ITM_g</v>
      </c>
      <c r="BD330" s="157" t="str" cm="1">
        <f t="array" ref="BD330">SUBSTITUTE(SUBSTITUTE(_xlfn.SWITCH(AS330, "ITM_T_HOME", "ITM_UP1", "ITM_T_END", "ITM_DOWN1", "DOCU_CHR_sub", "ITM_DOWN_ARROW", "DOCU_CHR_super", "ITM_UP_ARROW", "MNU_TAMALPHA", "ITM_alpha", "DOCU_CHR_caseFLIP", "ITM_NULL", "DOCU_CHR_numSET", "ITM_NULL", "DOCU_ITM_RADIX", "ITM_PERIOD", AS330), ".lo", ),"MNU_", "-MNU_")</f>
        <v>ITM_VERTICAL_BAR</v>
      </c>
      <c r="BE330" s="157" t="str" cm="1">
        <f t="array" ref="BE330">SUBSTITUTE(SUBSTITUTE(_xlfn.SWITCH(AT330, "ITM_T_HOME", "ITM_UP1", "ITM_T_END", "ITM_DOWN1", "DOCU_CHR_sub", "ITM_DOWN_ARROW", "DOCU_CHR_super", "ITM_UP_ARROW", "MNU_TAMALPHA", "ITM_alpha", "DOCU_CHR_caseFLIP", "ITM_NULL", "DOCU_CHR_numSET", "ITM_NULL", "DOCU_ITM_RADIX", "ITM_PERIOD", AT330), ".lo", ),"MNU_", "-MNU_")</f>
        <v>ITM_NULL</v>
      </c>
      <c r="BG330" s="75"/>
      <c r="BI330" s="13" t="str">
        <f t="shared" si="123"/>
        <v xml:space="preserve">  {31,                  ITM_STO,              KEY_COMPLEX,          ITM_ARG,              ITM_NULL,             ITM_G,                ITM_g,                ITM_VERTICAL_BAR,     ITM_NULL            },</v>
      </c>
    </row>
    <row r="331" spans="24:61" ht="21" x14ac:dyDescent="0.2">
      <c r="X331" s="127" t="str">
        <f t="shared" si="114"/>
        <v>DM42</v>
      </c>
      <c r="Y331" s="109">
        <v>3</v>
      </c>
      <c r="Z331" s="109">
        <v>2</v>
      </c>
      <c r="AA331" s="112" t="str">
        <f t="shared" si="113"/>
        <v>DM42.32</v>
      </c>
      <c r="AB331" s="117" t="s">
        <v>94</v>
      </c>
      <c r="AC331" s="118" t="s">
        <v>95</v>
      </c>
      <c r="AD331" s="119" t="s">
        <v>96</v>
      </c>
      <c r="AE331" s="3"/>
      <c r="AF331" s="49" t="s">
        <v>97</v>
      </c>
      <c r="AG331" s="77" t="b">
        <f t="shared" si="124"/>
        <v>1</v>
      </c>
      <c r="AH331" s="83" t="str">
        <f t="shared" si="115"/>
        <v>h</v>
      </c>
      <c r="AI331" s="84" t="str">
        <f t="shared" si="116"/>
        <v>Delta</v>
      </c>
      <c r="AJ331" s="85" t="str">
        <f t="shared" si="117"/>
        <v>HEX</v>
      </c>
      <c r="AK331" s="6"/>
      <c r="AL331" s="8" t="str">
        <f t="shared" si="118"/>
        <v>{32</v>
      </c>
      <c r="AM331" s="27" t="str">
        <f t="shared" si="119"/>
        <v>ITM_RCL</v>
      </c>
      <c r="AN331" s="27" t="str">
        <f t="shared" si="120"/>
        <v>ITM_PC</v>
      </c>
      <c r="AO331" s="64" t="str">
        <f t="shared" si="121"/>
        <v>ITM_DELTAPC</v>
      </c>
      <c r="AP331" s="46" t="str">
        <f>IF(NOT(ISNA(MATCH(AM331,Lookups!E:E,))),VLOOKUP(AM331,Lookups!E:F,2,0),
IF(NOT(ISNA(MATCH(AN331,Lookups!E:E,))),VLOOKUP(AN331,Lookups!E:F,2,0),
IF(NOT(ISNA(MATCH(AO331,Lookups!E:E,))),VLOOKUP(AO331,Lookups!E:F,2,0),"ITM_NULL")))</f>
        <v>ITM_NULL</v>
      </c>
      <c r="AQ331" s="28" t="str">
        <f t="shared" si="122"/>
        <v>ITM_H</v>
      </c>
      <c r="AR331" s="195" t="s">
        <v>98</v>
      </c>
      <c r="AS331" s="186" t="s">
        <v>99</v>
      </c>
      <c r="AT331" s="197" t="s">
        <v>667</v>
      </c>
      <c r="AW331" s="14" t="str">
        <f t="shared" si="125"/>
        <v>{32</v>
      </c>
      <c r="AX331" s="157" t="str" cm="1">
        <f t="array" ref="AX331">SUBSTITUTE(SUBSTITUTE(_xlfn.SWITCH(AM331, "ITM_T_HOME", "ITM_UP1", "ITM_T_END", "ITM_DOWN1", "DOCU_CHR_sub", "ITM_DOWN_ARROW", "DOCU_CHR_super", "ITM_UP_ARROW", "MNU_TAMALPHA", "ITM_alpha", "DOCU_CHR_caseFLIP", "ITM_NULL", "DOCU_CHR_numSET", "ITM_NULL", "DOCU_ITM_RADIX", "ITM_PERIOD", AM331), ".lo", ),"MNU_", "-MNU_")</f>
        <v>ITM_RCL</v>
      </c>
      <c r="AY331" s="157" t="str" cm="1">
        <f t="array" ref="AY331">SUBSTITUTE(SUBSTITUTE(_xlfn.SWITCH(AN331, "ITM_T_HOME", "ITM_UP1", "ITM_T_END", "ITM_DOWN1", "DOCU_CHR_sub", "ITM_DOWN_ARROW", "DOCU_CHR_super", "ITM_UP_ARROW", "MNU_TAMALPHA", "ITM_alpha", "DOCU_CHR_caseFLIP", "ITM_NULL", "DOCU_CHR_numSET", "ITM_NULL", "DOCU_ITM_RADIX", "ITM_PERIOD", AN331), ".lo", ),"MNU_", "-MNU_")</f>
        <v>ITM_PC</v>
      </c>
      <c r="AZ331" s="157" t="str" cm="1">
        <f t="array" ref="AZ331">SUBSTITUTE(SUBSTITUTE(_xlfn.SWITCH(AO331, "ITM_T_HOME", "ITM_UP1", "ITM_T_END", "ITM_DOWN1", "DOCU_CHR_sub", "ITM_DOWN_ARROW", "DOCU_CHR_super", "ITM_UP_ARROW", "MNU_TAMALPHA", "ITM_alpha", "DOCU_CHR_caseFLIP", "ITM_NULL", "DOCU_CHR_numSET", "ITM_NULL", "DOCU_ITM_RADIX", "ITM_PERIOD", AO331), ".lo", ),"MNU_", "-MNU_")</f>
        <v>ITM_DELTAPC</v>
      </c>
      <c r="BA331" s="173" t="str" cm="1">
        <f t="array" ref="BA331">SUBSTITUTE(SUBSTITUTE(_xlfn.SWITCH(AP331, "ITM_T_HOME", "ITM_UP1", "ITM_T_END", "ITM_DOWN1", "DOCU_CHR_sub", "ITM_DOWN_ARROW", "DOCU_CHR_super", "ITM_UP_ARROW", "MNU_TAMALPHA", "ITM_alpha", "DOCU_CHR_caseFLIP", "ITM_NULL", "DOCU_CHR_numSET", "ITM_NULL", "DOCU_ITM_RADIX", "ITM_PERIOD", AP331), ".lo", ),"MNU_", "-MNU_")</f>
        <v>ITM_NULL</v>
      </c>
      <c r="BB331" s="157" t="str" cm="1">
        <f t="array" ref="BB331">SUBSTITUTE(SUBSTITUTE(_xlfn.SWITCH(AQ331, "ITM_T_HOME", "ITM_UP1", "ITM_T_END", "ITM_DOWN1", "DOCU_CHR_sub", "ITM_DOWN_ARROW", "DOCU_CHR_super", "ITM_UP_ARROW", "MNU_TAMALPHA", "ITM_alpha", "DOCU_CHR_caseFLIP", "ITM_NULL", "DOCU_CHR_numSET", "ITM_NULL", "DOCU_ITM_RADIX", "ITM_PERIOD", AQ331), ".lo", ),"MNU_", "-MNU_")</f>
        <v>ITM_H</v>
      </c>
      <c r="BC331" s="157" t="str" cm="1">
        <f t="array" ref="BC331">SUBSTITUTE(SUBSTITUTE(_xlfn.SWITCH(AR331, "ITM_T_HOME", "ITM_UP1", "ITM_T_END", "ITM_DOWN1", "DOCU_CHR_sub", "ITM_DOWN_ARROW", "DOCU_CHR_super", "ITM_UP_ARROW", "MNU_TAMALPHA", "ITM_alpha", "DOCU_CHR_caseFLIP", "ITM_NULL", "DOCU_CHR_numSET", "ITM_NULL", "DOCU_ITM_RADIX", "ITM_PERIOD", AR331), ".lo", ),"MNU_", "-MNU_")</f>
        <v>ITM_h</v>
      </c>
      <c r="BD331" s="157" t="str" cm="1">
        <f t="array" ref="BD331">SUBSTITUTE(SUBSTITUTE(_xlfn.SWITCH(AS331, "ITM_T_HOME", "ITM_UP1", "ITM_T_END", "ITM_DOWN1", "DOCU_CHR_sub", "ITM_DOWN_ARROW", "DOCU_CHR_super", "ITM_UP_ARROW", "MNU_TAMALPHA", "ITM_alpha", "DOCU_CHR_caseFLIP", "ITM_NULL", "DOCU_CHR_numSET", "ITM_NULL", "DOCU_ITM_RADIX", "ITM_PERIOD", AS331), ".lo", ),"MNU_", "-MNU_")</f>
        <v>ITM_DELTA</v>
      </c>
      <c r="BE331" s="157" t="str" cm="1">
        <f t="array" ref="BE331">SUBSTITUTE(SUBSTITUTE(_xlfn.SWITCH(AT331, "ITM_T_HOME", "ITM_UP1", "ITM_T_END", "ITM_DOWN1", "DOCU_CHR_sub", "ITM_DOWN_ARROW", "DOCU_CHR_super", "ITM_UP_ARROW", "MNU_TAMALPHA", "ITM_alpha", "DOCU_CHR_caseFLIP", "ITM_NULL", "DOCU_CHR_numSET", "ITM_NULL", "DOCU_ITM_RADIX", "ITM_PERIOD", AT331), ".lo", ),"MNU_", "-MNU_")</f>
        <v>ITM_2HEX</v>
      </c>
      <c r="BG331" s="75"/>
      <c r="BI331" s="13" t="str">
        <f t="shared" si="123"/>
        <v xml:space="preserve">  {32,                  ITM_RCL,              ITM_PC,               ITM_DELTAPC,          ITM_NULL,             ITM_H,                ITM_h,                ITM_DELTA,            ITM_2HEX            },</v>
      </c>
    </row>
    <row r="332" spans="24:61" ht="21" x14ac:dyDescent="0.2">
      <c r="X332" s="127" t="str">
        <f t="shared" si="114"/>
        <v>DM42</v>
      </c>
      <c r="Y332" s="109">
        <v>3</v>
      </c>
      <c r="Z332" s="109">
        <v>3</v>
      </c>
      <c r="AA332" s="112" t="str">
        <f t="shared" si="113"/>
        <v>DM42.33</v>
      </c>
      <c r="AB332" s="117" t="s">
        <v>101</v>
      </c>
      <c r="AC332" s="118" t="s">
        <v>102</v>
      </c>
      <c r="AD332" s="119" t="s">
        <v>103</v>
      </c>
      <c r="AE332" s="3"/>
      <c r="AF332" s="49" t="s">
        <v>104</v>
      </c>
      <c r="AG332" s="77" t="b">
        <f t="shared" si="124"/>
        <v>1</v>
      </c>
      <c r="AH332" s="83" t="str">
        <f t="shared" si="115"/>
        <v>i</v>
      </c>
      <c r="AI332" s="84" t="str">
        <f t="shared" si="116"/>
        <v>pi</v>
      </c>
      <c r="AJ332" s="85" t="str">
        <f t="shared" si="117"/>
        <v>Reg I</v>
      </c>
      <c r="AK332" s="6"/>
      <c r="AL332" s="8" t="str">
        <f t="shared" si="118"/>
        <v>{33</v>
      </c>
      <c r="AM332" s="27" t="str">
        <f t="shared" si="119"/>
        <v>ITM_Rdown</v>
      </c>
      <c r="AN332" s="64" t="str">
        <f t="shared" si="120"/>
        <v>ITM_CONSTpi</v>
      </c>
      <c r="AO332" s="27" t="str">
        <f t="shared" si="121"/>
        <v>ITM_XTHROOT</v>
      </c>
      <c r="AP332" s="46" t="str">
        <f>IF(NOT(ISNA(MATCH(AM332,Lookups!E:E,))),VLOOKUP(AM332,Lookups!E:F,2,0),
IF(NOT(ISNA(MATCH(AN332,Lookups!E:E,))),VLOOKUP(AN332,Lookups!E:F,2,0),
IF(NOT(ISNA(MATCH(AO332,Lookups!E:E,))),VLOOKUP(AO332,Lookups!E:F,2,0),"ITM_NULL")))</f>
        <v>ITM_NULL</v>
      </c>
      <c r="AQ332" s="28" t="str">
        <f t="shared" si="122"/>
        <v>ITM_I</v>
      </c>
      <c r="AR332" s="195" t="s">
        <v>105</v>
      </c>
      <c r="AS332" s="186" t="s">
        <v>106</v>
      </c>
      <c r="AT332" s="196" t="s">
        <v>107</v>
      </c>
      <c r="AW332" s="14" t="str">
        <f t="shared" si="125"/>
        <v>{33</v>
      </c>
      <c r="AX332" s="157" t="str" cm="1">
        <f t="array" ref="AX332">SUBSTITUTE(SUBSTITUTE(_xlfn.SWITCH(AM332, "ITM_T_HOME", "ITM_UP1", "ITM_T_END", "ITM_DOWN1", "DOCU_CHR_sub", "ITM_DOWN_ARROW", "DOCU_CHR_super", "ITM_UP_ARROW", "MNU_TAMALPHA", "ITM_alpha", "DOCU_CHR_caseFLIP", "ITM_NULL", "DOCU_CHR_numSET", "ITM_NULL", "DOCU_ITM_RADIX", "ITM_PERIOD", AM332), ".lo", ),"MNU_", "-MNU_")</f>
        <v>ITM_Rdown</v>
      </c>
      <c r="AY332" s="157" t="str" cm="1">
        <f t="array" ref="AY332">SUBSTITUTE(SUBSTITUTE(_xlfn.SWITCH(AN332, "ITM_T_HOME", "ITM_UP1", "ITM_T_END", "ITM_DOWN1", "DOCU_CHR_sub", "ITM_DOWN_ARROW", "DOCU_CHR_super", "ITM_UP_ARROW", "MNU_TAMALPHA", "ITM_alpha", "DOCU_CHR_caseFLIP", "ITM_NULL", "DOCU_CHR_numSET", "ITM_NULL", "DOCU_ITM_RADIX", "ITM_PERIOD", AN332), ".lo", ),"MNU_", "-MNU_")</f>
        <v>ITM_CONSTpi</v>
      </c>
      <c r="AZ332" s="157" t="str" cm="1">
        <f t="array" ref="AZ332">SUBSTITUTE(SUBSTITUTE(_xlfn.SWITCH(AO332, "ITM_T_HOME", "ITM_UP1", "ITM_T_END", "ITM_DOWN1", "DOCU_CHR_sub", "ITM_DOWN_ARROW", "DOCU_CHR_super", "ITM_UP_ARROW", "MNU_TAMALPHA", "ITM_alpha", "DOCU_CHR_caseFLIP", "ITM_NULL", "DOCU_CHR_numSET", "ITM_NULL", "DOCU_ITM_RADIX", "ITM_PERIOD", AO332), ".lo", ),"MNU_", "-MNU_")</f>
        <v>ITM_XTHROOT</v>
      </c>
      <c r="BA332" s="173" t="str" cm="1">
        <f t="array" ref="BA332">SUBSTITUTE(SUBSTITUTE(_xlfn.SWITCH(AP332, "ITM_T_HOME", "ITM_UP1", "ITM_T_END", "ITM_DOWN1", "DOCU_CHR_sub", "ITM_DOWN_ARROW", "DOCU_CHR_super", "ITM_UP_ARROW", "MNU_TAMALPHA", "ITM_alpha", "DOCU_CHR_caseFLIP", "ITM_NULL", "DOCU_CHR_numSET", "ITM_NULL", "DOCU_ITM_RADIX", "ITM_PERIOD", AP332), ".lo", ),"MNU_", "-MNU_")</f>
        <v>ITM_NULL</v>
      </c>
      <c r="BB332" s="157" t="str" cm="1">
        <f t="array" ref="BB332">SUBSTITUTE(SUBSTITUTE(_xlfn.SWITCH(AQ332, "ITM_T_HOME", "ITM_UP1", "ITM_T_END", "ITM_DOWN1", "DOCU_CHR_sub", "ITM_DOWN_ARROW", "DOCU_CHR_super", "ITM_UP_ARROW", "MNU_TAMALPHA", "ITM_alpha", "DOCU_CHR_caseFLIP", "ITM_NULL", "DOCU_CHR_numSET", "ITM_NULL", "DOCU_ITM_RADIX", "ITM_PERIOD", AQ332), ".lo", ),"MNU_", "-MNU_")</f>
        <v>ITM_I</v>
      </c>
      <c r="BC332" s="157" t="str" cm="1">
        <f t="array" ref="BC332">SUBSTITUTE(SUBSTITUTE(_xlfn.SWITCH(AR332, "ITM_T_HOME", "ITM_UP1", "ITM_T_END", "ITM_DOWN1", "DOCU_CHR_sub", "ITM_DOWN_ARROW", "DOCU_CHR_super", "ITM_UP_ARROW", "MNU_TAMALPHA", "ITM_alpha", "DOCU_CHR_caseFLIP", "ITM_NULL", "DOCU_CHR_numSET", "ITM_NULL", "DOCU_ITM_RADIX", "ITM_PERIOD", AR332), ".lo", ),"MNU_", "-MNU_")</f>
        <v>ITM_i</v>
      </c>
      <c r="BD332" s="157" t="str" cm="1">
        <f t="array" ref="BD332">SUBSTITUTE(SUBSTITUTE(_xlfn.SWITCH(AS332, "ITM_T_HOME", "ITM_UP1", "ITM_T_END", "ITM_DOWN1", "DOCU_CHR_sub", "ITM_DOWN_ARROW", "DOCU_CHR_super", "ITM_UP_ARROW", "MNU_TAMALPHA", "ITM_alpha", "DOCU_CHR_caseFLIP", "ITM_NULL", "DOCU_CHR_numSET", "ITM_NULL", "DOCU_ITM_RADIX", "ITM_PERIOD", AS332), ".lo", ),"MNU_", "-MNU_")</f>
        <v>ITM_pi</v>
      </c>
      <c r="BE332" s="157" t="str" cm="1">
        <f t="array" ref="BE332">SUBSTITUTE(SUBSTITUTE(_xlfn.SWITCH(AT332, "ITM_T_HOME", "ITM_UP1", "ITM_T_END", "ITM_DOWN1", "DOCU_CHR_sub", "ITM_DOWN_ARROW", "DOCU_CHR_super", "ITM_UP_ARROW", "MNU_TAMALPHA", "ITM_alpha", "DOCU_CHR_caseFLIP", "ITM_NULL", "DOCU_CHR_numSET", "ITM_NULL", "DOCU_ITM_RADIX", "ITM_PERIOD", AT332), ".lo", ),"MNU_", "-MNU_")</f>
        <v>ITM_REG_I</v>
      </c>
      <c r="BG332" s="75"/>
      <c r="BI332" s="13" t="str">
        <f t="shared" si="123"/>
        <v xml:space="preserve">  {33,                  ITM_Rdown,            ITM_CONSTpi,          ITM_XTHROOT,          ITM_NULL,             ITM_I,                ITM_i,                ITM_pi,               ITM_REG_I           },</v>
      </c>
    </row>
    <row r="333" spans="24:61" ht="21" x14ac:dyDescent="0.2">
      <c r="X333" s="127" t="str">
        <f t="shared" si="114"/>
        <v>DM42</v>
      </c>
      <c r="Y333" s="109">
        <v>3</v>
      </c>
      <c r="Z333" s="109">
        <v>4</v>
      </c>
      <c r="AA333" s="112" t="str">
        <f t="shared" si="113"/>
        <v>DM42.34</v>
      </c>
      <c r="AB333" s="117" t="s">
        <v>108</v>
      </c>
      <c r="AC333" s="118" t="s">
        <v>109</v>
      </c>
      <c r="AD333" s="119" t="s">
        <v>110</v>
      </c>
      <c r="AE333" s="3"/>
      <c r="AF333" s="49" t="s">
        <v>111</v>
      </c>
      <c r="AG333" s="77" t="b">
        <f t="shared" si="124"/>
        <v>1</v>
      </c>
      <c r="AH333" s="83" t="str">
        <f t="shared" si="115"/>
        <v>j</v>
      </c>
      <c r="AI333" s="84" t="str">
        <f t="shared" si="116"/>
        <v>SIN</v>
      </c>
      <c r="AJ333" s="85" t="str">
        <f t="shared" si="117"/>
        <v>Reg J</v>
      </c>
      <c r="AK333" s="6"/>
      <c r="AL333" s="8" t="str">
        <f t="shared" si="118"/>
        <v>{34</v>
      </c>
      <c r="AM333" s="27" t="str">
        <f t="shared" si="119"/>
        <v>ITM_sin</v>
      </c>
      <c r="AN333" s="27" t="str">
        <f t="shared" si="120"/>
        <v>ITM_arcsin</v>
      </c>
      <c r="AO333" s="27" t="str">
        <f t="shared" si="121"/>
        <v>ITM_op_j</v>
      </c>
      <c r="AP333" s="46" t="str">
        <f>IF(NOT(ISNA(MATCH(AM333,Lookups!E:E,))),VLOOKUP(AM333,Lookups!E:F,2,0),
IF(NOT(ISNA(MATCH(AN333,Lookups!E:E,))),VLOOKUP(AN333,Lookups!E:F,2,0),
IF(NOT(ISNA(MATCH(AO333,Lookups!E:E,))),VLOOKUP(AO333,Lookups!E:F,2,0),"ITM_NULL")))</f>
        <v>ITM_NULL</v>
      </c>
      <c r="AQ333" s="28" t="str">
        <f t="shared" si="122"/>
        <v>ITM_J</v>
      </c>
      <c r="AR333" s="195" t="s">
        <v>112</v>
      </c>
      <c r="AS333" s="186" t="s">
        <v>113</v>
      </c>
      <c r="AT333" s="196" t="s">
        <v>114</v>
      </c>
      <c r="AW333" s="14" t="str">
        <f t="shared" si="125"/>
        <v>{34</v>
      </c>
      <c r="AX333" s="157" t="str" cm="1">
        <f t="array" ref="AX333">SUBSTITUTE(SUBSTITUTE(_xlfn.SWITCH(AM333, "ITM_T_HOME", "ITM_UP1", "ITM_T_END", "ITM_DOWN1", "DOCU_CHR_sub", "ITM_DOWN_ARROW", "DOCU_CHR_super", "ITM_UP_ARROW", "MNU_TAMALPHA", "ITM_alpha", "DOCU_CHR_caseFLIP", "ITM_NULL", "DOCU_CHR_numSET", "ITM_NULL", "DOCU_ITM_RADIX", "ITM_PERIOD", AM333), ".lo", ),"MNU_", "-MNU_")</f>
        <v>ITM_sin</v>
      </c>
      <c r="AY333" s="157" t="str" cm="1">
        <f t="array" ref="AY333">SUBSTITUTE(SUBSTITUTE(_xlfn.SWITCH(AN333, "ITM_T_HOME", "ITM_UP1", "ITM_T_END", "ITM_DOWN1", "DOCU_CHR_sub", "ITM_DOWN_ARROW", "DOCU_CHR_super", "ITM_UP_ARROW", "MNU_TAMALPHA", "ITM_alpha", "DOCU_CHR_caseFLIP", "ITM_NULL", "DOCU_CHR_numSET", "ITM_NULL", "DOCU_ITM_RADIX", "ITM_PERIOD", AN333), ".lo", ),"MNU_", "-MNU_")</f>
        <v>ITM_arcsin</v>
      </c>
      <c r="AZ333" s="157" t="str" cm="1">
        <f t="array" ref="AZ333">SUBSTITUTE(SUBSTITUTE(_xlfn.SWITCH(AO333, "ITM_T_HOME", "ITM_UP1", "ITM_T_END", "ITM_DOWN1", "DOCU_CHR_sub", "ITM_DOWN_ARROW", "DOCU_CHR_super", "ITM_UP_ARROW", "MNU_TAMALPHA", "ITM_alpha", "DOCU_CHR_caseFLIP", "ITM_NULL", "DOCU_CHR_numSET", "ITM_NULL", "DOCU_ITM_RADIX", "ITM_PERIOD", AO333), ".lo", ),"MNU_", "-MNU_")</f>
        <v>ITM_op_j</v>
      </c>
      <c r="BA333" s="173" t="str" cm="1">
        <f t="array" ref="BA333">SUBSTITUTE(SUBSTITUTE(_xlfn.SWITCH(AP333, "ITM_T_HOME", "ITM_UP1", "ITM_T_END", "ITM_DOWN1", "DOCU_CHR_sub", "ITM_DOWN_ARROW", "DOCU_CHR_super", "ITM_UP_ARROW", "MNU_TAMALPHA", "ITM_alpha", "DOCU_CHR_caseFLIP", "ITM_NULL", "DOCU_CHR_numSET", "ITM_NULL", "DOCU_ITM_RADIX", "ITM_PERIOD", AP333), ".lo", ),"MNU_", "-MNU_")</f>
        <v>ITM_NULL</v>
      </c>
      <c r="BB333" s="157" t="str" cm="1">
        <f t="array" ref="BB333">SUBSTITUTE(SUBSTITUTE(_xlfn.SWITCH(AQ333, "ITM_T_HOME", "ITM_UP1", "ITM_T_END", "ITM_DOWN1", "DOCU_CHR_sub", "ITM_DOWN_ARROW", "DOCU_CHR_super", "ITM_UP_ARROW", "MNU_TAMALPHA", "ITM_alpha", "DOCU_CHR_caseFLIP", "ITM_NULL", "DOCU_CHR_numSET", "ITM_NULL", "DOCU_ITM_RADIX", "ITM_PERIOD", AQ333), ".lo", ),"MNU_", "-MNU_")</f>
        <v>ITM_J</v>
      </c>
      <c r="BC333" s="157" t="str" cm="1">
        <f t="array" ref="BC333">SUBSTITUTE(SUBSTITUTE(_xlfn.SWITCH(AR333, "ITM_T_HOME", "ITM_UP1", "ITM_T_END", "ITM_DOWN1", "DOCU_CHR_sub", "ITM_DOWN_ARROW", "DOCU_CHR_super", "ITM_UP_ARROW", "MNU_TAMALPHA", "ITM_alpha", "DOCU_CHR_caseFLIP", "ITM_NULL", "DOCU_CHR_numSET", "ITM_NULL", "DOCU_ITM_RADIX", "ITM_PERIOD", AR333), ".lo", ),"MNU_", "-MNU_")</f>
        <v>ITM_j</v>
      </c>
      <c r="BD333" s="157" t="str" cm="1">
        <f t="array" ref="BD333">SUBSTITUTE(SUBSTITUTE(_xlfn.SWITCH(AS333, "ITM_T_HOME", "ITM_UP1", "ITM_T_END", "ITM_DOWN1", "DOCU_CHR_sub", "ITM_DOWN_ARROW", "DOCU_CHR_super", "ITM_UP_ARROW", "MNU_TAMALPHA", "ITM_alpha", "DOCU_CHR_caseFLIP", "ITM_NULL", "DOCU_CHR_numSET", "ITM_NULL", "DOCU_ITM_RADIX", "ITM_PERIOD", AS333), ".lo", ),"MNU_", "-MNU_")</f>
        <v>ITM_SIN_SIGN</v>
      </c>
      <c r="BE333" s="157" t="str" cm="1">
        <f t="array" ref="BE333">SUBSTITUTE(SUBSTITUTE(_xlfn.SWITCH(AT333, "ITM_T_HOME", "ITM_UP1", "ITM_T_END", "ITM_DOWN1", "DOCU_CHR_sub", "ITM_DOWN_ARROW", "DOCU_CHR_super", "ITM_UP_ARROW", "MNU_TAMALPHA", "ITM_alpha", "DOCU_CHR_caseFLIP", "ITM_NULL", "DOCU_CHR_numSET", "ITM_NULL", "DOCU_ITM_RADIX", "ITM_PERIOD", AT333), ".lo", ),"MNU_", "-MNU_")</f>
        <v>ITM_REG_J</v>
      </c>
      <c r="BG333" s="75"/>
      <c r="BI333" s="13" t="str">
        <f t="shared" si="123"/>
        <v xml:space="preserve">  {34,                  ITM_sin,              ITM_arcsin,           ITM_op_j,             ITM_NULL,             ITM_J,                ITM_j,                ITM_SIN_SIGN,         ITM_REG_J           },</v>
      </c>
    </row>
    <row r="334" spans="24:61" ht="21" x14ac:dyDescent="0.2">
      <c r="X334" s="127" t="str">
        <f t="shared" si="114"/>
        <v>DM42</v>
      </c>
      <c r="Y334" s="109">
        <v>3</v>
      </c>
      <c r="Z334" s="109">
        <v>5</v>
      </c>
      <c r="AA334" s="112" t="str">
        <f t="shared" si="113"/>
        <v>DM42.35</v>
      </c>
      <c r="AB334" s="117" t="s">
        <v>115</v>
      </c>
      <c r="AC334" s="118" t="s">
        <v>116</v>
      </c>
      <c r="AD334" s="119" t="s">
        <v>117</v>
      </c>
      <c r="AE334" s="3"/>
      <c r="AF334" s="49" t="s">
        <v>118</v>
      </c>
      <c r="AG334" s="77" t="b">
        <f t="shared" si="124"/>
        <v>1</v>
      </c>
      <c r="AH334" s="83" t="str">
        <f t="shared" si="115"/>
        <v>k</v>
      </c>
      <c r="AI334" s="84" t="str">
        <f t="shared" si="116"/>
        <v>COS</v>
      </c>
      <c r="AJ334" s="85" t="str">
        <f t="shared" si="117"/>
        <v>Reg K</v>
      </c>
      <c r="AK334" s="6"/>
      <c r="AL334" s="8" t="str">
        <f t="shared" si="118"/>
        <v>{35</v>
      </c>
      <c r="AM334" s="27" t="str">
        <f t="shared" si="119"/>
        <v>ITM_cos</v>
      </c>
      <c r="AN334" s="27" t="str">
        <f t="shared" si="120"/>
        <v>ITM_arccos</v>
      </c>
      <c r="AO334" s="27" t="str">
        <f t="shared" si="121"/>
        <v>ITM_toREC2</v>
      </c>
      <c r="AP334" s="46" t="str">
        <f>IF(NOT(ISNA(MATCH(AM334,Lookups!E:E,))),VLOOKUP(AM334,Lookups!E:F,2,0),
IF(NOT(ISNA(MATCH(AN334,Lookups!E:E,))),VLOOKUP(AN334,Lookups!E:F,2,0),
IF(NOT(ISNA(MATCH(AO334,Lookups!E:E,))),VLOOKUP(AO334,Lookups!E:F,2,0),"ITM_NULL")))</f>
        <v>ITM_NULL</v>
      </c>
      <c r="AQ334" s="28" t="str">
        <f t="shared" si="122"/>
        <v>ITM_K</v>
      </c>
      <c r="AR334" s="195" t="s">
        <v>119</v>
      </c>
      <c r="AS334" s="186" t="s">
        <v>120</v>
      </c>
      <c r="AT334" s="196" t="s">
        <v>121</v>
      </c>
      <c r="AW334" s="14" t="str">
        <f t="shared" si="125"/>
        <v>{35</v>
      </c>
      <c r="AX334" s="157" t="str" cm="1">
        <f t="array" ref="AX334">SUBSTITUTE(SUBSTITUTE(_xlfn.SWITCH(AM334, "ITM_T_HOME", "ITM_UP1", "ITM_T_END", "ITM_DOWN1", "DOCU_CHR_sub", "ITM_DOWN_ARROW", "DOCU_CHR_super", "ITM_UP_ARROW", "MNU_TAMALPHA", "ITM_alpha", "DOCU_CHR_caseFLIP", "ITM_NULL", "DOCU_CHR_numSET", "ITM_NULL", "DOCU_ITM_RADIX", "ITM_PERIOD", AM334), ".lo", ),"MNU_", "-MNU_")</f>
        <v>ITM_cos</v>
      </c>
      <c r="AY334" s="157" t="str" cm="1">
        <f t="array" ref="AY334">SUBSTITUTE(SUBSTITUTE(_xlfn.SWITCH(AN334, "ITM_T_HOME", "ITM_UP1", "ITM_T_END", "ITM_DOWN1", "DOCU_CHR_sub", "ITM_DOWN_ARROW", "DOCU_CHR_super", "ITM_UP_ARROW", "MNU_TAMALPHA", "ITM_alpha", "DOCU_CHR_caseFLIP", "ITM_NULL", "DOCU_CHR_numSET", "ITM_NULL", "DOCU_ITM_RADIX", "ITM_PERIOD", AN334), ".lo", ),"MNU_", "-MNU_")</f>
        <v>ITM_arccos</v>
      </c>
      <c r="AZ334" s="157" t="str" cm="1">
        <f t="array" ref="AZ334">SUBSTITUTE(SUBSTITUTE(_xlfn.SWITCH(AO334, "ITM_T_HOME", "ITM_UP1", "ITM_T_END", "ITM_DOWN1", "DOCU_CHR_sub", "ITM_DOWN_ARROW", "DOCU_CHR_super", "ITM_UP_ARROW", "MNU_TAMALPHA", "ITM_alpha", "DOCU_CHR_caseFLIP", "ITM_NULL", "DOCU_CHR_numSET", "ITM_NULL", "DOCU_ITM_RADIX", "ITM_PERIOD", AO334), ".lo", ),"MNU_", "-MNU_")</f>
        <v>ITM_toREC2</v>
      </c>
      <c r="BA334" s="173" t="str" cm="1">
        <f t="array" ref="BA334">SUBSTITUTE(SUBSTITUTE(_xlfn.SWITCH(AP334, "ITM_T_HOME", "ITM_UP1", "ITM_T_END", "ITM_DOWN1", "DOCU_CHR_sub", "ITM_DOWN_ARROW", "DOCU_CHR_super", "ITM_UP_ARROW", "MNU_TAMALPHA", "ITM_alpha", "DOCU_CHR_caseFLIP", "ITM_NULL", "DOCU_CHR_numSET", "ITM_NULL", "DOCU_ITM_RADIX", "ITM_PERIOD", AP334), ".lo", ),"MNU_", "-MNU_")</f>
        <v>ITM_NULL</v>
      </c>
      <c r="BB334" s="157" t="str" cm="1">
        <f t="array" ref="BB334">SUBSTITUTE(SUBSTITUTE(_xlfn.SWITCH(AQ334, "ITM_T_HOME", "ITM_UP1", "ITM_T_END", "ITM_DOWN1", "DOCU_CHR_sub", "ITM_DOWN_ARROW", "DOCU_CHR_super", "ITM_UP_ARROW", "MNU_TAMALPHA", "ITM_alpha", "DOCU_CHR_caseFLIP", "ITM_NULL", "DOCU_CHR_numSET", "ITM_NULL", "DOCU_ITM_RADIX", "ITM_PERIOD", AQ334), ".lo", ),"MNU_", "-MNU_")</f>
        <v>ITM_K</v>
      </c>
      <c r="BC334" s="157" t="str" cm="1">
        <f t="array" ref="BC334">SUBSTITUTE(SUBSTITUTE(_xlfn.SWITCH(AR334, "ITM_T_HOME", "ITM_UP1", "ITM_T_END", "ITM_DOWN1", "DOCU_CHR_sub", "ITM_DOWN_ARROW", "DOCU_CHR_super", "ITM_UP_ARROW", "MNU_TAMALPHA", "ITM_alpha", "DOCU_CHR_caseFLIP", "ITM_NULL", "DOCU_CHR_numSET", "ITM_NULL", "DOCU_ITM_RADIX", "ITM_PERIOD", AR334), ".lo", ),"MNU_", "-MNU_")</f>
        <v>ITM_k</v>
      </c>
      <c r="BD334" s="157" t="str" cm="1">
        <f t="array" ref="BD334">SUBSTITUTE(SUBSTITUTE(_xlfn.SWITCH(AS334, "ITM_T_HOME", "ITM_UP1", "ITM_T_END", "ITM_DOWN1", "DOCU_CHR_sub", "ITM_DOWN_ARROW", "DOCU_CHR_super", "ITM_UP_ARROW", "MNU_TAMALPHA", "ITM_alpha", "DOCU_CHR_caseFLIP", "ITM_NULL", "DOCU_CHR_numSET", "ITM_NULL", "DOCU_ITM_RADIX", "ITM_PERIOD", AS334), ".lo", ),"MNU_", "-MNU_")</f>
        <v>ITM_COS_SIGN</v>
      </c>
      <c r="BE334" s="157" t="str" cm="1">
        <f t="array" ref="BE334">SUBSTITUTE(SUBSTITUTE(_xlfn.SWITCH(AT334, "ITM_T_HOME", "ITM_UP1", "ITM_T_END", "ITM_DOWN1", "DOCU_CHR_sub", "ITM_DOWN_ARROW", "DOCU_CHR_super", "ITM_UP_ARROW", "MNU_TAMALPHA", "ITM_alpha", "DOCU_CHR_caseFLIP", "ITM_NULL", "DOCU_CHR_numSET", "ITM_NULL", "DOCU_ITM_RADIX", "ITM_PERIOD", AT334), ".lo", ),"MNU_", "-MNU_")</f>
        <v>ITM_REG_K</v>
      </c>
      <c r="BG334" s="75"/>
      <c r="BI334" s="13" t="str">
        <f t="shared" si="123"/>
        <v xml:space="preserve">  {35,                  ITM_cos,              ITM_arccos,           ITM_toREC2,           ITM_NULL,             ITM_K,                ITM_k,                ITM_COS_SIGN,         ITM_REG_K           },</v>
      </c>
    </row>
    <row r="335" spans="24:61" ht="21" x14ac:dyDescent="0.2">
      <c r="X335" s="127" t="str">
        <f t="shared" si="114"/>
        <v>DM42</v>
      </c>
      <c r="Y335" s="109">
        <v>3</v>
      </c>
      <c r="Z335" s="109">
        <v>6</v>
      </c>
      <c r="AA335" s="112" t="str">
        <f t="shared" si="113"/>
        <v>DM42.36</v>
      </c>
      <c r="AB335" s="117" t="s">
        <v>122</v>
      </c>
      <c r="AC335" s="118" t="s">
        <v>123</v>
      </c>
      <c r="AD335" s="119" t="s">
        <v>124</v>
      </c>
      <c r="AE335" s="3"/>
      <c r="AF335" s="49" t="s">
        <v>125</v>
      </c>
      <c r="AG335" s="77" t="b">
        <f t="shared" si="124"/>
        <v>1</v>
      </c>
      <c r="AH335" s="83" t="str">
        <f t="shared" si="115"/>
        <v>l</v>
      </c>
      <c r="AI335" s="84" t="str">
        <f t="shared" si="116"/>
        <v>TAN</v>
      </c>
      <c r="AJ335" s="85" t="str">
        <f t="shared" si="117"/>
        <v>Reg L</v>
      </c>
      <c r="AK335" s="6"/>
      <c r="AL335" s="8" t="str">
        <f t="shared" si="118"/>
        <v>{36</v>
      </c>
      <c r="AM335" s="27" t="str">
        <f t="shared" si="119"/>
        <v>ITM_tan</v>
      </c>
      <c r="AN335" s="27" t="str">
        <f t="shared" si="120"/>
        <v>ITM_arctan</v>
      </c>
      <c r="AO335" s="27" t="str">
        <f t="shared" si="121"/>
        <v>ITM_toPOL2</v>
      </c>
      <c r="AP335" s="46" t="str">
        <f>IF(NOT(ISNA(MATCH(AM335,Lookups!E:E,))),VLOOKUP(AM335,Lookups!E:F,2,0),
IF(NOT(ISNA(MATCH(AN335,Lookups!E:E,))),VLOOKUP(AN335,Lookups!E:F,2,0),
IF(NOT(ISNA(MATCH(AO335,Lookups!E:E,))),VLOOKUP(AO335,Lookups!E:F,2,0),"ITM_NULL")))</f>
        <v>ITM_NULL</v>
      </c>
      <c r="AQ335" s="28" t="str">
        <f t="shared" si="122"/>
        <v>ITM_L</v>
      </c>
      <c r="AR335" s="195" t="s">
        <v>126</v>
      </c>
      <c r="AS335" s="186" t="s">
        <v>127</v>
      </c>
      <c r="AT335" s="196" t="s">
        <v>128</v>
      </c>
      <c r="AW335" s="14" t="str">
        <f t="shared" si="125"/>
        <v>{36</v>
      </c>
      <c r="AX335" s="157" t="str" cm="1">
        <f t="array" ref="AX335">SUBSTITUTE(SUBSTITUTE(_xlfn.SWITCH(AM335, "ITM_T_HOME", "ITM_UP1", "ITM_T_END", "ITM_DOWN1", "DOCU_CHR_sub", "ITM_DOWN_ARROW", "DOCU_CHR_super", "ITM_UP_ARROW", "MNU_TAMALPHA", "ITM_alpha", "DOCU_CHR_caseFLIP", "ITM_NULL", "DOCU_CHR_numSET", "ITM_NULL", "DOCU_ITM_RADIX", "ITM_PERIOD", AM335), ".lo", ),"MNU_", "-MNU_")</f>
        <v>ITM_tan</v>
      </c>
      <c r="AY335" s="157" t="str" cm="1">
        <f t="array" ref="AY335">SUBSTITUTE(SUBSTITUTE(_xlfn.SWITCH(AN335, "ITM_T_HOME", "ITM_UP1", "ITM_T_END", "ITM_DOWN1", "DOCU_CHR_sub", "ITM_DOWN_ARROW", "DOCU_CHR_super", "ITM_UP_ARROW", "MNU_TAMALPHA", "ITM_alpha", "DOCU_CHR_caseFLIP", "ITM_NULL", "DOCU_CHR_numSET", "ITM_NULL", "DOCU_ITM_RADIX", "ITM_PERIOD", AN335), ".lo", ),"MNU_", "-MNU_")</f>
        <v>ITM_arctan</v>
      </c>
      <c r="AZ335" s="157" t="str" cm="1">
        <f t="array" ref="AZ335">SUBSTITUTE(SUBSTITUTE(_xlfn.SWITCH(AO335, "ITM_T_HOME", "ITM_UP1", "ITM_T_END", "ITM_DOWN1", "DOCU_CHR_sub", "ITM_DOWN_ARROW", "DOCU_CHR_super", "ITM_UP_ARROW", "MNU_TAMALPHA", "ITM_alpha", "DOCU_CHR_caseFLIP", "ITM_NULL", "DOCU_CHR_numSET", "ITM_NULL", "DOCU_ITM_RADIX", "ITM_PERIOD", AO335), ".lo", ),"MNU_", "-MNU_")</f>
        <v>ITM_toPOL2</v>
      </c>
      <c r="BA335" s="173" t="str" cm="1">
        <f t="array" ref="BA335">SUBSTITUTE(SUBSTITUTE(_xlfn.SWITCH(AP335, "ITM_T_HOME", "ITM_UP1", "ITM_T_END", "ITM_DOWN1", "DOCU_CHR_sub", "ITM_DOWN_ARROW", "DOCU_CHR_super", "ITM_UP_ARROW", "MNU_TAMALPHA", "ITM_alpha", "DOCU_CHR_caseFLIP", "ITM_NULL", "DOCU_CHR_numSET", "ITM_NULL", "DOCU_ITM_RADIX", "ITM_PERIOD", AP335), ".lo", ),"MNU_", "-MNU_")</f>
        <v>ITM_NULL</v>
      </c>
      <c r="BB335" s="157" t="str" cm="1">
        <f t="array" ref="BB335">SUBSTITUTE(SUBSTITUTE(_xlfn.SWITCH(AQ335, "ITM_T_HOME", "ITM_UP1", "ITM_T_END", "ITM_DOWN1", "DOCU_CHR_sub", "ITM_DOWN_ARROW", "DOCU_CHR_super", "ITM_UP_ARROW", "MNU_TAMALPHA", "ITM_alpha", "DOCU_CHR_caseFLIP", "ITM_NULL", "DOCU_CHR_numSET", "ITM_NULL", "DOCU_ITM_RADIX", "ITM_PERIOD", AQ335), ".lo", ),"MNU_", "-MNU_")</f>
        <v>ITM_L</v>
      </c>
      <c r="BC335" s="157" t="str" cm="1">
        <f t="array" ref="BC335">SUBSTITUTE(SUBSTITUTE(_xlfn.SWITCH(AR335, "ITM_T_HOME", "ITM_UP1", "ITM_T_END", "ITM_DOWN1", "DOCU_CHR_sub", "ITM_DOWN_ARROW", "DOCU_CHR_super", "ITM_UP_ARROW", "MNU_TAMALPHA", "ITM_alpha", "DOCU_CHR_caseFLIP", "ITM_NULL", "DOCU_CHR_numSET", "ITM_NULL", "DOCU_ITM_RADIX", "ITM_PERIOD", AR335), ".lo", ),"MNU_", "-MNU_")</f>
        <v>ITM_l</v>
      </c>
      <c r="BD335" s="157" t="str" cm="1">
        <f t="array" ref="BD335">SUBSTITUTE(SUBSTITUTE(_xlfn.SWITCH(AS335, "ITM_T_HOME", "ITM_UP1", "ITM_T_END", "ITM_DOWN1", "DOCU_CHR_sub", "ITM_DOWN_ARROW", "DOCU_CHR_super", "ITM_UP_ARROW", "MNU_TAMALPHA", "ITM_alpha", "DOCU_CHR_caseFLIP", "ITM_NULL", "DOCU_CHR_numSET", "ITM_NULL", "DOCU_ITM_RADIX", "ITM_PERIOD", AS335), ".lo", ),"MNU_", "-MNU_")</f>
        <v>ITM_TAN_SIGN</v>
      </c>
      <c r="BE335" s="157" t="str" cm="1">
        <f t="array" ref="BE335">SUBSTITUTE(SUBSTITUTE(_xlfn.SWITCH(AT335, "ITM_T_HOME", "ITM_UP1", "ITM_T_END", "ITM_DOWN1", "DOCU_CHR_sub", "ITM_DOWN_ARROW", "DOCU_CHR_super", "ITM_UP_ARROW", "MNU_TAMALPHA", "ITM_alpha", "DOCU_CHR_caseFLIP", "ITM_NULL", "DOCU_CHR_numSET", "ITM_NULL", "DOCU_ITM_RADIX", "ITM_PERIOD", AT335), ".lo", ),"MNU_", "-MNU_")</f>
        <v>ITM_REG_L</v>
      </c>
      <c r="BG335" s="75"/>
      <c r="BI335" s="13" t="str">
        <f t="shared" si="123"/>
        <v xml:space="preserve">  {36,                  ITM_tan,              ITM_arctan,           ITM_toPOL2,           ITM_NULL,             ITM_L,                ITM_l,                ITM_TAN_SIGN,         ITM_REG_L           },</v>
      </c>
    </row>
    <row r="336" spans="24:61" ht="21" x14ac:dyDescent="0.2">
      <c r="X336" s="127" t="str">
        <f t="shared" si="114"/>
        <v>DM42</v>
      </c>
      <c r="Y336" s="106">
        <v>4</v>
      </c>
      <c r="Z336" s="106">
        <v>1</v>
      </c>
      <c r="AA336" s="112" t="str">
        <f t="shared" si="113"/>
        <v>DM42.41</v>
      </c>
      <c r="AB336" s="117" t="s">
        <v>129</v>
      </c>
      <c r="AC336" s="118" t="s">
        <v>83</v>
      </c>
      <c r="AD336" s="119" t="s">
        <v>131</v>
      </c>
      <c r="AE336" s="3"/>
      <c r="AF336" s="49" t="s">
        <v>129</v>
      </c>
      <c r="AG336" s="77" t="b">
        <f t="shared" si="124"/>
        <v>0</v>
      </c>
      <c r="AH336" s="83" t="str">
        <f t="shared" si="115"/>
        <v>X.SWAP</v>
      </c>
      <c r="AI336" s="84" t="str">
        <f t="shared" si="116"/>
        <v>a.PARSE</v>
      </c>
      <c r="AJ336" s="85" t="str">
        <f t="shared" si="117"/>
        <v>ENTER</v>
      </c>
      <c r="AK336" s="6"/>
      <c r="AL336" s="8" t="str">
        <f t="shared" si="118"/>
        <v>{41</v>
      </c>
      <c r="AM336" s="27" t="str">
        <f t="shared" si="119"/>
        <v>ITM_ENTER</v>
      </c>
      <c r="AN336" s="27" t="str">
        <f t="shared" si="120"/>
        <v>ITM_AIM</v>
      </c>
      <c r="AO336" s="27" t="str">
        <f t="shared" si="121"/>
        <v>MNU_CPX</v>
      </c>
      <c r="AP336" s="46" t="str">
        <f>IF(NOT(ISNA(MATCH(AM336,Lookups!E:E,))),VLOOKUP(AM336,Lookups!E:F,2,0),
IF(NOT(ISNA(MATCH(AN336,Lookups!E:E,))),VLOOKUP(AN336,Lookups!E:F,2,0),
IF(NOT(ISNA(MATCH(AO336,Lookups!E:E,))),VLOOKUP(AO336,Lookups!E:F,2,0),"ITM_NULL")))</f>
        <v>ITM_ENTER</v>
      </c>
      <c r="AQ336" s="28" t="str">
        <f t="shared" si="122"/>
        <v>ITM_ENTER</v>
      </c>
      <c r="AR336" s="198" t="s">
        <v>132</v>
      </c>
      <c r="AS336" s="186" t="s">
        <v>133</v>
      </c>
      <c r="AT336" s="197" t="s">
        <v>134</v>
      </c>
      <c r="AW336" s="14" t="str">
        <f t="shared" si="125"/>
        <v>{41</v>
      </c>
      <c r="AX336" s="157" t="str" cm="1">
        <f t="array" ref="AX336">SUBSTITUTE(SUBSTITUTE(_xlfn.SWITCH(AM336, "ITM_T_HOME", "ITM_UP1", "ITM_T_END", "ITM_DOWN1", "DOCU_CHR_sub", "ITM_DOWN_ARROW", "DOCU_CHR_super", "ITM_UP_ARROW", "MNU_TAMALPHA", "ITM_alpha", "DOCU_CHR_caseFLIP", "ITM_NULL", "DOCU_CHR_numSET", "ITM_NULL", "DOCU_ITM_RADIX", "ITM_PERIOD", AM336), ".lo", ),"MNU_", "-MNU_")</f>
        <v>ITM_ENTER</v>
      </c>
      <c r="AY336" s="157" t="str" cm="1">
        <f t="array" ref="AY336">SUBSTITUTE(SUBSTITUTE(_xlfn.SWITCH(AN336, "ITM_T_HOME", "ITM_UP1", "ITM_T_END", "ITM_DOWN1", "DOCU_CHR_sub", "ITM_DOWN_ARROW", "DOCU_CHR_super", "ITM_UP_ARROW", "MNU_TAMALPHA", "ITM_alpha", "DOCU_CHR_caseFLIP", "ITM_NULL", "DOCU_CHR_numSET", "ITM_NULL", "DOCU_ITM_RADIX", "ITM_PERIOD", AN336), ".lo", ),"MNU_", "-MNU_")</f>
        <v>ITM_AIM</v>
      </c>
      <c r="AZ336" s="157" t="str" cm="1">
        <f t="array" ref="AZ336">SUBSTITUTE(SUBSTITUTE(_xlfn.SWITCH(AO336, "ITM_T_HOME", "ITM_UP1", "ITM_T_END", "ITM_DOWN1", "DOCU_CHR_sub", "ITM_DOWN_ARROW", "DOCU_CHR_super", "ITM_UP_ARROW", "MNU_TAMALPHA", "ITM_alpha", "DOCU_CHR_caseFLIP", "ITM_NULL", "DOCU_CHR_numSET", "ITM_NULL", "DOCU_ITM_RADIX", "ITM_PERIOD", AO336), ".lo", ),"MNU_", "-MNU_")</f>
        <v>-MNU_CPX</v>
      </c>
      <c r="BA336" s="173" t="str" cm="1">
        <f t="array" ref="BA336">SUBSTITUTE(SUBSTITUTE(_xlfn.SWITCH(AP336, "ITM_T_HOME", "ITM_UP1", "ITM_T_END", "ITM_DOWN1", "DOCU_CHR_sub", "ITM_DOWN_ARROW", "DOCU_CHR_super", "ITM_UP_ARROW", "MNU_TAMALPHA", "ITM_alpha", "DOCU_CHR_caseFLIP", "ITM_NULL", "DOCU_CHR_numSET", "ITM_NULL", "DOCU_ITM_RADIX", "ITM_PERIOD", AP336), ".lo", ),"MNU_", "-MNU_")</f>
        <v>ITM_ENTER</v>
      </c>
      <c r="BB336" s="157" t="str" cm="1">
        <f t="array" ref="BB336">SUBSTITUTE(SUBSTITUTE(_xlfn.SWITCH(AQ336, "ITM_T_HOME", "ITM_UP1", "ITM_T_END", "ITM_DOWN1", "DOCU_CHR_sub", "ITM_DOWN_ARROW", "DOCU_CHR_super", "ITM_UP_ARROW", "MNU_TAMALPHA", "ITM_alpha", "DOCU_CHR_caseFLIP", "ITM_NULL", "DOCU_CHR_numSET", "ITM_NULL", "DOCU_ITM_RADIX", "ITM_PERIOD", AQ336), ".lo", ),"MNU_", "-MNU_")</f>
        <v>ITM_ENTER</v>
      </c>
      <c r="BC336" s="157" t="str" cm="1">
        <f t="array" ref="BC336">SUBSTITUTE(SUBSTITUTE(_xlfn.SWITCH(AR336, "ITM_T_HOME", "ITM_UP1", "ITM_T_END", "ITM_DOWN1", "DOCU_CHR_sub", "ITM_DOWN_ARROW", "DOCU_CHR_super", "ITM_UP_ARROW", "MNU_TAMALPHA", "ITM_alpha", "DOCU_CHR_caseFLIP", "ITM_NULL", "DOCU_CHR_numSET", "ITM_NULL", "DOCU_ITM_RADIX", "ITM_PERIOD", AR336), ".lo", ),"MNU_", "-MNU_")</f>
        <v>ITM_XSWAP</v>
      </c>
      <c r="BD336" s="157" t="str" cm="1">
        <f t="array" ref="BD336">SUBSTITUTE(SUBSTITUTE(_xlfn.SWITCH(AS336, "ITM_T_HOME", "ITM_UP1", "ITM_T_END", "ITM_DOWN1", "DOCU_CHR_sub", "ITM_DOWN_ARROW", "DOCU_CHR_super", "ITM_UP_ARROW", "MNU_TAMALPHA", "ITM_alpha", "DOCU_CHR_caseFLIP", "ITM_NULL", "DOCU_CHR_numSET", "ITM_NULL", "DOCU_ITM_RADIX", "ITM_PERIOD", AS336), ".lo", ),"MNU_", "-MNU_")</f>
        <v>ITM_XPARSE</v>
      </c>
      <c r="BE336" s="157" t="str" cm="1">
        <f t="array" ref="BE336">SUBSTITUTE(SUBSTITUTE(_xlfn.SWITCH(AT336, "ITM_T_HOME", "ITM_UP1", "ITM_T_END", "ITM_DOWN1", "DOCU_CHR_sub", "ITM_DOWN_ARROW", "DOCU_CHR_super", "ITM_UP_ARROW", "MNU_TAMALPHA", "ITM_alpha", "DOCU_CHR_caseFLIP", "ITM_NULL", "DOCU_CHR_numSET", "ITM_NULL", "DOCU_ITM_RADIX", "ITM_PERIOD", AT336), ".lo", ),"MNU_", "-MNU_")</f>
        <v>ITM_ENTER</v>
      </c>
      <c r="BG336" s="75"/>
      <c r="BI336" s="13" t="str">
        <f t="shared" si="123"/>
        <v xml:space="preserve">  {41,                  ITM_ENTER,            ITM_AIM,              -MNU_CPX,             ITM_ENTER,            ITM_ENTER,            ITM_XSWAP,            ITM_XPARSE,           ITM_ENTER           },</v>
      </c>
    </row>
    <row r="337" spans="24:61" ht="21" x14ac:dyDescent="0.2">
      <c r="X337" s="127" t="str">
        <f t="shared" si="114"/>
        <v>DM42</v>
      </c>
      <c r="Y337" s="109">
        <v>4</v>
      </c>
      <c r="Z337" s="109">
        <v>2</v>
      </c>
      <c r="AA337" s="112" t="str">
        <f t="shared" si="113"/>
        <v>DM42.42</v>
      </c>
      <c r="AB337" s="117" t="s">
        <v>135</v>
      </c>
      <c r="AC337" s="118" t="s">
        <v>136</v>
      </c>
      <c r="AD337" s="119" t="s">
        <v>137</v>
      </c>
      <c r="AE337" s="3"/>
      <c r="AF337" s="49" t="s">
        <v>138</v>
      </c>
      <c r="AG337" s="77" t="b">
        <f t="shared" si="124"/>
        <v>1</v>
      </c>
      <c r="AH337" s="83" t="str">
        <f t="shared" si="115"/>
        <v>m</v>
      </c>
      <c r="AI337" s="84" t="str">
        <f t="shared" si="116"/>
        <v>&lt;&gt;</v>
      </c>
      <c r="AJ337" s="85" t="str">
        <f t="shared" si="117"/>
        <v xml:space="preserve"> </v>
      </c>
      <c r="AK337" s="6"/>
      <c r="AL337" s="8" t="str">
        <f t="shared" si="118"/>
        <v>{42</v>
      </c>
      <c r="AM337" s="27" t="str">
        <f t="shared" si="119"/>
        <v>ITM_XexY</v>
      </c>
      <c r="AN337" s="27" t="str">
        <f t="shared" si="120"/>
        <v>ITM_LASTX</v>
      </c>
      <c r="AO337" s="27" t="str">
        <f t="shared" si="121"/>
        <v>MNU_STK</v>
      </c>
      <c r="AP337" s="46" t="str">
        <f>IF(NOT(ISNA(MATCH(AM337,Lookups!E:E,))),VLOOKUP(AM337,Lookups!E:F,2,0),
IF(NOT(ISNA(MATCH(AN337,Lookups!E:E,))),VLOOKUP(AN337,Lookups!E:F,2,0),
IF(NOT(ISNA(MATCH(AO337,Lookups!E:E,))),VLOOKUP(AO337,Lookups!E:F,2,0),"ITM_NULL")))</f>
        <v>ITM_ex</v>
      </c>
      <c r="AQ337" s="28" t="str">
        <f t="shared" ref="AQ337:AQ341" si="126">VLOOKUP(AF337,labelitem,2,0)</f>
        <v>ITM_M</v>
      </c>
      <c r="AR337" s="195" t="s">
        <v>139</v>
      </c>
      <c r="AS337" s="186" t="s">
        <v>140</v>
      </c>
      <c r="AT337" s="197" t="s">
        <v>81</v>
      </c>
      <c r="AW337" s="14" t="str">
        <f t="shared" si="125"/>
        <v>{42</v>
      </c>
      <c r="AX337" s="157" t="str" cm="1">
        <f t="array" ref="AX337">SUBSTITUTE(SUBSTITUTE(_xlfn.SWITCH(AM337, "ITM_T_HOME", "ITM_UP1", "ITM_T_END", "ITM_DOWN1", "DOCU_CHR_sub", "ITM_DOWN_ARROW", "DOCU_CHR_super", "ITM_UP_ARROW", "MNU_TAMALPHA", "ITM_alpha", "DOCU_CHR_caseFLIP", "ITM_NULL", "DOCU_CHR_numSET", "ITM_NULL", "DOCU_ITM_RADIX", "ITM_PERIOD", AM337), ".lo", ),"MNU_", "-MNU_")</f>
        <v>ITM_XexY</v>
      </c>
      <c r="AY337" s="157" t="str" cm="1">
        <f t="array" ref="AY337">SUBSTITUTE(SUBSTITUTE(_xlfn.SWITCH(AN337, "ITM_T_HOME", "ITM_UP1", "ITM_T_END", "ITM_DOWN1", "DOCU_CHR_sub", "ITM_DOWN_ARROW", "DOCU_CHR_super", "ITM_UP_ARROW", "MNU_TAMALPHA", "ITM_alpha", "DOCU_CHR_caseFLIP", "ITM_NULL", "DOCU_CHR_numSET", "ITM_NULL", "DOCU_ITM_RADIX", "ITM_PERIOD", AN337), ".lo", ),"MNU_", "-MNU_")</f>
        <v>ITM_LASTX</v>
      </c>
      <c r="AZ337" s="157" t="str" cm="1">
        <f t="array" ref="AZ337">SUBSTITUTE(SUBSTITUTE(_xlfn.SWITCH(AO337, "ITM_T_HOME", "ITM_UP1", "ITM_T_END", "ITM_DOWN1", "DOCU_CHR_sub", "ITM_DOWN_ARROW", "DOCU_CHR_super", "ITM_UP_ARROW", "MNU_TAMALPHA", "ITM_alpha", "DOCU_CHR_caseFLIP", "ITM_NULL", "DOCU_CHR_numSET", "ITM_NULL", "DOCU_ITM_RADIX", "ITM_PERIOD", AO337), ".lo", ),"MNU_", "-MNU_")</f>
        <v>-MNU_STK</v>
      </c>
      <c r="BA337" s="173" t="str" cm="1">
        <f t="array" ref="BA337">SUBSTITUTE(SUBSTITUTE(_xlfn.SWITCH(AP337, "ITM_T_HOME", "ITM_UP1", "ITM_T_END", "ITM_DOWN1", "DOCU_CHR_sub", "ITM_DOWN_ARROW", "DOCU_CHR_super", "ITM_UP_ARROW", "MNU_TAMALPHA", "ITM_alpha", "DOCU_CHR_caseFLIP", "ITM_NULL", "DOCU_CHR_numSET", "ITM_NULL", "DOCU_ITM_RADIX", "ITM_PERIOD", AP337), ".lo", ),"MNU_", "-MNU_")</f>
        <v>ITM_ex</v>
      </c>
      <c r="BB337" s="157" t="str" cm="1">
        <f t="array" ref="BB337">SUBSTITUTE(SUBSTITUTE(_xlfn.SWITCH(AQ337, "ITM_T_HOME", "ITM_UP1", "ITM_T_END", "ITM_DOWN1", "DOCU_CHR_sub", "ITM_DOWN_ARROW", "DOCU_CHR_super", "ITM_UP_ARROW", "MNU_TAMALPHA", "ITM_alpha", "DOCU_CHR_caseFLIP", "ITM_NULL", "DOCU_CHR_numSET", "ITM_NULL", "DOCU_ITM_RADIX", "ITM_PERIOD", AQ337), ".lo", ),"MNU_", "-MNU_")</f>
        <v>ITM_M</v>
      </c>
      <c r="BC337" s="157" t="str" cm="1">
        <f t="array" ref="BC337">SUBSTITUTE(SUBSTITUTE(_xlfn.SWITCH(AR337, "ITM_T_HOME", "ITM_UP1", "ITM_T_END", "ITM_DOWN1", "DOCU_CHR_sub", "ITM_DOWN_ARROW", "DOCU_CHR_super", "ITM_UP_ARROW", "MNU_TAMALPHA", "ITM_alpha", "DOCU_CHR_caseFLIP", "ITM_NULL", "DOCU_CHR_numSET", "ITM_NULL", "DOCU_ITM_RADIX", "ITM_PERIOD", AR337), ".lo", ),"MNU_", "-MNU_")</f>
        <v>ITM_m</v>
      </c>
      <c r="BD337" s="157" t="str" cm="1">
        <f t="array" ref="BD337">SUBSTITUTE(SUBSTITUTE(_xlfn.SWITCH(AS337, "ITM_T_HOME", "ITM_UP1", "ITM_T_END", "ITM_DOWN1", "DOCU_CHR_sub", "ITM_DOWN_ARROW", "DOCU_CHR_super", "ITM_UP_ARROW", "MNU_TAMALPHA", "ITM_alpha", "DOCU_CHR_caseFLIP", "ITM_NULL", "DOCU_CHR_numSET", "ITM_NULL", "DOCU_ITM_RADIX", "ITM_PERIOD", AS337), ".lo", ),"MNU_", "-MNU_")</f>
        <v>ITM_ex</v>
      </c>
      <c r="BE337" s="157" t="str" cm="1">
        <f t="array" ref="BE337">SUBSTITUTE(SUBSTITUTE(_xlfn.SWITCH(AT337, "ITM_T_HOME", "ITM_UP1", "ITM_T_END", "ITM_DOWN1", "DOCU_CHR_sub", "ITM_DOWN_ARROW", "DOCU_CHR_super", "ITM_UP_ARROW", "MNU_TAMALPHA", "ITM_alpha", "DOCU_CHR_caseFLIP", "ITM_NULL", "DOCU_CHR_numSET", "ITM_NULL", "DOCU_ITM_RADIX", "ITM_PERIOD", AT337), ".lo", ),"MNU_", "-MNU_")</f>
        <v>ITM_NULL</v>
      </c>
      <c r="BG337" s="75"/>
      <c r="BI337" s="13" t="str">
        <f t="shared" si="123"/>
        <v xml:space="preserve">  {42,                  ITM_XexY,             ITM_LASTX,            -MNU_STK,             ITM_ex,               ITM_M,                ITM_m,                ITM_ex,               ITM_NULL            },</v>
      </c>
    </row>
    <row r="338" spans="24:61" ht="21" x14ac:dyDescent="0.2">
      <c r="X338" s="127" t="str">
        <f t="shared" si="114"/>
        <v>DM42</v>
      </c>
      <c r="Y338" s="109">
        <v>4</v>
      </c>
      <c r="Z338" s="109">
        <v>3</v>
      </c>
      <c r="AA338" s="112" t="str">
        <f t="shared" si="113"/>
        <v>DM42.43</v>
      </c>
      <c r="AB338" s="117" t="s">
        <v>141</v>
      </c>
      <c r="AC338" s="118" t="s">
        <v>142</v>
      </c>
      <c r="AD338" s="119" t="s">
        <v>143</v>
      </c>
      <c r="AE338" s="3"/>
      <c r="AF338" s="49" t="s">
        <v>144</v>
      </c>
      <c r="AG338" s="77" t="b">
        <f t="shared" si="124"/>
        <v>1</v>
      </c>
      <c r="AH338" s="83" t="str">
        <f t="shared" si="115"/>
        <v>n</v>
      </c>
      <c r="AI338" s="84" t="str">
        <f t="shared" si="116"/>
        <v>+/-</v>
      </c>
      <c r="AJ338" s="85" t="str">
        <f t="shared" si="117"/>
        <v xml:space="preserve"> </v>
      </c>
      <c r="AK338" s="6"/>
      <c r="AL338" s="8" t="str">
        <f t="shared" si="118"/>
        <v>{43</v>
      </c>
      <c r="AM338" s="27" t="str">
        <f t="shared" si="119"/>
        <v>ITM_CHS</v>
      </c>
      <c r="AN338" s="27" t="str">
        <f t="shared" si="120"/>
        <v>MNU_MODE</v>
      </c>
      <c r="AO338" s="27" t="str">
        <f t="shared" si="121"/>
        <v>MNU_TRG_C47</v>
      </c>
      <c r="AP338" s="46" t="str">
        <f>IF(NOT(ISNA(MATCH(AM338,Lookups!E:E,))),VLOOKUP(AM338,Lookups!E:F,2,0),
IF(NOT(ISNA(MATCH(AN338,Lookups!E:E,))),VLOOKUP(AN338,Lookups!E:F,2,0),
IF(NOT(ISNA(MATCH(AO338,Lookups!E:E,))),VLOOKUP(AO338,Lookups!E:F,2,0),"ITM_NULL")))</f>
        <v>ITM_PLUS_MINUS</v>
      </c>
      <c r="AQ338" s="28" t="str">
        <f t="shared" si="126"/>
        <v>ITM_N</v>
      </c>
      <c r="AR338" s="195" t="s">
        <v>145</v>
      </c>
      <c r="AS338" s="186" t="s">
        <v>146</v>
      </c>
      <c r="AT338" s="197" t="s">
        <v>81</v>
      </c>
      <c r="AW338" s="14" t="str">
        <f t="shared" si="125"/>
        <v>{43</v>
      </c>
      <c r="AX338" s="157" t="str" cm="1">
        <f t="array" ref="AX338">SUBSTITUTE(SUBSTITUTE(_xlfn.SWITCH(AM338, "ITM_T_HOME", "ITM_UP1", "ITM_T_END", "ITM_DOWN1", "DOCU_CHR_sub", "ITM_DOWN_ARROW", "DOCU_CHR_super", "ITM_UP_ARROW", "MNU_TAMALPHA", "ITM_alpha", "DOCU_CHR_caseFLIP", "ITM_NULL", "DOCU_CHR_numSET", "ITM_NULL", "DOCU_ITM_RADIX", "ITM_PERIOD", AM338), ".lo", ),"MNU_", "-MNU_")</f>
        <v>ITM_CHS</v>
      </c>
      <c r="AY338" s="157" t="str" cm="1">
        <f t="array" ref="AY338">SUBSTITUTE(SUBSTITUTE(_xlfn.SWITCH(AN338, "ITM_T_HOME", "ITM_UP1", "ITM_T_END", "ITM_DOWN1", "DOCU_CHR_sub", "ITM_DOWN_ARROW", "DOCU_CHR_super", "ITM_UP_ARROW", "MNU_TAMALPHA", "ITM_alpha", "DOCU_CHR_caseFLIP", "ITM_NULL", "DOCU_CHR_numSET", "ITM_NULL", "DOCU_ITM_RADIX", "ITM_PERIOD", AN338), ".lo", ),"MNU_", "-MNU_")</f>
        <v>-MNU_MODE</v>
      </c>
      <c r="AZ338" s="157" t="str" cm="1">
        <f t="array" ref="AZ338">SUBSTITUTE(SUBSTITUTE(_xlfn.SWITCH(AO338, "ITM_T_HOME", "ITM_UP1", "ITM_T_END", "ITM_DOWN1", "DOCU_CHR_sub", "ITM_DOWN_ARROW", "DOCU_CHR_super", "ITM_UP_ARROW", "MNU_TAMALPHA", "ITM_alpha", "DOCU_CHR_caseFLIP", "ITM_NULL", "DOCU_CHR_numSET", "ITM_NULL", "DOCU_ITM_RADIX", "ITM_PERIOD", AO338), ".lo", ),"MNU_", "-MNU_")</f>
        <v>-MNU_TRG_C47</v>
      </c>
      <c r="BA338" s="173" t="str" cm="1">
        <f t="array" ref="BA338">SUBSTITUTE(SUBSTITUTE(_xlfn.SWITCH(AP338, "ITM_T_HOME", "ITM_UP1", "ITM_T_END", "ITM_DOWN1", "DOCU_CHR_sub", "ITM_DOWN_ARROW", "DOCU_CHR_super", "ITM_UP_ARROW", "MNU_TAMALPHA", "ITM_alpha", "DOCU_CHR_caseFLIP", "ITM_NULL", "DOCU_CHR_numSET", "ITM_NULL", "DOCU_ITM_RADIX", "ITM_PERIOD", AP338), ".lo", ),"MNU_", "-MNU_")</f>
        <v>ITM_PLUS_MINUS</v>
      </c>
      <c r="BB338" s="157" t="str" cm="1">
        <f t="array" ref="BB338">SUBSTITUTE(SUBSTITUTE(_xlfn.SWITCH(AQ338, "ITM_T_HOME", "ITM_UP1", "ITM_T_END", "ITM_DOWN1", "DOCU_CHR_sub", "ITM_DOWN_ARROW", "DOCU_CHR_super", "ITM_UP_ARROW", "MNU_TAMALPHA", "ITM_alpha", "DOCU_CHR_caseFLIP", "ITM_NULL", "DOCU_CHR_numSET", "ITM_NULL", "DOCU_ITM_RADIX", "ITM_PERIOD", AQ338), ".lo", ),"MNU_", "-MNU_")</f>
        <v>ITM_N</v>
      </c>
      <c r="BC338" s="157" t="str" cm="1">
        <f t="array" ref="BC338">SUBSTITUTE(SUBSTITUTE(_xlfn.SWITCH(AR338, "ITM_T_HOME", "ITM_UP1", "ITM_T_END", "ITM_DOWN1", "DOCU_CHR_sub", "ITM_DOWN_ARROW", "DOCU_CHR_super", "ITM_UP_ARROW", "MNU_TAMALPHA", "ITM_alpha", "DOCU_CHR_caseFLIP", "ITM_NULL", "DOCU_CHR_numSET", "ITM_NULL", "DOCU_ITM_RADIX", "ITM_PERIOD", AR338), ".lo", ),"MNU_", "-MNU_")</f>
        <v>ITM_n</v>
      </c>
      <c r="BD338" s="157" t="str" cm="1">
        <f t="array" ref="BD338">SUBSTITUTE(SUBSTITUTE(_xlfn.SWITCH(AS338, "ITM_T_HOME", "ITM_UP1", "ITM_T_END", "ITM_DOWN1", "DOCU_CHR_sub", "ITM_DOWN_ARROW", "DOCU_CHR_super", "ITM_UP_ARROW", "MNU_TAMALPHA", "ITM_alpha", "DOCU_CHR_caseFLIP", "ITM_NULL", "DOCU_CHR_numSET", "ITM_NULL", "DOCU_ITM_RADIX", "ITM_PERIOD", AS338), ".lo", ),"MNU_", "-MNU_")</f>
        <v>ITM_PLUS_MINUS</v>
      </c>
      <c r="BE338" s="157" t="str" cm="1">
        <f t="array" ref="BE338">SUBSTITUTE(SUBSTITUTE(_xlfn.SWITCH(AT338, "ITM_T_HOME", "ITM_UP1", "ITM_T_END", "ITM_DOWN1", "DOCU_CHR_sub", "ITM_DOWN_ARROW", "DOCU_CHR_super", "ITM_UP_ARROW", "MNU_TAMALPHA", "ITM_alpha", "DOCU_CHR_caseFLIP", "ITM_NULL", "DOCU_CHR_numSET", "ITM_NULL", "DOCU_ITM_RADIX", "ITM_PERIOD", AT338), ".lo", ),"MNU_", "-MNU_")</f>
        <v>ITM_NULL</v>
      </c>
      <c r="BG338" s="75"/>
      <c r="BI338" s="13" t="str">
        <f t="shared" si="123"/>
        <v xml:space="preserve">  {43,                  ITM_CHS,              -MNU_MODE,            -MNU_TRG_C47,         ITM_PLUS_MINUS,       ITM_N,                ITM_n,                ITM_PLUS_MINUS,       ITM_NULL            },</v>
      </c>
    </row>
    <row r="339" spans="24:61" ht="21" x14ac:dyDescent="0.2">
      <c r="X339" s="127" t="str">
        <f t="shared" si="114"/>
        <v>DM42</v>
      </c>
      <c r="Y339" s="109">
        <v>4</v>
      </c>
      <c r="Z339" s="109">
        <v>4</v>
      </c>
      <c r="AA339" s="112" t="str">
        <f t="shared" si="113"/>
        <v>DM42.44</v>
      </c>
      <c r="AB339" s="117" t="s">
        <v>147</v>
      </c>
      <c r="AC339" s="118" t="s">
        <v>148</v>
      </c>
      <c r="AD339" s="119" t="s">
        <v>149</v>
      </c>
      <c r="AE339" s="3"/>
      <c r="AF339" s="49" t="s">
        <v>150</v>
      </c>
      <c r="AG339" s="77" t="b">
        <f t="shared" si="124"/>
        <v>1</v>
      </c>
      <c r="AH339" s="83" t="str">
        <f t="shared" si="115"/>
        <v>o</v>
      </c>
      <c r="AI339" s="84" t="str">
        <f t="shared" si="116"/>
        <v>&lt;E&gt;</v>
      </c>
      <c r="AJ339" s="85" t="str">
        <f t="shared" si="117"/>
        <v>OCT</v>
      </c>
      <c r="AK339" s="6"/>
      <c r="AL339" s="8" t="str">
        <f t="shared" si="118"/>
        <v>{44</v>
      </c>
      <c r="AM339" s="27" t="str">
        <f t="shared" si="119"/>
        <v>ITM_EXPONENT</v>
      </c>
      <c r="AN339" s="27" t="str">
        <f t="shared" si="120"/>
        <v>MNU_DISP</v>
      </c>
      <c r="AO339" s="27" t="str">
        <f t="shared" si="121"/>
        <v>MNU_EXP</v>
      </c>
      <c r="AP339" s="46" t="str">
        <f>IF(NOT(ISNA(MATCH(AM339,Lookups!E:E,))),VLOOKUP(AM339,Lookups!E:F,2,0),
IF(NOT(ISNA(MATCH(AN339,Lookups!E:E,))),VLOOKUP(AN339,Lookups!E:F,2,0),
IF(NOT(ISNA(MATCH(AO339,Lookups!E:E,))),VLOOKUP(AO339,Lookups!E:F,2,0),"ITM_NULL")))</f>
        <v>ITM_NULL</v>
      </c>
      <c r="AQ339" s="28" t="str">
        <f t="shared" si="126"/>
        <v>ITM_O</v>
      </c>
      <c r="AR339" s="195" t="s">
        <v>151</v>
      </c>
      <c r="AS339" s="186" t="s">
        <v>152</v>
      </c>
      <c r="AT339" s="197" t="s">
        <v>668</v>
      </c>
      <c r="AW339" s="14" t="str">
        <f t="shared" si="125"/>
        <v>{44</v>
      </c>
      <c r="AX339" s="157" t="str" cm="1">
        <f t="array" ref="AX339">SUBSTITUTE(SUBSTITUTE(_xlfn.SWITCH(AM339, "ITM_T_HOME", "ITM_UP1", "ITM_T_END", "ITM_DOWN1", "DOCU_CHR_sub", "ITM_DOWN_ARROW", "DOCU_CHR_super", "ITM_UP_ARROW", "MNU_TAMALPHA", "ITM_alpha", "DOCU_CHR_caseFLIP", "ITM_NULL", "DOCU_CHR_numSET", "ITM_NULL", "DOCU_ITM_RADIX", "ITM_PERIOD", AM339), ".lo", ),"MNU_", "-MNU_")</f>
        <v>ITM_EXPONENT</v>
      </c>
      <c r="AY339" s="157" t="str" cm="1">
        <f t="array" ref="AY339">SUBSTITUTE(SUBSTITUTE(_xlfn.SWITCH(AN339, "ITM_T_HOME", "ITM_UP1", "ITM_T_END", "ITM_DOWN1", "DOCU_CHR_sub", "ITM_DOWN_ARROW", "DOCU_CHR_super", "ITM_UP_ARROW", "MNU_TAMALPHA", "ITM_alpha", "DOCU_CHR_caseFLIP", "ITM_NULL", "DOCU_CHR_numSET", "ITM_NULL", "DOCU_ITM_RADIX", "ITM_PERIOD", AN339), ".lo", ),"MNU_", "-MNU_")</f>
        <v>-MNU_DISP</v>
      </c>
      <c r="AZ339" s="157" t="str" cm="1">
        <f t="array" ref="AZ339">SUBSTITUTE(SUBSTITUTE(_xlfn.SWITCH(AO339, "ITM_T_HOME", "ITM_UP1", "ITM_T_END", "ITM_DOWN1", "DOCU_CHR_sub", "ITM_DOWN_ARROW", "DOCU_CHR_super", "ITM_UP_ARROW", "MNU_TAMALPHA", "ITM_alpha", "DOCU_CHR_caseFLIP", "ITM_NULL", "DOCU_CHR_numSET", "ITM_NULL", "DOCU_ITM_RADIX", "ITM_PERIOD", AO339), ".lo", ),"MNU_", "-MNU_")</f>
        <v>-MNU_EXP</v>
      </c>
      <c r="BA339" s="173" t="str" cm="1">
        <f t="array" ref="BA339">SUBSTITUTE(SUBSTITUTE(_xlfn.SWITCH(AP339, "ITM_T_HOME", "ITM_UP1", "ITM_T_END", "ITM_DOWN1", "DOCU_CHR_sub", "ITM_DOWN_ARROW", "DOCU_CHR_super", "ITM_UP_ARROW", "MNU_TAMALPHA", "ITM_alpha", "DOCU_CHR_caseFLIP", "ITM_NULL", "DOCU_CHR_numSET", "ITM_NULL", "DOCU_ITM_RADIX", "ITM_PERIOD", AP339), ".lo", ),"MNU_", "-MNU_")</f>
        <v>ITM_NULL</v>
      </c>
      <c r="BB339" s="157" t="str" cm="1">
        <f t="array" ref="BB339">SUBSTITUTE(SUBSTITUTE(_xlfn.SWITCH(AQ339, "ITM_T_HOME", "ITM_UP1", "ITM_T_END", "ITM_DOWN1", "DOCU_CHR_sub", "ITM_DOWN_ARROW", "DOCU_CHR_super", "ITM_UP_ARROW", "MNU_TAMALPHA", "ITM_alpha", "DOCU_CHR_caseFLIP", "ITM_NULL", "DOCU_CHR_numSET", "ITM_NULL", "DOCU_ITM_RADIX", "ITM_PERIOD", AQ339), ".lo", ),"MNU_", "-MNU_")</f>
        <v>ITM_O</v>
      </c>
      <c r="BC339" s="157" t="str" cm="1">
        <f t="array" ref="BC339">SUBSTITUTE(SUBSTITUTE(_xlfn.SWITCH(AR339, "ITM_T_HOME", "ITM_UP1", "ITM_T_END", "ITM_DOWN1", "DOCU_CHR_sub", "ITM_DOWN_ARROW", "DOCU_CHR_super", "ITM_UP_ARROW", "MNU_TAMALPHA", "ITM_alpha", "DOCU_CHR_caseFLIP", "ITM_NULL", "DOCU_CHR_numSET", "ITM_NULL", "DOCU_ITM_RADIX", "ITM_PERIOD", AR339), ".lo", ),"MNU_", "-MNU_")</f>
        <v>ITM_o</v>
      </c>
      <c r="BD339" s="157" t="str" cm="1">
        <f t="array" ref="BD339">SUBSTITUTE(SUBSTITUTE(_xlfn.SWITCH(AS339, "ITM_T_HOME", "ITM_UP1", "ITM_T_END", "ITM_DOWN1", "DOCU_CHR_sub", "ITM_DOWN_ARROW", "DOCU_CHR_super", "ITM_UP_ARROW", "MNU_TAMALPHA", "ITM_alpha", "DOCU_CHR_caseFLIP", "ITM_NULL", "DOCU_CHR_numSET", "ITM_NULL", "DOCU_ITM_RADIX", "ITM_PERIOD", AS339), ".lo", ),"MNU_", "-MNU_")</f>
        <v>ITM_EEXCHR</v>
      </c>
      <c r="BE339" s="157" t="str" cm="1">
        <f t="array" ref="BE339">SUBSTITUTE(SUBSTITUTE(_xlfn.SWITCH(AT339, "ITM_T_HOME", "ITM_UP1", "ITM_T_END", "ITM_DOWN1", "DOCU_CHR_sub", "ITM_DOWN_ARROW", "DOCU_CHR_super", "ITM_UP_ARROW", "MNU_TAMALPHA", "ITM_alpha", "DOCU_CHR_caseFLIP", "ITM_NULL", "DOCU_CHR_numSET", "ITM_NULL", "DOCU_ITM_RADIX", "ITM_PERIOD", AT339), ".lo", ),"MNU_", "-MNU_")</f>
        <v>ITM_2OCT</v>
      </c>
      <c r="BG339" s="75"/>
      <c r="BI339" s="13" t="str">
        <f t="shared" si="123"/>
        <v xml:space="preserve">  {44,                  ITM_EXPONENT,         -MNU_DISP,            -MNU_EXP,             ITM_NULL,             ITM_O,                ITM_o,                ITM_EEXCHR,           ITM_2OCT            },</v>
      </c>
    </row>
    <row r="340" spans="24:61" ht="21" x14ac:dyDescent="0.2">
      <c r="X340" s="127" t="str">
        <f t="shared" si="114"/>
        <v>DM42</v>
      </c>
      <c r="Y340" s="109">
        <v>4</v>
      </c>
      <c r="Z340" s="109">
        <v>5</v>
      </c>
      <c r="AA340" s="112" t="str">
        <f t="shared" si="113"/>
        <v>DM42.45</v>
      </c>
      <c r="AB340" s="117" t="s">
        <v>154</v>
      </c>
      <c r="AC340" s="118" t="s">
        <v>156</v>
      </c>
      <c r="AD340" s="119" t="s">
        <v>155</v>
      </c>
      <c r="AE340" s="3"/>
      <c r="AF340" s="49" t="s">
        <v>154</v>
      </c>
      <c r="AG340" s="77" t="b">
        <f t="shared" si="124"/>
        <v>0</v>
      </c>
      <c r="AH340" s="83" t="str">
        <f t="shared" si="115"/>
        <v>CLA</v>
      </c>
      <c r="AI340" s="84" t="str">
        <f t="shared" si="116"/>
        <v>CLA</v>
      </c>
      <c r="AJ340" s="85" t="str">
        <f t="shared" si="117"/>
        <v>&lt;=</v>
      </c>
      <c r="AK340" s="6"/>
      <c r="AL340" s="8" t="str">
        <f t="shared" si="118"/>
        <v>{45</v>
      </c>
      <c r="AM340" s="27" t="str">
        <f t="shared" si="119"/>
        <v>ITM_BACKSPACE</v>
      </c>
      <c r="AN340" s="27" t="str">
        <f t="shared" si="120"/>
        <v>MNU_CLR</v>
      </c>
      <c r="AO340" s="27" t="str">
        <f t="shared" si="121"/>
        <v>ITM_UNDO</v>
      </c>
      <c r="AP340" s="46" t="str">
        <f>IF(NOT(ISNA(MATCH(AM340,Lookups!E:E,))),VLOOKUP(AM340,Lookups!E:F,2,0),
IF(NOT(ISNA(MATCH(AN340,Lookups!E:E,))),VLOOKUP(AN340,Lookups!E:F,2,0),
IF(NOT(ISNA(MATCH(AO340,Lookups!E:E,))),VLOOKUP(AO340,Lookups!E:F,2,0),"ITM_NULL")))</f>
        <v>ITM_BACKSPACE</v>
      </c>
      <c r="AQ340" s="28" t="str">
        <f t="shared" si="126"/>
        <v>ITM_BACKSPACE</v>
      </c>
      <c r="AR340" s="198" t="s">
        <v>157</v>
      </c>
      <c r="AS340" s="186" t="s">
        <v>157</v>
      </c>
      <c r="AT340" s="197" t="s">
        <v>158</v>
      </c>
      <c r="AW340" s="14" t="str">
        <f t="shared" si="125"/>
        <v>{45</v>
      </c>
      <c r="AX340" s="157" t="str" cm="1">
        <f t="array" ref="AX340">SUBSTITUTE(SUBSTITUTE(_xlfn.SWITCH(AM340, "ITM_T_HOME", "ITM_UP1", "ITM_T_END", "ITM_DOWN1", "DOCU_CHR_sub", "ITM_DOWN_ARROW", "DOCU_CHR_super", "ITM_UP_ARROW", "MNU_TAMALPHA", "ITM_alpha", "DOCU_CHR_caseFLIP", "ITM_NULL", "DOCU_CHR_numSET", "ITM_NULL", "DOCU_ITM_RADIX", "ITM_PERIOD", AM340), ".lo", ),"MNU_", "-MNU_")</f>
        <v>ITM_BACKSPACE</v>
      </c>
      <c r="AY340" s="157" t="str" cm="1">
        <f t="array" ref="AY340">SUBSTITUTE(SUBSTITUTE(_xlfn.SWITCH(AN340, "ITM_T_HOME", "ITM_UP1", "ITM_T_END", "ITM_DOWN1", "DOCU_CHR_sub", "ITM_DOWN_ARROW", "DOCU_CHR_super", "ITM_UP_ARROW", "MNU_TAMALPHA", "ITM_alpha", "DOCU_CHR_caseFLIP", "ITM_NULL", "DOCU_CHR_numSET", "ITM_NULL", "DOCU_ITM_RADIX", "ITM_PERIOD", AN340), ".lo", ),"MNU_", "-MNU_")</f>
        <v>-MNU_CLR</v>
      </c>
      <c r="AZ340" s="157" t="str" cm="1">
        <f t="array" ref="AZ340">SUBSTITUTE(SUBSTITUTE(_xlfn.SWITCH(AO340, "ITM_T_HOME", "ITM_UP1", "ITM_T_END", "ITM_DOWN1", "DOCU_CHR_sub", "ITM_DOWN_ARROW", "DOCU_CHR_super", "ITM_UP_ARROW", "MNU_TAMALPHA", "ITM_alpha", "DOCU_CHR_caseFLIP", "ITM_NULL", "DOCU_CHR_numSET", "ITM_NULL", "DOCU_ITM_RADIX", "ITM_PERIOD", AO340), ".lo", ),"MNU_", "-MNU_")</f>
        <v>ITM_UNDO</v>
      </c>
      <c r="BA340" s="173" t="str" cm="1">
        <f t="array" ref="BA340">SUBSTITUTE(SUBSTITUTE(_xlfn.SWITCH(AP340, "ITM_T_HOME", "ITM_UP1", "ITM_T_END", "ITM_DOWN1", "DOCU_CHR_sub", "ITM_DOWN_ARROW", "DOCU_CHR_super", "ITM_UP_ARROW", "MNU_TAMALPHA", "ITM_alpha", "DOCU_CHR_caseFLIP", "ITM_NULL", "DOCU_CHR_numSET", "ITM_NULL", "DOCU_ITM_RADIX", "ITM_PERIOD", AP340), ".lo", ),"MNU_", "-MNU_")</f>
        <v>ITM_BACKSPACE</v>
      </c>
      <c r="BB340" s="157" t="str" cm="1">
        <f t="array" ref="BB340">SUBSTITUTE(SUBSTITUTE(_xlfn.SWITCH(AQ340, "ITM_T_HOME", "ITM_UP1", "ITM_T_END", "ITM_DOWN1", "DOCU_CHR_sub", "ITM_DOWN_ARROW", "DOCU_CHR_super", "ITM_UP_ARROW", "MNU_TAMALPHA", "ITM_alpha", "DOCU_CHR_caseFLIP", "ITM_NULL", "DOCU_CHR_numSET", "ITM_NULL", "DOCU_ITM_RADIX", "ITM_PERIOD", AQ340), ".lo", ),"MNU_", "-MNU_")</f>
        <v>ITM_BACKSPACE</v>
      </c>
      <c r="BC340" s="157" t="str" cm="1">
        <f t="array" ref="BC340">SUBSTITUTE(SUBSTITUTE(_xlfn.SWITCH(AR340, "ITM_T_HOME", "ITM_UP1", "ITM_T_END", "ITM_DOWN1", "DOCU_CHR_sub", "ITM_DOWN_ARROW", "DOCU_CHR_super", "ITM_UP_ARROW", "MNU_TAMALPHA", "ITM_alpha", "DOCU_CHR_caseFLIP", "ITM_NULL", "DOCU_CHR_numSET", "ITM_NULL", "DOCU_ITM_RADIX", "ITM_PERIOD", AR340), ".lo", ),"MNU_", "-MNU_")</f>
        <v>ITM_CLA</v>
      </c>
      <c r="BD340" s="157" t="str" cm="1">
        <f t="array" ref="BD340">SUBSTITUTE(SUBSTITUTE(_xlfn.SWITCH(AS340, "ITM_T_HOME", "ITM_UP1", "ITM_T_END", "ITM_DOWN1", "DOCU_CHR_sub", "ITM_DOWN_ARROW", "DOCU_CHR_super", "ITM_UP_ARROW", "MNU_TAMALPHA", "ITM_alpha", "DOCU_CHR_caseFLIP", "ITM_NULL", "DOCU_CHR_numSET", "ITM_NULL", "DOCU_ITM_RADIX", "ITM_PERIOD", AS340), ".lo", ),"MNU_", "-MNU_")</f>
        <v>ITM_CLA</v>
      </c>
      <c r="BE340" s="157" t="str" cm="1">
        <f t="array" ref="BE340">SUBSTITUTE(SUBSTITUTE(_xlfn.SWITCH(AT340, "ITM_T_HOME", "ITM_UP1", "ITM_T_END", "ITM_DOWN1", "DOCU_CHR_sub", "ITM_DOWN_ARROW", "DOCU_CHR_super", "ITM_UP_ARROW", "MNU_TAMALPHA", "ITM_alpha", "DOCU_CHR_caseFLIP", "ITM_NULL", "DOCU_CHR_numSET", "ITM_NULL", "DOCU_ITM_RADIX", "ITM_PERIOD", AT340), ".lo", ),"MNU_", "-MNU_")</f>
        <v>ITM_BACKSPACE</v>
      </c>
      <c r="BG340" s="75"/>
      <c r="BI340" s="13" t="str">
        <f t="shared" si="123"/>
        <v xml:space="preserve">  {45,                  ITM_BACKSPACE,        -MNU_CLR,             ITM_UNDO,             ITM_BACKSPACE,        ITM_BACKSPACE,        ITM_CLA,              ITM_CLA,              ITM_BACKSPACE       },</v>
      </c>
    </row>
    <row r="341" spans="24:61" ht="21" x14ac:dyDescent="0.2">
      <c r="X341" s="127" t="str">
        <f t="shared" si="114"/>
        <v>DM42</v>
      </c>
      <c r="Y341" s="106">
        <v>5</v>
      </c>
      <c r="Z341" s="106">
        <v>1</v>
      </c>
      <c r="AA341" s="112" t="str">
        <f t="shared" si="113"/>
        <v>DM42.51</v>
      </c>
      <c r="AB341" s="117" t="s">
        <v>159</v>
      </c>
      <c r="AC341" s="118" t="s">
        <v>160</v>
      </c>
      <c r="AD341" s="119" t="s">
        <v>161</v>
      </c>
      <c r="AE341" s="3"/>
      <c r="AF341" s="49" t="s">
        <v>162</v>
      </c>
      <c r="AG341" s="77" t="b">
        <f t="shared" si="124"/>
        <v>0</v>
      </c>
      <c r="AH341" s="83" t="str">
        <f t="shared" si="115"/>
        <v>CASE UP</v>
      </c>
      <c r="AI341" s="84" t="str">
        <f t="shared" si="116"/>
        <v>Super</v>
      </c>
      <c r="AJ341" s="85" t="str">
        <f t="shared" si="117"/>
        <v>Up</v>
      </c>
      <c r="AK341" s="6"/>
      <c r="AL341" s="8" t="str">
        <f t="shared" si="118"/>
        <v>{51</v>
      </c>
      <c r="AM341" s="27" t="str">
        <f t="shared" si="119"/>
        <v>ITM_UP1</v>
      </c>
      <c r="AN341" s="27" t="str">
        <f t="shared" si="120"/>
        <v>ITM_BST</v>
      </c>
      <c r="AO341" s="27" t="str">
        <f t="shared" si="121"/>
        <v>ITM_RBR</v>
      </c>
      <c r="AP341" s="46" t="str">
        <f>IF(NOT(ISNA(MATCH(AM341,Lookups!E:E,))),VLOOKUP(AM341,Lookups!E:F,2,0),
IF(NOT(ISNA(MATCH(AN341,Lookups!E:E,))),VLOOKUP(AN341,Lookups!E:F,2,0),
IF(NOT(ISNA(MATCH(AO341,Lookups!E:E,))),VLOOKUP(AO341,Lookups!E:F,2,0),"ITM_NULL")))</f>
        <v>ITM_UP1</v>
      </c>
      <c r="AQ341" s="28" t="str">
        <f t="shared" si="126"/>
        <v>ITM_T_HOME</v>
      </c>
      <c r="AR341" s="198" t="s">
        <v>163</v>
      </c>
      <c r="AS341" s="186" t="s">
        <v>164</v>
      </c>
      <c r="AT341" s="197" t="s">
        <v>165</v>
      </c>
      <c r="AW341" s="14" t="str">
        <f t="shared" si="125"/>
        <v>{51</v>
      </c>
      <c r="AX341" s="157" t="str" cm="1">
        <f t="array" ref="AX341">SUBSTITUTE(SUBSTITUTE(_xlfn.SWITCH(AM341, "ITM_T_HOME", "ITM_UP1", "ITM_T_END", "ITM_DOWN1", "DOCU_CHR_sub", "ITM_DOWN_ARROW", "DOCU_CHR_super", "ITM_UP_ARROW", "MNU_TAMALPHA", "ITM_alpha", "DOCU_CHR_caseFLIP", "ITM_NULL", "DOCU_CHR_numSET", "ITM_NULL", "DOCU_ITM_RADIX", "ITM_PERIOD", AM341), ".lo", ),"MNU_", "-MNU_")</f>
        <v>ITM_UP1</v>
      </c>
      <c r="AY341" s="157" t="str" cm="1">
        <f t="array" ref="AY341">SUBSTITUTE(SUBSTITUTE(_xlfn.SWITCH(AN341, "ITM_T_HOME", "ITM_UP1", "ITM_T_END", "ITM_DOWN1", "DOCU_CHR_sub", "ITM_DOWN_ARROW", "DOCU_CHR_super", "ITM_UP_ARROW", "MNU_TAMALPHA", "ITM_alpha", "DOCU_CHR_caseFLIP", "ITM_NULL", "DOCU_CHR_numSET", "ITM_NULL", "DOCU_ITM_RADIX", "ITM_PERIOD", AN341), ".lo", ),"MNU_", "-MNU_")</f>
        <v>ITM_BST</v>
      </c>
      <c r="AZ341" s="157" t="str" cm="1">
        <f t="array" ref="AZ341">SUBSTITUTE(SUBSTITUTE(_xlfn.SWITCH(AO341, "ITM_T_HOME", "ITM_UP1", "ITM_T_END", "ITM_DOWN1", "DOCU_CHR_sub", "ITM_DOWN_ARROW", "DOCU_CHR_super", "ITM_UP_ARROW", "MNU_TAMALPHA", "ITM_alpha", "DOCU_CHR_caseFLIP", "ITM_NULL", "DOCU_CHR_numSET", "ITM_NULL", "DOCU_ITM_RADIX", "ITM_PERIOD", AO341), ".lo", ),"MNU_", "-MNU_")</f>
        <v>ITM_RBR</v>
      </c>
      <c r="BA341" s="173" t="str" cm="1">
        <f t="array" ref="BA341">SUBSTITUTE(SUBSTITUTE(_xlfn.SWITCH(AP341, "ITM_T_HOME", "ITM_UP1", "ITM_T_END", "ITM_DOWN1", "DOCU_CHR_sub", "ITM_DOWN_ARROW", "DOCU_CHR_super", "ITM_UP_ARROW", "MNU_TAMALPHA", "ITM_alpha", "DOCU_CHR_caseFLIP", "ITM_NULL", "DOCU_CHR_numSET", "ITM_NULL", "DOCU_ITM_RADIX", "ITM_PERIOD", AP341), ".lo", ),"MNU_", "-MNU_")</f>
        <v>ITM_UP1</v>
      </c>
      <c r="BB341" s="157" t="str" cm="1">
        <f t="array" ref="BB341">SUBSTITUTE(SUBSTITUTE(_xlfn.SWITCH(AQ341, "ITM_T_HOME", "ITM_UP1", "ITM_T_END", "ITM_DOWN1", "DOCU_CHR_sub", "ITM_DOWN_ARROW", "DOCU_CHR_super", "ITM_UP_ARROW", "MNU_TAMALPHA", "ITM_alpha", "DOCU_CHR_caseFLIP", "ITM_NULL", "DOCU_CHR_numSET", "ITM_NULL", "DOCU_ITM_RADIX", "ITM_PERIOD", AQ341), ".lo", ),"MNU_", "-MNU_")</f>
        <v>ITM_UP1</v>
      </c>
      <c r="BC341" s="157" t="str" cm="1">
        <f t="array" ref="BC341">SUBSTITUTE(SUBSTITUTE(_xlfn.SWITCH(AR341, "ITM_T_HOME", "ITM_UP1", "ITM_T_END", "ITM_DOWN1", "DOCU_CHR_sub", "ITM_DOWN_ARROW", "DOCU_CHR_super", "ITM_UP_ARROW", "MNU_TAMALPHA", "ITM_alpha", "DOCU_CHR_caseFLIP", "ITM_NULL", "DOCU_CHR_numSET", "ITM_NULL", "DOCU_ITM_RADIX", "ITM_PERIOD", AR341), ".lo", ),"MNU_", "-MNU_")</f>
        <v>CHR_caseUP</v>
      </c>
      <c r="BD341" s="157" t="str" cm="1">
        <f t="array" ref="BD341">SUBSTITUTE(SUBSTITUTE(_xlfn.SWITCH(AS341, "ITM_T_HOME", "ITM_UP1", "ITM_T_END", "ITM_DOWN1", "DOCU_CHR_sub", "ITM_DOWN_ARROW", "DOCU_CHR_super", "ITM_UP_ARROW", "MNU_TAMALPHA", "ITM_alpha", "DOCU_CHR_caseFLIP", "ITM_NULL", "DOCU_CHR_numSET", "ITM_NULL", "DOCU_ITM_RADIX", "ITM_PERIOD", AS341), ".lo", ),"MNU_", "-MNU_")</f>
        <v>ITM_UP_ARROW</v>
      </c>
      <c r="BE341" s="157" t="str" cm="1">
        <f t="array" ref="BE341">SUBSTITUTE(SUBSTITUTE(_xlfn.SWITCH(AT341, "ITM_T_HOME", "ITM_UP1", "ITM_T_END", "ITM_DOWN1", "DOCU_CHR_sub", "ITM_DOWN_ARROW", "DOCU_CHR_super", "ITM_UP_ARROW", "MNU_TAMALPHA", "ITM_alpha", "DOCU_CHR_caseFLIP", "ITM_NULL", "DOCU_CHR_numSET", "ITM_NULL", "DOCU_ITM_RADIX", "ITM_PERIOD", AT341), ".lo", ),"MNU_", "-MNU_")</f>
        <v>ITM_UP1</v>
      </c>
      <c r="BG341" s="75"/>
      <c r="BI341" s="13" t="str">
        <f t="shared" si="123"/>
        <v xml:space="preserve">  {51,                  ITM_UP1,              ITM_BST,              ITM_RBR,              ITM_UP1,              ITM_UP1,              CHR_caseUP,           ITM_UP_ARROW,         ITM_UP1             },</v>
      </c>
    </row>
    <row r="342" spans="24:61" ht="21" x14ac:dyDescent="0.2">
      <c r="X342" s="127" t="str">
        <f t="shared" si="114"/>
        <v>DM42</v>
      </c>
      <c r="Y342" s="109">
        <v>5</v>
      </c>
      <c r="Z342" s="109">
        <v>2</v>
      </c>
      <c r="AA342" s="112" t="str">
        <f t="shared" si="113"/>
        <v>DM42.52</v>
      </c>
      <c r="AB342" s="117">
        <v>7</v>
      </c>
      <c r="AC342" s="118" t="s">
        <v>166</v>
      </c>
      <c r="AD342" s="119" t="s">
        <v>167</v>
      </c>
      <c r="AE342" s="3"/>
      <c r="AF342" s="49" t="s">
        <v>168</v>
      </c>
      <c r="AG342" s="77" t="b">
        <f t="shared" si="124"/>
        <v>1</v>
      </c>
      <c r="AH342" s="83" t="str">
        <f t="shared" si="115"/>
        <v>p</v>
      </c>
      <c r="AI342" s="84">
        <f t="shared" si="116"/>
        <v>7</v>
      </c>
      <c r="AJ342" s="85">
        <f t="shared" si="117"/>
        <v>7</v>
      </c>
      <c r="AK342" s="6"/>
      <c r="AL342" s="8" t="str">
        <f t="shared" si="118"/>
        <v>{52</v>
      </c>
      <c r="AM342" s="27" t="str">
        <f t="shared" si="119"/>
        <v>ITM_7</v>
      </c>
      <c r="AN342" s="27" t="str">
        <f t="shared" si="120"/>
        <v>MNU_EQN</v>
      </c>
      <c r="AO342" s="27" t="str">
        <f t="shared" si="121"/>
        <v>MNU_HOME</v>
      </c>
      <c r="AP342" s="46" t="str">
        <f>IF(NOT(ISNA(MATCH(AM342,Lookups!E:E,))),VLOOKUP(AM342,Lookups!E:F,2,0),
IF(NOT(ISNA(MATCH(AN342,Lookups!E:E,))),VLOOKUP(AN342,Lookups!E:F,2,0),
IF(NOT(ISNA(MATCH(AO342,Lookups!E:E,))),VLOOKUP(AO342,Lookups!E:F,2,0),"ITM_NULL")))</f>
        <v>ITM_7</v>
      </c>
      <c r="AQ342" s="28" t="str">
        <f t="shared" ref="AQ342:AQ351" si="127">VLOOKUP(AF342,labelitem,2,0)</f>
        <v>ITM_P</v>
      </c>
      <c r="AR342" s="195" t="s">
        <v>169</v>
      </c>
      <c r="AS342" s="186" t="s">
        <v>170</v>
      </c>
      <c r="AT342" s="197" t="s">
        <v>170</v>
      </c>
      <c r="AW342" s="14" t="str">
        <f t="shared" si="125"/>
        <v>{52</v>
      </c>
      <c r="AX342" s="157" t="str" cm="1">
        <f t="array" ref="AX342">SUBSTITUTE(SUBSTITUTE(_xlfn.SWITCH(AM342, "ITM_T_HOME", "ITM_UP1", "ITM_T_END", "ITM_DOWN1", "DOCU_CHR_sub", "ITM_DOWN_ARROW", "DOCU_CHR_super", "ITM_UP_ARROW", "MNU_TAMALPHA", "ITM_alpha", "DOCU_CHR_caseFLIP", "ITM_NULL", "DOCU_CHR_numSET", "ITM_NULL", "DOCU_ITM_RADIX", "ITM_PERIOD", AM342), ".lo", ),"MNU_", "-MNU_")</f>
        <v>ITM_7</v>
      </c>
      <c r="AY342" s="157" t="str" cm="1">
        <f t="array" ref="AY342">SUBSTITUTE(SUBSTITUTE(_xlfn.SWITCH(AN342, "ITM_T_HOME", "ITM_UP1", "ITM_T_END", "ITM_DOWN1", "DOCU_CHR_sub", "ITM_DOWN_ARROW", "DOCU_CHR_super", "ITM_UP_ARROW", "MNU_TAMALPHA", "ITM_alpha", "DOCU_CHR_caseFLIP", "ITM_NULL", "DOCU_CHR_numSET", "ITM_NULL", "DOCU_ITM_RADIX", "ITM_PERIOD", AN342), ".lo", ),"MNU_", "-MNU_")</f>
        <v>-MNU_EQN</v>
      </c>
      <c r="AZ342" s="157" t="str" cm="1">
        <f t="array" ref="AZ342">SUBSTITUTE(SUBSTITUTE(_xlfn.SWITCH(AO342, "ITM_T_HOME", "ITM_UP1", "ITM_T_END", "ITM_DOWN1", "DOCU_CHR_sub", "ITM_DOWN_ARROW", "DOCU_CHR_super", "ITM_UP_ARROW", "MNU_TAMALPHA", "ITM_alpha", "DOCU_CHR_caseFLIP", "ITM_NULL", "DOCU_CHR_numSET", "ITM_NULL", "DOCU_ITM_RADIX", "ITM_PERIOD", AO342), ".lo", ),"MNU_", "-MNU_")</f>
        <v>-MNU_HOME</v>
      </c>
      <c r="BA342" s="173" t="str" cm="1">
        <f t="array" ref="BA342">SUBSTITUTE(SUBSTITUTE(_xlfn.SWITCH(AP342, "ITM_T_HOME", "ITM_UP1", "ITM_T_END", "ITM_DOWN1", "DOCU_CHR_sub", "ITM_DOWN_ARROW", "DOCU_CHR_super", "ITM_UP_ARROW", "MNU_TAMALPHA", "ITM_alpha", "DOCU_CHR_caseFLIP", "ITM_NULL", "DOCU_CHR_numSET", "ITM_NULL", "DOCU_ITM_RADIX", "ITM_PERIOD", AP342), ".lo", ),"MNU_", "-MNU_")</f>
        <v>ITM_7</v>
      </c>
      <c r="BB342" s="157" t="str" cm="1">
        <f t="array" ref="BB342">SUBSTITUTE(SUBSTITUTE(_xlfn.SWITCH(AQ342, "ITM_T_HOME", "ITM_UP1", "ITM_T_END", "ITM_DOWN1", "DOCU_CHR_sub", "ITM_DOWN_ARROW", "DOCU_CHR_super", "ITM_UP_ARROW", "MNU_TAMALPHA", "ITM_alpha", "DOCU_CHR_caseFLIP", "ITM_NULL", "DOCU_CHR_numSET", "ITM_NULL", "DOCU_ITM_RADIX", "ITM_PERIOD", AQ342), ".lo", ),"MNU_", "-MNU_")</f>
        <v>ITM_P</v>
      </c>
      <c r="BC342" s="157" t="str" cm="1">
        <f t="array" ref="BC342">SUBSTITUTE(SUBSTITUTE(_xlfn.SWITCH(AR342, "ITM_T_HOME", "ITM_UP1", "ITM_T_END", "ITM_DOWN1", "DOCU_CHR_sub", "ITM_DOWN_ARROW", "DOCU_CHR_super", "ITM_UP_ARROW", "MNU_TAMALPHA", "ITM_alpha", "DOCU_CHR_caseFLIP", "ITM_NULL", "DOCU_CHR_numSET", "ITM_NULL", "DOCU_ITM_RADIX", "ITM_PERIOD", AR342), ".lo", ),"MNU_", "-MNU_")</f>
        <v>ITM_p</v>
      </c>
      <c r="BD342" s="157" t="str" cm="1">
        <f t="array" ref="BD342">SUBSTITUTE(SUBSTITUTE(_xlfn.SWITCH(AS342, "ITM_T_HOME", "ITM_UP1", "ITM_T_END", "ITM_DOWN1", "DOCU_CHR_sub", "ITM_DOWN_ARROW", "DOCU_CHR_super", "ITM_UP_ARROW", "MNU_TAMALPHA", "ITM_alpha", "DOCU_CHR_caseFLIP", "ITM_NULL", "DOCU_CHR_numSET", "ITM_NULL", "DOCU_ITM_RADIX", "ITM_PERIOD", AS342), ".lo", ),"MNU_", "-MNU_")</f>
        <v>ITM_7</v>
      </c>
      <c r="BE342" s="157" t="str" cm="1">
        <f t="array" ref="BE342">SUBSTITUTE(SUBSTITUTE(_xlfn.SWITCH(AT342, "ITM_T_HOME", "ITM_UP1", "ITM_T_END", "ITM_DOWN1", "DOCU_CHR_sub", "ITM_DOWN_ARROW", "DOCU_CHR_super", "ITM_UP_ARROW", "MNU_TAMALPHA", "ITM_alpha", "DOCU_CHR_caseFLIP", "ITM_NULL", "DOCU_CHR_numSET", "ITM_NULL", "DOCU_ITM_RADIX", "ITM_PERIOD", AT342), ".lo", ),"MNU_", "-MNU_")</f>
        <v>ITM_7</v>
      </c>
      <c r="BG342" s="75"/>
      <c r="BI342" s="13" t="str">
        <f t="shared" si="123"/>
        <v xml:space="preserve">  {52,                  ITM_7,                -MNU_EQN,             -MNU_HOME,            ITM_7,                ITM_P,                ITM_p,                ITM_7,                ITM_7               },</v>
      </c>
    </row>
    <row r="343" spans="24:61" ht="21" x14ac:dyDescent="0.2">
      <c r="X343" s="127" t="str">
        <f t="shared" si="114"/>
        <v>DM42</v>
      </c>
      <c r="Y343" s="109">
        <v>5</v>
      </c>
      <c r="Z343" s="109">
        <v>3</v>
      </c>
      <c r="AA343" s="112" t="str">
        <f t="shared" si="113"/>
        <v>DM42.53</v>
      </c>
      <c r="AB343" s="117">
        <v>8</v>
      </c>
      <c r="AC343" s="118" t="s">
        <v>171</v>
      </c>
      <c r="AD343" s="119" t="s">
        <v>172</v>
      </c>
      <c r="AE343" s="3"/>
      <c r="AF343" s="49" t="s">
        <v>173</v>
      </c>
      <c r="AG343" s="77" t="b">
        <f t="shared" si="124"/>
        <v>1</v>
      </c>
      <c r="AH343" s="83" t="str">
        <f t="shared" si="115"/>
        <v>q</v>
      </c>
      <c r="AI343" s="84">
        <f t="shared" si="116"/>
        <v>8</v>
      </c>
      <c r="AJ343" s="85">
        <f t="shared" si="117"/>
        <v>8</v>
      </c>
      <c r="AK343" s="6"/>
      <c r="AL343" s="8" t="str">
        <f t="shared" si="118"/>
        <v>{53</v>
      </c>
      <c r="AM343" s="27" t="str">
        <f t="shared" si="119"/>
        <v>ITM_8</v>
      </c>
      <c r="AN343" s="27" t="str">
        <f t="shared" si="120"/>
        <v>MNU_ADV</v>
      </c>
      <c r="AO343" s="27" t="str">
        <f t="shared" si="121"/>
        <v>MNU_FIN</v>
      </c>
      <c r="AP343" s="46" t="str">
        <f>IF(NOT(ISNA(MATCH(AM343,Lookups!E:E,))),VLOOKUP(AM343,Lookups!E:F,2,0),
IF(NOT(ISNA(MATCH(AN343,Lookups!E:E,))),VLOOKUP(AN343,Lookups!E:F,2,0),
IF(NOT(ISNA(MATCH(AO343,Lookups!E:E,))),VLOOKUP(AO343,Lookups!E:F,2,0),"ITM_NULL")))</f>
        <v>ITM_8</v>
      </c>
      <c r="AQ343" s="28" t="str">
        <f t="shared" si="127"/>
        <v>ITM_Q</v>
      </c>
      <c r="AR343" s="195" t="s">
        <v>174</v>
      </c>
      <c r="AS343" s="186" t="s">
        <v>175</v>
      </c>
      <c r="AT343" s="197" t="s">
        <v>175</v>
      </c>
      <c r="AW343" s="14" t="str">
        <f t="shared" si="125"/>
        <v>{53</v>
      </c>
      <c r="AX343" s="157" t="str" cm="1">
        <f t="array" ref="AX343">SUBSTITUTE(SUBSTITUTE(_xlfn.SWITCH(AM343, "ITM_T_HOME", "ITM_UP1", "ITM_T_END", "ITM_DOWN1", "DOCU_CHR_sub", "ITM_DOWN_ARROW", "DOCU_CHR_super", "ITM_UP_ARROW", "MNU_TAMALPHA", "ITM_alpha", "DOCU_CHR_caseFLIP", "ITM_NULL", "DOCU_CHR_numSET", "ITM_NULL", "DOCU_ITM_RADIX", "ITM_PERIOD", AM343), ".lo", ),"MNU_", "-MNU_")</f>
        <v>ITM_8</v>
      </c>
      <c r="AY343" s="157" t="str" cm="1">
        <f t="array" ref="AY343">SUBSTITUTE(SUBSTITUTE(_xlfn.SWITCH(AN343, "ITM_T_HOME", "ITM_UP1", "ITM_T_END", "ITM_DOWN1", "DOCU_CHR_sub", "ITM_DOWN_ARROW", "DOCU_CHR_super", "ITM_UP_ARROW", "MNU_TAMALPHA", "ITM_alpha", "DOCU_CHR_caseFLIP", "ITM_NULL", "DOCU_CHR_numSET", "ITM_NULL", "DOCU_ITM_RADIX", "ITM_PERIOD", AN343), ".lo", ),"MNU_", "-MNU_")</f>
        <v>-MNU_ADV</v>
      </c>
      <c r="AZ343" s="157" t="str" cm="1">
        <f t="array" ref="AZ343">SUBSTITUTE(SUBSTITUTE(_xlfn.SWITCH(AO343, "ITM_T_HOME", "ITM_UP1", "ITM_T_END", "ITM_DOWN1", "DOCU_CHR_sub", "ITM_DOWN_ARROW", "DOCU_CHR_super", "ITM_UP_ARROW", "MNU_TAMALPHA", "ITM_alpha", "DOCU_CHR_caseFLIP", "ITM_NULL", "DOCU_CHR_numSET", "ITM_NULL", "DOCU_ITM_RADIX", "ITM_PERIOD", AO343), ".lo", ),"MNU_", "-MNU_")</f>
        <v>-MNU_FIN</v>
      </c>
      <c r="BA343" s="173" t="str" cm="1">
        <f t="array" ref="BA343">SUBSTITUTE(SUBSTITUTE(_xlfn.SWITCH(AP343, "ITM_T_HOME", "ITM_UP1", "ITM_T_END", "ITM_DOWN1", "DOCU_CHR_sub", "ITM_DOWN_ARROW", "DOCU_CHR_super", "ITM_UP_ARROW", "MNU_TAMALPHA", "ITM_alpha", "DOCU_CHR_caseFLIP", "ITM_NULL", "DOCU_CHR_numSET", "ITM_NULL", "DOCU_ITM_RADIX", "ITM_PERIOD", AP343), ".lo", ),"MNU_", "-MNU_")</f>
        <v>ITM_8</v>
      </c>
      <c r="BB343" s="157" t="str" cm="1">
        <f t="array" ref="BB343">SUBSTITUTE(SUBSTITUTE(_xlfn.SWITCH(AQ343, "ITM_T_HOME", "ITM_UP1", "ITM_T_END", "ITM_DOWN1", "DOCU_CHR_sub", "ITM_DOWN_ARROW", "DOCU_CHR_super", "ITM_UP_ARROW", "MNU_TAMALPHA", "ITM_alpha", "DOCU_CHR_caseFLIP", "ITM_NULL", "DOCU_CHR_numSET", "ITM_NULL", "DOCU_ITM_RADIX", "ITM_PERIOD", AQ343), ".lo", ),"MNU_", "-MNU_")</f>
        <v>ITM_Q</v>
      </c>
      <c r="BC343" s="157" t="str" cm="1">
        <f t="array" ref="BC343">SUBSTITUTE(SUBSTITUTE(_xlfn.SWITCH(AR343, "ITM_T_HOME", "ITM_UP1", "ITM_T_END", "ITM_DOWN1", "DOCU_CHR_sub", "ITM_DOWN_ARROW", "DOCU_CHR_super", "ITM_UP_ARROW", "MNU_TAMALPHA", "ITM_alpha", "DOCU_CHR_caseFLIP", "ITM_NULL", "DOCU_CHR_numSET", "ITM_NULL", "DOCU_ITM_RADIX", "ITM_PERIOD", AR343), ".lo", ),"MNU_", "-MNU_")</f>
        <v>ITM_q</v>
      </c>
      <c r="BD343" s="157" t="str" cm="1">
        <f t="array" ref="BD343">SUBSTITUTE(SUBSTITUTE(_xlfn.SWITCH(AS343, "ITM_T_HOME", "ITM_UP1", "ITM_T_END", "ITM_DOWN1", "DOCU_CHR_sub", "ITM_DOWN_ARROW", "DOCU_CHR_super", "ITM_UP_ARROW", "MNU_TAMALPHA", "ITM_alpha", "DOCU_CHR_caseFLIP", "ITM_NULL", "DOCU_CHR_numSET", "ITM_NULL", "DOCU_ITM_RADIX", "ITM_PERIOD", AS343), ".lo", ),"MNU_", "-MNU_")</f>
        <v>ITM_8</v>
      </c>
      <c r="BE343" s="157" t="str" cm="1">
        <f t="array" ref="BE343">SUBSTITUTE(SUBSTITUTE(_xlfn.SWITCH(AT343, "ITM_T_HOME", "ITM_UP1", "ITM_T_END", "ITM_DOWN1", "DOCU_CHR_sub", "ITM_DOWN_ARROW", "DOCU_CHR_super", "ITM_UP_ARROW", "MNU_TAMALPHA", "ITM_alpha", "DOCU_CHR_caseFLIP", "ITM_NULL", "DOCU_CHR_numSET", "ITM_NULL", "DOCU_ITM_RADIX", "ITM_PERIOD", AT343), ".lo", ),"MNU_", "-MNU_")</f>
        <v>ITM_8</v>
      </c>
      <c r="BG343" s="75"/>
      <c r="BI343" s="13" t="str">
        <f t="shared" si="123"/>
        <v xml:space="preserve">  {53,                  ITM_8,                -MNU_ADV,             -MNU_FIN,             ITM_8,                ITM_Q,                ITM_q,                ITM_8,                ITM_8               },</v>
      </c>
    </row>
    <row r="344" spans="24:61" ht="21" x14ac:dyDescent="0.2">
      <c r="X344" s="127" t="str">
        <f t="shared" si="114"/>
        <v>DM42</v>
      </c>
      <c r="Y344" s="109">
        <v>5</v>
      </c>
      <c r="Z344" s="109">
        <v>4</v>
      </c>
      <c r="AA344" s="112" t="str">
        <f t="shared" si="113"/>
        <v>DM42.54</v>
      </c>
      <c r="AB344" s="117">
        <v>9</v>
      </c>
      <c r="AC344" s="118" t="s">
        <v>176</v>
      </c>
      <c r="AD344" s="119" t="s">
        <v>177</v>
      </c>
      <c r="AE344" s="3"/>
      <c r="AF344" s="49" t="s">
        <v>178</v>
      </c>
      <c r="AG344" s="77" t="b">
        <f t="shared" si="124"/>
        <v>1</v>
      </c>
      <c r="AH344" s="83" t="str">
        <f t="shared" si="115"/>
        <v>r</v>
      </c>
      <c r="AI344" s="84">
        <f t="shared" si="116"/>
        <v>9</v>
      </c>
      <c r="AJ344" s="85">
        <f t="shared" si="117"/>
        <v>9</v>
      </c>
      <c r="AK344" s="6"/>
      <c r="AL344" s="8" t="str">
        <f t="shared" si="118"/>
        <v>{54</v>
      </c>
      <c r="AM344" s="27" t="str">
        <f t="shared" si="119"/>
        <v>ITM_9</v>
      </c>
      <c r="AN344" s="27" t="str">
        <f t="shared" si="120"/>
        <v>MNU_MATX</v>
      </c>
      <c r="AO344" s="27" t="str">
        <f t="shared" si="121"/>
        <v>MNU_XFN</v>
      </c>
      <c r="AP344" s="46" t="str">
        <f>IF(NOT(ISNA(MATCH(AM344,Lookups!E:E,))),VLOOKUP(AM344,Lookups!E:F,2,0),
IF(NOT(ISNA(MATCH(AN344,Lookups!E:E,))),VLOOKUP(AN344,Lookups!E:F,2,0),
IF(NOT(ISNA(MATCH(AO344,Lookups!E:E,))),VLOOKUP(AO344,Lookups!E:F,2,0),"ITM_NULL")))</f>
        <v>ITM_9</v>
      </c>
      <c r="AQ344" s="28" t="str">
        <f t="shared" si="127"/>
        <v>ITM_R</v>
      </c>
      <c r="AR344" s="195" t="s">
        <v>179</v>
      </c>
      <c r="AS344" s="186" t="s">
        <v>180</v>
      </c>
      <c r="AT344" s="197" t="s">
        <v>180</v>
      </c>
      <c r="AW344" s="14" t="str">
        <f t="shared" si="125"/>
        <v>{54</v>
      </c>
      <c r="AX344" s="157" t="str" cm="1">
        <f t="array" ref="AX344">SUBSTITUTE(SUBSTITUTE(_xlfn.SWITCH(AM344, "ITM_T_HOME", "ITM_UP1", "ITM_T_END", "ITM_DOWN1", "DOCU_CHR_sub", "ITM_DOWN_ARROW", "DOCU_CHR_super", "ITM_UP_ARROW", "MNU_TAMALPHA", "ITM_alpha", "DOCU_CHR_caseFLIP", "ITM_NULL", "DOCU_CHR_numSET", "ITM_NULL", "DOCU_ITM_RADIX", "ITM_PERIOD", AM344), ".lo", ),"MNU_", "-MNU_")</f>
        <v>ITM_9</v>
      </c>
      <c r="AY344" s="157" t="str" cm="1">
        <f t="array" ref="AY344">SUBSTITUTE(SUBSTITUTE(_xlfn.SWITCH(AN344, "ITM_T_HOME", "ITM_UP1", "ITM_T_END", "ITM_DOWN1", "DOCU_CHR_sub", "ITM_DOWN_ARROW", "DOCU_CHR_super", "ITM_UP_ARROW", "MNU_TAMALPHA", "ITM_alpha", "DOCU_CHR_caseFLIP", "ITM_NULL", "DOCU_CHR_numSET", "ITM_NULL", "DOCU_ITM_RADIX", "ITM_PERIOD", AN344), ".lo", ),"MNU_", "-MNU_")</f>
        <v>-MNU_MATX</v>
      </c>
      <c r="AZ344" s="157" t="str" cm="1">
        <f t="array" ref="AZ344">SUBSTITUTE(SUBSTITUTE(_xlfn.SWITCH(AO344, "ITM_T_HOME", "ITM_UP1", "ITM_T_END", "ITM_DOWN1", "DOCU_CHR_sub", "ITM_DOWN_ARROW", "DOCU_CHR_super", "ITM_UP_ARROW", "MNU_TAMALPHA", "ITM_alpha", "DOCU_CHR_caseFLIP", "ITM_NULL", "DOCU_CHR_numSET", "ITM_NULL", "DOCU_ITM_RADIX", "ITM_PERIOD", AO344), ".lo", ),"MNU_", "-MNU_")</f>
        <v>-MNU_XFN</v>
      </c>
      <c r="BA344" s="173" t="str" cm="1">
        <f t="array" ref="BA344">SUBSTITUTE(SUBSTITUTE(_xlfn.SWITCH(AP344, "ITM_T_HOME", "ITM_UP1", "ITM_T_END", "ITM_DOWN1", "DOCU_CHR_sub", "ITM_DOWN_ARROW", "DOCU_CHR_super", "ITM_UP_ARROW", "MNU_TAMALPHA", "ITM_alpha", "DOCU_CHR_caseFLIP", "ITM_NULL", "DOCU_CHR_numSET", "ITM_NULL", "DOCU_ITM_RADIX", "ITM_PERIOD", AP344), ".lo", ),"MNU_", "-MNU_")</f>
        <v>ITM_9</v>
      </c>
      <c r="BB344" s="157" t="str" cm="1">
        <f t="array" ref="BB344">SUBSTITUTE(SUBSTITUTE(_xlfn.SWITCH(AQ344, "ITM_T_HOME", "ITM_UP1", "ITM_T_END", "ITM_DOWN1", "DOCU_CHR_sub", "ITM_DOWN_ARROW", "DOCU_CHR_super", "ITM_UP_ARROW", "MNU_TAMALPHA", "ITM_alpha", "DOCU_CHR_caseFLIP", "ITM_NULL", "DOCU_CHR_numSET", "ITM_NULL", "DOCU_ITM_RADIX", "ITM_PERIOD", AQ344), ".lo", ),"MNU_", "-MNU_")</f>
        <v>ITM_R</v>
      </c>
      <c r="BC344" s="157" t="str" cm="1">
        <f t="array" ref="BC344">SUBSTITUTE(SUBSTITUTE(_xlfn.SWITCH(AR344, "ITM_T_HOME", "ITM_UP1", "ITM_T_END", "ITM_DOWN1", "DOCU_CHR_sub", "ITM_DOWN_ARROW", "DOCU_CHR_super", "ITM_UP_ARROW", "MNU_TAMALPHA", "ITM_alpha", "DOCU_CHR_caseFLIP", "ITM_NULL", "DOCU_CHR_numSET", "ITM_NULL", "DOCU_ITM_RADIX", "ITM_PERIOD", AR344), ".lo", ),"MNU_", "-MNU_")</f>
        <v>ITM_r</v>
      </c>
      <c r="BD344" s="157" t="str" cm="1">
        <f t="array" ref="BD344">SUBSTITUTE(SUBSTITUTE(_xlfn.SWITCH(AS344, "ITM_T_HOME", "ITM_UP1", "ITM_T_END", "ITM_DOWN1", "DOCU_CHR_sub", "ITM_DOWN_ARROW", "DOCU_CHR_super", "ITM_UP_ARROW", "MNU_TAMALPHA", "ITM_alpha", "DOCU_CHR_caseFLIP", "ITM_NULL", "DOCU_CHR_numSET", "ITM_NULL", "DOCU_ITM_RADIX", "ITM_PERIOD", AS344), ".lo", ),"MNU_", "-MNU_")</f>
        <v>ITM_9</v>
      </c>
      <c r="BE344" s="157" t="str" cm="1">
        <f t="array" ref="BE344">SUBSTITUTE(SUBSTITUTE(_xlfn.SWITCH(AT344, "ITM_T_HOME", "ITM_UP1", "ITM_T_END", "ITM_DOWN1", "DOCU_CHR_sub", "ITM_DOWN_ARROW", "DOCU_CHR_super", "ITM_UP_ARROW", "MNU_TAMALPHA", "ITM_alpha", "DOCU_CHR_caseFLIP", "ITM_NULL", "DOCU_CHR_numSET", "ITM_NULL", "DOCU_ITM_RADIX", "ITM_PERIOD", AT344), ".lo", ),"MNU_", "-MNU_")</f>
        <v>ITM_9</v>
      </c>
      <c r="BG344" s="75"/>
      <c r="BI344" s="13" t="str">
        <f t="shared" si="123"/>
        <v xml:space="preserve">  {54,                  ITM_9,                -MNU_MATX,            -MNU_XFN,             ITM_9,                ITM_R,                ITM_r,                ITM_9,                ITM_9               },</v>
      </c>
    </row>
    <row r="345" spans="24:61" ht="21" x14ac:dyDescent="0.2">
      <c r="X345" s="127" t="str">
        <f t="shared" si="114"/>
        <v>DM42</v>
      </c>
      <c r="Y345" s="109">
        <v>5</v>
      </c>
      <c r="Z345" s="109">
        <v>5</v>
      </c>
      <c r="AA345" s="112" t="str">
        <f t="shared" si="113"/>
        <v>DM42.55</v>
      </c>
      <c r="AB345" s="121" t="s">
        <v>181</v>
      </c>
      <c r="AC345" s="118" t="s">
        <v>182</v>
      </c>
      <c r="AD345" s="119" t="s">
        <v>183</v>
      </c>
      <c r="AE345" s="3"/>
      <c r="AF345" s="49" t="s">
        <v>184</v>
      </c>
      <c r="AG345" s="77" t="b">
        <f t="shared" si="124"/>
        <v>1</v>
      </c>
      <c r="AH345" s="83" t="str">
        <f t="shared" si="115"/>
        <v>s</v>
      </c>
      <c r="AI345" s="84" t="str">
        <f t="shared" si="116"/>
        <v>÷</v>
      </c>
      <c r="AJ345" s="85" t="str">
        <f t="shared" si="117"/>
        <v>÷</v>
      </c>
      <c r="AK345" s="6"/>
      <c r="AL345" s="8" t="str">
        <f t="shared" si="118"/>
        <v>{55</v>
      </c>
      <c r="AM345" s="27" t="str">
        <f t="shared" si="119"/>
        <v>ITM_DIV</v>
      </c>
      <c r="AN345" s="27" t="str">
        <f t="shared" si="120"/>
        <v>MNU_STAT</v>
      </c>
      <c r="AO345" s="27" t="str">
        <f t="shared" si="121"/>
        <v>MNU_PLOTTING</v>
      </c>
      <c r="AP345" s="46" t="str">
        <f>IF(NOT(ISNA(MATCH(AM345,Lookups!E:E,))),VLOOKUP(AM345,Lookups!E:F,2,0),
IF(NOT(ISNA(MATCH(AN345,Lookups!E:E,))),VLOOKUP(AN345,Lookups!E:F,2,0),
IF(NOT(ISNA(MATCH(AO345,Lookups!E:E,))),VLOOKUP(AO345,Lookups!E:F,2,0),"ITM_NULL")))</f>
        <v>ITM_OBELUS</v>
      </c>
      <c r="AQ345" s="28" t="str">
        <f t="shared" si="127"/>
        <v>ITM_S</v>
      </c>
      <c r="AR345" s="195" t="s">
        <v>185</v>
      </c>
      <c r="AS345" s="186" t="s">
        <v>186</v>
      </c>
      <c r="AT345" s="197" t="s">
        <v>187</v>
      </c>
      <c r="AW345" s="14" t="str">
        <f t="shared" si="125"/>
        <v>{55</v>
      </c>
      <c r="AX345" s="157" t="str" cm="1">
        <f t="array" ref="AX345">SUBSTITUTE(SUBSTITUTE(_xlfn.SWITCH(AM345, "ITM_T_HOME", "ITM_UP1", "ITM_T_END", "ITM_DOWN1", "DOCU_CHR_sub", "ITM_DOWN_ARROW", "DOCU_CHR_super", "ITM_UP_ARROW", "MNU_TAMALPHA", "ITM_alpha", "DOCU_CHR_caseFLIP", "ITM_NULL", "DOCU_CHR_numSET", "ITM_NULL", "DOCU_ITM_RADIX", "ITM_PERIOD", AM345), ".lo", ),"MNU_", "-MNU_")</f>
        <v>ITM_DIV</v>
      </c>
      <c r="AY345" s="157" t="str" cm="1">
        <f t="array" ref="AY345">SUBSTITUTE(SUBSTITUTE(_xlfn.SWITCH(AN345, "ITM_T_HOME", "ITM_UP1", "ITM_T_END", "ITM_DOWN1", "DOCU_CHR_sub", "ITM_DOWN_ARROW", "DOCU_CHR_super", "ITM_UP_ARROW", "MNU_TAMALPHA", "ITM_alpha", "DOCU_CHR_caseFLIP", "ITM_NULL", "DOCU_CHR_numSET", "ITM_NULL", "DOCU_ITM_RADIX", "ITM_PERIOD", AN345), ".lo", ),"MNU_", "-MNU_")</f>
        <v>-MNU_STAT</v>
      </c>
      <c r="AZ345" s="157" t="str" cm="1">
        <f t="array" ref="AZ345">SUBSTITUTE(SUBSTITUTE(_xlfn.SWITCH(AO345, "ITM_T_HOME", "ITM_UP1", "ITM_T_END", "ITM_DOWN1", "DOCU_CHR_sub", "ITM_DOWN_ARROW", "DOCU_CHR_super", "ITM_UP_ARROW", "MNU_TAMALPHA", "ITM_alpha", "DOCU_CHR_caseFLIP", "ITM_NULL", "DOCU_CHR_numSET", "ITM_NULL", "DOCU_ITM_RADIX", "ITM_PERIOD", AO345), ".lo", ),"MNU_", "-MNU_")</f>
        <v>-MNU_PLOTTING</v>
      </c>
      <c r="BA345" s="173" t="str" cm="1">
        <f t="array" ref="BA345">SUBSTITUTE(SUBSTITUTE(_xlfn.SWITCH(AP345, "ITM_T_HOME", "ITM_UP1", "ITM_T_END", "ITM_DOWN1", "DOCU_CHR_sub", "ITM_DOWN_ARROW", "DOCU_CHR_super", "ITM_UP_ARROW", "MNU_TAMALPHA", "ITM_alpha", "DOCU_CHR_caseFLIP", "ITM_NULL", "DOCU_CHR_numSET", "ITM_NULL", "DOCU_ITM_RADIX", "ITM_PERIOD", AP345), ".lo", ),"MNU_", "-MNU_")</f>
        <v>ITM_OBELUS</v>
      </c>
      <c r="BB345" s="157" t="str" cm="1">
        <f t="array" ref="BB345">SUBSTITUTE(SUBSTITUTE(_xlfn.SWITCH(AQ345, "ITM_T_HOME", "ITM_UP1", "ITM_T_END", "ITM_DOWN1", "DOCU_CHR_sub", "ITM_DOWN_ARROW", "DOCU_CHR_super", "ITM_UP_ARROW", "MNU_TAMALPHA", "ITM_alpha", "DOCU_CHR_caseFLIP", "ITM_NULL", "DOCU_CHR_numSET", "ITM_NULL", "DOCU_ITM_RADIX", "ITM_PERIOD", AQ345), ".lo", ),"MNU_", "-MNU_")</f>
        <v>ITM_S</v>
      </c>
      <c r="BC345" s="157" t="str" cm="1">
        <f t="array" ref="BC345">SUBSTITUTE(SUBSTITUTE(_xlfn.SWITCH(AR345, "ITM_T_HOME", "ITM_UP1", "ITM_T_END", "ITM_DOWN1", "DOCU_CHR_sub", "ITM_DOWN_ARROW", "DOCU_CHR_super", "ITM_UP_ARROW", "MNU_TAMALPHA", "ITM_alpha", "DOCU_CHR_caseFLIP", "ITM_NULL", "DOCU_CHR_numSET", "ITM_NULL", "DOCU_ITM_RADIX", "ITM_PERIOD", AR345), ".lo", ),"MNU_", "-MNU_")</f>
        <v>ITM_s</v>
      </c>
      <c r="BD345" s="157" t="str" cm="1">
        <f t="array" ref="BD345">SUBSTITUTE(SUBSTITUTE(_xlfn.SWITCH(AS345, "ITM_T_HOME", "ITM_UP1", "ITM_T_END", "ITM_DOWN1", "DOCU_CHR_sub", "ITM_DOWN_ARROW", "DOCU_CHR_super", "ITM_UP_ARROW", "MNU_TAMALPHA", "ITM_alpha", "DOCU_CHR_caseFLIP", "ITM_NULL", "DOCU_CHR_numSET", "ITM_NULL", "DOCU_ITM_RADIX", "ITM_PERIOD", AS345), ".lo", ),"MNU_", "-MNU_")</f>
        <v>ITM_OBELUS</v>
      </c>
      <c r="BE345" s="157" t="str" cm="1">
        <f t="array" ref="BE345">SUBSTITUTE(SUBSTITUTE(_xlfn.SWITCH(AT345, "ITM_T_HOME", "ITM_UP1", "ITM_T_END", "ITM_DOWN1", "DOCU_CHR_sub", "ITM_DOWN_ARROW", "DOCU_CHR_super", "ITM_UP_ARROW", "MNU_TAMALPHA", "ITM_alpha", "DOCU_CHR_caseFLIP", "ITM_NULL", "DOCU_CHR_numSET", "ITM_NULL", "DOCU_ITM_RADIX", "ITM_PERIOD", AT345), ".lo", ),"MNU_", "-MNU_")</f>
        <v>ITM_DIV</v>
      </c>
      <c r="BG345" s="75"/>
      <c r="BI345" s="13" t="str">
        <f t="shared" si="123"/>
        <v xml:space="preserve">  {55,                  ITM_DIV,              -MNU_STAT,            -MNU_PLOTTING,        ITM_OBELUS,           ITM_S,                ITM_s,                ITM_OBELUS,           ITM_DIV             },</v>
      </c>
    </row>
    <row r="346" spans="24:61" ht="21" x14ac:dyDescent="0.2">
      <c r="X346" s="127" t="str">
        <f t="shared" si="114"/>
        <v>DM42</v>
      </c>
      <c r="Y346" s="106">
        <v>6</v>
      </c>
      <c r="Z346" s="106">
        <v>1</v>
      </c>
      <c r="AA346" s="112" t="str">
        <f t="shared" si="113"/>
        <v>DM42.61</v>
      </c>
      <c r="AB346" s="117" t="s">
        <v>188</v>
      </c>
      <c r="AC346" s="118" t="s">
        <v>189</v>
      </c>
      <c r="AD346" s="119" t="s">
        <v>190</v>
      </c>
      <c r="AE346" s="3"/>
      <c r="AF346" s="49" t="s">
        <v>191</v>
      </c>
      <c r="AG346" s="77" t="b">
        <f t="shared" si="124"/>
        <v>0</v>
      </c>
      <c r="AH346" s="83" t="str">
        <f t="shared" si="115"/>
        <v>CASE DN</v>
      </c>
      <c r="AI346" s="84" t="str">
        <f t="shared" si="116"/>
        <v>Sub</v>
      </c>
      <c r="AJ346" s="85" t="str">
        <f t="shared" si="117"/>
        <v>Dn</v>
      </c>
      <c r="AK346" s="6"/>
      <c r="AL346" s="8" t="str">
        <f t="shared" si="118"/>
        <v>{61</v>
      </c>
      <c r="AM346" s="27" t="str">
        <f t="shared" si="119"/>
        <v>ITM_DOWN1</v>
      </c>
      <c r="AN346" s="27" t="str">
        <f t="shared" si="120"/>
        <v>ITM_SST</v>
      </c>
      <c r="AO346" s="27" t="str">
        <f t="shared" si="121"/>
        <v>ITM_FLGSV</v>
      </c>
      <c r="AP346" s="46" t="str">
        <f>IF(NOT(ISNA(MATCH(AM346,Lookups!E:E,))),VLOOKUP(AM346,Lookups!E:F,2,0),
IF(NOT(ISNA(MATCH(AN346,Lookups!E:E,))),VLOOKUP(AN346,Lookups!E:F,2,0),
IF(NOT(ISNA(MATCH(AO346,Lookups!E:E,))),VLOOKUP(AO346,Lookups!E:F,2,0),"ITM_NULL")))</f>
        <v>ITM_DOWN1</v>
      </c>
      <c r="AQ346" s="28" t="str">
        <f t="shared" si="127"/>
        <v>ITM_T_END</v>
      </c>
      <c r="AR346" s="198" t="s">
        <v>192</v>
      </c>
      <c r="AS346" s="186" t="s">
        <v>193</v>
      </c>
      <c r="AT346" s="197" t="s">
        <v>194</v>
      </c>
      <c r="AW346" s="14" t="str">
        <f t="shared" si="125"/>
        <v>{61</v>
      </c>
      <c r="AX346" s="157" t="str" cm="1">
        <f t="array" ref="AX346">SUBSTITUTE(SUBSTITUTE(_xlfn.SWITCH(AM346, "ITM_T_HOME", "ITM_UP1", "ITM_T_END", "ITM_DOWN1", "DOCU_CHR_sub", "ITM_DOWN_ARROW", "DOCU_CHR_super", "ITM_UP_ARROW", "MNU_TAMALPHA", "ITM_alpha", "DOCU_CHR_caseFLIP", "ITM_NULL", "DOCU_CHR_numSET", "ITM_NULL", "DOCU_ITM_RADIX", "ITM_PERIOD", AM346), ".lo", ),"MNU_", "-MNU_")</f>
        <v>ITM_DOWN1</v>
      </c>
      <c r="AY346" s="157" t="str" cm="1">
        <f t="array" ref="AY346">SUBSTITUTE(SUBSTITUTE(_xlfn.SWITCH(AN346, "ITM_T_HOME", "ITM_UP1", "ITM_T_END", "ITM_DOWN1", "DOCU_CHR_sub", "ITM_DOWN_ARROW", "DOCU_CHR_super", "ITM_UP_ARROW", "MNU_TAMALPHA", "ITM_alpha", "DOCU_CHR_caseFLIP", "ITM_NULL", "DOCU_CHR_numSET", "ITM_NULL", "DOCU_ITM_RADIX", "ITM_PERIOD", AN346), ".lo", ),"MNU_", "-MNU_")</f>
        <v>ITM_SST</v>
      </c>
      <c r="AZ346" s="157" t="str" cm="1">
        <f t="array" ref="AZ346">SUBSTITUTE(SUBSTITUTE(_xlfn.SWITCH(AO346, "ITM_T_HOME", "ITM_UP1", "ITM_T_END", "ITM_DOWN1", "DOCU_CHR_sub", "ITM_DOWN_ARROW", "DOCU_CHR_super", "ITM_UP_ARROW", "MNU_TAMALPHA", "ITM_alpha", "DOCU_CHR_caseFLIP", "ITM_NULL", "DOCU_CHR_numSET", "ITM_NULL", "DOCU_ITM_RADIX", "ITM_PERIOD", AO346), ".lo", ),"MNU_", "-MNU_")</f>
        <v>ITM_FLGSV</v>
      </c>
      <c r="BA346" s="173" t="str" cm="1">
        <f t="array" ref="BA346">SUBSTITUTE(SUBSTITUTE(_xlfn.SWITCH(AP346, "ITM_T_HOME", "ITM_UP1", "ITM_T_END", "ITM_DOWN1", "DOCU_CHR_sub", "ITM_DOWN_ARROW", "DOCU_CHR_super", "ITM_UP_ARROW", "MNU_TAMALPHA", "ITM_alpha", "DOCU_CHR_caseFLIP", "ITM_NULL", "DOCU_CHR_numSET", "ITM_NULL", "DOCU_ITM_RADIX", "ITM_PERIOD", AP346), ".lo", ),"MNU_", "-MNU_")</f>
        <v>ITM_DOWN1</v>
      </c>
      <c r="BB346" s="157" t="str" cm="1">
        <f t="array" ref="BB346">SUBSTITUTE(SUBSTITUTE(_xlfn.SWITCH(AQ346, "ITM_T_HOME", "ITM_UP1", "ITM_T_END", "ITM_DOWN1", "DOCU_CHR_sub", "ITM_DOWN_ARROW", "DOCU_CHR_super", "ITM_UP_ARROW", "MNU_TAMALPHA", "ITM_alpha", "DOCU_CHR_caseFLIP", "ITM_NULL", "DOCU_CHR_numSET", "ITM_NULL", "DOCU_ITM_RADIX", "ITM_PERIOD", AQ346), ".lo", ),"MNU_", "-MNU_")</f>
        <v>ITM_DOWN1</v>
      </c>
      <c r="BC346" s="157" t="str" cm="1">
        <f t="array" ref="BC346">SUBSTITUTE(SUBSTITUTE(_xlfn.SWITCH(AR346, "ITM_T_HOME", "ITM_UP1", "ITM_T_END", "ITM_DOWN1", "DOCU_CHR_sub", "ITM_DOWN_ARROW", "DOCU_CHR_super", "ITM_UP_ARROW", "MNU_TAMALPHA", "ITM_alpha", "DOCU_CHR_caseFLIP", "ITM_NULL", "DOCU_CHR_numSET", "ITM_NULL", "DOCU_ITM_RADIX", "ITM_PERIOD", AR346), ".lo", ),"MNU_", "-MNU_")</f>
        <v>CHR_caseDN</v>
      </c>
      <c r="BD346" s="157" t="str" cm="1">
        <f t="array" ref="BD346">SUBSTITUTE(SUBSTITUTE(_xlfn.SWITCH(AS346, "ITM_T_HOME", "ITM_UP1", "ITM_T_END", "ITM_DOWN1", "DOCU_CHR_sub", "ITM_DOWN_ARROW", "DOCU_CHR_super", "ITM_UP_ARROW", "MNU_TAMALPHA", "ITM_alpha", "DOCU_CHR_caseFLIP", "ITM_NULL", "DOCU_CHR_numSET", "ITM_NULL", "DOCU_ITM_RADIX", "ITM_PERIOD", AS346), ".lo", ),"MNU_", "-MNU_")</f>
        <v>ITM_DOWN_ARROW</v>
      </c>
      <c r="BE346" s="157" t="str" cm="1">
        <f t="array" ref="BE346">SUBSTITUTE(SUBSTITUTE(_xlfn.SWITCH(AT346, "ITM_T_HOME", "ITM_UP1", "ITM_T_END", "ITM_DOWN1", "DOCU_CHR_sub", "ITM_DOWN_ARROW", "DOCU_CHR_super", "ITM_UP_ARROW", "MNU_TAMALPHA", "ITM_alpha", "DOCU_CHR_caseFLIP", "ITM_NULL", "DOCU_CHR_numSET", "ITM_NULL", "DOCU_ITM_RADIX", "ITM_PERIOD", AT346), ".lo", ),"MNU_", "-MNU_")</f>
        <v>ITM_DOWN1</v>
      </c>
      <c r="BG346" s="75"/>
      <c r="BI346" s="13" t="str">
        <f t="shared" si="123"/>
        <v xml:space="preserve">  {61,                  ITM_DOWN1,            ITM_SST,              ITM_FLGSV,            ITM_DOWN1,            ITM_DOWN1,            CHR_caseDN,           ITM_DOWN_ARROW,       ITM_DOWN1           },</v>
      </c>
    </row>
    <row r="347" spans="24:61" ht="21" x14ac:dyDescent="0.2">
      <c r="X347" s="127" t="str">
        <f t="shared" si="114"/>
        <v>DM42</v>
      </c>
      <c r="Y347" s="109">
        <v>6</v>
      </c>
      <c r="Z347" s="109">
        <v>2</v>
      </c>
      <c r="AA347" s="112" t="str">
        <f t="shared" si="113"/>
        <v>DM42.62</v>
      </c>
      <c r="AB347" s="117">
        <v>4</v>
      </c>
      <c r="AC347" s="118" t="s">
        <v>195</v>
      </c>
      <c r="AD347" s="119" t="s">
        <v>196</v>
      </c>
      <c r="AE347" s="3"/>
      <c r="AF347" s="49" t="s">
        <v>197</v>
      </c>
      <c r="AG347" s="77" t="b">
        <f t="shared" si="124"/>
        <v>1</v>
      </c>
      <c r="AH347" s="83" t="str">
        <f t="shared" si="115"/>
        <v>t</v>
      </c>
      <c r="AI347" s="84">
        <f t="shared" si="116"/>
        <v>4</v>
      </c>
      <c r="AJ347" s="85">
        <f t="shared" si="117"/>
        <v>4</v>
      </c>
      <c r="AK347" s="6"/>
      <c r="AL347" s="8" t="str">
        <f t="shared" si="118"/>
        <v>{62</v>
      </c>
      <c r="AM347" s="27" t="str">
        <f t="shared" si="119"/>
        <v>ITM_4</v>
      </c>
      <c r="AN347" s="27" t="str">
        <f t="shared" si="120"/>
        <v>MNU_BASE</v>
      </c>
      <c r="AO347" s="27" t="str">
        <f t="shared" si="121"/>
        <v>MNU_BITS</v>
      </c>
      <c r="AP347" s="46" t="str">
        <f>IF(NOT(ISNA(MATCH(AM347,Lookups!E:E,))),VLOOKUP(AM347,Lookups!E:F,2,0),
IF(NOT(ISNA(MATCH(AN347,Lookups!E:E,))),VLOOKUP(AN347,Lookups!E:F,2,0),
IF(NOT(ISNA(MATCH(AO347,Lookups!E:E,))),VLOOKUP(AO347,Lookups!E:F,2,0),"ITM_NULL")))</f>
        <v>ITM_4</v>
      </c>
      <c r="AQ347" s="28" t="str">
        <f t="shared" si="127"/>
        <v>ITM_T</v>
      </c>
      <c r="AR347" s="195" t="s">
        <v>198</v>
      </c>
      <c r="AS347" s="186" t="s">
        <v>199</v>
      </c>
      <c r="AT347" s="197" t="s">
        <v>199</v>
      </c>
      <c r="AW347" s="14" t="str">
        <f t="shared" si="125"/>
        <v>{62</v>
      </c>
      <c r="AX347" s="157" t="str" cm="1">
        <f t="array" ref="AX347">SUBSTITUTE(SUBSTITUTE(_xlfn.SWITCH(AM347, "ITM_T_HOME", "ITM_UP1", "ITM_T_END", "ITM_DOWN1", "DOCU_CHR_sub", "ITM_DOWN_ARROW", "DOCU_CHR_super", "ITM_UP_ARROW", "MNU_TAMALPHA", "ITM_alpha", "DOCU_CHR_caseFLIP", "ITM_NULL", "DOCU_CHR_numSET", "ITM_NULL", "DOCU_ITM_RADIX", "ITM_PERIOD", AM347), ".lo", ),"MNU_", "-MNU_")</f>
        <v>ITM_4</v>
      </c>
      <c r="AY347" s="157" t="str" cm="1">
        <f t="array" ref="AY347">SUBSTITUTE(SUBSTITUTE(_xlfn.SWITCH(AN347, "ITM_T_HOME", "ITM_UP1", "ITM_T_END", "ITM_DOWN1", "DOCU_CHR_sub", "ITM_DOWN_ARROW", "DOCU_CHR_super", "ITM_UP_ARROW", "MNU_TAMALPHA", "ITM_alpha", "DOCU_CHR_caseFLIP", "ITM_NULL", "DOCU_CHR_numSET", "ITM_NULL", "DOCU_ITM_RADIX", "ITM_PERIOD", AN347), ".lo", ),"MNU_", "-MNU_")</f>
        <v>-MNU_BASE</v>
      </c>
      <c r="AZ347" s="157" t="str" cm="1">
        <f t="array" ref="AZ347">SUBSTITUTE(SUBSTITUTE(_xlfn.SWITCH(AO347, "ITM_T_HOME", "ITM_UP1", "ITM_T_END", "ITM_DOWN1", "DOCU_CHR_sub", "ITM_DOWN_ARROW", "DOCU_CHR_super", "ITM_UP_ARROW", "MNU_TAMALPHA", "ITM_alpha", "DOCU_CHR_caseFLIP", "ITM_NULL", "DOCU_CHR_numSET", "ITM_NULL", "DOCU_ITM_RADIX", "ITM_PERIOD", AO347), ".lo", ),"MNU_", "-MNU_")</f>
        <v>-MNU_BITS</v>
      </c>
      <c r="BA347" s="173" t="str" cm="1">
        <f t="array" ref="BA347">SUBSTITUTE(SUBSTITUTE(_xlfn.SWITCH(AP347, "ITM_T_HOME", "ITM_UP1", "ITM_T_END", "ITM_DOWN1", "DOCU_CHR_sub", "ITM_DOWN_ARROW", "DOCU_CHR_super", "ITM_UP_ARROW", "MNU_TAMALPHA", "ITM_alpha", "DOCU_CHR_caseFLIP", "ITM_NULL", "DOCU_CHR_numSET", "ITM_NULL", "DOCU_ITM_RADIX", "ITM_PERIOD", AP347), ".lo", ),"MNU_", "-MNU_")</f>
        <v>ITM_4</v>
      </c>
      <c r="BB347" s="157" t="str" cm="1">
        <f t="array" ref="BB347">SUBSTITUTE(SUBSTITUTE(_xlfn.SWITCH(AQ347, "ITM_T_HOME", "ITM_UP1", "ITM_T_END", "ITM_DOWN1", "DOCU_CHR_sub", "ITM_DOWN_ARROW", "DOCU_CHR_super", "ITM_UP_ARROW", "MNU_TAMALPHA", "ITM_alpha", "DOCU_CHR_caseFLIP", "ITM_NULL", "DOCU_CHR_numSET", "ITM_NULL", "DOCU_ITM_RADIX", "ITM_PERIOD", AQ347), ".lo", ),"MNU_", "-MNU_")</f>
        <v>ITM_T</v>
      </c>
      <c r="BC347" s="157" t="str" cm="1">
        <f t="array" ref="BC347">SUBSTITUTE(SUBSTITUTE(_xlfn.SWITCH(AR347, "ITM_T_HOME", "ITM_UP1", "ITM_T_END", "ITM_DOWN1", "DOCU_CHR_sub", "ITM_DOWN_ARROW", "DOCU_CHR_super", "ITM_UP_ARROW", "MNU_TAMALPHA", "ITM_alpha", "DOCU_CHR_caseFLIP", "ITM_NULL", "DOCU_CHR_numSET", "ITM_NULL", "DOCU_ITM_RADIX", "ITM_PERIOD", AR347), ".lo", ),"MNU_", "-MNU_")</f>
        <v>ITM_t</v>
      </c>
      <c r="BD347" s="157" t="str" cm="1">
        <f t="array" ref="BD347">SUBSTITUTE(SUBSTITUTE(_xlfn.SWITCH(AS347, "ITM_T_HOME", "ITM_UP1", "ITM_T_END", "ITM_DOWN1", "DOCU_CHR_sub", "ITM_DOWN_ARROW", "DOCU_CHR_super", "ITM_UP_ARROW", "MNU_TAMALPHA", "ITM_alpha", "DOCU_CHR_caseFLIP", "ITM_NULL", "DOCU_CHR_numSET", "ITM_NULL", "DOCU_ITM_RADIX", "ITM_PERIOD", AS347), ".lo", ),"MNU_", "-MNU_")</f>
        <v>ITM_4</v>
      </c>
      <c r="BE347" s="157" t="str" cm="1">
        <f t="array" ref="BE347">SUBSTITUTE(SUBSTITUTE(_xlfn.SWITCH(AT347, "ITM_T_HOME", "ITM_UP1", "ITM_T_END", "ITM_DOWN1", "DOCU_CHR_sub", "ITM_DOWN_ARROW", "DOCU_CHR_super", "ITM_UP_ARROW", "MNU_TAMALPHA", "ITM_alpha", "DOCU_CHR_caseFLIP", "ITM_NULL", "DOCU_CHR_numSET", "ITM_NULL", "DOCU_ITM_RADIX", "ITM_PERIOD", AT347), ".lo", ),"MNU_", "-MNU_")</f>
        <v>ITM_4</v>
      </c>
      <c r="BG347" s="75"/>
      <c r="BI347" s="13" t="str">
        <f t="shared" si="123"/>
        <v xml:space="preserve">  {62,                  ITM_4,                -MNU_BASE,            -MNU_BITS,            ITM_4,                ITM_T,                ITM_t,                ITM_4,                ITM_4               },</v>
      </c>
    </row>
    <row r="348" spans="24:61" ht="21" x14ac:dyDescent="0.2">
      <c r="X348" s="127" t="str">
        <f t="shared" si="114"/>
        <v>DM42</v>
      </c>
      <c r="Y348" s="109">
        <v>6</v>
      </c>
      <c r="Z348" s="109">
        <v>3</v>
      </c>
      <c r="AA348" s="112" t="str">
        <f t="shared" si="113"/>
        <v>DM42.63</v>
      </c>
      <c r="AB348" s="117">
        <v>5</v>
      </c>
      <c r="AC348" s="118" t="s">
        <v>200</v>
      </c>
      <c r="AD348" s="119" t="s">
        <v>201</v>
      </c>
      <c r="AE348" s="3"/>
      <c r="AF348" s="49" t="s">
        <v>202</v>
      </c>
      <c r="AG348" s="77" t="b">
        <f t="shared" si="124"/>
        <v>1</v>
      </c>
      <c r="AH348" s="83" t="str">
        <f t="shared" si="115"/>
        <v>u</v>
      </c>
      <c r="AI348" s="84">
        <f t="shared" si="116"/>
        <v>5</v>
      </c>
      <c r="AJ348" s="85">
        <f t="shared" si="117"/>
        <v>5</v>
      </c>
      <c r="AK348" s="6"/>
      <c r="AL348" s="8" t="str">
        <f t="shared" si="118"/>
        <v>{63</v>
      </c>
      <c r="AM348" s="27" t="str">
        <f t="shared" si="119"/>
        <v>ITM_5</v>
      </c>
      <c r="AN348" s="27" t="str">
        <f t="shared" si="120"/>
        <v>MNU_UNITCONV</v>
      </c>
      <c r="AO348" s="27" t="str">
        <f t="shared" si="121"/>
        <v>MNU_CLK</v>
      </c>
      <c r="AP348" s="46" t="str">
        <f>IF(NOT(ISNA(MATCH(AM348,Lookups!E:E,))),VLOOKUP(AM348,Lookups!E:F,2,0),
IF(NOT(ISNA(MATCH(AN348,Lookups!E:E,))),VLOOKUP(AN348,Lookups!E:F,2,0),
IF(NOT(ISNA(MATCH(AO348,Lookups!E:E,))),VLOOKUP(AO348,Lookups!E:F,2,0),"ITM_NULL")))</f>
        <v>ITM_5</v>
      </c>
      <c r="AQ348" s="28" t="str">
        <f t="shared" si="127"/>
        <v>ITM_U</v>
      </c>
      <c r="AR348" s="195" t="s">
        <v>203</v>
      </c>
      <c r="AS348" s="186" t="s">
        <v>204</v>
      </c>
      <c r="AT348" s="197" t="s">
        <v>204</v>
      </c>
      <c r="AW348" s="14" t="str">
        <f t="shared" si="125"/>
        <v>{63</v>
      </c>
      <c r="AX348" s="157" t="str" cm="1">
        <f t="array" ref="AX348">SUBSTITUTE(SUBSTITUTE(_xlfn.SWITCH(AM348, "ITM_T_HOME", "ITM_UP1", "ITM_T_END", "ITM_DOWN1", "DOCU_CHR_sub", "ITM_DOWN_ARROW", "DOCU_CHR_super", "ITM_UP_ARROW", "MNU_TAMALPHA", "ITM_alpha", "DOCU_CHR_caseFLIP", "ITM_NULL", "DOCU_CHR_numSET", "ITM_NULL", "DOCU_ITM_RADIX", "ITM_PERIOD", AM348), ".lo", ),"MNU_", "-MNU_")</f>
        <v>ITM_5</v>
      </c>
      <c r="AY348" s="157" t="str" cm="1">
        <f t="array" ref="AY348">SUBSTITUTE(SUBSTITUTE(_xlfn.SWITCH(AN348, "ITM_T_HOME", "ITM_UP1", "ITM_T_END", "ITM_DOWN1", "DOCU_CHR_sub", "ITM_DOWN_ARROW", "DOCU_CHR_super", "ITM_UP_ARROW", "MNU_TAMALPHA", "ITM_alpha", "DOCU_CHR_caseFLIP", "ITM_NULL", "DOCU_CHR_numSET", "ITM_NULL", "DOCU_ITM_RADIX", "ITM_PERIOD", AN348), ".lo", ),"MNU_", "-MNU_")</f>
        <v>-MNU_UNITCONV</v>
      </c>
      <c r="AZ348" s="157" t="str" cm="1">
        <f t="array" ref="AZ348">SUBSTITUTE(SUBSTITUTE(_xlfn.SWITCH(AO348, "ITM_T_HOME", "ITM_UP1", "ITM_T_END", "ITM_DOWN1", "DOCU_CHR_sub", "ITM_DOWN_ARROW", "DOCU_CHR_super", "ITM_UP_ARROW", "MNU_TAMALPHA", "ITM_alpha", "DOCU_CHR_caseFLIP", "ITM_NULL", "DOCU_CHR_numSET", "ITM_NULL", "DOCU_ITM_RADIX", "ITM_PERIOD", AO348), ".lo", ),"MNU_", "-MNU_")</f>
        <v>-MNU_CLK</v>
      </c>
      <c r="BA348" s="173" t="str" cm="1">
        <f t="array" ref="BA348">SUBSTITUTE(SUBSTITUTE(_xlfn.SWITCH(AP348, "ITM_T_HOME", "ITM_UP1", "ITM_T_END", "ITM_DOWN1", "DOCU_CHR_sub", "ITM_DOWN_ARROW", "DOCU_CHR_super", "ITM_UP_ARROW", "MNU_TAMALPHA", "ITM_alpha", "DOCU_CHR_caseFLIP", "ITM_NULL", "DOCU_CHR_numSET", "ITM_NULL", "DOCU_ITM_RADIX", "ITM_PERIOD", AP348), ".lo", ),"MNU_", "-MNU_")</f>
        <v>ITM_5</v>
      </c>
      <c r="BB348" s="157" t="str" cm="1">
        <f t="array" ref="BB348">SUBSTITUTE(SUBSTITUTE(_xlfn.SWITCH(AQ348, "ITM_T_HOME", "ITM_UP1", "ITM_T_END", "ITM_DOWN1", "DOCU_CHR_sub", "ITM_DOWN_ARROW", "DOCU_CHR_super", "ITM_UP_ARROW", "MNU_TAMALPHA", "ITM_alpha", "DOCU_CHR_caseFLIP", "ITM_NULL", "DOCU_CHR_numSET", "ITM_NULL", "DOCU_ITM_RADIX", "ITM_PERIOD", AQ348), ".lo", ),"MNU_", "-MNU_")</f>
        <v>ITM_U</v>
      </c>
      <c r="BC348" s="157" t="str" cm="1">
        <f t="array" ref="BC348">SUBSTITUTE(SUBSTITUTE(_xlfn.SWITCH(AR348, "ITM_T_HOME", "ITM_UP1", "ITM_T_END", "ITM_DOWN1", "DOCU_CHR_sub", "ITM_DOWN_ARROW", "DOCU_CHR_super", "ITM_UP_ARROW", "MNU_TAMALPHA", "ITM_alpha", "DOCU_CHR_caseFLIP", "ITM_NULL", "DOCU_CHR_numSET", "ITM_NULL", "DOCU_ITM_RADIX", "ITM_PERIOD", AR348), ".lo", ),"MNU_", "-MNU_")</f>
        <v>ITM_u</v>
      </c>
      <c r="BD348" s="157" t="str" cm="1">
        <f t="array" ref="BD348">SUBSTITUTE(SUBSTITUTE(_xlfn.SWITCH(AS348, "ITM_T_HOME", "ITM_UP1", "ITM_T_END", "ITM_DOWN1", "DOCU_CHR_sub", "ITM_DOWN_ARROW", "DOCU_CHR_super", "ITM_UP_ARROW", "MNU_TAMALPHA", "ITM_alpha", "DOCU_CHR_caseFLIP", "ITM_NULL", "DOCU_CHR_numSET", "ITM_NULL", "DOCU_ITM_RADIX", "ITM_PERIOD", AS348), ".lo", ),"MNU_", "-MNU_")</f>
        <v>ITM_5</v>
      </c>
      <c r="BE348" s="157" t="str" cm="1">
        <f t="array" ref="BE348">SUBSTITUTE(SUBSTITUTE(_xlfn.SWITCH(AT348, "ITM_T_HOME", "ITM_UP1", "ITM_T_END", "ITM_DOWN1", "DOCU_CHR_sub", "ITM_DOWN_ARROW", "DOCU_CHR_super", "ITM_UP_ARROW", "MNU_TAMALPHA", "ITM_alpha", "DOCU_CHR_caseFLIP", "ITM_NULL", "DOCU_CHR_numSET", "ITM_NULL", "DOCU_ITM_RADIX", "ITM_PERIOD", AT348), ".lo", ),"MNU_", "-MNU_")</f>
        <v>ITM_5</v>
      </c>
      <c r="BG348" s="75"/>
      <c r="BI348" s="13" t="str">
        <f t="shared" si="123"/>
        <v xml:space="preserve">  {63,                  ITM_5,                -MNU_UNITCONV,        -MNU_CLK,             ITM_5,                ITM_U,                ITM_u,                ITM_5,                ITM_5               },</v>
      </c>
    </row>
    <row r="349" spans="24:61" ht="21" x14ac:dyDescent="0.2">
      <c r="X349" s="127" t="str">
        <f t="shared" si="114"/>
        <v>DM42</v>
      </c>
      <c r="Y349" s="109">
        <v>6</v>
      </c>
      <c r="Z349" s="109">
        <v>4</v>
      </c>
      <c r="AA349" s="112" t="str">
        <f t="shared" si="113"/>
        <v>DM42.64</v>
      </c>
      <c r="AB349" s="117">
        <v>6</v>
      </c>
      <c r="AC349" s="118" t="s">
        <v>205</v>
      </c>
      <c r="AD349" s="119" t="s">
        <v>206</v>
      </c>
      <c r="AE349" s="3"/>
      <c r="AF349" s="49" t="s">
        <v>207</v>
      </c>
      <c r="AG349" s="77" t="b">
        <f t="shared" si="124"/>
        <v>1</v>
      </c>
      <c r="AH349" s="83" t="str">
        <f t="shared" si="115"/>
        <v>v</v>
      </c>
      <c r="AI349" s="84">
        <f t="shared" si="116"/>
        <v>6</v>
      </c>
      <c r="AJ349" s="85">
        <f t="shared" si="117"/>
        <v>6</v>
      </c>
      <c r="AK349" s="6"/>
      <c r="AL349" s="8" t="str">
        <f t="shared" si="118"/>
        <v>{64</v>
      </c>
      <c r="AM349" s="27" t="str">
        <f t="shared" si="119"/>
        <v>ITM_6</v>
      </c>
      <c r="AN349" s="27" t="str">
        <f t="shared" si="120"/>
        <v>MNU_FLAGS</v>
      </c>
      <c r="AO349" s="27" t="str">
        <f t="shared" si="121"/>
        <v>MNU_PARTS</v>
      </c>
      <c r="AP349" s="46" t="str">
        <f>IF(NOT(ISNA(MATCH(AM349,Lookups!E:E,))),VLOOKUP(AM349,Lookups!E:F,2,0),
IF(NOT(ISNA(MATCH(AN349,Lookups!E:E,))),VLOOKUP(AN349,Lookups!E:F,2,0),
IF(NOT(ISNA(MATCH(AO349,Lookups!E:E,))),VLOOKUP(AO349,Lookups!E:F,2,0),"ITM_NULL")))</f>
        <v>ITM_6</v>
      </c>
      <c r="AQ349" s="28" t="str">
        <f t="shared" si="127"/>
        <v>ITM_V</v>
      </c>
      <c r="AR349" s="195" t="s">
        <v>208</v>
      </c>
      <c r="AS349" s="186" t="s">
        <v>209</v>
      </c>
      <c r="AT349" s="197" t="s">
        <v>209</v>
      </c>
      <c r="AW349" s="14" t="str">
        <f t="shared" si="125"/>
        <v>{64</v>
      </c>
      <c r="AX349" s="157" t="str" cm="1">
        <f t="array" ref="AX349">SUBSTITUTE(SUBSTITUTE(_xlfn.SWITCH(AM349, "ITM_T_HOME", "ITM_UP1", "ITM_T_END", "ITM_DOWN1", "DOCU_CHR_sub", "ITM_DOWN_ARROW", "DOCU_CHR_super", "ITM_UP_ARROW", "MNU_TAMALPHA", "ITM_alpha", "DOCU_CHR_caseFLIP", "ITM_NULL", "DOCU_CHR_numSET", "ITM_NULL", "DOCU_ITM_RADIX", "ITM_PERIOD", AM349), ".lo", ),"MNU_", "-MNU_")</f>
        <v>ITM_6</v>
      </c>
      <c r="AY349" s="157" t="str" cm="1">
        <f t="array" ref="AY349">SUBSTITUTE(SUBSTITUTE(_xlfn.SWITCH(AN349, "ITM_T_HOME", "ITM_UP1", "ITM_T_END", "ITM_DOWN1", "DOCU_CHR_sub", "ITM_DOWN_ARROW", "DOCU_CHR_super", "ITM_UP_ARROW", "MNU_TAMALPHA", "ITM_alpha", "DOCU_CHR_caseFLIP", "ITM_NULL", "DOCU_CHR_numSET", "ITM_NULL", "DOCU_ITM_RADIX", "ITM_PERIOD", AN349), ".lo", ),"MNU_", "-MNU_")</f>
        <v>-MNU_FLAGS</v>
      </c>
      <c r="AZ349" s="157" t="str" cm="1">
        <f t="array" ref="AZ349">SUBSTITUTE(SUBSTITUTE(_xlfn.SWITCH(AO349, "ITM_T_HOME", "ITM_UP1", "ITM_T_END", "ITM_DOWN1", "DOCU_CHR_sub", "ITM_DOWN_ARROW", "DOCU_CHR_super", "ITM_UP_ARROW", "MNU_TAMALPHA", "ITM_alpha", "DOCU_CHR_caseFLIP", "ITM_NULL", "DOCU_CHR_numSET", "ITM_NULL", "DOCU_ITM_RADIX", "ITM_PERIOD", AO349), ".lo", ),"MNU_", "-MNU_")</f>
        <v>-MNU_PARTS</v>
      </c>
      <c r="BA349" s="173" t="str" cm="1">
        <f t="array" ref="BA349">SUBSTITUTE(SUBSTITUTE(_xlfn.SWITCH(AP349, "ITM_T_HOME", "ITM_UP1", "ITM_T_END", "ITM_DOWN1", "DOCU_CHR_sub", "ITM_DOWN_ARROW", "DOCU_CHR_super", "ITM_UP_ARROW", "MNU_TAMALPHA", "ITM_alpha", "DOCU_CHR_caseFLIP", "ITM_NULL", "DOCU_CHR_numSET", "ITM_NULL", "DOCU_ITM_RADIX", "ITM_PERIOD", AP349), ".lo", ),"MNU_", "-MNU_")</f>
        <v>ITM_6</v>
      </c>
      <c r="BB349" s="157" t="str" cm="1">
        <f t="array" ref="BB349">SUBSTITUTE(SUBSTITUTE(_xlfn.SWITCH(AQ349, "ITM_T_HOME", "ITM_UP1", "ITM_T_END", "ITM_DOWN1", "DOCU_CHR_sub", "ITM_DOWN_ARROW", "DOCU_CHR_super", "ITM_UP_ARROW", "MNU_TAMALPHA", "ITM_alpha", "DOCU_CHR_caseFLIP", "ITM_NULL", "DOCU_CHR_numSET", "ITM_NULL", "DOCU_ITM_RADIX", "ITM_PERIOD", AQ349), ".lo", ),"MNU_", "-MNU_")</f>
        <v>ITM_V</v>
      </c>
      <c r="BC349" s="157" t="str" cm="1">
        <f t="array" ref="BC349">SUBSTITUTE(SUBSTITUTE(_xlfn.SWITCH(AR349, "ITM_T_HOME", "ITM_UP1", "ITM_T_END", "ITM_DOWN1", "DOCU_CHR_sub", "ITM_DOWN_ARROW", "DOCU_CHR_super", "ITM_UP_ARROW", "MNU_TAMALPHA", "ITM_alpha", "DOCU_CHR_caseFLIP", "ITM_NULL", "DOCU_CHR_numSET", "ITM_NULL", "DOCU_ITM_RADIX", "ITM_PERIOD", AR349), ".lo", ),"MNU_", "-MNU_")</f>
        <v>ITM_v</v>
      </c>
      <c r="BD349" s="157" t="str" cm="1">
        <f t="array" ref="BD349">SUBSTITUTE(SUBSTITUTE(_xlfn.SWITCH(AS349, "ITM_T_HOME", "ITM_UP1", "ITM_T_END", "ITM_DOWN1", "DOCU_CHR_sub", "ITM_DOWN_ARROW", "DOCU_CHR_super", "ITM_UP_ARROW", "MNU_TAMALPHA", "ITM_alpha", "DOCU_CHR_caseFLIP", "ITM_NULL", "DOCU_CHR_numSET", "ITM_NULL", "DOCU_ITM_RADIX", "ITM_PERIOD", AS349), ".lo", ),"MNU_", "-MNU_")</f>
        <v>ITM_6</v>
      </c>
      <c r="BE349" s="157" t="str" cm="1">
        <f t="array" ref="BE349">SUBSTITUTE(SUBSTITUTE(_xlfn.SWITCH(AT349, "ITM_T_HOME", "ITM_UP1", "ITM_T_END", "ITM_DOWN1", "DOCU_CHR_sub", "ITM_DOWN_ARROW", "DOCU_CHR_super", "ITM_UP_ARROW", "MNU_TAMALPHA", "ITM_alpha", "DOCU_CHR_caseFLIP", "ITM_NULL", "DOCU_CHR_numSET", "ITM_NULL", "DOCU_ITM_RADIX", "ITM_PERIOD", AT349), ".lo", ),"MNU_", "-MNU_")</f>
        <v>ITM_6</v>
      </c>
      <c r="BG349" s="75"/>
      <c r="BI349" s="13" t="str">
        <f t="shared" si="123"/>
        <v xml:space="preserve">  {64,                  ITM_6,                -MNU_FLAGS,           -MNU_PARTS,           ITM_6,                ITM_V,                ITM_v,                ITM_6,                ITM_6               },</v>
      </c>
    </row>
    <row r="350" spans="24:61" ht="21" x14ac:dyDescent="0.2">
      <c r="X350" s="127" t="str">
        <f t="shared" si="114"/>
        <v>DM42</v>
      </c>
      <c r="Y350" s="109">
        <v>6</v>
      </c>
      <c r="Z350" s="109">
        <v>5</v>
      </c>
      <c r="AA350" s="112" t="str">
        <f t="shared" si="113"/>
        <v>DM42.65</v>
      </c>
      <c r="AB350" s="121" t="s">
        <v>210</v>
      </c>
      <c r="AC350" s="118" t="s">
        <v>211</v>
      </c>
      <c r="AD350" s="119" t="s">
        <v>212</v>
      </c>
      <c r="AE350" s="3"/>
      <c r="AF350" s="49" t="s">
        <v>213</v>
      </c>
      <c r="AG350" s="77" t="b">
        <f t="shared" si="124"/>
        <v>1</v>
      </c>
      <c r="AH350" s="83" t="str">
        <f t="shared" si="115"/>
        <v>w</v>
      </c>
      <c r="AI350" s="84" t="str">
        <f t="shared" si="116"/>
        <v>✕</v>
      </c>
      <c r="AJ350" s="85" t="str">
        <f t="shared" si="117"/>
        <v>✕</v>
      </c>
      <c r="AK350" s="6"/>
      <c r="AL350" s="8" t="str">
        <f t="shared" si="118"/>
        <v>{65</v>
      </c>
      <c r="AM350" s="27" t="str">
        <f t="shared" si="119"/>
        <v>ITM_MULT</v>
      </c>
      <c r="AN350" s="27" t="str">
        <f t="shared" si="120"/>
        <v>MNU_PROB</v>
      </c>
      <c r="AO350" s="27" t="str">
        <f t="shared" si="121"/>
        <v>MNU_INTS</v>
      </c>
      <c r="AP350" s="46" t="str">
        <f>IF(NOT(ISNA(MATCH(AM350,Lookups!E:E,))),VLOOKUP(AM350,Lookups!E:F,2,0),
IF(NOT(ISNA(MATCH(AN350,Lookups!E:E,))),VLOOKUP(AN350,Lookups!E:F,2,0),
IF(NOT(ISNA(MATCH(AO350,Lookups!E:E,))),VLOOKUP(AO350,Lookups!E:F,2,0),"ITM_NULL")))</f>
        <v>ITM_CROSS</v>
      </c>
      <c r="AQ350" s="28" t="str">
        <f t="shared" si="127"/>
        <v>ITM_W</v>
      </c>
      <c r="AR350" s="195" t="s">
        <v>214</v>
      </c>
      <c r="AS350" s="186" t="s">
        <v>215</v>
      </c>
      <c r="AT350" s="197" t="s">
        <v>216</v>
      </c>
      <c r="AW350" s="14" t="str">
        <f t="shared" si="125"/>
        <v>{65</v>
      </c>
      <c r="AX350" s="157" t="str" cm="1">
        <f t="array" ref="AX350">SUBSTITUTE(SUBSTITUTE(_xlfn.SWITCH(AM350, "ITM_T_HOME", "ITM_UP1", "ITM_T_END", "ITM_DOWN1", "DOCU_CHR_sub", "ITM_DOWN_ARROW", "DOCU_CHR_super", "ITM_UP_ARROW", "MNU_TAMALPHA", "ITM_alpha", "DOCU_CHR_caseFLIP", "ITM_NULL", "DOCU_CHR_numSET", "ITM_NULL", "DOCU_ITM_RADIX", "ITM_PERIOD", AM350), ".lo", ),"MNU_", "-MNU_")</f>
        <v>ITM_MULT</v>
      </c>
      <c r="AY350" s="157" t="str" cm="1">
        <f t="array" ref="AY350">SUBSTITUTE(SUBSTITUTE(_xlfn.SWITCH(AN350, "ITM_T_HOME", "ITM_UP1", "ITM_T_END", "ITM_DOWN1", "DOCU_CHR_sub", "ITM_DOWN_ARROW", "DOCU_CHR_super", "ITM_UP_ARROW", "MNU_TAMALPHA", "ITM_alpha", "DOCU_CHR_caseFLIP", "ITM_NULL", "DOCU_CHR_numSET", "ITM_NULL", "DOCU_ITM_RADIX", "ITM_PERIOD", AN350), ".lo", ),"MNU_", "-MNU_")</f>
        <v>-MNU_PROB</v>
      </c>
      <c r="AZ350" s="157" t="str" cm="1">
        <f t="array" ref="AZ350">SUBSTITUTE(SUBSTITUTE(_xlfn.SWITCH(AO350, "ITM_T_HOME", "ITM_UP1", "ITM_T_END", "ITM_DOWN1", "DOCU_CHR_sub", "ITM_DOWN_ARROW", "DOCU_CHR_super", "ITM_UP_ARROW", "MNU_TAMALPHA", "ITM_alpha", "DOCU_CHR_caseFLIP", "ITM_NULL", "DOCU_CHR_numSET", "ITM_NULL", "DOCU_ITM_RADIX", "ITM_PERIOD", AO350), ".lo", ),"MNU_", "-MNU_")</f>
        <v>-MNU_INTS</v>
      </c>
      <c r="BA350" s="173" t="str" cm="1">
        <f t="array" ref="BA350">SUBSTITUTE(SUBSTITUTE(_xlfn.SWITCH(AP350, "ITM_T_HOME", "ITM_UP1", "ITM_T_END", "ITM_DOWN1", "DOCU_CHR_sub", "ITM_DOWN_ARROW", "DOCU_CHR_super", "ITM_UP_ARROW", "MNU_TAMALPHA", "ITM_alpha", "DOCU_CHR_caseFLIP", "ITM_NULL", "DOCU_CHR_numSET", "ITM_NULL", "DOCU_ITM_RADIX", "ITM_PERIOD", AP350), ".lo", ),"MNU_", "-MNU_")</f>
        <v>ITM_CROSS</v>
      </c>
      <c r="BB350" s="157" t="str" cm="1">
        <f t="array" ref="BB350">SUBSTITUTE(SUBSTITUTE(_xlfn.SWITCH(AQ350, "ITM_T_HOME", "ITM_UP1", "ITM_T_END", "ITM_DOWN1", "DOCU_CHR_sub", "ITM_DOWN_ARROW", "DOCU_CHR_super", "ITM_UP_ARROW", "MNU_TAMALPHA", "ITM_alpha", "DOCU_CHR_caseFLIP", "ITM_NULL", "DOCU_CHR_numSET", "ITM_NULL", "DOCU_ITM_RADIX", "ITM_PERIOD", AQ350), ".lo", ),"MNU_", "-MNU_")</f>
        <v>ITM_W</v>
      </c>
      <c r="BC350" s="157" t="str" cm="1">
        <f t="array" ref="BC350">SUBSTITUTE(SUBSTITUTE(_xlfn.SWITCH(AR350, "ITM_T_HOME", "ITM_UP1", "ITM_T_END", "ITM_DOWN1", "DOCU_CHR_sub", "ITM_DOWN_ARROW", "DOCU_CHR_super", "ITM_UP_ARROW", "MNU_TAMALPHA", "ITM_alpha", "DOCU_CHR_caseFLIP", "ITM_NULL", "DOCU_CHR_numSET", "ITM_NULL", "DOCU_ITM_RADIX", "ITM_PERIOD", AR350), ".lo", ),"MNU_", "-MNU_")</f>
        <v>ITM_w</v>
      </c>
      <c r="BD350" s="157" t="str" cm="1">
        <f t="array" ref="BD350">SUBSTITUTE(SUBSTITUTE(_xlfn.SWITCH(AS350, "ITM_T_HOME", "ITM_UP1", "ITM_T_END", "ITM_DOWN1", "DOCU_CHR_sub", "ITM_DOWN_ARROW", "DOCU_CHR_super", "ITM_UP_ARROW", "MNU_TAMALPHA", "ITM_alpha", "DOCU_CHR_caseFLIP", "ITM_NULL", "DOCU_CHR_numSET", "ITM_NULL", "DOCU_ITM_RADIX", "ITM_PERIOD", AS350), ".lo", ),"MNU_", "-MNU_")</f>
        <v>ITM_CROSS</v>
      </c>
      <c r="BE350" s="157" t="str" cm="1">
        <f t="array" ref="BE350">SUBSTITUTE(SUBSTITUTE(_xlfn.SWITCH(AT350, "ITM_T_HOME", "ITM_UP1", "ITM_T_END", "ITM_DOWN1", "DOCU_CHR_sub", "ITM_DOWN_ARROW", "DOCU_CHR_super", "ITM_UP_ARROW", "MNU_TAMALPHA", "ITM_alpha", "DOCU_CHR_caseFLIP", "ITM_NULL", "DOCU_CHR_numSET", "ITM_NULL", "DOCU_ITM_RADIX", "ITM_PERIOD", AT350), ".lo", ),"MNU_", "-MNU_")</f>
        <v>ITM_MULT</v>
      </c>
      <c r="BG350" s="75"/>
      <c r="BI350" s="13" t="str">
        <f t="shared" si="123"/>
        <v xml:space="preserve">  {65,                  ITM_MULT,             -MNU_PROB,            -MNU_INTS,            ITM_CROSS,            ITM_W,                ITM_w,                ITM_CROSS,            ITM_MULT            },</v>
      </c>
    </row>
    <row r="351" spans="24:61" ht="21" x14ac:dyDescent="0.2">
      <c r="X351" s="127" t="str">
        <f t="shared" si="114"/>
        <v>DM42</v>
      </c>
      <c r="Y351" s="106">
        <v>7</v>
      </c>
      <c r="Z351" s="106">
        <v>1</v>
      </c>
      <c r="AA351" s="112" t="str">
        <f t="shared" si="113"/>
        <v>DM42.71</v>
      </c>
      <c r="AB351" s="117" t="s">
        <v>217</v>
      </c>
      <c r="AC351" s="118" t="s">
        <v>218</v>
      </c>
      <c r="AD351" s="119" t="s">
        <v>218</v>
      </c>
      <c r="AE351" s="3"/>
      <c r="AF351" s="49" t="s">
        <v>217</v>
      </c>
      <c r="AG351" s="77" t="b">
        <f t="shared" si="124"/>
        <v>0</v>
      </c>
      <c r="AH351" s="83" t="str">
        <f t="shared" si="115"/>
        <v>(FlipChar)</v>
      </c>
      <c r="AI351" s="84" t="str">
        <f t="shared" si="116"/>
        <v>(Digit)</v>
      </c>
      <c r="AJ351" s="85" t="str">
        <f t="shared" si="117"/>
        <v>f/g</v>
      </c>
      <c r="AK351" s="6"/>
      <c r="AL351" s="8" t="str">
        <f t="shared" si="118"/>
        <v>{71</v>
      </c>
      <c r="AM351" s="27" t="str">
        <f t="shared" si="119"/>
        <v>KEY_fg</v>
      </c>
      <c r="AN351" s="27" t="str">
        <f t="shared" si="120"/>
        <v>ITM_NULL</v>
      </c>
      <c r="AO351" s="27" t="str">
        <f t="shared" si="121"/>
        <v>ITM_NULL</v>
      </c>
      <c r="AP351" s="46" t="str">
        <f>IF(NOT(ISNA(MATCH(AM351,Lookups!E:E,))),VLOOKUP(AM351,Lookups!E:F,2,0),
IF(NOT(ISNA(MATCH(AN351,Lookups!E:E,))),VLOOKUP(AN351,Lookups!E:F,2,0),
IF(NOT(ISNA(MATCH(AO351,Lookups!E:E,))),VLOOKUP(AO351,Lookups!E:F,2,0),"ITM_NULL")))</f>
        <v>KEY_fg</v>
      </c>
      <c r="AQ351" s="28" t="str">
        <f t="shared" si="127"/>
        <v>KEY_fg</v>
      </c>
      <c r="AR351" s="198" t="s">
        <v>219</v>
      </c>
      <c r="AS351" s="186" t="s">
        <v>220</v>
      </c>
      <c r="AT351" s="197" t="s">
        <v>221</v>
      </c>
      <c r="AW351" s="14" t="str">
        <f t="shared" si="125"/>
        <v>{71</v>
      </c>
      <c r="AX351" s="157" t="str" cm="1">
        <f t="array" ref="AX351">SUBSTITUTE(SUBSTITUTE(_xlfn.SWITCH(AM351, "ITM_T_HOME", "ITM_UP1", "ITM_T_END", "ITM_DOWN1", "DOCU_CHR_sub", "ITM_DOWN_ARROW", "DOCU_CHR_super", "ITM_UP_ARROW", "MNU_TAMALPHA", "ITM_alpha", "DOCU_CHR_caseFLIP", "ITM_NULL", "DOCU_CHR_numSET", "ITM_NULL", "DOCU_ITM_RADIX", "ITM_PERIOD", AM351), ".lo", ),"MNU_", "-MNU_")</f>
        <v>KEY_fg</v>
      </c>
      <c r="AY351" s="157" t="str" cm="1">
        <f t="array" ref="AY351">SUBSTITUTE(SUBSTITUTE(_xlfn.SWITCH(AN351, "ITM_T_HOME", "ITM_UP1", "ITM_T_END", "ITM_DOWN1", "DOCU_CHR_sub", "ITM_DOWN_ARROW", "DOCU_CHR_super", "ITM_UP_ARROW", "MNU_TAMALPHA", "ITM_alpha", "DOCU_CHR_caseFLIP", "ITM_NULL", "DOCU_CHR_numSET", "ITM_NULL", "DOCU_ITM_RADIX", "ITM_PERIOD", AN351), ".lo", ),"MNU_", "-MNU_")</f>
        <v>ITM_NULL</v>
      </c>
      <c r="AZ351" s="157" t="str" cm="1">
        <f t="array" ref="AZ351">SUBSTITUTE(SUBSTITUTE(_xlfn.SWITCH(AO351, "ITM_T_HOME", "ITM_UP1", "ITM_T_END", "ITM_DOWN1", "DOCU_CHR_sub", "ITM_DOWN_ARROW", "DOCU_CHR_super", "ITM_UP_ARROW", "MNU_TAMALPHA", "ITM_alpha", "DOCU_CHR_caseFLIP", "ITM_NULL", "DOCU_CHR_numSET", "ITM_NULL", "DOCU_ITM_RADIX", "ITM_PERIOD", AO351), ".lo", ),"MNU_", "-MNU_")</f>
        <v>ITM_NULL</v>
      </c>
      <c r="BA351" s="173" t="str" cm="1">
        <f t="array" ref="BA351">SUBSTITUTE(SUBSTITUTE(_xlfn.SWITCH(AP351, "ITM_T_HOME", "ITM_UP1", "ITM_T_END", "ITM_DOWN1", "DOCU_CHR_sub", "ITM_DOWN_ARROW", "DOCU_CHR_super", "ITM_UP_ARROW", "MNU_TAMALPHA", "ITM_alpha", "DOCU_CHR_caseFLIP", "ITM_NULL", "DOCU_CHR_numSET", "ITM_NULL", "DOCU_ITM_RADIX", "ITM_PERIOD", AP351), ".lo", ),"MNU_", "-MNU_")</f>
        <v>KEY_fg</v>
      </c>
      <c r="BB351" s="157" t="str" cm="1">
        <f t="array" ref="BB351">SUBSTITUTE(SUBSTITUTE(_xlfn.SWITCH(AQ351, "ITM_T_HOME", "ITM_UP1", "ITM_T_END", "ITM_DOWN1", "DOCU_CHR_sub", "ITM_DOWN_ARROW", "DOCU_CHR_super", "ITM_UP_ARROW", "MNU_TAMALPHA", "ITM_alpha", "DOCU_CHR_caseFLIP", "ITM_NULL", "DOCU_CHR_numSET", "ITM_NULL", "DOCU_ITM_RADIX", "ITM_PERIOD", AQ351), ".lo", ),"MNU_", "-MNU_")</f>
        <v>KEY_fg</v>
      </c>
      <c r="BC351" s="157" t="str" cm="1">
        <f t="array" ref="BC351">SUBSTITUTE(SUBSTITUTE(_xlfn.SWITCH(AR351, "ITM_T_HOME", "ITM_UP1", "ITM_T_END", "ITM_DOWN1", "DOCU_CHR_sub", "ITM_DOWN_ARROW", "DOCU_CHR_super", "ITM_UP_ARROW", "MNU_TAMALPHA", "ITM_alpha", "DOCU_CHR_caseFLIP", "ITM_NULL", "DOCU_CHR_numSET", "ITM_NULL", "DOCU_ITM_RADIX", "ITM_PERIOD", AR351), ".lo", ),"MNU_", "-MNU_")</f>
        <v>ITM_NULL</v>
      </c>
      <c r="BD351" s="157" t="str" cm="1">
        <f t="array" ref="BD351">SUBSTITUTE(SUBSTITUTE(_xlfn.SWITCH(AS351, "ITM_T_HOME", "ITM_UP1", "ITM_T_END", "ITM_DOWN1", "DOCU_CHR_sub", "ITM_DOWN_ARROW", "DOCU_CHR_super", "ITM_UP_ARROW", "MNU_TAMALPHA", "ITM_alpha", "DOCU_CHR_caseFLIP", "ITM_NULL", "DOCU_CHR_numSET", "ITM_NULL", "DOCU_ITM_RADIX", "ITM_PERIOD", AS351), ".lo", ),"MNU_", "-MNU_")</f>
        <v>ITM_NULL</v>
      </c>
      <c r="BE351" s="157" t="str" cm="1">
        <f t="array" ref="BE351">SUBSTITUTE(SUBSTITUTE(_xlfn.SWITCH(AT351, "ITM_T_HOME", "ITM_UP1", "ITM_T_END", "ITM_DOWN1", "DOCU_CHR_sub", "ITM_DOWN_ARROW", "DOCU_CHR_super", "ITM_UP_ARROW", "MNU_TAMALPHA", "ITM_alpha", "DOCU_CHR_caseFLIP", "ITM_NULL", "DOCU_CHR_numSET", "ITM_NULL", "DOCU_ITM_RADIX", "ITM_PERIOD", AT351), ".lo", ),"MNU_", "-MNU_")</f>
        <v>KEY_fg</v>
      </c>
      <c r="BG351" s="75"/>
      <c r="BI351" s="13" t="str">
        <f t="shared" si="123"/>
        <v xml:space="preserve">  {71,                  KEY_fg,               ITM_NULL,             ITM_NULL,             KEY_fg,               KEY_fg,               ITM_NULL,             ITM_NULL,             KEY_fg              },</v>
      </c>
    </row>
    <row r="352" spans="24:61" ht="21" x14ac:dyDescent="0.2">
      <c r="X352" s="127" t="str">
        <f t="shared" si="114"/>
        <v>DM42</v>
      </c>
      <c r="Y352" s="109">
        <v>7</v>
      </c>
      <c r="Z352" s="109">
        <v>2</v>
      </c>
      <c r="AA352" s="112" t="str">
        <f t="shared" si="113"/>
        <v>DM42.72</v>
      </c>
      <c r="AB352" s="117">
        <v>1</v>
      </c>
      <c r="AC352" s="118" t="s">
        <v>222</v>
      </c>
      <c r="AD352" s="119" t="s">
        <v>223</v>
      </c>
      <c r="AE352" s="3"/>
      <c r="AF352" s="49" t="s">
        <v>224</v>
      </c>
      <c r="AG352" s="77" t="b">
        <f t="shared" si="124"/>
        <v>1</v>
      </c>
      <c r="AH352" s="83" t="str">
        <f t="shared" si="115"/>
        <v>x</v>
      </c>
      <c r="AI352" s="84">
        <f t="shared" si="116"/>
        <v>1</v>
      </c>
      <c r="AJ352" s="85">
        <f t="shared" si="117"/>
        <v>1</v>
      </c>
      <c r="AK352" s="6"/>
      <c r="AL352" s="8" t="str">
        <f t="shared" si="118"/>
        <v>{72</v>
      </c>
      <c r="AM352" s="27" t="str">
        <f t="shared" si="119"/>
        <v>ITM_1</v>
      </c>
      <c r="AN352" s="27" t="str">
        <f t="shared" si="120"/>
        <v>ITM_ASSIGN</v>
      </c>
      <c r="AO352" s="27" t="str">
        <f t="shared" si="121"/>
        <v>MNU_KEYS</v>
      </c>
      <c r="AP352" s="46" t="str">
        <f>IF(NOT(ISNA(MATCH(AM352,Lookups!E:E,))),VLOOKUP(AM352,Lookups!E:F,2,0),
IF(NOT(ISNA(MATCH(AN352,Lookups!E:E,))),VLOOKUP(AN352,Lookups!E:F,2,0),
IF(NOT(ISNA(MATCH(AO352,Lookups!E:E,))),VLOOKUP(AO352,Lookups!E:F,2,0),"ITM_NULL")))</f>
        <v>ITM_1</v>
      </c>
      <c r="AQ352" s="28" t="str">
        <f t="shared" ref="AQ352:AQ360" si="128">VLOOKUP(AF352,labelitem,2,0)</f>
        <v>ITM_X</v>
      </c>
      <c r="AR352" s="195" t="s">
        <v>225</v>
      </c>
      <c r="AS352" s="186" t="s">
        <v>226</v>
      </c>
      <c r="AT352" s="197" t="s">
        <v>226</v>
      </c>
      <c r="AW352" s="14" t="str">
        <f t="shared" si="125"/>
        <v>{72</v>
      </c>
      <c r="AX352" s="157" t="str" cm="1">
        <f t="array" ref="AX352">SUBSTITUTE(SUBSTITUTE(_xlfn.SWITCH(AM352, "ITM_T_HOME", "ITM_UP1", "ITM_T_END", "ITM_DOWN1", "DOCU_CHR_sub", "ITM_DOWN_ARROW", "DOCU_CHR_super", "ITM_UP_ARROW", "MNU_TAMALPHA", "ITM_alpha", "DOCU_CHR_caseFLIP", "ITM_NULL", "DOCU_CHR_numSET", "ITM_NULL", "DOCU_ITM_RADIX", "ITM_PERIOD", AM352), ".lo", ),"MNU_", "-MNU_")</f>
        <v>ITM_1</v>
      </c>
      <c r="AY352" s="157" t="str" cm="1">
        <f t="array" ref="AY352">SUBSTITUTE(SUBSTITUTE(_xlfn.SWITCH(AN352, "ITM_T_HOME", "ITM_UP1", "ITM_T_END", "ITM_DOWN1", "DOCU_CHR_sub", "ITM_DOWN_ARROW", "DOCU_CHR_super", "ITM_UP_ARROW", "MNU_TAMALPHA", "ITM_alpha", "DOCU_CHR_caseFLIP", "ITM_NULL", "DOCU_CHR_numSET", "ITM_NULL", "DOCU_ITM_RADIX", "ITM_PERIOD", AN352), ".lo", ),"MNU_", "-MNU_")</f>
        <v>ITM_ASSIGN</v>
      </c>
      <c r="AZ352" s="157" t="str" cm="1">
        <f t="array" ref="AZ352">SUBSTITUTE(SUBSTITUTE(_xlfn.SWITCH(AO352, "ITM_T_HOME", "ITM_UP1", "ITM_T_END", "ITM_DOWN1", "DOCU_CHR_sub", "ITM_DOWN_ARROW", "DOCU_CHR_super", "ITM_UP_ARROW", "MNU_TAMALPHA", "ITM_alpha", "DOCU_CHR_caseFLIP", "ITM_NULL", "DOCU_CHR_numSET", "ITM_NULL", "DOCU_ITM_RADIX", "ITM_PERIOD", AO352), ".lo", ),"MNU_", "-MNU_")</f>
        <v>-MNU_KEYS</v>
      </c>
      <c r="BA352" s="173" t="str" cm="1">
        <f t="array" ref="BA352">SUBSTITUTE(SUBSTITUTE(_xlfn.SWITCH(AP352, "ITM_T_HOME", "ITM_UP1", "ITM_T_END", "ITM_DOWN1", "DOCU_CHR_sub", "ITM_DOWN_ARROW", "DOCU_CHR_super", "ITM_UP_ARROW", "MNU_TAMALPHA", "ITM_alpha", "DOCU_CHR_caseFLIP", "ITM_NULL", "DOCU_CHR_numSET", "ITM_NULL", "DOCU_ITM_RADIX", "ITM_PERIOD", AP352), ".lo", ),"MNU_", "-MNU_")</f>
        <v>ITM_1</v>
      </c>
      <c r="BB352" s="157" t="str" cm="1">
        <f t="array" ref="BB352">SUBSTITUTE(SUBSTITUTE(_xlfn.SWITCH(AQ352, "ITM_T_HOME", "ITM_UP1", "ITM_T_END", "ITM_DOWN1", "DOCU_CHR_sub", "ITM_DOWN_ARROW", "DOCU_CHR_super", "ITM_UP_ARROW", "MNU_TAMALPHA", "ITM_alpha", "DOCU_CHR_caseFLIP", "ITM_NULL", "DOCU_CHR_numSET", "ITM_NULL", "DOCU_ITM_RADIX", "ITM_PERIOD", AQ352), ".lo", ),"MNU_", "-MNU_")</f>
        <v>ITM_X</v>
      </c>
      <c r="BC352" s="157" t="str" cm="1">
        <f t="array" ref="BC352">SUBSTITUTE(SUBSTITUTE(_xlfn.SWITCH(AR352, "ITM_T_HOME", "ITM_UP1", "ITM_T_END", "ITM_DOWN1", "DOCU_CHR_sub", "ITM_DOWN_ARROW", "DOCU_CHR_super", "ITM_UP_ARROW", "MNU_TAMALPHA", "ITM_alpha", "DOCU_CHR_caseFLIP", "ITM_NULL", "DOCU_CHR_numSET", "ITM_NULL", "DOCU_ITM_RADIX", "ITM_PERIOD", AR352), ".lo", ),"MNU_", "-MNU_")</f>
        <v>ITM_x</v>
      </c>
      <c r="BD352" s="157" t="str" cm="1">
        <f t="array" ref="BD352">SUBSTITUTE(SUBSTITUTE(_xlfn.SWITCH(AS352, "ITM_T_HOME", "ITM_UP1", "ITM_T_END", "ITM_DOWN1", "DOCU_CHR_sub", "ITM_DOWN_ARROW", "DOCU_CHR_super", "ITM_UP_ARROW", "MNU_TAMALPHA", "ITM_alpha", "DOCU_CHR_caseFLIP", "ITM_NULL", "DOCU_CHR_numSET", "ITM_NULL", "DOCU_ITM_RADIX", "ITM_PERIOD", AS352), ".lo", ),"MNU_", "-MNU_")</f>
        <v>ITM_1</v>
      </c>
      <c r="BE352" s="157" t="str" cm="1">
        <f t="array" ref="BE352">SUBSTITUTE(SUBSTITUTE(_xlfn.SWITCH(AT352, "ITM_T_HOME", "ITM_UP1", "ITM_T_END", "ITM_DOWN1", "DOCU_CHR_sub", "ITM_DOWN_ARROW", "DOCU_CHR_super", "ITM_UP_ARROW", "MNU_TAMALPHA", "ITM_alpha", "DOCU_CHR_caseFLIP", "ITM_NULL", "DOCU_CHR_numSET", "ITM_NULL", "DOCU_ITM_RADIX", "ITM_PERIOD", AT352), ".lo", ),"MNU_", "-MNU_")</f>
        <v>ITM_1</v>
      </c>
      <c r="BG352" s="75"/>
      <c r="BI352" s="13" t="str">
        <f t="shared" si="123"/>
        <v xml:space="preserve">  {72,                  ITM_1,                ITM_ASSIGN,           -MNU_KEYS,            ITM_1,                ITM_X,                ITM_x,                ITM_1,                ITM_1               },</v>
      </c>
    </row>
    <row r="353" spans="24:65" ht="21" x14ac:dyDescent="0.2">
      <c r="X353" s="127" t="str">
        <f t="shared" si="114"/>
        <v>DM42</v>
      </c>
      <c r="Y353" s="109">
        <v>7</v>
      </c>
      <c r="Z353" s="109">
        <v>3</v>
      </c>
      <c r="AA353" s="112" t="str">
        <f t="shared" si="113"/>
        <v>DM42.73</v>
      </c>
      <c r="AB353" s="117">
        <v>2</v>
      </c>
      <c r="AC353" s="118" t="s">
        <v>227</v>
      </c>
      <c r="AD353" s="119" t="s">
        <v>645</v>
      </c>
      <c r="AE353" s="3"/>
      <c r="AF353" s="49" t="s">
        <v>228</v>
      </c>
      <c r="AG353" s="77" t="b">
        <f t="shared" si="124"/>
        <v>1</v>
      </c>
      <c r="AH353" s="83" t="str">
        <f t="shared" si="115"/>
        <v>y</v>
      </c>
      <c r="AI353" s="84">
        <f t="shared" si="116"/>
        <v>2</v>
      </c>
      <c r="AJ353" s="85">
        <f t="shared" si="117"/>
        <v>2</v>
      </c>
      <c r="AK353" s="6"/>
      <c r="AL353" s="8" t="str">
        <f t="shared" si="118"/>
        <v>{73</v>
      </c>
      <c r="AM353" s="27" t="str">
        <f t="shared" si="119"/>
        <v>ITM_2</v>
      </c>
      <c r="AN353" s="27" t="str">
        <f t="shared" si="120"/>
        <v>ITM_USERMODE</v>
      </c>
      <c r="AO353" s="27" t="str">
        <f t="shared" si="121"/>
        <v>MNU_ALPHAFN</v>
      </c>
      <c r="AP353" s="46" t="str">
        <f>IF(NOT(ISNA(MATCH(AM353,Lookups!E:E,))),VLOOKUP(AM353,Lookups!E:F,2,0),
IF(NOT(ISNA(MATCH(AN353,Lookups!E:E,))),VLOOKUP(AN353,Lookups!E:F,2,0),
IF(NOT(ISNA(MATCH(AO353,Lookups!E:E,))),VLOOKUP(AO353,Lookups!E:F,2,0),"ITM_NULL")))</f>
        <v>ITM_2</v>
      </c>
      <c r="AQ353" s="28" t="str">
        <f t="shared" si="128"/>
        <v>ITM_Y</v>
      </c>
      <c r="AR353" s="195" t="s">
        <v>229</v>
      </c>
      <c r="AS353" s="186" t="s">
        <v>230</v>
      </c>
      <c r="AT353" s="197" t="s">
        <v>230</v>
      </c>
      <c r="AW353" s="14" t="str">
        <f t="shared" si="125"/>
        <v>{73</v>
      </c>
      <c r="AX353" s="157" t="str" cm="1">
        <f t="array" ref="AX353">SUBSTITUTE(SUBSTITUTE(_xlfn.SWITCH(AM353, "ITM_T_HOME", "ITM_UP1", "ITM_T_END", "ITM_DOWN1", "DOCU_CHR_sub", "ITM_DOWN_ARROW", "DOCU_CHR_super", "ITM_UP_ARROW", "MNU_TAMALPHA", "ITM_alpha", "DOCU_CHR_caseFLIP", "ITM_NULL", "DOCU_CHR_numSET", "ITM_NULL", "DOCU_ITM_RADIX", "ITM_PERIOD", AM353), ".lo", ),"MNU_", "-MNU_")</f>
        <v>ITM_2</v>
      </c>
      <c r="AY353" s="157" t="str" cm="1">
        <f t="array" ref="AY353">SUBSTITUTE(SUBSTITUTE(_xlfn.SWITCH(AN353, "ITM_T_HOME", "ITM_UP1", "ITM_T_END", "ITM_DOWN1", "DOCU_CHR_sub", "ITM_DOWN_ARROW", "DOCU_CHR_super", "ITM_UP_ARROW", "MNU_TAMALPHA", "ITM_alpha", "DOCU_CHR_caseFLIP", "ITM_NULL", "DOCU_CHR_numSET", "ITM_NULL", "DOCU_ITM_RADIX", "ITM_PERIOD", AN353), ".lo", ),"MNU_", "-MNU_")</f>
        <v>ITM_USERMODE</v>
      </c>
      <c r="AZ353" s="157" t="str" cm="1">
        <f t="array" ref="AZ353">SUBSTITUTE(SUBSTITUTE(_xlfn.SWITCH(AO353, "ITM_T_HOME", "ITM_UP1", "ITM_T_END", "ITM_DOWN1", "DOCU_CHR_sub", "ITM_DOWN_ARROW", "DOCU_CHR_super", "ITM_UP_ARROW", "MNU_TAMALPHA", "ITM_alpha", "DOCU_CHR_caseFLIP", "ITM_NULL", "DOCU_CHR_numSET", "ITM_NULL", "DOCU_ITM_RADIX", "ITM_PERIOD", AO353), ".lo", ),"MNU_", "-MNU_")</f>
        <v>-MNU_ALPHAFN</v>
      </c>
      <c r="BA353" s="173" t="str" cm="1">
        <f t="array" ref="BA353">SUBSTITUTE(SUBSTITUTE(_xlfn.SWITCH(AP353, "ITM_T_HOME", "ITM_UP1", "ITM_T_END", "ITM_DOWN1", "DOCU_CHR_sub", "ITM_DOWN_ARROW", "DOCU_CHR_super", "ITM_UP_ARROW", "MNU_TAMALPHA", "ITM_alpha", "DOCU_CHR_caseFLIP", "ITM_NULL", "DOCU_CHR_numSET", "ITM_NULL", "DOCU_ITM_RADIX", "ITM_PERIOD", AP353), ".lo", ),"MNU_", "-MNU_")</f>
        <v>ITM_2</v>
      </c>
      <c r="BB353" s="157" t="str" cm="1">
        <f t="array" ref="BB353">SUBSTITUTE(SUBSTITUTE(_xlfn.SWITCH(AQ353, "ITM_T_HOME", "ITM_UP1", "ITM_T_END", "ITM_DOWN1", "DOCU_CHR_sub", "ITM_DOWN_ARROW", "DOCU_CHR_super", "ITM_UP_ARROW", "MNU_TAMALPHA", "ITM_alpha", "DOCU_CHR_caseFLIP", "ITM_NULL", "DOCU_CHR_numSET", "ITM_NULL", "DOCU_ITM_RADIX", "ITM_PERIOD", AQ353), ".lo", ),"MNU_", "-MNU_")</f>
        <v>ITM_Y</v>
      </c>
      <c r="BC353" s="157" t="str" cm="1">
        <f t="array" ref="BC353">SUBSTITUTE(SUBSTITUTE(_xlfn.SWITCH(AR353, "ITM_T_HOME", "ITM_UP1", "ITM_T_END", "ITM_DOWN1", "DOCU_CHR_sub", "ITM_DOWN_ARROW", "DOCU_CHR_super", "ITM_UP_ARROW", "MNU_TAMALPHA", "ITM_alpha", "DOCU_CHR_caseFLIP", "ITM_NULL", "DOCU_CHR_numSET", "ITM_NULL", "DOCU_ITM_RADIX", "ITM_PERIOD", AR353), ".lo", ),"MNU_", "-MNU_")</f>
        <v>ITM_y</v>
      </c>
      <c r="BD353" s="157" t="str" cm="1">
        <f t="array" ref="BD353">SUBSTITUTE(SUBSTITUTE(_xlfn.SWITCH(AS353, "ITM_T_HOME", "ITM_UP1", "ITM_T_END", "ITM_DOWN1", "DOCU_CHR_sub", "ITM_DOWN_ARROW", "DOCU_CHR_super", "ITM_UP_ARROW", "MNU_TAMALPHA", "ITM_alpha", "DOCU_CHR_caseFLIP", "ITM_NULL", "DOCU_CHR_numSET", "ITM_NULL", "DOCU_ITM_RADIX", "ITM_PERIOD", AS353), ".lo", ),"MNU_", "-MNU_")</f>
        <v>ITM_2</v>
      </c>
      <c r="BE353" s="157" t="str" cm="1">
        <f t="array" ref="BE353">SUBSTITUTE(SUBSTITUTE(_xlfn.SWITCH(AT353, "ITM_T_HOME", "ITM_UP1", "ITM_T_END", "ITM_DOWN1", "DOCU_CHR_sub", "ITM_DOWN_ARROW", "DOCU_CHR_super", "ITM_UP_ARROW", "MNU_TAMALPHA", "ITM_alpha", "DOCU_CHR_caseFLIP", "ITM_NULL", "DOCU_CHR_numSET", "ITM_NULL", "DOCU_ITM_RADIX", "ITM_PERIOD", AT353), ".lo", ),"MNU_", "-MNU_")</f>
        <v>ITM_2</v>
      </c>
      <c r="BG353" s="75"/>
      <c r="BI353" s="13" t="str">
        <f t="shared" si="123"/>
        <v xml:space="preserve">  {73,                  ITM_2,                ITM_USERMODE,         -MNU_ALPHAFN,         ITM_2,                ITM_Y,                ITM_y,                ITM_2,                ITM_2               },</v>
      </c>
    </row>
    <row r="354" spans="24:65" ht="21" x14ac:dyDescent="0.2">
      <c r="X354" s="127" t="str">
        <f t="shared" si="114"/>
        <v>DM42</v>
      </c>
      <c r="Y354" s="109">
        <v>7</v>
      </c>
      <c r="Z354" s="109">
        <v>4</v>
      </c>
      <c r="AA354" s="112" t="str">
        <f t="shared" si="113"/>
        <v>DM42.74</v>
      </c>
      <c r="AB354" s="117">
        <v>3</v>
      </c>
      <c r="AC354" s="118" t="s">
        <v>231</v>
      </c>
      <c r="AD354" s="119" t="s">
        <v>232</v>
      </c>
      <c r="AE354" s="3"/>
      <c r="AF354" s="49" t="s">
        <v>233</v>
      </c>
      <c r="AG354" s="77" t="b">
        <f t="shared" si="124"/>
        <v>1</v>
      </c>
      <c r="AH354" s="83" t="str">
        <f t="shared" si="115"/>
        <v>z</v>
      </c>
      <c r="AI354" s="84">
        <f t="shared" si="116"/>
        <v>3</v>
      </c>
      <c r="AJ354" s="85">
        <f t="shared" si="117"/>
        <v>3</v>
      </c>
      <c r="AK354" s="6"/>
      <c r="AL354" s="8" t="str">
        <f t="shared" si="118"/>
        <v>{74</v>
      </c>
      <c r="AM354" s="27" t="str">
        <f t="shared" si="119"/>
        <v>ITM_3</v>
      </c>
      <c r="AN354" s="27" t="str">
        <f t="shared" si="120"/>
        <v>MNU_PFN</v>
      </c>
      <c r="AO354" s="27" t="str">
        <f t="shared" si="121"/>
        <v>MNU_LOOP</v>
      </c>
      <c r="AP354" s="46" t="str">
        <f>IF(NOT(ISNA(MATCH(AM354,Lookups!E:E,))),VLOOKUP(AM354,Lookups!E:F,2,0),
IF(NOT(ISNA(MATCH(AN354,Lookups!E:E,))),VLOOKUP(AN354,Lookups!E:F,2,0),
IF(NOT(ISNA(MATCH(AO354,Lookups!E:E,))),VLOOKUP(AO354,Lookups!E:F,2,0),"ITM_NULL")))</f>
        <v>ITM_3</v>
      </c>
      <c r="AQ354" s="28" t="str">
        <f t="shared" si="128"/>
        <v>ITM_Z</v>
      </c>
      <c r="AR354" s="195" t="s">
        <v>234</v>
      </c>
      <c r="AS354" s="186" t="s">
        <v>235</v>
      </c>
      <c r="AT354" s="197" t="s">
        <v>235</v>
      </c>
      <c r="AW354" s="14" t="str">
        <f t="shared" si="125"/>
        <v>{74</v>
      </c>
      <c r="AX354" s="157" t="str" cm="1">
        <f t="array" ref="AX354">SUBSTITUTE(SUBSTITUTE(_xlfn.SWITCH(AM354, "ITM_T_HOME", "ITM_UP1", "ITM_T_END", "ITM_DOWN1", "DOCU_CHR_sub", "ITM_DOWN_ARROW", "DOCU_CHR_super", "ITM_UP_ARROW", "MNU_TAMALPHA", "ITM_alpha", "DOCU_CHR_caseFLIP", "ITM_NULL", "DOCU_CHR_numSET", "ITM_NULL", "DOCU_ITM_RADIX", "ITM_PERIOD", AM354), ".lo", ),"MNU_", "-MNU_")</f>
        <v>ITM_3</v>
      </c>
      <c r="AY354" s="157" t="str" cm="1">
        <f t="array" ref="AY354">SUBSTITUTE(SUBSTITUTE(_xlfn.SWITCH(AN354, "ITM_T_HOME", "ITM_UP1", "ITM_T_END", "ITM_DOWN1", "DOCU_CHR_sub", "ITM_DOWN_ARROW", "DOCU_CHR_super", "ITM_UP_ARROW", "MNU_TAMALPHA", "ITM_alpha", "DOCU_CHR_caseFLIP", "ITM_NULL", "DOCU_CHR_numSET", "ITM_NULL", "DOCU_ITM_RADIX", "ITM_PERIOD", AN354), ".lo", ),"MNU_", "-MNU_")</f>
        <v>-MNU_PFN</v>
      </c>
      <c r="AZ354" s="157" t="str" cm="1">
        <f t="array" ref="AZ354">SUBSTITUTE(SUBSTITUTE(_xlfn.SWITCH(AO354, "ITM_T_HOME", "ITM_UP1", "ITM_T_END", "ITM_DOWN1", "DOCU_CHR_sub", "ITM_DOWN_ARROW", "DOCU_CHR_super", "ITM_UP_ARROW", "MNU_TAMALPHA", "ITM_alpha", "DOCU_CHR_caseFLIP", "ITM_NULL", "DOCU_CHR_numSET", "ITM_NULL", "DOCU_ITM_RADIX", "ITM_PERIOD", AO354), ".lo", ),"MNU_", "-MNU_")</f>
        <v>-MNU_LOOP</v>
      </c>
      <c r="BA354" s="173" t="str" cm="1">
        <f t="array" ref="BA354">SUBSTITUTE(SUBSTITUTE(_xlfn.SWITCH(AP354, "ITM_T_HOME", "ITM_UP1", "ITM_T_END", "ITM_DOWN1", "DOCU_CHR_sub", "ITM_DOWN_ARROW", "DOCU_CHR_super", "ITM_UP_ARROW", "MNU_TAMALPHA", "ITM_alpha", "DOCU_CHR_caseFLIP", "ITM_NULL", "DOCU_CHR_numSET", "ITM_NULL", "DOCU_ITM_RADIX", "ITM_PERIOD", AP354), ".lo", ),"MNU_", "-MNU_")</f>
        <v>ITM_3</v>
      </c>
      <c r="BB354" s="157" t="str" cm="1">
        <f t="array" ref="BB354">SUBSTITUTE(SUBSTITUTE(_xlfn.SWITCH(AQ354, "ITM_T_HOME", "ITM_UP1", "ITM_T_END", "ITM_DOWN1", "DOCU_CHR_sub", "ITM_DOWN_ARROW", "DOCU_CHR_super", "ITM_UP_ARROW", "MNU_TAMALPHA", "ITM_alpha", "DOCU_CHR_caseFLIP", "ITM_NULL", "DOCU_CHR_numSET", "ITM_NULL", "DOCU_ITM_RADIX", "ITM_PERIOD", AQ354), ".lo", ),"MNU_", "-MNU_")</f>
        <v>ITM_Z</v>
      </c>
      <c r="BC354" s="157" t="str" cm="1">
        <f t="array" ref="BC354">SUBSTITUTE(SUBSTITUTE(_xlfn.SWITCH(AR354, "ITM_T_HOME", "ITM_UP1", "ITM_T_END", "ITM_DOWN1", "DOCU_CHR_sub", "ITM_DOWN_ARROW", "DOCU_CHR_super", "ITM_UP_ARROW", "MNU_TAMALPHA", "ITM_alpha", "DOCU_CHR_caseFLIP", "ITM_NULL", "DOCU_CHR_numSET", "ITM_NULL", "DOCU_ITM_RADIX", "ITM_PERIOD", AR354), ".lo", ),"MNU_", "-MNU_")</f>
        <v>ITM_z</v>
      </c>
      <c r="BD354" s="157" t="str" cm="1">
        <f t="array" ref="BD354">SUBSTITUTE(SUBSTITUTE(_xlfn.SWITCH(AS354, "ITM_T_HOME", "ITM_UP1", "ITM_T_END", "ITM_DOWN1", "DOCU_CHR_sub", "ITM_DOWN_ARROW", "DOCU_CHR_super", "ITM_UP_ARROW", "MNU_TAMALPHA", "ITM_alpha", "DOCU_CHR_caseFLIP", "ITM_NULL", "DOCU_CHR_numSET", "ITM_NULL", "DOCU_ITM_RADIX", "ITM_PERIOD", AS354), ".lo", ),"MNU_", "-MNU_")</f>
        <v>ITM_3</v>
      </c>
      <c r="BE354" s="157" t="str" cm="1">
        <f t="array" ref="BE354">SUBSTITUTE(SUBSTITUTE(_xlfn.SWITCH(AT354, "ITM_T_HOME", "ITM_UP1", "ITM_T_END", "ITM_DOWN1", "DOCU_CHR_sub", "ITM_DOWN_ARROW", "DOCU_CHR_super", "ITM_UP_ARROW", "MNU_TAMALPHA", "ITM_alpha", "DOCU_CHR_caseFLIP", "ITM_NULL", "DOCU_CHR_numSET", "ITM_NULL", "DOCU_ITM_RADIX", "ITM_PERIOD", AT354), ".lo", ),"MNU_", "-MNU_")</f>
        <v>ITM_3</v>
      </c>
      <c r="BG354" s="75"/>
      <c r="BI354" s="13" t="str">
        <f t="shared" si="123"/>
        <v xml:space="preserve">  {74,                  ITM_3,                -MNU_PFN,             -MNU_LOOP,            ITM_3,                ITM_Z,                ITM_z,                ITM_3,                ITM_3               },</v>
      </c>
    </row>
    <row r="355" spans="24:65" ht="21" x14ac:dyDescent="0.2">
      <c r="X355" s="127" t="str">
        <f t="shared" si="114"/>
        <v>DM42</v>
      </c>
      <c r="Y355" s="109">
        <v>7</v>
      </c>
      <c r="Z355" s="109">
        <v>5</v>
      </c>
      <c r="AA355" s="112" t="str">
        <f t="shared" si="113"/>
        <v>DM42.75</v>
      </c>
      <c r="AB355" s="117" t="s">
        <v>236</v>
      </c>
      <c r="AC355" s="118" t="s">
        <v>237</v>
      </c>
      <c r="AD355" s="119" t="s">
        <v>238</v>
      </c>
      <c r="AE355" s="3"/>
      <c r="AF355" s="49" t="s">
        <v>239</v>
      </c>
      <c r="AG355" s="77" t="b">
        <f t="shared" si="124"/>
        <v>0</v>
      </c>
      <c r="AH355" s="83" t="str">
        <f t="shared" si="115"/>
        <v>-</v>
      </c>
      <c r="AI355" s="84" t="str">
        <f t="shared" si="116"/>
        <v>-</v>
      </c>
      <c r="AJ355" s="85" t="str">
        <f t="shared" si="117"/>
        <v>-</v>
      </c>
      <c r="AK355" s="6"/>
      <c r="AL355" s="8" t="str">
        <f t="shared" si="118"/>
        <v>{75</v>
      </c>
      <c r="AM355" s="27" t="str">
        <f t="shared" si="119"/>
        <v>ITM_SUB</v>
      </c>
      <c r="AN355" s="27" t="str">
        <f t="shared" si="120"/>
        <v>MNU_PRINT</v>
      </c>
      <c r="AO355" s="27" t="str">
        <f t="shared" si="121"/>
        <v>MNU_IO</v>
      </c>
      <c r="AP355" s="46" t="str">
        <f>IF(NOT(ISNA(MATCH(AM355,Lookups!E:E,))),VLOOKUP(AM355,Lookups!E:F,2,0),
IF(NOT(ISNA(MATCH(AN355,Lookups!E:E,))),VLOOKUP(AN355,Lookups!E:F,2,0),
IF(NOT(ISNA(MATCH(AO355,Lookups!E:E,))),VLOOKUP(AO355,Lookups!E:F,2,0),"ITM_NULL")))</f>
        <v>ITM_MINUS</v>
      </c>
      <c r="AQ355" s="28" t="str">
        <f t="shared" si="128"/>
        <v>ITM_UNDERSCORE</v>
      </c>
      <c r="AR355" s="198" t="s">
        <v>240</v>
      </c>
      <c r="AS355" s="186" t="s">
        <v>240</v>
      </c>
      <c r="AT355" s="197" t="s">
        <v>241</v>
      </c>
      <c r="AW355" s="14" t="str">
        <f t="shared" si="125"/>
        <v>{75</v>
      </c>
      <c r="AX355" s="157" t="str" cm="1">
        <f t="array" ref="AX355">SUBSTITUTE(SUBSTITUTE(_xlfn.SWITCH(AM355, "ITM_T_HOME", "ITM_UP1", "ITM_T_END", "ITM_DOWN1", "DOCU_CHR_sub", "ITM_DOWN_ARROW", "DOCU_CHR_super", "ITM_UP_ARROW", "MNU_TAMALPHA", "ITM_alpha", "DOCU_CHR_caseFLIP", "ITM_NULL", "DOCU_CHR_numSET", "ITM_NULL", "DOCU_ITM_RADIX", "ITM_PERIOD", AM355), ".lo", ),"MNU_", "-MNU_")</f>
        <v>ITM_SUB</v>
      </c>
      <c r="AY355" s="157" t="str" cm="1">
        <f t="array" ref="AY355">SUBSTITUTE(SUBSTITUTE(_xlfn.SWITCH(AN355, "ITM_T_HOME", "ITM_UP1", "ITM_T_END", "ITM_DOWN1", "DOCU_CHR_sub", "ITM_DOWN_ARROW", "DOCU_CHR_super", "ITM_UP_ARROW", "MNU_TAMALPHA", "ITM_alpha", "DOCU_CHR_caseFLIP", "ITM_NULL", "DOCU_CHR_numSET", "ITM_NULL", "DOCU_ITM_RADIX", "ITM_PERIOD", AN355), ".lo", ),"MNU_", "-MNU_")</f>
        <v>-MNU_PRINT</v>
      </c>
      <c r="AZ355" s="157" t="str" cm="1">
        <f t="array" ref="AZ355">SUBSTITUTE(SUBSTITUTE(_xlfn.SWITCH(AO355, "ITM_T_HOME", "ITM_UP1", "ITM_T_END", "ITM_DOWN1", "DOCU_CHR_sub", "ITM_DOWN_ARROW", "DOCU_CHR_super", "ITM_UP_ARROW", "MNU_TAMALPHA", "ITM_alpha", "DOCU_CHR_caseFLIP", "ITM_NULL", "DOCU_CHR_numSET", "ITM_NULL", "DOCU_ITM_RADIX", "ITM_PERIOD", AO355), ".lo", ),"MNU_", "-MNU_")</f>
        <v>-MNU_IO</v>
      </c>
      <c r="BA355" s="173" t="str" cm="1">
        <f t="array" ref="BA355">SUBSTITUTE(SUBSTITUTE(_xlfn.SWITCH(AP355, "ITM_T_HOME", "ITM_UP1", "ITM_T_END", "ITM_DOWN1", "DOCU_CHR_sub", "ITM_DOWN_ARROW", "DOCU_CHR_super", "ITM_UP_ARROW", "MNU_TAMALPHA", "ITM_alpha", "DOCU_CHR_caseFLIP", "ITM_NULL", "DOCU_CHR_numSET", "ITM_NULL", "DOCU_ITM_RADIX", "ITM_PERIOD", AP355), ".lo", ),"MNU_", "-MNU_")</f>
        <v>ITM_MINUS</v>
      </c>
      <c r="BB355" s="157" t="str" cm="1">
        <f t="array" ref="BB355">SUBSTITUTE(SUBSTITUTE(_xlfn.SWITCH(AQ355, "ITM_T_HOME", "ITM_UP1", "ITM_T_END", "ITM_DOWN1", "DOCU_CHR_sub", "ITM_DOWN_ARROW", "DOCU_CHR_super", "ITM_UP_ARROW", "MNU_TAMALPHA", "ITM_alpha", "DOCU_CHR_caseFLIP", "ITM_NULL", "DOCU_CHR_numSET", "ITM_NULL", "DOCU_ITM_RADIX", "ITM_PERIOD", AQ355), ".lo", ),"MNU_", "-MNU_")</f>
        <v>ITM_UNDERSCORE</v>
      </c>
      <c r="BC355" s="157" t="str" cm="1">
        <f t="array" ref="BC355">SUBSTITUTE(SUBSTITUTE(_xlfn.SWITCH(AR355, "ITM_T_HOME", "ITM_UP1", "ITM_T_END", "ITM_DOWN1", "DOCU_CHR_sub", "ITM_DOWN_ARROW", "DOCU_CHR_super", "ITM_UP_ARROW", "MNU_TAMALPHA", "ITM_alpha", "DOCU_CHR_caseFLIP", "ITM_NULL", "DOCU_CHR_numSET", "ITM_NULL", "DOCU_ITM_RADIX", "ITM_PERIOD", AR355), ".lo", ),"MNU_", "-MNU_")</f>
        <v>ITM_MINUS</v>
      </c>
      <c r="BD355" s="157" t="str" cm="1">
        <f t="array" ref="BD355">SUBSTITUTE(SUBSTITUTE(_xlfn.SWITCH(AS355, "ITM_T_HOME", "ITM_UP1", "ITM_T_END", "ITM_DOWN1", "DOCU_CHR_sub", "ITM_DOWN_ARROW", "DOCU_CHR_super", "ITM_UP_ARROW", "MNU_TAMALPHA", "ITM_alpha", "DOCU_CHR_caseFLIP", "ITM_NULL", "DOCU_CHR_numSET", "ITM_NULL", "DOCU_ITM_RADIX", "ITM_PERIOD", AS355), ".lo", ),"MNU_", "-MNU_")</f>
        <v>ITM_MINUS</v>
      </c>
      <c r="BE355" s="157" t="str" cm="1">
        <f t="array" ref="BE355">SUBSTITUTE(SUBSTITUTE(_xlfn.SWITCH(AT355, "ITM_T_HOME", "ITM_UP1", "ITM_T_END", "ITM_DOWN1", "DOCU_CHR_sub", "ITM_DOWN_ARROW", "DOCU_CHR_super", "ITM_UP_ARROW", "MNU_TAMALPHA", "ITM_alpha", "DOCU_CHR_caseFLIP", "ITM_NULL", "DOCU_CHR_numSET", "ITM_NULL", "DOCU_ITM_RADIX", "ITM_PERIOD", AT355), ".lo", ),"MNU_", "-MNU_")</f>
        <v>ITM_SUB</v>
      </c>
      <c r="BG355" s="75"/>
      <c r="BI355" s="13" t="str">
        <f t="shared" si="123"/>
        <v xml:space="preserve">  {75,                  ITM_SUB,              -MNU_PRINT,           -MNU_IO,              ITM_MINUS,            ITM_UNDERSCORE,       ITM_MINUS,            ITM_MINUS,            ITM_SUB             },</v>
      </c>
    </row>
    <row r="356" spans="24:65" ht="21" x14ac:dyDescent="0.2">
      <c r="X356" s="127" t="str">
        <f t="shared" si="114"/>
        <v>DM42</v>
      </c>
      <c r="Y356" s="106">
        <v>8</v>
      </c>
      <c r="Z356" s="106">
        <v>1</v>
      </c>
      <c r="AA356" s="112" t="str">
        <f t="shared" si="113"/>
        <v>DM42.81</v>
      </c>
      <c r="AB356" s="117" t="s">
        <v>242</v>
      </c>
      <c r="AC356" s="118" t="s">
        <v>243</v>
      </c>
      <c r="AD356" s="119" t="s">
        <v>244</v>
      </c>
      <c r="AE356" s="3"/>
      <c r="AF356" s="49" t="s">
        <v>242</v>
      </c>
      <c r="AG356" s="77" t="b">
        <f t="shared" si="124"/>
        <v>0</v>
      </c>
      <c r="AH356" s="83" t="str">
        <f t="shared" si="115"/>
        <v>OFF</v>
      </c>
      <c r="AI356" s="84" t="str">
        <f t="shared" si="116"/>
        <v>SNAP</v>
      </c>
      <c r="AJ356" s="85" t="str">
        <f t="shared" si="117"/>
        <v>EXIT</v>
      </c>
      <c r="AK356" s="6"/>
      <c r="AL356" s="8" t="str">
        <f t="shared" si="118"/>
        <v>{81</v>
      </c>
      <c r="AM356" s="27" t="str">
        <f t="shared" si="119"/>
        <v>ITM_EXIT1</v>
      </c>
      <c r="AN356" s="27" t="str">
        <f t="shared" si="120"/>
        <v>ITM_OFF</v>
      </c>
      <c r="AO356" s="27" t="str">
        <f t="shared" si="121"/>
        <v>ITM_SNAP</v>
      </c>
      <c r="AP356" s="46" t="str">
        <f>IF(NOT(ISNA(MATCH(AM356,Lookups!E:E,))),VLOOKUP(AM356,Lookups!E:F,2,0),
IF(NOT(ISNA(MATCH(AN356,Lookups!E:E,))),VLOOKUP(AN356,Lookups!E:F,2,0),
IF(NOT(ISNA(MATCH(AO356,Lookups!E:E,))),VLOOKUP(AO356,Lookups!E:F,2,0),"ITM_NULL")))</f>
        <v>ITM_EXIT1</v>
      </c>
      <c r="AQ356" s="28" t="str">
        <f t="shared" si="128"/>
        <v>ITM_EXIT1</v>
      </c>
      <c r="AR356" s="198" t="s">
        <v>245</v>
      </c>
      <c r="AS356" s="186" t="s">
        <v>246</v>
      </c>
      <c r="AT356" s="197" t="s">
        <v>247</v>
      </c>
      <c r="AW356" s="14" t="str">
        <f t="shared" si="125"/>
        <v>{81</v>
      </c>
      <c r="AX356" s="157" t="str" cm="1">
        <f t="array" ref="AX356">SUBSTITUTE(SUBSTITUTE(_xlfn.SWITCH(AM356, "ITM_T_HOME", "ITM_UP1", "ITM_T_END", "ITM_DOWN1", "DOCU_CHR_sub", "ITM_DOWN_ARROW", "DOCU_CHR_super", "ITM_UP_ARROW", "MNU_TAMALPHA", "ITM_alpha", "DOCU_CHR_caseFLIP", "ITM_NULL", "DOCU_CHR_numSET", "ITM_NULL", "DOCU_ITM_RADIX", "ITM_PERIOD", AM356), ".lo", ),"MNU_", "-MNU_")</f>
        <v>ITM_EXIT1</v>
      </c>
      <c r="AY356" s="157" t="str" cm="1">
        <f t="array" ref="AY356">SUBSTITUTE(SUBSTITUTE(_xlfn.SWITCH(AN356, "ITM_T_HOME", "ITM_UP1", "ITM_T_END", "ITM_DOWN1", "DOCU_CHR_sub", "ITM_DOWN_ARROW", "DOCU_CHR_super", "ITM_UP_ARROW", "MNU_TAMALPHA", "ITM_alpha", "DOCU_CHR_caseFLIP", "ITM_NULL", "DOCU_CHR_numSET", "ITM_NULL", "DOCU_ITM_RADIX", "ITM_PERIOD", AN356), ".lo", ),"MNU_", "-MNU_")</f>
        <v>ITM_OFF</v>
      </c>
      <c r="AZ356" s="157" t="str" cm="1">
        <f t="array" ref="AZ356">SUBSTITUTE(SUBSTITUTE(_xlfn.SWITCH(AO356, "ITM_T_HOME", "ITM_UP1", "ITM_T_END", "ITM_DOWN1", "DOCU_CHR_sub", "ITM_DOWN_ARROW", "DOCU_CHR_super", "ITM_UP_ARROW", "MNU_TAMALPHA", "ITM_alpha", "DOCU_CHR_caseFLIP", "ITM_NULL", "DOCU_CHR_numSET", "ITM_NULL", "DOCU_ITM_RADIX", "ITM_PERIOD", AO356), ".lo", ),"MNU_", "-MNU_")</f>
        <v>ITM_SNAP</v>
      </c>
      <c r="BA356" s="173" t="str" cm="1">
        <f t="array" ref="BA356">SUBSTITUTE(SUBSTITUTE(_xlfn.SWITCH(AP356, "ITM_T_HOME", "ITM_UP1", "ITM_T_END", "ITM_DOWN1", "DOCU_CHR_sub", "ITM_DOWN_ARROW", "DOCU_CHR_super", "ITM_UP_ARROW", "MNU_TAMALPHA", "ITM_alpha", "DOCU_CHR_caseFLIP", "ITM_NULL", "DOCU_CHR_numSET", "ITM_NULL", "DOCU_ITM_RADIX", "ITM_PERIOD", AP356), ".lo", ),"MNU_", "-MNU_")</f>
        <v>ITM_EXIT1</v>
      </c>
      <c r="BB356" s="157" t="str" cm="1">
        <f t="array" ref="BB356">SUBSTITUTE(SUBSTITUTE(_xlfn.SWITCH(AQ356, "ITM_T_HOME", "ITM_UP1", "ITM_T_END", "ITM_DOWN1", "DOCU_CHR_sub", "ITM_DOWN_ARROW", "DOCU_CHR_super", "ITM_UP_ARROW", "MNU_TAMALPHA", "ITM_alpha", "DOCU_CHR_caseFLIP", "ITM_NULL", "DOCU_CHR_numSET", "ITM_NULL", "DOCU_ITM_RADIX", "ITM_PERIOD", AQ356), ".lo", ),"MNU_", "-MNU_")</f>
        <v>ITM_EXIT1</v>
      </c>
      <c r="BC356" s="157" t="str" cm="1">
        <f t="array" ref="BC356">SUBSTITUTE(SUBSTITUTE(_xlfn.SWITCH(AR356, "ITM_T_HOME", "ITM_UP1", "ITM_T_END", "ITM_DOWN1", "DOCU_CHR_sub", "ITM_DOWN_ARROW", "DOCU_CHR_super", "ITM_UP_ARROW", "MNU_TAMALPHA", "ITM_alpha", "DOCU_CHR_caseFLIP", "ITM_NULL", "DOCU_CHR_numSET", "ITM_NULL", "DOCU_ITM_RADIX", "ITM_PERIOD", AR356), ".lo", ),"MNU_", "-MNU_")</f>
        <v>ITM_OFF</v>
      </c>
      <c r="BD356" s="157" t="str" cm="1">
        <f t="array" ref="BD356">SUBSTITUTE(SUBSTITUTE(_xlfn.SWITCH(AS356, "ITM_T_HOME", "ITM_UP1", "ITM_T_END", "ITM_DOWN1", "DOCU_CHR_sub", "ITM_DOWN_ARROW", "DOCU_CHR_super", "ITM_UP_ARROW", "MNU_TAMALPHA", "ITM_alpha", "DOCU_CHR_caseFLIP", "ITM_NULL", "DOCU_CHR_numSET", "ITM_NULL", "DOCU_ITM_RADIX", "ITM_PERIOD", AS356), ".lo", ),"MNU_", "-MNU_")</f>
        <v>ITM_SNAP</v>
      </c>
      <c r="BE356" s="157" t="str" cm="1">
        <f t="array" ref="BE356">SUBSTITUTE(SUBSTITUTE(_xlfn.SWITCH(AT356, "ITM_T_HOME", "ITM_UP1", "ITM_T_END", "ITM_DOWN1", "DOCU_CHR_sub", "ITM_DOWN_ARROW", "DOCU_CHR_super", "ITM_UP_ARROW", "MNU_TAMALPHA", "ITM_alpha", "DOCU_CHR_caseFLIP", "ITM_NULL", "DOCU_CHR_numSET", "ITM_NULL", "DOCU_ITM_RADIX", "ITM_PERIOD", AT356), ".lo", ),"MNU_", "-MNU_")</f>
        <v>ITM_EXIT1</v>
      </c>
      <c r="BG356" s="75"/>
      <c r="BI356" s="13" t="str">
        <f t="shared" si="123"/>
        <v xml:space="preserve">  {81,                  ITM_EXIT1,            ITM_OFF,              ITM_SNAP,             ITM_EXIT1,            ITM_EXIT1,            ITM_OFF,              ITM_SNAP,             ITM_EXIT1           },</v>
      </c>
    </row>
    <row r="357" spans="24:65" ht="21" x14ac:dyDescent="0.2">
      <c r="X357" s="127" t="str">
        <f t="shared" si="114"/>
        <v>DM42</v>
      </c>
      <c r="Y357" s="109">
        <v>8</v>
      </c>
      <c r="Z357" s="109">
        <v>2</v>
      </c>
      <c r="AA357" s="112" t="str">
        <f t="shared" si="113"/>
        <v>DM42.82</v>
      </c>
      <c r="AB357" s="117">
        <v>0</v>
      </c>
      <c r="AC357" s="118" t="s">
        <v>452</v>
      </c>
      <c r="AD357" s="119" t="s">
        <v>249</v>
      </c>
      <c r="AE357" s="3"/>
      <c r="AF357" s="49" t="s">
        <v>250</v>
      </c>
      <c r="AG357" s="77" t="b">
        <f t="shared" si="124"/>
        <v>0</v>
      </c>
      <c r="AH357" s="83" t="str">
        <f t="shared" si="115"/>
        <v>;</v>
      </c>
      <c r="AI357" s="84">
        <f t="shared" si="116"/>
        <v>0</v>
      </c>
      <c r="AJ357" s="85">
        <f t="shared" si="117"/>
        <v>0</v>
      </c>
      <c r="AK357" s="6"/>
      <c r="AL357" s="8" t="str">
        <f t="shared" si="118"/>
        <v>{82</v>
      </c>
      <c r="AM357" s="27" t="str">
        <f t="shared" si="119"/>
        <v>ITM_0</v>
      </c>
      <c r="AN357" s="27" t="str">
        <f t="shared" si="120"/>
        <v>MNU_BLUE_C47</v>
      </c>
      <c r="AO357" s="27" t="str">
        <f t="shared" si="121"/>
        <v>ITM_TIMER</v>
      </c>
      <c r="AP357" s="46" t="str">
        <f>IF(NOT(ISNA(MATCH(AM357,Lookups!E:E,))),VLOOKUP(AM357,Lookups!E:F,2,0),
IF(NOT(ISNA(MATCH(AN357,Lookups!E:E,))),VLOOKUP(AN357,Lookups!E:F,2,0),
IF(NOT(ISNA(MATCH(AO357,Lookups!E:E,))),VLOOKUP(AO357,Lookups!E:F,2,0),"ITM_NULL")))</f>
        <v>ITM_0</v>
      </c>
      <c r="AQ357" s="28" t="str">
        <f t="shared" si="128"/>
        <v>ITM_COLON</v>
      </c>
      <c r="AR357" s="213" t="s">
        <v>251</v>
      </c>
      <c r="AS357" s="186" t="s">
        <v>252</v>
      </c>
      <c r="AT357" s="197" t="s">
        <v>252</v>
      </c>
      <c r="AW357" s="14" t="str">
        <f t="shared" si="125"/>
        <v>{82</v>
      </c>
      <c r="AX357" s="157" t="str" cm="1">
        <f t="array" ref="AX357">SUBSTITUTE(SUBSTITUTE(_xlfn.SWITCH(AM357, "ITM_T_HOME", "ITM_UP1", "ITM_T_END", "ITM_DOWN1", "DOCU_CHR_sub", "ITM_DOWN_ARROW", "DOCU_CHR_super", "ITM_UP_ARROW", "MNU_TAMALPHA", "ITM_alpha", "DOCU_CHR_caseFLIP", "ITM_NULL", "DOCU_CHR_numSET", "ITM_NULL", "DOCU_ITM_RADIX", "ITM_PERIOD", AM357), ".lo", ),"MNU_", "-MNU_")</f>
        <v>ITM_0</v>
      </c>
      <c r="AY357" s="157" t="str" cm="1">
        <f t="array" ref="AY357">SUBSTITUTE(SUBSTITUTE(_xlfn.SWITCH(AN357, "ITM_T_HOME", "ITM_UP1", "ITM_T_END", "ITM_DOWN1", "DOCU_CHR_sub", "ITM_DOWN_ARROW", "DOCU_CHR_super", "ITM_UP_ARROW", "MNU_TAMALPHA", "ITM_alpha", "DOCU_CHR_caseFLIP", "ITM_NULL", "DOCU_CHR_numSET", "ITM_NULL", "DOCU_ITM_RADIX", "ITM_PERIOD", AN357), ".lo", ),"MNU_", "-MNU_")</f>
        <v>-MNU_BLUE_C47</v>
      </c>
      <c r="AZ357" s="157" t="str" cm="1">
        <f t="array" ref="AZ357">SUBSTITUTE(SUBSTITUTE(_xlfn.SWITCH(AO357, "ITM_T_HOME", "ITM_UP1", "ITM_T_END", "ITM_DOWN1", "DOCU_CHR_sub", "ITM_DOWN_ARROW", "DOCU_CHR_super", "ITM_UP_ARROW", "MNU_TAMALPHA", "ITM_alpha", "DOCU_CHR_caseFLIP", "ITM_NULL", "DOCU_CHR_numSET", "ITM_NULL", "DOCU_ITM_RADIX", "ITM_PERIOD", AO357), ".lo", ),"MNU_", "-MNU_")</f>
        <v>ITM_TIMER</v>
      </c>
      <c r="BA357" s="173" t="str" cm="1">
        <f t="array" ref="BA357">SUBSTITUTE(SUBSTITUTE(_xlfn.SWITCH(AP357, "ITM_T_HOME", "ITM_UP1", "ITM_T_END", "ITM_DOWN1", "DOCU_CHR_sub", "ITM_DOWN_ARROW", "DOCU_CHR_super", "ITM_UP_ARROW", "MNU_TAMALPHA", "ITM_alpha", "DOCU_CHR_caseFLIP", "ITM_NULL", "DOCU_CHR_numSET", "ITM_NULL", "DOCU_ITM_RADIX", "ITM_PERIOD", AP357), ".lo", ),"MNU_", "-MNU_")</f>
        <v>ITM_0</v>
      </c>
      <c r="BB357" s="157" t="str" cm="1">
        <f t="array" ref="BB357">SUBSTITUTE(SUBSTITUTE(_xlfn.SWITCH(AQ357, "ITM_T_HOME", "ITM_UP1", "ITM_T_END", "ITM_DOWN1", "DOCU_CHR_sub", "ITM_DOWN_ARROW", "DOCU_CHR_super", "ITM_UP_ARROW", "MNU_TAMALPHA", "ITM_alpha", "DOCU_CHR_caseFLIP", "ITM_NULL", "DOCU_CHR_numSET", "ITM_NULL", "DOCU_ITM_RADIX", "ITM_PERIOD", AQ357), ".lo", ),"MNU_", "-MNU_")</f>
        <v>ITM_COLON</v>
      </c>
      <c r="BC357" s="216" t="str" cm="1">
        <f t="array" ref="BC357">SUBSTITUTE(SUBSTITUTE(_xlfn.SWITCH(AR357, "ITM_T_HOME", "ITM_UP1", "ITM_T_END", "ITM_DOWN1", "DOCU_CHR_sub", "ITM_DOWN_ARROW", "DOCU_CHR_super", "ITM_UP_ARROW", "MNU_TAMALPHA", "ITM_alpha", "DOCU_CHR_caseFLIP", "ITM_NULL", "DOCU_CHR_numSET", "ITM_NULL", "DOCU_ITM_RADIX", "ITM_PERIOD", AR357), ".lo", ),"MNU_", "-MNU_")</f>
        <v>ITM_SEMICOLON</v>
      </c>
      <c r="BD357" s="157" t="str" cm="1">
        <f t="array" ref="BD357">SUBSTITUTE(SUBSTITUTE(_xlfn.SWITCH(AS357, "ITM_T_HOME", "ITM_UP1", "ITM_T_END", "ITM_DOWN1", "DOCU_CHR_sub", "ITM_DOWN_ARROW", "DOCU_CHR_super", "ITM_UP_ARROW", "MNU_TAMALPHA", "ITM_alpha", "DOCU_CHR_caseFLIP", "ITM_NULL", "DOCU_CHR_numSET", "ITM_NULL", "DOCU_ITM_RADIX", "ITM_PERIOD", AS357), ".lo", ),"MNU_", "-MNU_")</f>
        <v>ITM_0</v>
      </c>
      <c r="BE357" s="157" t="str" cm="1">
        <f t="array" ref="BE357">SUBSTITUTE(SUBSTITUTE(_xlfn.SWITCH(AT357, "ITM_T_HOME", "ITM_UP1", "ITM_T_END", "ITM_DOWN1", "DOCU_CHR_sub", "ITM_DOWN_ARROW", "DOCU_CHR_super", "ITM_UP_ARROW", "MNU_TAMALPHA", "ITM_alpha", "DOCU_CHR_caseFLIP", "ITM_NULL", "DOCU_CHR_numSET", "ITM_NULL", "DOCU_ITM_RADIX", "ITM_PERIOD", AT357), ".lo", ),"MNU_", "-MNU_")</f>
        <v>ITM_0</v>
      </c>
      <c r="BG357" s="75"/>
      <c r="BI357" s="13" t="str">
        <f t="shared" si="123"/>
        <v xml:space="preserve">  {82,                  ITM_0,                -MNU_BLUE_C47,        ITM_TIMER,            ITM_0,                ITM_COLON,            ITM_SEMICOLON,        ITM_0,                ITM_0               },</v>
      </c>
    </row>
    <row r="358" spans="24:65" ht="21" x14ac:dyDescent="0.2">
      <c r="X358" s="127" t="str">
        <f t="shared" si="114"/>
        <v>DM42</v>
      </c>
      <c r="Y358" s="109">
        <v>8</v>
      </c>
      <c r="Z358" s="109">
        <v>3</v>
      </c>
      <c r="AA358" s="112" t="str">
        <f t="shared" si="113"/>
        <v>DM42.83</v>
      </c>
      <c r="AB358" s="117" t="s">
        <v>253</v>
      </c>
      <c r="AC358" s="118" t="s">
        <v>254</v>
      </c>
      <c r="AD358" s="119" t="s">
        <v>255</v>
      </c>
      <c r="AE358" s="3"/>
      <c r="AF358" s="49" t="s">
        <v>256</v>
      </c>
      <c r="AG358" s="77" t="b">
        <f t="shared" si="124"/>
        <v>0</v>
      </c>
      <c r="AH358" s="83" t="str">
        <f t="shared" si="115"/>
        <v>#</v>
      </c>
      <c r="AI358" s="84" t="str">
        <f t="shared" si="116"/>
        <v>.</v>
      </c>
      <c r="AJ358" s="85" t="str">
        <f t="shared" si="117"/>
        <v>.</v>
      </c>
      <c r="AK358" s="6"/>
      <c r="AL358" s="8" t="str">
        <f t="shared" si="118"/>
        <v>{83</v>
      </c>
      <c r="AM358" s="27" t="str">
        <f t="shared" si="119"/>
        <v>DOCU_ITM_RADIX</v>
      </c>
      <c r="AN358" s="27" t="str">
        <f t="shared" si="120"/>
        <v>ITM_SHOW</v>
      </c>
      <c r="AO358" s="27" t="str">
        <f t="shared" si="121"/>
        <v>MNU_INFO</v>
      </c>
      <c r="AP358" s="46" t="str">
        <f>IF(NOT(ISNA(MATCH(AM358,Lookups!E:E,))),VLOOKUP(AM358,Lookups!E:F,2,0),
IF(NOT(ISNA(MATCH(AN358,Lookups!E:E,))),VLOOKUP(AN358,Lookups!E:F,2,0),
IF(NOT(ISNA(MATCH(AO358,Lookups!E:E,))),VLOOKUP(AO358,Lookups!E:F,2,0),"ITM_NULL")))</f>
        <v>ITM_PERIOD</v>
      </c>
      <c r="AQ358" s="28" t="str">
        <f t="shared" si="128"/>
        <v>ITM_COMMA</v>
      </c>
      <c r="AR358" s="209" t="s">
        <v>283</v>
      </c>
      <c r="AS358" s="207" t="s">
        <v>257</v>
      </c>
      <c r="AT358" s="197" t="s">
        <v>257</v>
      </c>
      <c r="AW358" s="14" t="str">
        <f t="shared" si="125"/>
        <v>{83</v>
      </c>
      <c r="AX358" s="157" t="str" cm="1">
        <f t="array" ref="AX358">SUBSTITUTE(SUBSTITUTE(_xlfn.SWITCH(AM358, "ITM_T_HOME", "ITM_UP1", "ITM_T_END", "ITM_DOWN1", "DOCU_CHR_sub", "ITM_DOWN_ARROW", "DOCU_CHR_super", "ITM_UP_ARROW", "MNU_TAMALPHA", "ITM_alpha", "DOCU_CHR_caseFLIP", "ITM_NULL", "DOCU_CHR_numSET", "ITM_NULL", "DOCU_ITM_RADIX", "ITM_PERIOD", AM358), ".lo", ),"MNU_", "-MNU_")</f>
        <v>ITM_PERIOD</v>
      </c>
      <c r="AY358" s="157" t="str" cm="1">
        <f t="array" ref="AY358">SUBSTITUTE(SUBSTITUTE(_xlfn.SWITCH(AN358, "ITM_T_HOME", "ITM_UP1", "ITM_T_END", "ITM_DOWN1", "DOCU_CHR_sub", "ITM_DOWN_ARROW", "DOCU_CHR_super", "ITM_UP_ARROW", "MNU_TAMALPHA", "ITM_alpha", "DOCU_CHR_caseFLIP", "ITM_NULL", "DOCU_CHR_numSET", "ITM_NULL", "DOCU_ITM_RADIX", "ITM_PERIOD", AN358), ".lo", ),"MNU_", "-MNU_")</f>
        <v>ITM_SHOW</v>
      </c>
      <c r="AZ358" s="157" t="str" cm="1">
        <f t="array" ref="AZ358">SUBSTITUTE(SUBSTITUTE(_xlfn.SWITCH(AO358, "ITM_T_HOME", "ITM_UP1", "ITM_T_END", "ITM_DOWN1", "DOCU_CHR_sub", "ITM_DOWN_ARROW", "DOCU_CHR_super", "ITM_UP_ARROW", "MNU_TAMALPHA", "ITM_alpha", "DOCU_CHR_caseFLIP", "ITM_NULL", "DOCU_CHR_numSET", "ITM_NULL", "DOCU_ITM_RADIX", "ITM_PERIOD", AO358), ".lo", ),"MNU_", "-MNU_")</f>
        <v>-MNU_INFO</v>
      </c>
      <c r="BA358" s="173" t="str" cm="1">
        <f t="array" ref="BA358">SUBSTITUTE(SUBSTITUTE(_xlfn.SWITCH(AP358, "ITM_T_HOME", "ITM_UP1", "ITM_T_END", "ITM_DOWN1", "DOCU_CHR_sub", "ITM_DOWN_ARROW", "DOCU_CHR_super", "ITM_UP_ARROW", "MNU_TAMALPHA", "ITM_alpha", "DOCU_CHR_caseFLIP", "ITM_NULL", "DOCU_CHR_numSET", "ITM_NULL", "DOCU_ITM_RADIX", "ITM_PERIOD", AP358), ".lo", ),"MNU_", "-MNU_")</f>
        <v>ITM_PERIOD</v>
      </c>
      <c r="BB358" s="157" t="str" cm="1">
        <f t="array" ref="BB358">SUBSTITUTE(SUBSTITUTE(_xlfn.SWITCH(AQ358, "ITM_T_HOME", "ITM_UP1", "ITM_T_END", "ITM_DOWN1", "DOCU_CHR_sub", "ITM_DOWN_ARROW", "DOCU_CHR_super", "ITM_UP_ARROW", "MNU_TAMALPHA", "ITM_alpha", "DOCU_CHR_caseFLIP", "ITM_NULL", "DOCU_CHR_numSET", "ITM_NULL", "DOCU_ITM_RADIX", "ITM_PERIOD", AQ358), ".lo", ),"MNU_", "-MNU_")</f>
        <v>ITM_COMMA</v>
      </c>
      <c r="BC358" s="157" t="str" cm="1">
        <f t="array" ref="BC358">SUBSTITUTE(SUBSTITUTE(_xlfn.SWITCH(AR358, "ITM_T_HOME", "ITM_UP1", "ITM_T_END", "ITM_DOWN1", "DOCU_CHR_sub", "ITM_DOWN_ARROW", "DOCU_CHR_super", "ITM_UP_ARROW", "MNU_TAMALPHA", "ITM_alpha", "DOCU_CHR_caseFLIP", "ITM_NULL", "DOCU_CHR_numSET", "ITM_NULL", "DOCU_ITM_RADIX", "ITM_PERIOD", AR358), ".lo", ),"MNU_", "-MNU_")</f>
        <v>ITM_NUMBER_SIGN</v>
      </c>
      <c r="BD358" s="157" t="str" cm="1">
        <f t="array" ref="BD358">SUBSTITUTE(SUBSTITUTE(_xlfn.SWITCH(AS358, "ITM_T_HOME", "ITM_UP1", "ITM_T_END", "ITM_DOWN1", "DOCU_CHR_sub", "ITM_DOWN_ARROW", "DOCU_CHR_super", "ITM_UP_ARROW", "MNU_TAMALPHA", "ITM_alpha", "DOCU_CHR_caseFLIP", "ITM_NULL", "DOCU_CHR_numSET", "ITM_NULL", "DOCU_ITM_RADIX", "ITM_PERIOD", AS358), ".lo", ),"MNU_", "-MNU_")</f>
        <v>ITM_PERIOD</v>
      </c>
      <c r="BE358" s="157" t="str" cm="1">
        <f t="array" ref="BE358">SUBSTITUTE(SUBSTITUTE(_xlfn.SWITCH(AT358, "ITM_T_HOME", "ITM_UP1", "ITM_T_END", "ITM_DOWN1", "DOCU_CHR_sub", "ITM_DOWN_ARROW", "DOCU_CHR_super", "ITM_UP_ARROW", "MNU_TAMALPHA", "ITM_alpha", "DOCU_CHR_caseFLIP", "ITM_NULL", "DOCU_CHR_numSET", "ITM_NULL", "DOCU_ITM_RADIX", "ITM_PERIOD", AT358), ".lo", ),"MNU_", "-MNU_")</f>
        <v>ITM_PERIOD</v>
      </c>
      <c r="BG358" s="75"/>
      <c r="BI358" s="13" t="str">
        <f t="shared" si="123"/>
        <v xml:space="preserve">  {83,                  ITM_PERIOD,           ITM_SHOW,             -MNU_INFO,            ITM_PERIOD,           ITM_COMMA,            ITM_NUMBER_SIGN,      ITM_PERIOD,           ITM_PERIOD          },</v>
      </c>
    </row>
    <row r="359" spans="24:65" ht="21" x14ac:dyDescent="0.2">
      <c r="X359" s="127" t="str">
        <f t="shared" si="114"/>
        <v>DM42</v>
      </c>
      <c r="Y359" s="109">
        <v>8</v>
      </c>
      <c r="Z359" s="109">
        <v>4</v>
      </c>
      <c r="AA359" s="112" t="str">
        <f t="shared" si="113"/>
        <v>DM42.84</v>
      </c>
      <c r="AB359" s="117" t="s">
        <v>258</v>
      </c>
      <c r="AC359" s="118" t="s">
        <v>259</v>
      </c>
      <c r="AD359" s="119" t="s">
        <v>260</v>
      </c>
      <c r="AE359" s="3"/>
      <c r="AF359" s="53" t="s">
        <v>261</v>
      </c>
      <c r="AG359" s="77" t="b">
        <f t="shared" si="124"/>
        <v>0</v>
      </c>
      <c r="AH359" s="83" t="str">
        <f t="shared" si="115"/>
        <v>!</v>
      </c>
      <c r="AI359" s="84" t="str">
        <f t="shared" si="116"/>
        <v>/</v>
      </c>
      <c r="AJ359" s="85" t="str">
        <f t="shared" si="117"/>
        <v xml:space="preserve"> </v>
      </c>
      <c r="AK359" s="6"/>
      <c r="AL359" s="8" t="str">
        <f t="shared" si="118"/>
        <v>{84</v>
      </c>
      <c r="AM359" s="27" t="str">
        <f t="shared" si="119"/>
        <v>ITM_RS</v>
      </c>
      <c r="AN359" s="27" t="str">
        <f t="shared" si="120"/>
        <v>ITM_PR</v>
      </c>
      <c r="AO359" s="27" t="str">
        <f t="shared" si="121"/>
        <v>MNU_TEST</v>
      </c>
      <c r="AP359" s="46" t="str">
        <f>IF(NOT(ISNA(MATCH(AM359,Lookups!E:E,))),VLOOKUP(AM359,Lookups!E:F,2,0),
IF(NOT(ISNA(MATCH(AN359,Lookups!E:E,))),VLOOKUP(AN359,Lookups!E:F,2,0),
IF(NOT(ISNA(MATCH(AO359,Lookups!E:E,))),VLOOKUP(AO359,Lookups!E:F,2,0),"ITM_NULL")))</f>
        <v>ITM_NULL</v>
      </c>
      <c r="AQ359" s="28" t="str">
        <f t="shared" si="128"/>
        <v>ITM_QUESTION_MARK</v>
      </c>
      <c r="AR359" s="209" t="s">
        <v>635</v>
      </c>
      <c r="AS359" s="207" t="s">
        <v>262</v>
      </c>
      <c r="AT359" s="197" t="s">
        <v>81</v>
      </c>
      <c r="AW359" s="14" t="str">
        <f t="shared" si="125"/>
        <v>{84</v>
      </c>
      <c r="AX359" s="157" t="str" cm="1">
        <f t="array" ref="AX359">SUBSTITUTE(SUBSTITUTE(_xlfn.SWITCH(AM359, "ITM_T_HOME", "ITM_UP1", "ITM_T_END", "ITM_DOWN1", "DOCU_CHR_sub", "ITM_DOWN_ARROW", "DOCU_CHR_super", "ITM_UP_ARROW", "MNU_TAMALPHA", "ITM_alpha", "DOCU_CHR_caseFLIP", "ITM_NULL", "DOCU_CHR_numSET", "ITM_NULL", "DOCU_ITM_RADIX", "ITM_PERIOD", AM359), ".lo", ),"MNU_", "-MNU_")</f>
        <v>ITM_RS</v>
      </c>
      <c r="AY359" s="157" t="str" cm="1">
        <f t="array" ref="AY359">SUBSTITUTE(SUBSTITUTE(_xlfn.SWITCH(AN359, "ITM_T_HOME", "ITM_UP1", "ITM_T_END", "ITM_DOWN1", "DOCU_CHR_sub", "ITM_DOWN_ARROW", "DOCU_CHR_super", "ITM_UP_ARROW", "MNU_TAMALPHA", "ITM_alpha", "DOCU_CHR_caseFLIP", "ITM_NULL", "DOCU_CHR_numSET", "ITM_NULL", "DOCU_ITM_RADIX", "ITM_PERIOD", AN359), ".lo", ),"MNU_", "-MNU_")</f>
        <v>ITM_PR</v>
      </c>
      <c r="AZ359" s="157" t="str" cm="1">
        <f t="array" ref="AZ359">SUBSTITUTE(SUBSTITUTE(_xlfn.SWITCH(AO359, "ITM_T_HOME", "ITM_UP1", "ITM_T_END", "ITM_DOWN1", "DOCU_CHR_sub", "ITM_DOWN_ARROW", "DOCU_CHR_super", "ITM_UP_ARROW", "MNU_TAMALPHA", "ITM_alpha", "DOCU_CHR_caseFLIP", "ITM_NULL", "DOCU_CHR_numSET", "ITM_NULL", "DOCU_ITM_RADIX", "ITM_PERIOD", AO359), ".lo", ),"MNU_", "-MNU_")</f>
        <v>-MNU_TEST</v>
      </c>
      <c r="BA359" s="173" t="str" cm="1">
        <f t="array" ref="BA359">SUBSTITUTE(SUBSTITUTE(_xlfn.SWITCH(AP359, "ITM_T_HOME", "ITM_UP1", "ITM_T_END", "ITM_DOWN1", "DOCU_CHR_sub", "ITM_DOWN_ARROW", "DOCU_CHR_super", "ITM_UP_ARROW", "MNU_TAMALPHA", "ITM_alpha", "DOCU_CHR_caseFLIP", "ITM_NULL", "DOCU_CHR_numSET", "ITM_NULL", "DOCU_ITM_RADIX", "ITM_PERIOD", AP359), ".lo", ),"MNU_", "-MNU_")</f>
        <v>ITM_NULL</v>
      </c>
      <c r="BB359" s="157" t="str" cm="1">
        <f t="array" ref="BB359">SUBSTITUTE(SUBSTITUTE(_xlfn.SWITCH(AQ359, "ITM_T_HOME", "ITM_UP1", "ITM_T_END", "ITM_DOWN1", "DOCU_CHR_sub", "ITM_DOWN_ARROW", "DOCU_CHR_super", "ITM_UP_ARROW", "MNU_TAMALPHA", "ITM_alpha", "DOCU_CHR_caseFLIP", "ITM_NULL", "DOCU_CHR_numSET", "ITM_NULL", "DOCU_ITM_RADIX", "ITM_PERIOD", AQ359), ".lo", ),"MNU_", "-MNU_")</f>
        <v>ITM_QUESTION_MARK</v>
      </c>
      <c r="BC359" s="157" t="str" cm="1">
        <f t="array" ref="BC359">SUBSTITUTE(SUBSTITUTE(_xlfn.SWITCH(AR359, "ITM_T_HOME", "ITM_UP1", "ITM_T_END", "ITM_DOWN1", "DOCU_CHR_sub", "ITM_DOWN_ARROW", "DOCU_CHR_super", "ITM_UP_ARROW", "MNU_TAMALPHA", "ITM_alpha", "DOCU_CHR_caseFLIP", "ITM_NULL", "DOCU_CHR_numSET", "ITM_NULL", "DOCU_ITM_RADIX", "ITM_PERIOD", AR359), ".lo", ),"MNU_", "-MNU_")</f>
        <v>ITM_EXCLAMATION_MARK</v>
      </c>
      <c r="BD359" s="157" t="str" cm="1">
        <f t="array" ref="BD359">SUBSTITUTE(SUBSTITUTE(_xlfn.SWITCH(AS359, "ITM_T_HOME", "ITM_UP1", "ITM_T_END", "ITM_DOWN1", "DOCU_CHR_sub", "ITM_DOWN_ARROW", "DOCU_CHR_super", "ITM_UP_ARROW", "MNU_TAMALPHA", "ITM_alpha", "DOCU_CHR_caseFLIP", "ITM_NULL", "DOCU_CHR_numSET", "ITM_NULL", "DOCU_ITM_RADIX", "ITM_PERIOD", AS359), ".lo", ),"MNU_", "-MNU_")</f>
        <v>ITM_SLASH</v>
      </c>
      <c r="BE359" s="157" t="str" cm="1">
        <f t="array" ref="BE359">SUBSTITUTE(SUBSTITUTE(_xlfn.SWITCH(AT359, "ITM_T_HOME", "ITM_UP1", "ITM_T_END", "ITM_DOWN1", "DOCU_CHR_sub", "ITM_DOWN_ARROW", "DOCU_CHR_super", "ITM_UP_ARROW", "MNU_TAMALPHA", "ITM_alpha", "DOCU_CHR_caseFLIP", "ITM_NULL", "DOCU_CHR_numSET", "ITM_NULL", "DOCU_ITM_RADIX", "ITM_PERIOD", AT359), ".lo", ),"MNU_", "-MNU_")</f>
        <v>ITM_NULL</v>
      </c>
      <c r="BG359" s="75"/>
      <c r="BI359" s="13" t="str">
        <f t="shared" si="123"/>
        <v xml:space="preserve">  {84,                  ITM_RS,               ITM_PR,               -MNU_TEST,            ITM_NULL,             ITM_QUESTION_MARK,    ITM_EXCLAMATION_MARK, ITM_SLASH,            ITM_NULL            },</v>
      </c>
    </row>
    <row r="360" spans="24:65" ht="22" thickBot="1" x14ac:dyDescent="0.25">
      <c r="X360" s="127" t="str">
        <f t="shared" si="114"/>
        <v>DM42</v>
      </c>
      <c r="Y360" s="109">
        <v>8</v>
      </c>
      <c r="Z360" s="109">
        <v>5</v>
      </c>
      <c r="AA360" s="112" t="str">
        <f t="shared" si="113"/>
        <v>DM42.85</v>
      </c>
      <c r="AB360" s="122" t="s">
        <v>263</v>
      </c>
      <c r="AC360" s="123" t="s">
        <v>264</v>
      </c>
      <c r="AD360" s="124" t="s">
        <v>265</v>
      </c>
      <c r="AE360" s="125"/>
      <c r="AF360" s="50" t="s">
        <v>266</v>
      </c>
      <c r="AG360" s="77" t="b">
        <f t="shared" si="124"/>
        <v>0</v>
      </c>
      <c r="AH360" s="86" t="str">
        <f t="shared" si="115"/>
        <v>=</v>
      </c>
      <c r="AI360" s="87" t="str">
        <f t="shared" si="116"/>
        <v>+</v>
      </c>
      <c r="AJ360" s="88" t="str">
        <f t="shared" si="117"/>
        <v>+</v>
      </c>
      <c r="AK360" s="6"/>
      <c r="AL360" s="8" t="str">
        <f t="shared" si="118"/>
        <v>{85</v>
      </c>
      <c r="AM360" s="27" t="str">
        <f t="shared" si="119"/>
        <v>ITM_ADD</v>
      </c>
      <c r="AN360" s="27" t="str">
        <f t="shared" si="120"/>
        <v>MNU_CATALOG</v>
      </c>
      <c r="AO360" s="27" t="str">
        <f t="shared" si="121"/>
        <v>MNU_CONST</v>
      </c>
      <c r="AP360" s="46" t="str">
        <f>IF(NOT(ISNA(MATCH(AM360,Lookups!E:E,))),VLOOKUP(AM360,Lookups!E:F,2,0),
IF(NOT(ISNA(MATCH(AN360,Lookups!E:E,))),VLOOKUP(AN360,Lookups!E:F,2,0),
IF(NOT(ISNA(MATCH(AO360,Lookups!E:E,))),VLOOKUP(AO360,Lookups!E:F,2,0),"ITM_NULL")))</f>
        <v>ITM_PLUS</v>
      </c>
      <c r="AQ360" s="28" t="str">
        <f t="shared" si="128"/>
        <v>ITM_SPACE</v>
      </c>
      <c r="AR360" s="210" t="s">
        <v>650</v>
      </c>
      <c r="AS360" s="208" t="s">
        <v>267</v>
      </c>
      <c r="AT360" s="201" t="s">
        <v>268</v>
      </c>
      <c r="AW360" s="14" t="str">
        <f t="shared" si="125"/>
        <v>{85</v>
      </c>
      <c r="AX360" s="157" t="str" cm="1">
        <f t="array" ref="AX360">SUBSTITUTE(SUBSTITUTE(_xlfn.SWITCH(AM360, "ITM_T_HOME", "ITM_UP1", "ITM_T_END", "ITM_DOWN1", "DOCU_CHR_sub", "ITM_DOWN_ARROW", "DOCU_CHR_super", "ITM_UP_ARROW", "MNU_TAMALPHA", "ITM_alpha", "DOCU_CHR_caseFLIP", "ITM_NULL", "DOCU_CHR_numSET", "ITM_NULL", "DOCU_ITM_RADIX", "ITM_PERIOD", AM360), ".lo", ),"MNU_", "-MNU_")</f>
        <v>ITM_ADD</v>
      </c>
      <c r="AY360" s="157" t="str" cm="1">
        <f t="array" ref="AY360">SUBSTITUTE(SUBSTITUTE(_xlfn.SWITCH(AN360, "ITM_T_HOME", "ITM_UP1", "ITM_T_END", "ITM_DOWN1", "DOCU_CHR_sub", "ITM_DOWN_ARROW", "DOCU_CHR_super", "ITM_UP_ARROW", "MNU_TAMALPHA", "ITM_alpha", "DOCU_CHR_caseFLIP", "ITM_NULL", "DOCU_CHR_numSET", "ITM_NULL", "DOCU_ITM_RADIX", "ITM_PERIOD", AN360), ".lo", ),"MNU_", "-MNU_")</f>
        <v>-MNU_CATALOG</v>
      </c>
      <c r="AZ360" s="157" t="str" cm="1">
        <f t="array" ref="AZ360">SUBSTITUTE(SUBSTITUTE(_xlfn.SWITCH(AO360, "ITM_T_HOME", "ITM_UP1", "ITM_T_END", "ITM_DOWN1", "DOCU_CHR_sub", "ITM_DOWN_ARROW", "DOCU_CHR_super", "ITM_UP_ARROW", "MNU_TAMALPHA", "ITM_alpha", "DOCU_CHR_caseFLIP", "ITM_NULL", "DOCU_CHR_numSET", "ITM_NULL", "DOCU_ITM_RADIX", "ITM_PERIOD", AO360), ".lo", ),"MNU_", "-MNU_")</f>
        <v>-MNU_CONST</v>
      </c>
      <c r="BA360" s="173" t="str" cm="1">
        <f t="array" ref="BA360">SUBSTITUTE(SUBSTITUTE(_xlfn.SWITCH(AP360, "ITM_T_HOME", "ITM_UP1", "ITM_T_END", "ITM_DOWN1", "DOCU_CHR_sub", "ITM_DOWN_ARROW", "DOCU_CHR_super", "ITM_UP_ARROW", "MNU_TAMALPHA", "ITM_alpha", "DOCU_CHR_caseFLIP", "ITM_NULL", "DOCU_CHR_numSET", "ITM_NULL", "DOCU_ITM_RADIX", "ITM_PERIOD", AP360), ".lo", ),"MNU_", "-MNU_")</f>
        <v>ITM_PLUS</v>
      </c>
      <c r="BB360" s="157" t="str" cm="1">
        <f t="array" ref="BB360">SUBSTITUTE(SUBSTITUTE(_xlfn.SWITCH(AQ360, "ITM_T_HOME", "ITM_UP1", "ITM_T_END", "ITM_DOWN1", "DOCU_CHR_sub", "ITM_DOWN_ARROW", "DOCU_CHR_super", "ITM_UP_ARROW", "MNU_TAMALPHA", "ITM_alpha", "DOCU_CHR_caseFLIP", "ITM_NULL", "DOCU_CHR_numSET", "ITM_NULL", "DOCU_ITM_RADIX", "ITM_PERIOD", AQ360), ".lo", ),"MNU_", "-MNU_")</f>
        <v>ITM_SPACE</v>
      </c>
      <c r="BC360" s="157" t="str" cm="1">
        <f t="array" ref="BC360">SUBSTITUTE(SUBSTITUTE(_xlfn.SWITCH(AR360, "ITM_T_HOME", "ITM_UP1", "ITM_T_END", "ITM_DOWN1", "DOCU_CHR_sub", "ITM_DOWN_ARROW", "DOCU_CHR_super", "ITM_UP_ARROW", "MNU_TAMALPHA", "ITM_alpha", "DOCU_CHR_caseFLIP", "ITM_NULL", "DOCU_CHR_numSET", "ITM_NULL", "DOCU_ITM_RADIX", "ITM_PERIOD", AR360), ".lo", ),"MNU_", "-MNU_")</f>
        <v>ITM_EQUAL</v>
      </c>
      <c r="BD360" s="157" t="str" cm="1">
        <f t="array" ref="BD360">SUBSTITUTE(SUBSTITUTE(_xlfn.SWITCH(AS360, "ITM_T_HOME", "ITM_UP1", "ITM_T_END", "ITM_DOWN1", "DOCU_CHR_sub", "ITM_DOWN_ARROW", "DOCU_CHR_super", "ITM_UP_ARROW", "MNU_TAMALPHA", "ITM_alpha", "DOCU_CHR_caseFLIP", "ITM_NULL", "DOCU_CHR_numSET", "ITM_NULL", "DOCU_ITM_RADIX", "ITM_PERIOD", AS360), ".lo", ),"MNU_", "-MNU_")</f>
        <v>ITM_PLUS</v>
      </c>
      <c r="BE360" s="157" t="str" cm="1">
        <f t="array" ref="BE360">SUBSTITUTE(SUBSTITUTE(_xlfn.SWITCH(AT360, "ITM_T_HOME", "ITM_UP1", "ITM_T_END", "ITM_DOWN1", "DOCU_CHR_sub", "ITM_DOWN_ARROW", "DOCU_CHR_super", "ITM_UP_ARROW", "MNU_TAMALPHA", "ITM_alpha", "DOCU_CHR_caseFLIP", "ITM_NULL", "DOCU_CHR_numSET", "ITM_NULL", "DOCU_ITM_RADIX", "ITM_PERIOD", AT360), ".lo", ),"MNU_", "-MNU_")</f>
        <v>ITM_ADD</v>
      </c>
      <c r="BG360" s="75"/>
      <c r="BI360" s="73" t="str">
        <f>"  "&amp;AW360&amp;", "&amp;REPT(" ",$BH$54-LEN(AW360))&amp;
AX360&amp;", "&amp;REPT(" ",$BH$54-LEN(AX360))&amp;
AY360&amp;", "&amp;REPT(" ",$BH$54-LEN(AY360))&amp;
AZ360&amp;", "&amp;REPT(" ",$BH$54-LEN(AZ360))&amp;
BA360&amp;", "&amp;REPT(" ",$BH$54-LEN(BA360))&amp;
BB360&amp;", "&amp;REPT(" ",$BH$54-LEN(BB360))&amp;
BC360&amp;", "&amp;REPT(" ",$BH$54-LEN(BC360))&amp;
BD360&amp;", "&amp;REPT(" ",$BH$54-LEN(BD360))&amp;
BE360&amp;REPT(" ",$BH$54-LEN(BE360))&amp;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361" spans="24:65" ht="21" x14ac:dyDescent="0.2">
      <c r="Y361" s="1"/>
      <c r="Z361" s="1"/>
      <c r="AK361" s="6"/>
      <c r="AL361" s="111"/>
      <c r="AM361" s="29"/>
      <c r="AN361" s="29"/>
      <c r="AO361" s="29"/>
      <c r="AP361" s="47"/>
      <c r="AQ361" s="29"/>
      <c r="AR361" s="202"/>
      <c r="AS361" s="202"/>
      <c r="AT361" s="202"/>
      <c r="BG361" s="75"/>
      <c r="BI361" s="16" t="s">
        <v>269</v>
      </c>
    </row>
    <row r="362" spans="24:65" ht="21" x14ac:dyDescent="0.2">
      <c r="Y362" s="1"/>
      <c r="Z362" s="1"/>
      <c r="AL362" s="111"/>
      <c r="AM362" s="29"/>
      <c r="AN362" s="29"/>
      <c r="AO362" s="29"/>
      <c r="AP362" s="47"/>
      <c r="AQ362" s="29"/>
      <c r="AR362" s="202"/>
      <c r="AS362" s="202"/>
      <c r="AT362" s="202"/>
      <c r="BH362" s="6"/>
      <c r="BI362" s="13" t="s">
        <v>270</v>
      </c>
      <c r="BJ362" s="6"/>
    </row>
    <row r="363" spans="24:65" ht="21" x14ac:dyDescent="0.2">
      <c r="X363" s="128" t="s">
        <v>26</v>
      </c>
      <c r="Y363" s="106">
        <v>1</v>
      </c>
      <c r="Z363" s="106">
        <v>1</v>
      </c>
      <c r="AA363" s="107" t="str">
        <f t="shared" ref="AA363:AA405" si="129">X363&amp;"."&amp;Y363&amp;Z363</f>
        <v>S47.11</v>
      </c>
      <c r="AB363" s="108" t="s">
        <v>31</v>
      </c>
      <c r="AC363" s="15"/>
      <c r="AD363" s="15"/>
      <c r="AE363" s="102"/>
      <c r="AF363" s="15"/>
      <c r="AH363" s="90"/>
      <c r="AI363" s="90"/>
      <c r="AJ363" s="90"/>
      <c r="AK363" s="6"/>
      <c r="BI363" s="13"/>
    </row>
    <row r="364" spans="24:65" ht="21" x14ac:dyDescent="0.2">
      <c r="X364" s="129" t="str">
        <f>X363</f>
        <v>S47</v>
      </c>
      <c r="Y364" s="109">
        <v>1</v>
      </c>
      <c r="Z364" s="109">
        <v>2</v>
      </c>
      <c r="AA364" s="107" t="str">
        <f t="shared" si="129"/>
        <v>S47.12</v>
      </c>
      <c r="AB364" s="108" t="s">
        <v>32</v>
      </c>
      <c r="AC364" s="15"/>
      <c r="AD364" s="15"/>
      <c r="AE364" s="102"/>
      <c r="AF364" s="15"/>
      <c r="AH364" s="90"/>
      <c r="AI364" s="90"/>
      <c r="AJ364" s="90"/>
      <c r="AK364" s="6"/>
      <c r="BI364" s="13"/>
    </row>
    <row r="365" spans="24:65" ht="21" x14ac:dyDescent="0.2">
      <c r="X365" s="129" t="str">
        <f t="shared" ref="X365:X405" si="130">X364</f>
        <v>S47</v>
      </c>
      <c r="Y365" s="109">
        <v>1</v>
      </c>
      <c r="Z365" s="109">
        <v>3</v>
      </c>
      <c r="AA365" s="107" t="str">
        <f t="shared" si="129"/>
        <v>S47.13</v>
      </c>
      <c r="AB365" s="108" t="s">
        <v>33</v>
      </c>
      <c r="AC365" s="15"/>
      <c r="AD365" s="15"/>
      <c r="AE365" s="102"/>
      <c r="AF365" s="15"/>
      <c r="AH365" s="90"/>
      <c r="AI365" s="90"/>
      <c r="AJ365" s="90"/>
      <c r="AK365" s="6"/>
      <c r="AM365" s="72" t="s">
        <v>34</v>
      </c>
      <c r="AX365" s="72" t="s">
        <v>35</v>
      </c>
      <c r="AY365" s="27" t="s">
        <v>36</v>
      </c>
      <c r="BG365" s="75"/>
      <c r="BI365" s="13"/>
    </row>
    <row r="366" spans="24:65" ht="22" thickBot="1" x14ac:dyDescent="0.25">
      <c r="X366" s="129" t="str">
        <f t="shared" si="130"/>
        <v>S47</v>
      </c>
      <c r="Y366" s="109">
        <v>1</v>
      </c>
      <c r="Z366" s="109">
        <v>4</v>
      </c>
      <c r="AA366" s="107" t="str">
        <f t="shared" si="129"/>
        <v>S47.14</v>
      </c>
      <c r="AB366" s="108" t="s">
        <v>37</v>
      </c>
      <c r="AC366" s="15"/>
      <c r="AD366" s="15"/>
      <c r="AE366" s="102"/>
      <c r="AF366" s="15"/>
      <c r="AH366" s="90"/>
      <c r="AI366" s="90"/>
      <c r="AJ366" s="90"/>
      <c r="AK366" s="6"/>
      <c r="BG366" s="75"/>
      <c r="BI366" s="13"/>
    </row>
    <row r="367" spans="24:65" ht="22" thickBot="1" x14ac:dyDescent="0.25">
      <c r="X367" s="129" t="str">
        <f t="shared" si="130"/>
        <v>S47</v>
      </c>
      <c r="Y367" s="109">
        <v>1</v>
      </c>
      <c r="Z367" s="109">
        <v>5</v>
      </c>
      <c r="AA367" s="107" t="str">
        <f t="shared" si="129"/>
        <v>S47.15</v>
      </c>
      <c r="AB367" s="108" t="s">
        <v>37</v>
      </c>
      <c r="AC367" s="15"/>
      <c r="AD367" s="15"/>
      <c r="AE367" s="102"/>
      <c r="AF367" s="15"/>
      <c r="AH367" s="90"/>
      <c r="AI367" s="90"/>
      <c r="AJ367" s="90"/>
      <c r="AK367" s="6"/>
      <c r="AL367" s="185" t="str">
        <f>X367</f>
        <v>S47</v>
      </c>
      <c r="AM367" s="224" t="s">
        <v>39</v>
      </c>
      <c r="AN367" s="224"/>
      <c r="AO367" s="224"/>
      <c r="AP367" s="71" t="s">
        <v>40</v>
      </c>
      <c r="AQ367" s="31" t="s">
        <v>41</v>
      </c>
      <c r="AR367" s="189" t="s">
        <v>42</v>
      </c>
      <c r="AS367" s="190" t="s">
        <v>42</v>
      </c>
      <c r="AT367" s="191" t="s">
        <v>42</v>
      </c>
      <c r="BG367" s="75"/>
      <c r="BI367" s="13"/>
    </row>
    <row r="368" spans="24:65" ht="22" thickBot="1" x14ac:dyDescent="0.25">
      <c r="X368" s="129" t="str">
        <f t="shared" si="130"/>
        <v>S47</v>
      </c>
      <c r="Y368" s="109">
        <v>1</v>
      </c>
      <c r="Z368" s="109">
        <v>6</v>
      </c>
      <c r="AA368" s="107" t="str">
        <f t="shared" si="129"/>
        <v>S47.16</v>
      </c>
      <c r="AB368" s="110" t="s">
        <v>43</v>
      </c>
      <c r="AC368" s="30"/>
      <c r="AD368" s="30"/>
      <c r="AE368" s="102"/>
      <c r="AF368" s="30"/>
      <c r="AH368" s="90"/>
      <c r="AI368" s="90"/>
      <c r="AJ368" s="90"/>
      <c r="AK368" s="6"/>
      <c r="BG368" s="75"/>
      <c r="BI368" s="13"/>
      <c r="BL368" s="45" t="s">
        <v>45</v>
      </c>
      <c r="BM368" s="45" t="s">
        <v>46</v>
      </c>
    </row>
    <row r="369" spans="24:61" ht="21" x14ac:dyDescent="0.2">
      <c r="X369" s="129" t="str">
        <f t="shared" si="130"/>
        <v>S47</v>
      </c>
      <c r="Y369" s="106">
        <v>2</v>
      </c>
      <c r="Z369" s="106">
        <v>1</v>
      </c>
      <c r="AA369" s="112" t="str">
        <f t="shared" si="129"/>
        <v>S47.21</v>
      </c>
      <c r="AB369" s="113" t="s">
        <v>88</v>
      </c>
      <c r="AC369" s="114" t="s">
        <v>48</v>
      </c>
      <c r="AD369" s="115" t="s">
        <v>49</v>
      </c>
      <c r="AE369" s="116"/>
      <c r="AF369" s="48" t="s">
        <v>50</v>
      </c>
      <c r="AG369" s="77" t="b">
        <f>AF369=AH369</f>
        <v>1</v>
      </c>
      <c r="AH369" s="80" t="str">
        <f t="shared" ref="AH369:AH405" si="131">INDEX(labelitem,MATCH(AR369,items,0),1)</f>
        <v>a</v>
      </c>
      <c r="AI369" s="81" t="str">
        <f t="shared" ref="AI369:AI405" si="132">INDEX(labelitem,MATCH(AS369,items,0),1)</f>
        <v xml:space="preserve"> </v>
      </c>
      <c r="AJ369" s="82" t="str">
        <f t="shared" ref="AJ369:AJ405" si="133">INDEX(labelitem,MATCH(AT369,items,0),1)</f>
        <v>Reg A</v>
      </c>
      <c r="AK369" s="6"/>
      <c r="AL369" s="8" t="str">
        <f t="shared" ref="AL369:AL405" si="134">"{"&amp;Y369*10+Z369</f>
        <v>{21</v>
      </c>
      <c r="AM369" s="27" t="str">
        <f t="shared" ref="AM369:AM405" si="135">VLOOKUP(AB369,labelitem,2,0)</f>
        <v>ITM_STO</v>
      </c>
      <c r="AN369" s="27" t="str">
        <f t="shared" ref="AN369:AN405" si="136">VLOOKUP(AC369,labelitem,2,0)</f>
        <v>ITM_RI</v>
      </c>
      <c r="AO369" s="27" t="str">
        <f t="shared" ref="AO369:AO405" si="137">VLOOKUP(AD369,labelitem,2,0)</f>
        <v>ITM_TGLFRT</v>
      </c>
      <c r="AP369" s="46" t="str">
        <f>IF(NOT(ISNA(MATCH(AM369,Lookups!E:E,))),VLOOKUP(AM369,Lookups!E:F,2,0),
IF(NOT(ISNA(MATCH(AN369,Lookups!E:E,))),VLOOKUP(AN369,Lookups!E:F,2,0),
IF(NOT(ISNA(MATCH(AO369,Lookups!E:E,))),VLOOKUP(AO369,Lookups!E:F,2,0),"ITM_NULL")))</f>
        <v>ITM_NULL</v>
      </c>
      <c r="AQ369" s="28" t="str">
        <f t="shared" ref="AQ369:AQ391" si="138">VLOOKUP(AF369,labelitem,2,0)</f>
        <v>ITM_A</v>
      </c>
      <c r="AR369" s="192" t="s">
        <v>51</v>
      </c>
      <c r="AS369" s="193" t="s">
        <v>81</v>
      </c>
      <c r="AT369" s="194" t="s">
        <v>53</v>
      </c>
      <c r="AW369" s="14" t="str">
        <f>AL369</f>
        <v>{21</v>
      </c>
      <c r="AX369" s="157" t="str" cm="1">
        <f t="array" ref="AX369">SUBSTITUTE(SUBSTITUTE(_xlfn.SWITCH(AM369, "ITM_T_HOME", "ITM_UP1", "ITM_T_END", "ITM_DOWN1", "DOCU_CHR_sub", "ITM_DOWN_ARROW", "DOCU_CHR_super", "ITM_UP_ARROW", "MNU_TAMALPHA", "ITM_alpha", "DOCU_CHR_caseFLIP", "ITM_NULL", "DOCU_CHR_numSET", "ITM_NULL", "DOCU_ITM_RADIX", "ITM_PERIOD", AM369), ".lo", ),"MNU_", "-MNU_")</f>
        <v>ITM_STO</v>
      </c>
      <c r="AY369" s="157" t="str" cm="1">
        <f t="array" ref="AY369">SUBSTITUTE(SUBSTITUTE(_xlfn.SWITCH(AN369, "ITM_T_HOME", "ITM_UP1", "ITM_T_END", "ITM_DOWN1", "DOCU_CHR_sub", "ITM_DOWN_ARROW", "DOCU_CHR_super", "ITM_UP_ARROW", "MNU_TAMALPHA", "ITM_alpha", "DOCU_CHR_caseFLIP", "ITM_NULL", "DOCU_CHR_numSET", "ITM_NULL", "DOCU_ITM_RADIX", "ITM_PERIOD", AN369), ".lo", ),"MNU_", "-MNU_")</f>
        <v>ITM_RI</v>
      </c>
      <c r="AZ369" s="157" t="str" cm="1">
        <f t="array" ref="AZ369">SUBSTITUTE(SUBSTITUTE(_xlfn.SWITCH(AO369, "ITM_T_HOME", "ITM_UP1", "ITM_T_END", "ITM_DOWN1", "DOCU_CHR_sub", "ITM_DOWN_ARROW", "DOCU_CHR_super", "ITM_UP_ARROW", "MNU_TAMALPHA", "ITM_alpha", "DOCU_CHR_caseFLIP", "ITM_NULL", "DOCU_CHR_numSET", "ITM_NULL", "DOCU_ITM_RADIX", "ITM_PERIOD", AO369), ".lo", ),"MNU_", "-MNU_")</f>
        <v>ITM_TGLFRT</v>
      </c>
      <c r="BA369" s="173" t="str" cm="1">
        <f t="array" ref="BA369">SUBSTITUTE(SUBSTITUTE(_xlfn.SWITCH(AP369, "ITM_T_HOME", "ITM_UP1", "ITM_T_END", "ITM_DOWN1", "DOCU_CHR_sub", "ITM_DOWN_ARROW", "DOCU_CHR_super", "ITM_UP_ARROW", "MNU_TAMALPHA", "ITM_alpha", "DOCU_CHR_caseFLIP", "ITM_NULL", "DOCU_CHR_numSET", "ITM_NULL", "DOCU_ITM_RADIX", "ITM_PERIOD", AP369), ".lo", ),"MNU_", "-MNU_")</f>
        <v>ITM_NULL</v>
      </c>
      <c r="BB369" s="157" t="str" cm="1">
        <f t="array" ref="BB369">SUBSTITUTE(SUBSTITUTE(_xlfn.SWITCH(AQ369, "ITM_T_HOME", "ITM_UP1", "ITM_T_END", "ITM_DOWN1", "DOCU_CHR_sub", "ITM_DOWN_ARROW", "DOCU_CHR_super", "ITM_UP_ARROW", "MNU_TAMALPHA", "ITM_alpha", "DOCU_CHR_caseFLIP", "ITM_NULL", "DOCU_CHR_numSET", "ITM_NULL", "DOCU_ITM_RADIX", "ITM_PERIOD", AQ369), ".lo", ),"MNU_", "-MNU_")</f>
        <v>ITM_A</v>
      </c>
      <c r="BC369" s="157" t="str" cm="1">
        <f t="array" ref="BC369">SUBSTITUTE(SUBSTITUTE(_xlfn.SWITCH(AR369, "ITM_T_HOME", "ITM_UP1", "ITM_T_END", "ITM_DOWN1", "DOCU_CHR_sub", "ITM_DOWN_ARROW", "DOCU_CHR_super", "ITM_UP_ARROW", "MNU_TAMALPHA", "ITM_alpha", "DOCU_CHR_caseFLIP", "ITM_NULL", "DOCU_CHR_numSET", "ITM_NULL", "DOCU_ITM_RADIX", "ITM_PERIOD", AR369), ".lo", ),"MNU_", "-MNU_")</f>
        <v>ITM_a</v>
      </c>
      <c r="BD369" s="157" t="str" cm="1">
        <f t="array" ref="BD369">SUBSTITUTE(SUBSTITUTE(_xlfn.SWITCH(AS369, "ITM_T_HOME", "ITM_UP1", "ITM_T_END", "ITM_DOWN1", "DOCU_CHR_sub", "ITM_DOWN_ARROW", "DOCU_CHR_super", "ITM_UP_ARROW", "MNU_TAMALPHA", "ITM_alpha", "DOCU_CHR_caseFLIP", "ITM_NULL", "DOCU_CHR_numSET", "ITM_NULL", "DOCU_ITM_RADIX", "ITM_PERIOD", AS369), ".lo", ),"MNU_", "-MNU_")</f>
        <v>ITM_NULL</v>
      </c>
      <c r="BE369" s="157" t="str" cm="1">
        <f t="array" ref="BE369">SUBSTITUTE(SUBSTITUTE(_xlfn.SWITCH(AT369, "ITM_T_HOME", "ITM_UP1", "ITM_T_END", "ITM_DOWN1", "DOCU_CHR_sub", "ITM_DOWN_ARROW", "DOCU_CHR_super", "ITM_UP_ARROW", "MNU_TAMALPHA", "ITM_alpha", "DOCU_CHR_caseFLIP", "ITM_NULL", "DOCU_CHR_numSET", "ITM_NULL", "DOCU_ITM_RADIX", "ITM_PERIOD", AT369), ".lo", ),"MNU_", "-MNU_")</f>
        <v>ITM_REG_A</v>
      </c>
      <c r="BG369" s="75"/>
      <c r="BI369" s="13"/>
    </row>
    <row r="370" spans="24:61" ht="21" x14ac:dyDescent="0.2">
      <c r="X370" s="129" t="str">
        <f t="shared" si="130"/>
        <v>S47</v>
      </c>
      <c r="Y370" s="109">
        <v>2</v>
      </c>
      <c r="Z370" s="109">
        <v>2</v>
      </c>
      <c r="AA370" s="112" t="str">
        <f t="shared" si="129"/>
        <v>S47.22</v>
      </c>
      <c r="AB370" s="117" t="s">
        <v>94</v>
      </c>
      <c r="AC370" s="174" t="s">
        <v>95</v>
      </c>
      <c r="AD370" s="119" t="s">
        <v>56</v>
      </c>
      <c r="AE370" s="3"/>
      <c r="AF370" s="49" t="s">
        <v>57</v>
      </c>
      <c r="AG370" s="77" t="b">
        <f t="shared" ref="AG370:AG405" si="139">AF370=AH370</f>
        <v>1</v>
      </c>
      <c r="AH370" s="83" t="str">
        <f t="shared" si="131"/>
        <v>b</v>
      </c>
      <c r="AI370" s="84" t="str">
        <f t="shared" si="132"/>
        <v xml:space="preserve"> </v>
      </c>
      <c r="AJ370" s="85" t="str">
        <f t="shared" si="133"/>
        <v>Reg B</v>
      </c>
      <c r="AK370" s="6"/>
      <c r="AL370" s="8" t="str">
        <f t="shared" si="134"/>
        <v>{22</v>
      </c>
      <c r="AM370" s="27" t="str">
        <f t="shared" si="135"/>
        <v>ITM_RCL</v>
      </c>
      <c r="AN370" s="27" t="str">
        <f t="shared" si="136"/>
        <v>ITM_PC</v>
      </c>
      <c r="AO370" s="27" t="str">
        <f t="shared" si="137"/>
        <v>ITM_HASH_JM</v>
      </c>
      <c r="AP370" s="46" t="str">
        <f>IF(NOT(ISNA(MATCH(AM370,Lookups!E:E,))),VLOOKUP(AM370,Lookups!E:F,2,0),
IF(NOT(ISNA(MATCH(AN370,Lookups!E:E,))),VLOOKUP(AN370,Lookups!E:F,2,0),
IF(NOT(ISNA(MATCH(AO370,Lookups!E:E,))),VLOOKUP(AO370,Lookups!E:F,2,0),"ITM_NULL")))</f>
        <v>ITM_NUMBER_SIGN</v>
      </c>
      <c r="AQ370" s="28" t="str">
        <f t="shared" si="138"/>
        <v>ITM_B</v>
      </c>
      <c r="AR370" s="195" t="s">
        <v>58</v>
      </c>
      <c r="AS370" s="186" t="s">
        <v>81</v>
      </c>
      <c r="AT370" s="196" t="s">
        <v>60</v>
      </c>
      <c r="AW370" s="14" t="str">
        <f t="shared" ref="AW370:AW405" si="140">AL370</f>
        <v>{22</v>
      </c>
      <c r="AX370" s="157" t="str" cm="1">
        <f t="array" ref="AX370">SUBSTITUTE(SUBSTITUTE(_xlfn.SWITCH(AM370, "ITM_T_HOME", "ITM_UP1", "ITM_T_END", "ITM_DOWN1", "DOCU_CHR_sub", "ITM_DOWN_ARROW", "DOCU_CHR_super", "ITM_UP_ARROW", "MNU_TAMALPHA", "ITM_alpha", "DOCU_CHR_caseFLIP", "ITM_NULL", "DOCU_CHR_numSET", "ITM_NULL", "DOCU_ITM_RADIX", "ITM_PERIOD", AM370), ".lo", ),"MNU_", "-MNU_")</f>
        <v>ITM_RCL</v>
      </c>
      <c r="AY370" s="157" t="str" cm="1">
        <f t="array" ref="AY370">SUBSTITUTE(SUBSTITUTE(_xlfn.SWITCH(AN370, "ITM_T_HOME", "ITM_UP1", "ITM_T_END", "ITM_DOWN1", "DOCU_CHR_sub", "ITM_DOWN_ARROW", "DOCU_CHR_super", "ITM_UP_ARROW", "MNU_TAMALPHA", "ITM_alpha", "DOCU_CHR_caseFLIP", "ITM_NULL", "DOCU_CHR_numSET", "ITM_NULL", "DOCU_ITM_RADIX", "ITM_PERIOD", AN370), ".lo", ),"MNU_", "-MNU_")</f>
        <v>ITM_PC</v>
      </c>
      <c r="AZ370" s="157" t="str" cm="1">
        <f t="array" ref="AZ370">SUBSTITUTE(SUBSTITUTE(_xlfn.SWITCH(AO370, "ITM_T_HOME", "ITM_UP1", "ITM_T_END", "ITM_DOWN1", "DOCU_CHR_sub", "ITM_DOWN_ARROW", "DOCU_CHR_super", "ITM_UP_ARROW", "MNU_TAMALPHA", "ITM_alpha", "DOCU_CHR_caseFLIP", "ITM_NULL", "DOCU_CHR_numSET", "ITM_NULL", "DOCU_ITM_RADIX", "ITM_PERIOD", AO370), ".lo", ),"MNU_", "-MNU_")</f>
        <v>ITM_HASH_JM</v>
      </c>
      <c r="BA370" s="173" t="str" cm="1">
        <f t="array" ref="BA370">SUBSTITUTE(SUBSTITUTE(_xlfn.SWITCH(AP370, "ITM_T_HOME", "ITM_UP1", "ITM_T_END", "ITM_DOWN1", "DOCU_CHR_sub", "ITM_DOWN_ARROW", "DOCU_CHR_super", "ITM_UP_ARROW", "MNU_TAMALPHA", "ITM_alpha", "DOCU_CHR_caseFLIP", "ITM_NULL", "DOCU_CHR_numSET", "ITM_NULL", "DOCU_ITM_RADIX", "ITM_PERIOD", AP370), ".lo", ),"MNU_", "-MNU_")</f>
        <v>ITM_NUMBER_SIGN</v>
      </c>
      <c r="BB370" s="157" t="str" cm="1">
        <f t="array" ref="BB370">SUBSTITUTE(SUBSTITUTE(_xlfn.SWITCH(AQ370, "ITM_T_HOME", "ITM_UP1", "ITM_T_END", "ITM_DOWN1", "DOCU_CHR_sub", "ITM_DOWN_ARROW", "DOCU_CHR_super", "ITM_UP_ARROW", "MNU_TAMALPHA", "ITM_alpha", "DOCU_CHR_caseFLIP", "ITM_NULL", "DOCU_CHR_numSET", "ITM_NULL", "DOCU_ITM_RADIX", "ITM_PERIOD", AQ370), ".lo", ),"MNU_", "-MNU_")</f>
        <v>ITM_B</v>
      </c>
      <c r="BC370" s="157" t="str" cm="1">
        <f t="array" ref="BC370">SUBSTITUTE(SUBSTITUTE(_xlfn.SWITCH(AR370, "ITM_T_HOME", "ITM_UP1", "ITM_T_END", "ITM_DOWN1", "DOCU_CHR_sub", "ITM_DOWN_ARROW", "DOCU_CHR_super", "ITM_UP_ARROW", "MNU_TAMALPHA", "ITM_alpha", "DOCU_CHR_caseFLIP", "ITM_NULL", "DOCU_CHR_numSET", "ITM_NULL", "DOCU_ITM_RADIX", "ITM_PERIOD", AR370), ".lo", ),"MNU_", "-MNU_")</f>
        <v>ITM_b</v>
      </c>
      <c r="BD370" s="157" t="str" cm="1">
        <f t="array" ref="BD370">SUBSTITUTE(SUBSTITUTE(_xlfn.SWITCH(AS370, "ITM_T_HOME", "ITM_UP1", "ITM_T_END", "ITM_DOWN1", "DOCU_CHR_sub", "ITM_DOWN_ARROW", "DOCU_CHR_super", "ITM_UP_ARROW", "MNU_TAMALPHA", "ITM_alpha", "DOCU_CHR_caseFLIP", "ITM_NULL", "DOCU_CHR_numSET", "ITM_NULL", "DOCU_ITM_RADIX", "ITM_PERIOD", AS370), ".lo", ),"MNU_", "-MNU_")</f>
        <v>ITM_NULL</v>
      </c>
      <c r="BE370" s="157" t="str" cm="1">
        <f t="array" ref="BE370">SUBSTITUTE(SUBSTITUTE(_xlfn.SWITCH(AT370, "ITM_T_HOME", "ITM_UP1", "ITM_T_END", "ITM_DOWN1", "DOCU_CHR_sub", "ITM_DOWN_ARROW", "DOCU_CHR_super", "ITM_UP_ARROW", "MNU_TAMALPHA", "ITM_alpha", "DOCU_CHR_caseFLIP", "ITM_NULL", "DOCU_CHR_numSET", "ITM_NULL", "DOCU_ITM_RADIX", "ITM_PERIOD", AT370), ".lo", ),"MNU_", "-MNU_")</f>
        <v>ITM_REG_B</v>
      </c>
      <c r="BG370" s="75"/>
      <c r="BI370" s="13"/>
    </row>
    <row r="371" spans="24:61" ht="21" x14ac:dyDescent="0.2">
      <c r="X371" s="129" t="str">
        <f t="shared" si="130"/>
        <v>S47</v>
      </c>
      <c r="Y371" s="109">
        <v>2</v>
      </c>
      <c r="Z371" s="109">
        <v>3</v>
      </c>
      <c r="AA371" s="112" t="str">
        <f t="shared" si="129"/>
        <v>S47.23</v>
      </c>
      <c r="AB371" s="117" t="s">
        <v>103</v>
      </c>
      <c r="AC371" s="118" t="s">
        <v>55</v>
      </c>
      <c r="AD371" s="119" t="s">
        <v>63</v>
      </c>
      <c r="AE371" s="3"/>
      <c r="AF371" s="49" t="s">
        <v>64</v>
      </c>
      <c r="AG371" s="77" t="b">
        <f t="shared" si="139"/>
        <v>1</v>
      </c>
      <c r="AH371" s="83" t="str">
        <f t="shared" si="131"/>
        <v>c</v>
      </c>
      <c r="AI371" s="84" t="str">
        <f t="shared" si="132"/>
        <v xml:space="preserve"> </v>
      </c>
      <c r="AJ371" s="85" t="str">
        <f t="shared" si="133"/>
        <v>Reg C</v>
      </c>
      <c r="AK371" s="6"/>
      <c r="AL371" s="8" t="str">
        <f t="shared" si="134"/>
        <v>{23</v>
      </c>
      <c r="AM371" s="27" t="str">
        <f t="shared" si="135"/>
        <v>ITM_XTHROOT</v>
      </c>
      <c r="AN371" s="27" t="str">
        <f t="shared" si="136"/>
        <v>ITM_YX</v>
      </c>
      <c r="AO371" s="27" t="str">
        <f t="shared" si="137"/>
        <v>ITM_ms</v>
      </c>
      <c r="AP371" s="46" t="str">
        <f>IF(NOT(ISNA(MATCH(AM371,Lookups!E:E,))),VLOOKUP(AM371,Lookups!E:F,2,0),
IF(NOT(ISNA(MATCH(AN371,Lookups!E:E,))),VLOOKUP(AN371,Lookups!E:F,2,0),
IF(NOT(ISNA(MATCH(AO371,Lookups!E:E,))),VLOOKUP(AO371,Lookups!E:F,2,0),"ITM_NULL")))</f>
        <v>ITM_NULL</v>
      </c>
      <c r="AQ371" s="28" t="str">
        <f t="shared" si="138"/>
        <v>ITM_C</v>
      </c>
      <c r="AR371" s="195" t="s">
        <v>65</v>
      </c>
      <c r="AS371" s="186" t="s">
        <v>81</v>
      </c>
      <c r="AT371" s="196" t="s">
        <v>67</v>
      </c>
      <c r="AW371" s="14" t="str">
        <f t="shared" si="140"/>
        <v>{23</v>
      </c>
      <c r="AX371" s="157" t="str" cm="1">
        <f t="array" ref="AX371">SUBSTITUTE(SUBSTITUTE(_xlfn.SWITCH(AM371, "ITM_T_HOME", "ITM_UP1", "ITM_T_END", "ITM_DOWN1", "DOCU_CHR_sub", "ITM_DOWN_ARROW", "DOCU_CHR_super", "ITM_UP_ARROW", "MNU_TAMALPHA", "ITM_alpha", "DOCU_CHR_caseFLIP", "ITM_NULL", "DOCU_CHR_numSET", "ITM_NULL", "DOCU_ITM_RADIX", "ITM_PERIOD", AM371), ".lo", ),"MNU_", "-MNU_")</f>
        <v>ITM_XTHROOT</v>
      </c>
      <c r="AY371" s="157" t="str" cm="1">
        <f t="array" ref="AY371">SUBSTITUTE(SUBSTITUTE(_xlfn.SWITCH(AN371, "ITM_T_HOME", "ITM_UP1", "ITM_T_END", "ITM_DOWN1", "DOCU_CHR_sub", "ITM_DOWN_ARROW", "DOCU_CHR_super", "ITM_UP_ARROW", "MNU_TAMALPHA", "ITM_alpha", "DOCU_CHR_caseFLIP", "ITM_NULL", "DOCU_CHR_numSET", "ITM_NULL", "DOCU_ITM_RADIX", "ITM_PERIOD", AN371), ".lo", ),"MNU_", "-MNU_")</f>
        <v>ITM_YX</v>
      </c>
      <c r="AZ371" s="157" t="str" cm="1">
        <f t="array" ref="AZ371">SUBSTITUTE(SUBSTITUTE(_xlfn.SWITCH(AO371, "ITM_T_HOME", "ITM_UP1", "ITM_T_END", "ITM_DOWN1", "DOCU_CHR_sub", "ITM_DOWN_ARROW", "DOCU_CHR_super", "ITM_UP_ARROW", "MNU_TAMALPHA", "ITM_alpha", "DOCU_CHR_caseFLIP", "ITM_NULL", "DOCU_CHR_numSET", "ITM_NULL", "DOCU_ITM_RADIX", "ITM_PERIOD", AO371), ".lo", ),"MNU_", "-MNU_")</f>
        <v>ITM_ms</v>
      </c>
      <c r="BA371" s="173" t="str" cm="1">
        <f t="array" ref="BA371">SUBSTITUTE(SUBSTITUTE(_xlfn.SWITCH(AP371, "ITM_T_HOME", "ITM_UP1", "ITM_T_END", "ITM_DOWN1", "DOCU_CHR_sub", "ITM_DOWN_ARROW", "DOCU_CHR_super", "ITM_UP_ARROW", "MNU_TAMALPHA", "ITM_alpha", "DOCU_CHR_caseFLIP", "ITM_NULL", "DOCU_CHR_numSET", "ITM_NULL", "DOCU_ITM_RADIX", "ITM_PERIOD", AP371), ".lo", ),"MNU_", "-MNU_")</f>
        <v>ITM_NULL</v>
      </c>
      <c r="BB371" s="157" t="str" cm="1">
        <f t="array" ref="BB371">SUBSTITUTE(SUBSTITUTE(_xlfn.SWITCH(AQ371, "ITM_T_HOME", "ITM_UP1", "ITM_T_END", "ITM_DOWN1", "DOCU_CHR_sub", "ITM_DOWN_ARROW", "DOCU_CHR_super", "ITM_UP_ARROW", "MNU_TAMALPHA", "ITM_alpha", "DOCU_CHR_caseFLIP", "ITM_NULL", "DOCU_CHR_numSET", "ITM_NULL", "DOCU_ITM_RADIX", "ITM_PERIOD", AQ371), ".lo", ),"MNU_", "-MNU_")</f>
        <v>ITM_C</v>
      </c>
      <c r="BC371" s="157" t="str" cm="1">
        <f t="array" ref="BC371">SUBSTITUTE(SUBSTITUTE(_xlfn.SWITCH(AR371, "ITM_T_HOME", "ITM_UP1", "ITM_T_END", "ITM_DOWN1", "DOCU_CHR_sub", "ITM_DOWN_ARROW", "DOCU_CHR_super", "ITM_UP_ARROW", "MNU_TAMALPHA", "ITM_alpha", "DOCU_CHR_caseFLIP", "ITM_NULL", "DOCU_CHR_numSET", "ITM_NULL", "DOCU_ITM_RADIX", "ITM_PERIOD", AR371), ".lo", ),"MNU_", "-MNU_")</f>
        <v>ITM_c</v>
      </c>
      <c r="BD371" s="157" t="str" cm="1">
        <f t="array" ref="BD371">SUBSTITUTE(SUBSTITUTE(_xlfn.SWITCH(AS371, "ITM_T_HOME", "ITM_UP1", "ITM_T_END", "ITM_DOWN1", "DOCU_CHR_sub", "ITM_DOWN_ARROW", "DOCU_CHR_super", "ITM_UP_ARROW", "MNU_TAMALPHA", "ITM_alpha", "DOCU_CHR_caseFLIP", "ITM_NULL", "DOCU_CHR_numSET", "ITM_NULL", "DOCU_ITM_RADIX", "ITM_PERIOD", AS371), ".lo", ),"MNU_", "-MNU_")</f>
        <v>ITM_NULL</v>
      </c>
      <c r="BE371" s="157" t="str" cm="1">
        <f t="array" ref="BE371">SUBSTITUTE(SUBSTITUTE(_xlfn.SWITCH(AT371, "ITM_T_HOME", "ITM_UP1", "ITM_T_END", "ITM_DOWN1", "DOCU_CHR_sub", "ITM_DOWN_ARROW", "DOCU_CHR_super", "ITM_UP_ARROW", "MNU_TAMALPHA", "ITM_alpha", "DOCU_CHR_caseFLIP", "ITM_NULL", "DOCU_CHR_numSET", "ITM_NULL", "DOCU_ITM_RADIX", "ITM_PERIOD", AT371), ".lo", ),"MNU_", "-MNU_")</f>
        <v>ITM_REG_C</v>
      </c>
      <c r="BG371" s="75"/>
      <c r="BI371" s="13"/>
    </row>
    <row r="372" spans="24:61" ht="21" x14ac:dyDescent="0.2">
      <c r="X372" s="129" t="str">
        <f t="shared" si="130"/>
        <v>S47</v>
      </c>
      <c r="Y372" s="109">
        <v>2</v>
      </c>
      <c r="Z372" s="109">
        <v>4</v>
      </c>
      <c r="AA372" s="112" t="str">
        <f t="shared" si="129"/>
        <v>S47.24</v>
      </c>
      <c r="AB372" s="117" t="s">
        <v>61</v>
      </c>
      <c r="AC372" s="118" t="s">
        <v>62</v>
      </c>
      <c r="AD372" s="119" t="s">
        <v>70</v>
      </c>
      <c r="AE372" s="3"/>
      <c r="AF372" s="49" t="s">
        <v>71</v>
      </c>
      <c r="AG372" s="77" t="b">
        <f t="shared" si="139"/>
        <v>1</v>
      </c>
      <c r="AH372" s="83" t="str">
        <f t="shared" si="131"/>
        <v>d</v>
      </c>
      <c r="AI372" s="84" t="str">
        <f t="shared" si="132"/>
        <v>√</v>
      </c>
      <c r="AJ372" s="85" t="str">
        <f t="shared" si="133"/>
        <v>Reg D</v>
      </c>
      <c r="AK372" s="6"/>
      <c r="AL372" s="8" t="str">
        <f t="shared" si="134"/>
        <v>{24</v>
      </c>
      <c r="AM372" s="27" t="str">
        <f t="shared" si="135"/>
        <v>ITM_SQUAREROOTX</v>
      </c>
      <c r="AN372" s="27" t="str">
        <f t="shared" si="136"/>
        <v>ITM_SQUARE</v>
      </c>
      <c r="AO372" s="27" t="str">
        <f t="shared" si="137"/>
        <v>ITM_dotD</v>
      </c>
      <c r="AP372" s="46" t="str">
        <f>IF(NOT(ISNA(MATCH(AM372,Lookups!E:E,))),VLOOKUP(AM372,Lookups!E:F,2,0),
IF(NOT(ISNA(MATCH(AN372,Lookups!E:E,))),VLOOKUP(AN372,Lookups!E:F,2,0),
IF(NOT(ISNA(MATCH(AO372,Lookups!E:E,))),VLOOKUP(AO372,Lookups!E:F,2,0),"ITM_NULL")))</f>
        <v>ITM_ROOT_SIGN</v>
      </c>
      <c r="AQ372" s="28" t="str">
        <f t="shared" si="138"/>
        <v>ITM_D</v>
      </c>
      <c r="AR372" s="195" t="s">
        <v>72</v>
      </c>
      <c r="AS372" s="186" t="s">
        <v>66</v>
      </c>
      <c r="AT372" s="196" t="s">
        <v>74</v>
      </c>
      <c r="AW372" s="14" t="str">
        <f t="shared" si="140"/>
        <v>{24</v>
      </c>
      <c r="AX372" s="157" t="str" cm="1">
        <f t="array" ref="AX372">SUBSTITUTE(SUBSTITUTE(_xlfn.SWITCH(AM372, "ITM_T_HOME", "ITM_UP1", "ITM_T_END", "ITM_DOWN1", "DOCU_CHR_sub", "ITM_DOWN_ARROW", "DOCU_CHR_super", "ITM_UP_ARROW", "MNU_TAMALPHA", "ITM_alpha", "DOCU_CHR_caseFLIP", "ITM_NULL", "DOCU_CHR_numSET", "ITM_NULL", "DOCU_ITM_RADIX", "ITM_PERIOD", AM372), ".lo", ),"MNU_", "-MNU_")</f>
        <v>ITM_SQUAREROOTX</v>
      </c>
      <c r="AY372" s="157" t="str" cm="1">
        <f t="array" ref="AY372">SUBSTITUTE(SUBSTITUTE(_xlfn.SWITCH(AN372, "ITM_T_HOME", "ITM_UP1", "ITM_T_END", "ITM_DOWN1", "DOCU_CHR_sub", "ITM_DOWN_ARROW", "DOCU_CHR_super", "ITM_UP_ARROW", "MNU_TAMALPHA", "ITM_alpha", "DOCU_CHR_caseFLIP", "ITM_NULL", "DOCU_CHR_numSET", "ITM_NULL", "DOCU_ITM_RADIX", "ITM_PERIOD", AN372), ".lo", ),"MNU_", "-MNU_")</f>
        <v>ITM_SQUARE</v>
      </c>
      <c r="AZ372" s="157" t="str" cm="1">
        <f t="array" ref="AZ372">SUBSTITUTE(SUBSTITUTE(_xlfn.SWITCH(AO372, "ITM_T_HOME", "ITM_UP1", "ITM_T_END", "ITM_DOWN1", "DOCU_CHR_sub", "ITM_DOWN_ARROW", "DOCU_CHR_super", "ITM_UP_ARROW", "MNU_TAMALPHA", "ITM_alpha", "DOCU_CHR_caseFLIP", "ITM_NULL", "DOCU_CHR_numSET", "ITM_NULL", "DOCU_ITM_RADIX", "ITM_PERIOD", AO372), ".lo", ),"MNU_", "-MNU_")</f>
        <v>ITM_dotD</v>
      </c>
      <c r="BA372" s="173" t="str" cm="1">
        <f t="array" ref="BA372">SUBSTITUTE(SUBSTITUTE(_xlfn.SWITCH(AP372, "ITM_T_HOME", "ITM_UP1", "ITM_T_END", "ITM_DOWN1", "DOCU_CHR_sub", "ITM_DOWN_ARROW", "DOCU_CHR_super", "ITM_UP_ARROW", "MNU_TAMALPHA", "ITM_alpha", "DOCU_CHR_caseFLIP", "ITM_NULL", "DOCU_CHR_numSET", "ITM_NULL", "DOCU_ITM_RADIX", "ITM_PERIOD", AP372), ".lo", ),"MNU_", "-MNU_")</f>
        <v>ITM_ROOT_SIGN</v>
      </c>
      <c r="BB372" s="157" t="str" cm="1">
        <f t="array" ref="BB372">SUBSTITUTE(SUBSTITUTE(_xlfn.SWITCH(AQ372, "ITM_T_HOME", "ITM_UP1", "ITM_T_END", "ITM_DOWN1", "DOCU_CHR_sub", "ITM_DOWN_ARROW", "DOCU_CHR_super", "ITM_UP_ARROW", "MNU_TAMALPHA", "ITM_alpha", "DOCU_CHR_caseFLIP", "ITM_NULL", "DOCU_CHR_numSET", "ITM_NULL", "DOCU_ITM_RADIX", "ITM_PERIOD", AQ372), ".lo", ),"MNU_", "-MNU_")</f>
        <v>ITM_D</v>
      </c>
      <c r="BC372" s="157" t="str" cm="1">
        <f t="array" ref="BC372">SUBSTITUTE(SUBSTITUTE(_xlfn.SWITCH(AR372, "ITM_T_HOME", "ITM_UP1", "ITM_T_END", "ITM_DOWN1", "DOCU_CHR_sub", "ITM_DOWN_ARROW", "DOCU_CHR_super", "ITM_UP_ARROW", "MNU_TAMALPHA", "ITM_alpha", "DOCU_CHR_caseFLIP", "ITM_NULL", "DOCU_CHR_numSET", "ITM_NULL", "DOCU_ITM_RADIX", "ITM_PERIOD", AR372), ".lo", ),"MNU_", "-MNU_")</f>
        <v>ITM_d</v>
      </c>
      <c r="BD372" s="157" t="str" cm="1">
        <f t="array" ref="BD372">SUBSTITUTE(SUBSTITUTE(_xlfn.SWITCH(AS372, "ITM_T_HOME", "ITM_UP1", "ITM_T_END", "ITM_DOWN1", "DOCU_CHR_sub", "ITM_DOWN_ARROW", "DOCU_CHR_super", "ITM_UP_ARROW", "MNU_TAMALPHA", "ITM_alpha", "DOCU_CHR_caseFLIP", "ITM_NULL", "DOCU_CHR_numSET", "ITM_NULL", "DOCU_ITM_RADIX", "ITM_PERIOD", AS372), ".lo", ),"MNU_", "-MNU_")</f>
        <v>ITM_ROOT_SIGN</v>
      </c>
      <c r="BE372" s="157" t="str" cm="1">
        <f t="array" ref="BE372">SUBSTITUTE(SUBSTITUTE(_xlfn.SWITCH(AT372, "ITM_T_HOME", "ITM_UP1", "ITM_T_END", "ITM_DOWN1", "DOCU_CHR_sub", "ITM_DOWN_ARROW", "DOCU_CHR_super", "ITM_UP_ARROW", "MNU_TAMALPHA", "ITM_alpha", "DOCU_CHR_caseFLIP", "ITM_NULL", "DOCU_CHR_numSET", "ITM_NULL", "DOCU_ITM_RADIX", "ITM_PERIOD", AT372), ".lo", ),"MNU_", "-MNU_")</f>
        <v>ITM_REG_D</v>
      </c>
      <c r="BG372" s="75"/>
      <c r="BI372" s="13"/>
    </row>
    <row r="373" spans="24:61" ht="21" x14ac:dyDescent="0.2">
      <c r="X373" s="129" t="str">
        <f t="shared" si="130"/>
        <v>S47</v>
      </c>
      <c r="Y373" s="109">
        <v>2</v>
      </c>
      <c r="Z373" s="109">
        <v>5</v>
      </c>
      <c r="AA373" s="112" t="str">
        <f t="shared" si="129"/>
        <v>S47.25</v>
      </c>
      <c r="AB373" s="117" t="s">
        <v>68</v>
      </c>
      <c r="AC373" s="118" t="s">
        <v>69</v>
      </c>
      <c r="AD373" s="119" t="s">
        <v>77</v>
      </c>
      <c r="AE373" s="3"/>
      <c r="AF373" s="49" t="s">
        <v>78</v>
      </c>
      <c r="AG373" s="77" t="b">
        <f t="shared" si="139"/>
        <v>1</v>
      </c>
      <c r="AH373" s="83" t="str">
        <f t="shared" si="131"/>
        <v>e</v>
      </c>
      <c r="AI373" s="84" t="str">
        <f t="shared" si="132"/>
        <v>LOG</v>
      </c>
      <c r="AJ373" s="85" t="str">
        <f t="shared" si="133"/>
        <v xml:space="preserve"> </v>
      </c>
      <c r="AK373" s="6"/>
      <c r="AL373" s="8" t="str">
        <f t="shared" si="134"/>
        <v>{25</v>
      </c>
      <c r="AM373" s="27" t="str">
        <f t="shared" si="135"/>
        <v>ITM_LOG10</v>
      </c>
      <c r="AN373" s="27" t="str">
        <f t="shared" si="136"/>
        <v>ITM_10x</v>
      </c>
      <c r="AO373" s="27" t="str">
        <f t="shared" si="137"/>
        <v>ITM_LBL</v>
      </c>
      <c r="AP373" s="46" t="str">
        <f>IF(NOT(ISNA(MATCH(AM373,Lookups!E:E,))),VLOOKUP(AM373,Lookups!E:F,2,0),
IF(NOT(ISNA(MATCH(AN373,Lookups!E:E,))),VLOOKUP(AN373,Lookups!E:F,2,0),
IF(NOT(ISNA(MATCH(AO373,Lookups!E:E,))),VLOOKUP(AO373,Lookups!E:F,2,0),"ITM_NULL")))</f>
        <v>ITM_NULL</v>
      </c>
      <c r="AQ373" s="28" t="str">
        <f t="shared" si="138"/>
        <v>ITM_E</v>
      </c>
      <c r="AR373" s="195" t="s">
        <v>79</v>
      </c>
      <c r="AS373" s="186" t="s">
        <v>73</v>
      </c>
      <c r="AT373" s="197" t="s">
        <v>81</v>
      </c>
      <c r="AW373" s="14" t="str">
        <f t="shared" si="140"/>
        <v>{25</v>
      </c>
      <c r="AX373" s="157" t="str" cm="1">
        <f t="array" ref="AX373">SUBSTITUTE(SUBSTITUTE(_xlfn.SWITCH(AM373, "ITM_T_HOME", "ITM_UP1", "ITM_T_END", "ITM_DOWN1", "DOCU_CHR_sub", "ITM_DOWN_ARROW", "DOCU_CHR_super", "ITM_UP_ARROW", "MNU_TAMALPHA", "ITM_alpha", "DOCU_CHR_caseFLIP", "ITM_NULL", "DOCU_CHR_numSET", "ITM_NULL", "DOCU_ITM_RADIX", "ITM_PERIOD", AM373), ".lo", ),"MNU_", "-MNU_")</f>
        <v>ITM_LOG10</v>
      </c>
      <c r="AY373" s="157" t="str" cm="1">
        <f t="array" ref="AY373">SUBSTITUTE(SUBSTITUTE(_xlfn.SWITCH(AN373, "ITM_T_HOME", "ITM_UP1", "ITM_T_END", "ITM_DOWN1", "DOCU_CHR_sub", "ITM_DOWN_ARROW", "DOCU_CHR_super", "ITM_UP_ARROW", "MNU_TAMALPHA", "ITM_alpha", "DOCU_CHR_caseFLIP", "ITM_NULL", "DOCU_CHR_numSET", "ITM_NULL", "DOCU_ITM_RADIX", "ITM_PERIOD", AN373), ".lo", ),"MNU_", "-MNU_")</f>
        <v>ITM_10x</v>
      </c>
      <c r="AZ373" s="157" t="str" cm="1">
        <f t="array" ref="AZ373">SUBSTITUTE(SUBSTITUTE(_xlfn.SWITCH(AO373, "ITM_T_HOME", "ITM_UP1", "ITM_T_END", "ITM_DOWN1", "DOCU_CHR_sub", "ITM_DOWN_ARROW", "DOCU_CHR_super", "ITM_UP_ARROW", "MNU_TAMALPHA", "ITM_alpha", "DOCU_CHR_caseFLIP", "ITM_NULL", "DOCU_CHR_numSET", "ITM_NULL", "DOCU_ITM_RADIX", "ITM_PERIOD", AO373), ".lo", ),"MNU_", "-MNU_")</f>
        <v>ITM_LBL</v>
      </c>
      <c r="BA373" s="173" t="str" cm="1">
        <f t="array" ref="BA373">SUBSTITUTE(SUBSTITUTE(_xlfn.SWITCH(AP373, "ITM_T_HOME", "ITM_UP1", "ITM_T_END", "ITM_DOWN1", "DOCU_CHR_sub", "ITM_DOWN_ARROW", "DOCU_CHR_super", "ITM_UP_ARROW", "MNU_TAMALPHA", "ITM_alpha", "DOCU_CHR_caseFLIP", "ITM_NULL", "DOCU_CHR_numSET", "ITM_NULL", "DOCU_ITM_RADIX", "ITM_PERIOD", AP373), ".lo", ),"MNU_", "-MNU_")</f>
        <v>ITM_NULL</v>
      </c>
      <c r="BB373" s="157" t="str" cm="1">
        <f t="array" ref="BB373">SUBSTITUTE(SUBSTITUTE(_xlfn.SWITCH(AQ373, "ITM_T_HOME", "ITM_UP1", "ITM_T_END", "ITM_DOWN1", "DOCU_CHR_sub", "ITM_DOWN_ARROW", "DOCU_CHR_super", "ITM_UP_ARROW", "MNU_TAMALPHA", "ITM_alpha", "DOCU_CHR_caseFLIP", "ITM_NULL", "DOCU_CHR_numSET", "ITM_NULL", "DOCU_ITM_RADIX", "ITM_PERIOD", AQ373), ".lo", ),"MNU_", "-MNU_")</f>
        <v>ITM_E</v>
      </c>
      <c r="BC373" s="157" t="str" cm="1">
        <f t="array" ref="BC373">SUBSTITUTE(SUBSTITUTE(_xlfn.SWITCH(AR373, "ITM_T_HOME", "ITM_UP1", "ITM_T_END", "ITM_DOWN1", "DOCU_CHR_sub", "ITM_DOWN_ARROW", "DOCU_CHR_super", "ITM_UP_ARROW", "MNU_TAMALPHA", "ITM_alpha", "DOCU_CHR_caseFLIP", "ITM_NULL", "DOCU_CHR_numSET", "ITM_NULL", "DOCU_ITM_RADIX", "ITM_PERIOD", AR373), ".lo", ),"MNU_", "-MNU_")</f>
        <v>ITM_e</v>
      </c>
      <c r="BD373" s="157" t="str" cm="1">
        <f t="array" ref="BD373">SUBSTITUTE(SUBSTITUTE(_xlfn.SWITCH(AS373, "ITM_T_HOME", "ITM_UP1", "ITM_T_END", "ITM_DOWN1", "DOCU_CHR_sub", "ITM_DOWN_ARROW", "DOCU_CHR_super", "ITM_UP_ARROW", "MNU_TAMALPHA", "ITM_alpha", "DOCU_CHR_caseFLIP", "ITM_NULL", "DOCU_CHR_numSET", "ITM_NULL", "DOCU_ITM_RADIX", "ITM_PERIOD", AS373), ".lo", ),"MNU_", "-MNU_")</f>
        <v>ITM_LG_SIGN</v>
      </c>
      <c r="BE373" s="157" t="str" cm="1">
        <f t="array" ref="BE373">SUBSTITUTE(SUBSTITUTE(_xlfn.SWITCH(AT373, "ITM_T_HOME", "ITM_UP1", "ITM_T_END", "ITM_DOWN1", "DOCU_CHR_sub", "ITM_DOWN_ARROW", "DOCU_CHR_super", "ITM_UP_ARROW", "MNU_TAMALPHA", "ITM_alpha", "DOCU_CHR_caseFLIP", "ITM_NULL", "DOCU_CHR_numSET", "ITM_NULL", "DOCU_ITM_RADIX", "ITM_PERIOD", AT373), ".lo", ),"MNU_", "-MNU_")</f>
        <v>ITM_NULL</v>
      </c>
      <c r="BG373" s="75"/>
      <c r="BI373" s="13"/>
    </row>
    <row r="374" spans="24:61" ht="21" x14ac:dyDescent="0.2">
      <c r="X374" s="129" t="str">
        <f t="shared" si="130"/>
        <v>S47</v>
      </c>
      <c r="Y374" s="109">
        <v>2</v>
      </c>
      <c r="Z374" s="109">
        <v>6</v>
      </c>
      <c r="AA374" s="112" t="str">
        <f t="shared" si="129"/>
        <v>S47.26</v>
      </c>
      <c r="AB374" s="117" t="s">
        <v>75</v>
      </c>
      <c r="AC374" s="118" t="s">
        <v>76</v>
      </c>
      <c r="AD374" s="119" t="s">
        <v>84</v>
      </c>
      <c r="AE374" s="3"/>
      <c r="AF374" s="49" t="s">
        <v>85</v>
      </c>
      <c r="AG374" s="77" t="b">
        <f t="shared" si="139"/>
        <v>1</v>
      </c>
      <c r="AH374" s="83" t="str">
        <f t="shared" si="131"/>
        <v>f</v>
      </c>
      <c r="AI374" s="84" t="str">
        <f t="shared" si="132"/>
        <v>LN</v>
      </c>
      <c r="AJ374" s="85" t="str">
        <f t="shared" si="133"/>
        <v xml:space="preserve"> </v>
      </c>
      <c r="AK374" s="6"/>
      <c r="AL374" s="8" t="str">
        <f t="shared" si="134"/>
        <v>{26</v>
      </c>
      <c r="AM374" s="27" t="str">
        <f t="shared" si="135"/>
        <v>ITM_LN</v>
      </c>
      <c r="AN374" s="27" t="str">
        <f t="shared" si="136"/>
        <v>ITM_EXP</v>
      </c>
      <c r="AO374" s="27" t="str">
        <f t="shared" si="137"/>
        <v>ITM_GTO</v>
      </c>
      <c r="AP374" s="46" t="str">
        <f>IF(NOT(ISNA(MATCH(AM374,Lookups!E:E,))),VLOOKUP(AM374,Lookups!E:F,2,0),
IF(NOT(ISNA(MATCH(AN374,Lookups!E:E,))),VLOOKUP(AN374,Lookups!E:F,2,0),
IF(NOT(ISNA(MATCH(AO374,Lookups!E:E,))),VLOOKUP(AO374,Lookups!E:F,2,0),"ITM_NULL")))</f>
        <v>ITM_NULL</v>
      </c>
      <c r="AQ374" s="28" t="str">
        <f t="shared" si="138"/>
        <v>ITM_F</v>
      </c>
      <c r="AR374" s="195" t="s">
        <v>86</v>
      </c>
      <c r="AS374" s="186" t="s">
        <v>80</v>
      </c>
      <c r="AT374" s="197" t="s">
        <v>81</v>
      </c>
      <c r="AW374" s="14" t="str">
        <f t="shared" si="140"/>
        <v>{26</v>
      </c>
      <c r="AX374" s="157" t="str" cm="1">
        <f t="array" ref="AX374">SUBSTITUTE(SUBSTITUTE(_xlfn.SWITCH(AM374, "ITM_T_HOME", "ITM_UP1", "ITM_T_END", "ITM_DOWN1", "DOCU_CHR_sub", "ITM_DOWN_ARROW", "DOCU_CHR_super", "ITM_UP_ARROW", "MNU_TAMALPHA", "ITM_alpha", "DOCU_CHR_caseFLIP", "ITM_NULL", "DOCU_CHR_numSET", "ITM_NULL", "DOCU_ITM_RADIX", "ITM_PERIOD", AM374), ".lo", ),"MNU_", "-MNU_")</f>
        <v>ITM_LN</v>
      </c>
      <c r="AY374" s="157" t="str" cm="1">
        <f t="array" ref="AY374">SUBSTITUTE(SUBSTITUTE(_xlfn.SWITCH(AN374, "ITM_T_HOME", "ITM_UP1", "ITM_T_END", "ITM_DOWN1", "DOCU_CHR_sub", "ITM_DOWN_ARROW", "DOCU_CHR_super", "ITM_UP_ARROW", "MNU_TAMALPHA", "ITM_alpha", "DOCU_CHR_caseFLIP", "ITM_NULL", "DOCU_CHR_numSET", "ITM_NULL", "DOCU_ITM_RADIX", "ITM_PERIOD", AN374), ".lo", ),"MNU_", "-MNU_")</f>
        <v>ITM_EXP</v>
      </c>
      <c r="AZ374" s="157" t="str" cm="1">
        <f t="array" ref="AZ374">SUBSTITUTE(SUBSTITUTE(_xlfn.SWITCH(AO374, "ITM_T_HOME", "ITM_UP1", "ITM_T_END", "ITM_DOWN1", "DOCU_CHR_sub", "ITM_DOWN_ARROW", "DOCU_CHR_super", "ITM_UP_ARROW", "MNU_TAMALPHA", "ITM_alpha", "DOCU_CHR_caseFLIP", "ITM_NULL", "DOCU_CHR_numSET", "ITM_NULL", "DOCU_ITM_RADIX", "ITM_PERIOD", AO374), ".lo", ),"MNU_", "-MNU_")</f>
        <v>ITM_GTO</v>
      </c>
      <c r="BA374" s="173" t="str" cm="1">
        <f t="array" ref="BA374">SUBSTITUTE(SUBSTITUTE(_xlfn.SWITCH(AP374, "ITM_T_HOME", "ITM_UP1", "ITM_T_END", "ITM_DOWN1", "DOCU_CHR_sub", "ITM_DOWN_ARROW", "DOCU_CHR_super", "ITM_UP_ARROW", "MNU_TAMALPHA", "ITM_alpha", "DOCU_CHR_caseFLIP", "ITM_NULL", "DOCU_CHR_numSET", "ITM_NULL", "DOCU_ITM_RADIX", "ITM_PERIOD", AP374), ".lo", ),"MNU_", "-MNU_")</f>
        <v>ITM_NULL</v>
      </c>
      <c r="BB374" s="157" t="str" cm="1">
        <f t="array" ref="BB374">SUBSTITUTE(SUBSTITUTE(_xlfn.SWITCH(AQ374, "ITM_T_HOME", "ITM_UP1", "ITM_T_END", "ITM_DOWN1", "DOCU_CHR_sub", "ITM_DOWN_ARROW", "DOCU_CHR_super", "ITM_UP_ARROW", "MNU_TAMALPHA", "ITM_alpha", "DOCU_CHR_caseFLIP", "ITM_NULL", "DOCU_CHR_numSET", "ITM_NULL", "DOCU_ITM_RADIX", "ITM_PERIOD", AQ374), ".lo", ),"MNU_", "-MNU_")</f>
        <v>ITM_F</v>
      </c>
      <c r="BC374" s="157" t="str" cm="1">
        <f t="array" ref="BC374">SUBSTITUTE(SUBSTITUTE(_xlfn.SWITCH(AR374, "ITM_T_HOME", "ITM_UP1", "ITM_T_END", "ITM_DOWN1", "DOCU_CHR_sub", "ITM_DOWN_ARROW", "DOCU_CHR_super", "ITM_UP_ARROW", "MNU_TAMALPHA", "ITM_alpha", "DOCU_CHR_caseFLIP", "ITM_NULL", "DOCU_CHR_numSET", "ITM_NULL", "DOCU_ITM_RADIX", "ITM_PERIOD", AR374), ".lo", ),"MNU_", "-MNU_")</f>
        <v>ITM_f</v>
      </c>
      <c r="BD374" s="157" t="str" cm="1">
        <f t="array" ref="BD374">SUBSTITUTE(SUBSTITUTE(_xlfn.SWITCH(AS374, "ITM_T_HOME", "ITM_UP1", "ITM_T_END", "ITM_DOWN1", "DOCU_CHR_sub", "ITM_DOWN_ARROW", "DOCU_CHR_super", "ITM_UP_ARROW", "MNU_TAMALPHA", "ITM_alpha", "DOCU_CHR_caseFLIP", "ITM_NULL", "DOCU_CHR_numSET", "ITM_NULL", "DOCU_ITM_RADIX", "ITM_PERIOD", AS374), ".lo", ),"MNU_", "-MNU_")</f>
        <v>ITM_LN_SIGN</v>
      </c>
      <c r="BE374" s="157" t="str" cm="1">
        <f t="array" ref="BE374">SUBSTITUTE(SUBSTITUTE(_xlfn.SWITCH(AT374, "ITM_T_HOME", "ITM_UP1", "ITM_T_END", "ITM_DOWN1", "DOCU_CHR_sub", "ITM_DOWN_ARROW", "DOCU_CHR_super", "ITM_UP_ARROW", "MNU_TAMALPHA", "ITM_alpha", "DOCU_CHR_caseFLIP", "ITM_NULL", "DOCU_CHR_numSET", "ITM_NULL", "DOCU_ITM_RADIX", "ITM_PERIOD", AT374), ".lo", ),"MNU_", "-MNU_")</f>
        <v>ITM_NULL</v>
      </c>
      <c r="BG374" s="75"/>
      <c r="BI374" s="13"/>
    </row>
    <row r="375" spans="24:61" ht="21" x14ac:dyDescent="0.2">
      <c r="X375" s="129" t="str">
        <f t="shared" si="130"/>
        <v>S47</v>
      </c>
      <c r="Y375" s="106">
        <v>3</v>
      </c>
      <c r="Z375" s="106">
        <v>1</v>
      </c>
      <c r="AA375" s="112" t="str">
        <f t="shared" si="129"/>
        <v>S47.31</v>
      </c>
      <c r="AB375" s="121" t="s">
        <v>217</v>
      </c>
      <c r="AC375" s="174" t="s">
        <v>218</v>
      </c>
      <c r="AD375" s="131" t="s">
        <v>218</v>
      </c>
      <c r="AE375" s="3"/>
      <c r="AF375" s="130" t="s">
        <v>217</v>
      </c>
      <c r="AG375" s="77" t="b">
        <f t="shared" si="139"/>
        <v>0</v>
      </c>
      <c r="AH375" s="83" t="str">
        <f t="shared" si="131"/>
        <v xml:space="preserve"> </v>
      </c>
      <c r="AI375" s="84" t="str">
        <f t="shared" si="132"/>
        <v xml:space="preserve"> </v>
      </c>
      <c r="AJ375" s="85" t="str">
        <f t="shared" si="133"/>
        <v>f/g</v>
      </c>
      <c r="AK375" s="6"/>
      <c r="AL375" s="8" t="str">
        <f t="shared" si="134"/>
        <v>{31</v>
      </c>
      <c r="AM375" s="27" t="str">
        <f t="shared" si="135"/>
        <v>KEY_fg</v>
      </c>
      <c r="AN375" s="27" t="str">
        <f t="shared" si="136"/>
        <v>ITM_NULL</v>
      </c>
      <c r="AO375" s="27" t="str">
        <f t="shared" si="137"/>
        <v>ITM_NULL</v>
      </c>
      <c r="AP375" s="46" t="str">
        <f>IF(NOT(ISNA(MATCH(AM375,Lookups!E:E,))),VLOOKUP(AM375,Lookups!E:F,2,0),
IF(NOT(ISNA(MATCH(AN375,Lookups!E:E,))),VLOOKUP(AN375,Lookups!E:F,2,0),
IF(NOT(ISNA(MATCH(AO375,Lookups!E:E,))),VLOOKUP(AO375,Lookups!E:F,2,0),"ITM_NULL")))</f>
        <v>KEY_fg</v>
      </c>
      <c r="AQ375" s="28" t="str">
        <f t="shared" si="138"/>
        <v>KEY_fg</v>
      </c>
      <c r="AR375" s="198" t="s">
        <v>81</v>
      </c>
      <c r="AS375" s="186" t="s">
        <v>81</v>
      </c>
      <c r="AT375" s="221" t="s">
        <v>221</v>
      </c>
      <c r="AW375" s="14" t="str">
        <f t="shared" si="140"/>
        <v>{31</v>
      </c>
      <c r="AX375" s="157" t="str" cm="1">
        <f t="array" ref="AX375">SUBSTITUTE(SUBSTITUTE(_xlfn.SWITCH(AM375, "ITM_T_HOME", "ITM_UP1", "ITM_T_END", "ITM_DOWN1", "DOCU_CHR_sub", "ITM_DOWN_ARROW", "DOCU_CHR_super", "ITM_UP_ARROW", "MNU_TAMALPHA", "ITM_alpha", "DOCU_CHR_caseFLIP", "ITM_NULL", "DOCU_CHR_numSET", "ITM_NULL", "DOCU_ITM_RADIX", "ITM_PERIOD", AM375), ".lo", ),"MNU_", "-MNU_")</f>
        <v>KEY_fg</v>
      </c>
      <c r="AY375" s="157" t="str" cm="1">
        <f t="array" ref="AY375">SUBSTITUTE(SUBSTITUTE(_xlfn.SWITCH(AN375, "ITM_T_HOME", "ITM_UP1", "ITM_T_END", "ITM_DOWN1", "DOCU_CHR_sub", "ITM_DOWN_ARROW", "DOCU_CHR_super", "ITM_UP_ARROW", "MNU_TAMALPHA", "ITM_alpha", "DOCU_CHR_caseFLIP", "ITM_NULL", "DOCU_CHR_numSET", "ITM_NULL", "DOCU_ITM_RADIX", "ITM_PERIOD", AN375), ".lo", ),"MNU_", "-MNU_")</f>
        <v>ITM_NULL</v>
      </c>
      <c r="AZ375" s="157" t="str" cm="1">
        <f t="array" ref="AZ375">SUBSTITUTE(SUBSTITUTE(_xlfn.SWITCH(AO375, "ITM_T_HOME", "ITM_UP1", "ITM_T_END", "ITM_DOWN1", "DOCU_CHR_sub", "ITM_DOWN_ARROW", "DOCU_CHR_super", "ITM_UP_ARROW", "MNU_TAMALPHA", "ITM_alpha", "DOCU_CHR_caseFLIP", "ITM_NULL", "DOCU_CHR_numSET", "ITM_NULL", "DOCU_ITM_RADIX", "ITM_PERIOD", AO375), ".lo", ),"MNU_", "-MNU_")</f>
        <v>ITM_NULL</v>
      </c>
      <c r="BA375" s="173" t="str" cm="1">
        <f t="array" ref="BA375">SUBSTITUTE(SUBSTITUTE(_xlfn.SWITCH(AP375, "ITM_T_HOME", "ITM_UP1", "ITM_T_END", "ITM_DOWN1", "DOCU_CHR_sub", "ITM_DOWN_ARROW", "DOCU_CHR_super", "ITM_UP_ARROW", "MNU_TAMALPHA", "ITM_alpha", "DOCU_CHR_caseFLIP", "ITM_NULL", "DOCU_CHR_numSET", "ITM_NULL", "DOCU_ITM_RADIX", "ITM_PERIOD", AP375), ".lo", ),"MNU_", "-MNU_")</f>
        <v>KEY_fg</v>
      </c>
      <c r="BB375" s="157" t="str" cm="1">
        <f t="array" ref="BB375">SUBSTITUTE(SUBSTITUTE(_xlfn.SWITCH(AQ375, "ITM_T_HOME", "ITM_UP1", "ITM_T_END", "ITM_DOWN1", "DOCU_CHR_sub", "ITM_DOWN_ARROW", "DOCU_CHR_super", "ITM_UP_ARROW", "MNU_TAMALPHA", "ITM_alpha", "DOCU_CHR_caseFLIP", "ITM_NULL", "DOCU_CHR_numSET", "ITM_NULL", "DOCU_ITM_RADIX", "ITM_PERIOD", AQ375), ".lo", ),"MNU_", "-MNU_")</f>
        <v>KEY_fg</v>
      </c>
      <c r="BC375" s="157" t="str" cm="1">
        <f t="array" ref="BC375">SUBSTITUTE(SUBSTITUTE(_xlfn.SWITCH(AR375, "ITM_T_HOME", "ITM_UP1", "ITM_T_END", "ITM_DOWN1", "DOCU_CHR_sub", "ITM_DOWN_ARROW", "DOCU_CHR_super", "ITM_UP_ARROW", "MNU_TAMALPHA", "ITM_alpha", "DOCU_CHR_caseFLIP", "ITM_NULL", "DOCU_CHR_numSET", "ITM_NULL", "DOCU_ITM_RADIX", "ITM_PERIOD", AR375), ".lo", ),"MNU_", "-MNU_")</f>
        <v>ITM_NULL</v>
      </c>
      <c r="BD375" s="157" t="str" cm="1">
        <f t="array" ref="BD375">SUBSTITUTE(SUBSTITUTE(_xlfn.SWITCH(AS375, "ITM_T_HOME", "ITM_UP1", "ITM_T_END", "ITM_DOWN1", "DOCU_CHR_sub", "ITM_DOWN_ARROW", "DOCU_CHR_super", "ITM_UP_ARROW", "MNU_TAMALPHA", "ITM_alpha", "DOCU_CHR_caseFLIP", "ITM_NULL", "DOCU_CHR_numSET", "ITM_NULL", "DOCU_ITM_RADIX", "ITM_PERIOD", AS375), ".lo", ),"MNU_", "-MNU_")</f>
        <v>ITM_NULL</v>
      </c>
      <c r="BE375" s="157" t="str" cm="1">
        <f t="array" ref="BE375">SUBSTITUTE(SUBSTITUTE(_xlfn.SWITCH(AT375, "ITM_T_HOME", "ITM_UP1", "ITM_T_END", "ITM_DOWN1", "DOCU_CHR_sub", "ITM_DOWN_ARROW", "DOCU_CHR_super", "ITM_UP_ARROW", "MNU_TAMALPHA", "ITM_alpha", "DOCU_CHR_caseFLIP", "ITM_NULL", "DOCU_CHR_numSET", "ITM_NULL", "DOCU_ITM_RADIX", "ITM_PERIOD", AT375), ".lo", ),"MNU_", "-MNU_")</f>
        <v>KEY_fg</v>
      </c>
      <c r="BG375" s="75"/>
      <c r="BI375" s="13"/>
    </row>
    <row r="376" spans="24:61" ht="21" x14ac:dyDescent="0.2">
      <c r="X376" s="129" t="str">
        <f t="shared" si="130"/>
        <v>S47</v>
      </c>
      <c r="Y376" s="109">
        <v>3</v>
      </c>
      <c r="Z376" s="109">
        <v>2</v>
      </c>
      <c r="AA376" s="112" t="str">
        <f t="shared" si="129"/>
        <v>S47.32</v>
      </c>
      <c r="AB376" s="117" t="s">
        <v>54</v>
      </c>
      <c r="AC376" s="174" t="s">
        <v>89</v>
      </c>
      <c r="AD376" s="131" t="s">
        <v>90</v>
      </c>
      <c r="AE376" s="3"/>
      <c r="AF376" s="49" t="s">
        <v>341</v>
      </c>
      <c r="AG376" s="77" t="b">
        <f t="shared" si="139"/>
        <v>0</v>
      </c>
      <c r="AH376" s="83" t="str">
        <f t="shared" si="131"/>
        <v xml:space="preserve"> </v>
      </c>
      <c r="AI376" s="84" t="str">
        <f t="shared" si="132"/>
        <v xml:space="preserve"> </v>
      </c>
      <c r="AJ376" s="85" t="str">
        <f t="shared" si="133"/>
        <v xml:space="preserve"> </v>
      </c>
      <c r="AK376" s="6"/>
      <c r="AL376" s="8" t="str">
        <f t="shared" si="134"/>
        <v>{32</v>
      </c>
      <c r="AM376" s="27" t="str">
        <f t="shared" si="135"/>
        <v>ITM_1ONX</v>
      </c>
      <c r="AN376" s="27" t="str">
        <f t="shared" si="136"/>
        <v>ITM_MAGNITUDE</v>
      </c>
      <c r="AO376" s="27" t="str">
        <f t="shared" si="137"/>
        <v>ITM_ARG</v>
      </c>
      <c r="AP376" s="46" t="str">
        <f>IF(NOT(ISNA(MATCH(AM376,Lookups!E:E,))),VLOOKUP(AM376,Lookups!E:F,2,0),
IF(NOT(ISNA(MATCH(AN376,Lookups!E:E,))),VLOOKUP(AN376,Lookups!E:F,2,0),
IF(NOT(ISNA(MATCH(AO376,Lookups!E:E,))),VLOOKUP(AO376,Lookups!E:F,2,0),"ITM_NULL")))</f>
        <v>ITM_NULL</v>
      </c>
      <c r="AQ376" s="28" t="str">
        <f t="shared" si="138"/>
        <v>ITM_SHIFTg</v>
      </c>
      <c r="AR376" s="198" t="s">
        <v>81</v>
      </c>
      <c r="AS376" s="186" t="s">
        <v>81</v>
      </c>
      <c r="AT376" s="221" t="s">
        <v>81</v>
      </c>
      <c r="AW376" s="14" t="str">
        <f t="shared" si="140"/>
        <v>{32</v>
      </c>
      <c r="AX376" s="157" t="str" cm="1">
        <f t="array" ref="AX376">SUBSTITUTE(SUBSTITUTE(_xlfn.SWITCH(AM376, "ITM_T_HOME", "ITM_UP1", "ITM_T_END", "ITM_DOWN1", "DOCU_CHR_sub", "ITM_DOWN_ARROW", "DOCU_CHR_super", "ITM_UP_ARROW", "MNU_TAMALPHA", "ITM_alpha", "DOCU_CHR_caseFLIP", "ITM_NULL", "DOCU_CHR_numSET", "ITM_NULL", "DOCU_ITM_RADIX", "ITM_PERIOD", AM376), ".lo", ),"MNU_", "-MNU_")</f>
        <v>ITM_1ONX</v>
      </c>
      <c r="AY376" s="157" t="str" cm="1">
        <f t="array" ref="AY376">SUBSTITUTE(SUBSTITUTE(_xlfn.SWITCH(AN376, "ITM_T_HOME", "ITM_UP1", "ITM_T_END", "ITM_DOWN1", "DOCU_CHR_sub", "ITM_DOWN_ARROW", "DOCU_CHR_super", "ITM_UP_ARROW", "MNU_TAMALPHA", "ITM_alpha", "DOCU_CHR_caseFLIP", "ITM_NULL", "DOCU_CHR_numSET", "ITM_NULL", "DOCU_ITM_RADIX", "ITM_PERIOD", AN376), ".lo", ),"MNU_", "-MNU_")</f>
        <v>ITM_MAGNITUDE</v>
      </c>
      <c r="AZ376" s="157" t="str" cm="1">
        <f t="array" ref="AZ376">SUBSTITUTE(SUBSTITUTE(_xlfn.SWITCH(AO376, "ITM_T_HOME", "ITM_UP1", "ITM_T_END", "ITM_DOWN1", "DOCU_CHR_sub", "ITM_DOWN_ARROW", "DOCU_CHR_super", "ITM_UP_ARROW", "MNU_TAMALPHA", "ITM_alpha", "DOCU_CHR_caseFLIP", "ITM_NULL", "DOCU_CHR_numSET", "ITM_NULL", "DOCU_ITM_RADIX", "ITM_PERIOD", AO376), ".lo", ),"MNU_", "-MNU_")</f>
        <v>ITM_ARG</v>
      </c>
      <c r="BA376" s="173" t="str" cm="1">
        <f t="array" ref="BA376">SUBSTITUTE(SUBSTITUTE(_xlfn.SWITCH(AP376, "ITM_T_HOME", "ITM_UP1", "ITM_T_END", "ITM_DOWN1", "DOCU_CHR_sub", "ITM_DOWN_ARROW", "DOCU_CHR_super", "ITM_UP_ARROW", "MNU_TAMALPHA", "ITM_alpha", "DOCU_CHR_caseFLIP", "ITM_NULL", "DOCU_CHR_numSET", "ITM_NULL", "DOCU_ITM_RADIX", "ITM_PERIOD", AP376), ".lo", ),"MNU_", "-MNU_")</f>
        <v>ITM_NULL</v>
      </c>
      <c r="BB376" s="157" t="str" cm="1">
        <f t="array" ref="BB376">SUBSTITUTE(SUBSTITUTE(_xlfn.SWITCH(AQ376, "ITM_T_HOME", "ITM_UP1", "ITM_T_END", "ITM_DOWN1", "DOCU_CHR_sub", "ITM_DOWN_ARROW", "DOCU_CHR_super", "ITM_UP_ARROW", "MNU_TAMALPHA", "ITM_alpha", "DOCU_CHR_caseFLIP", "ITM_NULL", "DOCU_CHR_numSET", "ITM_NULL", "DOCU_ITM_RADIX", "ITM_PERIOD", AQ376), ".lo", ),"MNU_", "-MNU_")</f>
        <v>ITM_SHIFTg</v>
      </c>
      <c r="BC376" s="157" t="str" cm="1">
        <f t="array" ref="BC376">SUBSTITUTE(SUBSTITUTE(_xlfn.SWITCH(AR376, "ITM_T_HOME", "ITM_UP1", "ITM_T_END", "ITM_DOWN1", "DOCU_CHR_sub", "ITM_DOWN_ARROW", "DOCU_CHR_super", "ITM_UP_ARROW", "MNU_TAMALPHA", "ITM_alpha", "DOCU_CHR_caseFLIP", "ITM_NULL", "DOCU_CHR_numSET", "ITM_NULL", "DOCU_ITM_RADIX", "ITM_PERIOD", AR376), ".lo", ),"MNU_", "-MNU_")</f>
        <v>ITM_NULL</v>
      </c>
      <c r="BD376" s="157" t="str" cm="1">
        <f t="array" ref="BD376">SUBSTITUTE(SUBSTITUTE(_xlfn.SWITCH(AS376, "ITM_T_HOME", "ITM_UP1", "ITM_T_END", "ITM_DOWN1", "DOCU_CHR_sub", "ITM_DOWN_ARROW", "DOCU_CHR_super", "ITM_UP_ARROW", "MNU_TAMALPHA", "ITM_alpha", "DOCU_CHR_caseFLIP", "ITM_NULL", "DOCU_CHR_numSET", "ITM_NULL", "DOCU_ITM_RADIX", "ITM_PERIOD", AS376), ".lo", ),"MNU_", "-MNU_")</f>
        <v>ITM_NULL</v>
      </c>
      <c r="BE376" s="157" t="str" cm="1">
        <f t="array" ref="BE376">SUBSTITUTE(SUBSTITUTE(_xlfn.SWITCH(AT376, "ITM_T_HOME", "ITM_UP1", "ITM_T_END", "ITM_DOWN1", "DOCU_CHR_sub", "ITM_DOWN_ARROW", "DOCU_CHR_super", "ITM_UP_ARROW", "MNU_TAMALPHA", "ITM_alpha", "DOCU_CHR_caseFLIP", "ITM_NULL", "DOCU_CHR_numSET", "ITM_NULL", "DOCU_ITM_RADIX", "ITM_PERIOD", AT376), ".lo", ),"MNU_", "-MNU_")</f>
        <v>ITM_NULL</v>
      </c>
      <c r="BG376" s="75"/>
      <c r="BI376" s="13"/>
    </row>
    <row r="377" spans="24:61" ht="21" x14ac:dyDescent="0.2">
      <c r="X377" s="129" t="str">
        <f t="shared" si="130"/>
        <v>S47</v>
      </c>
      <c r="Y377" s="109">
        <v>3</v>
      </c>
      <c r="Z377" s="109">
        <v>3</v>
      </c>
      <c r="AA377" s="112" t="str">
        <f t="shared" si="129"/>
        <v>S47.33</v>
      </c>
      <c r="AB377" s="117" t="s">
        <v>101</v>
      </c>
      <c r="AC377" s="118" t="s">
        <v>445</v>
      </c>
      <c r="AD377" s="119" t="s">
        <v>102</v>
      </c>
      <c r="AE377" s="3"/>
      <c r="AF377" s="49" t="s">
        <v>91</v>
      </c>
      <c r="AG377" s="77" t="b">
        <f t="shared" si="139"/>
        <v>1</v>
      </c>
      <c r="AH377" s="83" t="str">
        <f t="shared" si="131"/>
        <v>g</v>
      </c>
      <c r="AI377" s="84" t="str">
        <f t="shared" si="132"/>
        <v>pi</v>
      </c>
      <c r="AJ377" s="85" t="str">
        <f t="shared" si="133"/>
        <v xml:space="preserve"> </v>
      </c>
      <c r="AK377" s="6"/>
      <c r="AL377" s="8" t="str">
        <f t="shared" si="134"/>
        <v>{33</v>
      </c>
      <c r="AM377" s="27" t="str">
        <f t="shared" si="135"/>
        <v>ITM_Rdown</v>
      </c>
      <c r="AN377" s="27" t="str">
        <f t="shared" si="136"/>
        <v>ITM_Rup</v>
      </c>
      <c r="AO377" s="64" t="str">
        <f t="shared" si="137"/>
        <v>ITM_CONSTpi</v>
      </c>
      <c r="AP377" s="46" t="str">
        <f>IF(NOT(ISNA(MATCH(AM377,Lookups!E:E,))),VLOOKUP(AM377,Lookups!E:F,2,0),
IF(NOT(ISNA(MATCH(AN377,Lookups!E:E,))),VLOOKUP(AN377,Lookups!E:F,2,0),
IF(NOT(ISNA(MATCH(AO377,Lookups!E:E,))),VLOOKUP(AO377,Lookups!E:F,2,0),"ITM_NULL")))</f>
        <v>ITM_NULL</v>
      </c>
      <c r="AQ377" s="28" t="str">
        <f t="shared" si="138"/>
        <v>ITM_G</v>
      </c>
      <c r="AR377" s="195" t="s">
        <v>92</v>
      </c>
      <c r="AS377" s="186" t="s">
        <v>106</v>
      </c>
      <c r="AT377" s="197" t="s">
        <v>81</v>
      </c>
      <c r="AW377" s="14" t="str">
        <f t="shared" si="140"/>
        <v>{33</v>
      </c>
      <c r="AX377" s="157" t="str" cm="1">
        <f t="array" ref="AX377">SUBSTITUTE(SUBSTITUTE(_xlfn.SWITCH(AM377, "ITM_T_HOME", "ITM_UP1", "ITM_T_END", "ITM_DOWN1", "DOCU_CHR_sub", "ITM_DOWN_ARROW", "DOCU_CHR_super", "ITM_UP_ARROW", "MNU_TAMALPHA", "ITM_alpha", "DOCU_CHR_caseFLIP", "ITM_NULL", "DOCU_CHR_numSET", "ITM_NULL", "DOCU_ITM_RADIX", "ITM_PERIOD", AM377), ".lo", ),"MNU_", "-MNU_")</f>
        <v>ITM_Rdown</v>
      </c>
      <c r="AY377" s="157" t="str" cm="1">
        <f t="array" ref="AY377">SUBSTITUTE(SUBSTITUTE(_xlfn.SWITCH(AN377, "ITM_T_HOME", "ITM_UP1", "ITM_T_END", "ITM_DOWN1", "DOCU_CHR_sub", "ITM_DOWN_ARROW", "DOCU_CHR_super", "ITM_UP_ARROW", "MNU_TAMALPHA", "ITM_alpha", "DOCU_CHR_caseFLIP", "ITM_NULL", "DOCU_CHR_numSET", "ITM_NULL", "DOCU_ITM_RADIX", "ITM_PERIOD", AN377), ".lo", ),"MNU_", "-MNU_")</f>
        <v>ITM_Rup</v>
      </c>
      <c r="AZ377" s="157" t="str" cm="1">
        <f t="array" ref="AZ377">SUBSTITUTE(SUBSTITUTE(_xlfn.SWITCH(AO377, "ITM_T_HOME", "ITM_UP1", "ITM_T_END", "ITM_DOWN1", "DOCU_CHR_sub", "ITM_DOWN_ARROW", "DOCU_CHR_super", "ITM_UP_ARROW", "MNU_TAMALPHA", "ITM_alpha", "DOCU_CHR_caseFLIP", "ITM_NULL", "DOCU_CHR_numSET", "ITM_NULL", "DOCU_ITM_RADIX", "ITM_PERIOD", AO377), ".lo", ),"MNU_", "-MNU_")</f>
        <v>ITM_CONSTpi</v>
      </c>
      <c r="BA377" s="173" t="str" cm="1">
        <f t="array" ref="BA377">SUBSTITUTE(SUBSTITUTE(_xlfn.SWITCH(AP377, "ITM_T_HOME", "ITM_UP1", "ITM_T_END", "ITM_DOWN1", "DOCU_CHR_sub", "ITM_DOWN_ARROW", "DOCU_CHR_super", "ITM_UP_ARROW", "MNU_TAMALPHA", "ITM_alpha", "DOCU_CHR_caseFLIP", "ITM_NULL", "DOCU_CHR_numSET", "ITM_NULL", "DOCU_ITM_RADIX", "ITM_PERIOD", AP377), ".lo", ),"MNU_", "-MNU_")</f>
        <v>ITM_NULL</v>
      </c>
      <c r="BB377" s="157" t="str" cm="1">
        <f t="array" ref="BB377">SUBSTITUTE(SUBSTITUTE(_xlfn.SWITCH(AQ377, "ITM_T_HOME", "ITM_UP1", "ITM_T_END", "ITM_DOWN1", "DOCU_CHR_sub", "ITM_DOWN_ARROW", "DOCU_CHR_super", "ITM_UP_ARROW", "MNU_TAMALPHA", "ITM_alpha", "DOCU_CHR_caseFLIP", "ITM_NULL", "DOCU_CHR_numSET", "ITM_NULL", "DOCU_ITM_RADIX", "ITM_PERIOD", AQ377), ".lo", ),"MNU_", "-MNU_")</f>
        <v>ITM_G</v>
      </c>
      <c r="BC377" s="157" t="str" cm="1">
        <f t="array" ref="BC377">SUBSTITUTE(SUBSTITUTE(_xlfn.SWITCH(AR377, "ITM_T_HOME", "ITM_UP1", "ITM_T_END", "ITM_DOWN1", "DOCU_CHR_sub", "ITM_DOWN_ARROW", "DOCU_CHR_super", "ITM_UP_ARROW", "MNU_TAMALPHA", "ITM_alpha", "DOCU_CHR_caseFLIP", "ITM_NULL", "DOCU_CHR_numSET", "ITM_NULL", "DOCU_ITM_RADIX", "ITM_PERIOD", AR377), ".lo", ),"MNU_", "-MNU_")</f>
        <v>ITM_g</v>
      </c>
      <c r="BD377" s="157" t="str" cm="1">
        <f t="array" ref="BD377">SUBSTITUTE(SUBSTITUTE(_xlfn.SWITCH(AS377, "ITM_T_HOME", "ITM_UP1", "ITM_T_END", "ITM_DOWN1", "DOCU_CHR_sub", "ITM_DOWN_ARROW", "DOCU_CHR_super", "ITM_UP_ARROW", "MNU_TAMALPHA", "ITM_alpha", "DOCU_CHR_caseFLIP", "ITM_NULL", "DOCU_CHR_numSET", "ITM_NULL", "DOCU_ITM_RADIX", "ITM_PERIOD", AS377), ".lo", ),"MNU_", "-MNU_")</f>
        <v>ITM_pi</v>
      </c>
      <c r="BE377" s="157" t="str" cm="1">
        <f t="array" ref="BE377">SUBSTITUTE(SUBSTITUTE(_xlfn.SWITCH(AT377, "ITM_T_HOME", "ITM_UP1", "ITM_T_END", "ITM_DOWN1", "DOCU_CHR_sub", "ITM_DOWN_ARROW", "DOCU_CHR_super", "ITM_UP_ARROW", "MNU_TAMALPHA", "ITM_alpha", "DOCU_CHR_caseFLIP", "ITM_NULL", "DOCU_CHR_numSET", "ITM_NULL", "DOCU_ITM_RADIX", "ITM_PERIOD", AT377), ".lo", ),"MNU_", "-MNU_")</f>
        <v>ITM_NULL</v>
      </c>
      <c r="BG377" s="75"/>
      <c r="BI377" s="13"/>
    </row>
    <row r="378" spans="24:61" ht="21" x14ac:dyDescent="0.2">
      <c r="X378" s="129" t="str">
        <f t="shared" si="130"/>
        <v>S47</v>
      </c>
      <c r="Y378" s="109">
        <v>3</v>
      </c>
      <c r="Z378" s="109">
        <v>4</v>
      </c>
      <c r="AA378" s="112" t="str">
        <f t="shared" si="129"/>
        <v>S47.34</v>
      </c>
      <c r="AB378" s="117" t="s">
        <v>108</v>
      </c>
      <c r="AC378" s="118" t="s">
        <v>109</v>
      </c>
      <c r="AD378" s="119" t="s">
        <v>110</v>
      </c>
      <c r="AE378" s="3"/>
      <c r="AF378" s="49" t="s">
        <v>97</v>
      </c>
      <c r="AG378" s="77" t="b">
        <f t="shared" si="139"/>
        <v>1</v>
      </c>
      <c r="AH378" s="83" t="str">
        <f t="shared" si="131"/>
        <v>h</v>
      </c>
      <c r="AI378" s="84" t="str">
        <f t="shared" si="132"/>
        <v>SIN</v>
      </c>
      <c r="AJ378" s="85" t="str">
        <f t="shared" si="133"/>
        <v xml:space="preserve"> </v>
      </c>
      <c r="AK378" s="6"/>
      <c r="AL378" s="8" t="str">
        <f t="shared" si="134"/>
        <v>{34</v>
      </c>
      <c r="AM378" s="27" t="str">
        <f t="shared" si="135"/>
        <v>ITM_sin</v>
      </c>
      <c r="AN378" s="27" t="str">
        <f t="shared" si="136"/>
        <v>ITM_arcsin</v>
      </c>
      <c r="AO378" s="27" t="str">
        <f t="shared" si="137"/>
        <v>ITM_op_j</v>
      </c>
      <c r="AP378" s="46" t="str">
        <f>IF(NOT(ISNA(MATCH(AM378,Lookups!E:E,))),VLOOKUP(AM378,Lookups!E:F,2,0),
IF(NOT(ISNA(MATCH(AN378,Lookups!E:E,))),VLOOKUP(AN378,Lookups!E:F,2,0),
IF(NOT(ISNA(MATCH(AO378,Lookups!E:E,))),VLOOKUP(AO378,Lookups!E:F,2,0),"ITM_NULL")))</f>
        <v>ITM_NULL</v>
      </c>
      <c r="AQ378" s="28" t="str">
        <f t="shared" si="138"/>
        <v>ITM_H</v>
      </c>
      <c r="AR378" s="195" t="s">
        <v>98</v>
      </c>
      <c r="AS378" s="186" t="s">
        <v>113</v>
      </c>
      <c r="AT378" s="197" t="s">
        <v>81</v>
      </c>
      <c r="AW378" s="14" t="str">
        <f t="shared" si="140"/>
        <v>{34</v>
      </c>
      <c r="AX378" s="157" t="str" cm="1">
        <f t="array" ref="AX378">SUBSTITUTE(SUBSTITUTE(_xlfn.SWITCH(AM378, "ITM_T_HOME", "ITM_UP1", "ITM_T_END", "ITM_DOWN1", "DOCU_CHR_sub", "ITM_DOWN_ARROW", "DOCU_CHR_super", "ITM_UP_ARROW", "MNU_TAMALPHA", "ITM_alpha", "DOCU_CHR_caseFLIP", "ITM_NULL", "DOCU_CHR_numSET", "ITM_NULL", "DOCU_ITM_RADIX", "ITM_PERIOD", AM378), ".lo", ),"MNU_", "-MNU_")</f>
        <v>ITM_sin</v>
      </c>
      <c r="AY378" s="157" t="str" cm="1">
        <f t="array" ref="AY378">SUBSTITUTE(SUBSTITUTE(_xlfn.SWITCH(AN378, "ITM_T_HOME", "ITM_UP1", "ITM_T_END", "ITM_DOWN1", "DOCU_CHR_sub", "ITM_DOWN_ARROW", "DOCU_CHR_super", "ITM_UP_ARROW", "MNU_TAMALPHA", "ITM_alpha", "DOCU_CHR_caseFLIP", "ITM_NULL", "DOCU_CHR_numSET", "ITM_NULL", "DOCU_ITM_RADIX", "ITM_PERIOD", AN378), ".lo", ),"MNU_", "-MNU_")</f>
        <v>ITM_arcsin</v>
      </c>
      <c r="AZ378" s="157" t="str" cm="1">
        <f t="array" ref="AZ378">SUBSTITUTE(SUBSTITUTE(_xlfn.SWITCH(AO378, "ITM_T_HOME", "ITM_UP1", "ITM_T_END", "ITM_DOWN1", "DOCU_CHR_sub", "ITM_DOWN_ARROW", "DOCU_CHR_super", "ITM_UP_ARROW", "MNU_TAMALPHA", "ITM_alpha", "DOCU_CHR_caseFLIP", "ITM_NULL", "DOCU_CHR_numSET", "ITM_NULL", "DOCU_ITM_RADIX", "ITM_PERIOD", AO378), ".lo", ),"MNU_", "-MNU_")</f>
        <v>ITM_op_j</v>
      </c>
      <c r="BA378" s="173" t="str" cm="1">
        <f t="array" ref="BA378">SUBSTITUTE(SUBSTITUTE(_xlfn.SWITCH(AP378, "ITM_T_HOME", "ITM_UP1", "ITM_T_END", "ITM_DOWN1", "DOCU_CHR_sub", "ITM_DOWN_ARROW", "DOCU_CHR_super", "ITM_UP_ARROW", "MNU_TAMALPHA", "ITM_alpha", "DOCU_CHR_caseFLIP", "ITM_NULL", "DOCU_CHR_numSET", "ITM_NULL", "DOCU_ITM_RADIX", "ITM_PERIOD", AP378), ".lo", ),"MNU_", "-MNU_")</f>
        <v>ITM_NULL</v>
      </c>
      <c r="BB378" s="157" t="str" cm="1">
        <f t="array" ref="BB378">SUBSTITUTE(SUBSTITUTE(_xlfn.SWITCH(AQ378, "ITM_T_HOME", "ITM_UP1", "ITM_T_END", "ITM_DOWN1", "DOCU_CHR_sub", "ITM_DOWN_ARROW", "DOCU_CHR_super", "ITM_UP_ARROW", "MNU_TAMALPHA", "ITM_alpha", "DOCU_CHR_caseFLIP", "ITM_NULL", "DOCU_CHR_numSET", "ITM_NULL", "DOCU_ITM_RADIX", "ITM_PERIOD", AQ378), ".lo", ),"MNU_", "-MNU_")</f>
        <v>ITM_H</v>
      </c>
      <c r="BC378" s="157" t="str" cm="1">
        <f t="array" ref="BC378">SUBSTITUTE(SUBSTITUTE(_xlfn.SWITCH(AR378, "ITM_T_HOME", "ITM_UP1", "ITM_T_END", "ITM_DOWN1", "DOCU_CHR_sub", "ITM_DOWN_ARROW", "DOCU_CHR_super", "ITM_UP_ARROW", "MNU_TAMALPHA", "ITM_alpha", "DOCU_CHR_caseFLIP", "ITM_NULL", "DOCU_CHR_numSET", "ITM_NULL", "DOCU_ITM_RADIX", "ITM_PERIOD", AR378), ".lo", ),"MNU_", "-MNU_")</f>
        <v>ITM_h</v>
      </c>
      <c r="BD378" s="157" t="str" cm="1">
        <f t="array" ref="BD378">SUBSTITUTE(SUBSTITUTE(_xlfn.SWITCH(AS378, "ITM_T_HOME", "ITM_UP1", "ITM_T_END", "ITM_DOWN1", "DOCU_CHR_sub", "ITM_DOWN_ARROW", "DOCU_CHR_super", "ITM_UP_ARROW", "MNU_TAMALPHA", "ITM_alpha", "DOCU_CHR_caseFLIP", "ITM_NULL", "DOCU_CHR_numSET", "ITM_NULL", "DOCU_ITM_RADIX", "ITM_PERIOD", AS378), ".lo", ),"MNU_", "-MNU_")</f>
        <v>ITM_SIN_SIGN</v>
      </c>
      <c r="BE378" s="157" t="str" cm="1">
        <f t="array" ref="BE378">SUBSTITUTE(SUBSTITUTE(_xlfn.SWITCH(AT378, "ITM_T_HOME", "ITM_UP1", "ITM_T_END", "ITM_DOWN1", "DOCU_CHR_sub", "ITM_DOWN_ARROW", "DOCU_CHR_super", "ITM_UP_ARROW", "MNU_TAMALPHA", "ITM_alpha", "DOCU_CHR_caseFLIP", "ITM_NULL", "DOCU_CHR_numSET", "ITM_NULL", "DOCU_ITM_RADIX", "ITM_PERIOD", AT378), ".lo", ),"MNU_", "-MNU_")</f>
        <v>ITM_NULL</v>
      </c>
      <c r="BG378" s="75"/>
      <c r="BI378" s="13"/>
    </row>
    <row r="379" spans="24:61" ht="21" x14ac:dyDescent="0.2">
      <c r="X379" s="129" t="str">
        <f t="shared" si="130"/>
        <v>S47</v>
      </c>
      <c r="Y379" s="109">
        <v>3</v>
      </c>
      <c r="Z379" s="109">
        <v>5</v>
      </c>
      <c r="AA379" s="112" t="str">
        <f t="shared" si="129"/>
        <v>S47.35</v>
      </c>
      <c r="AB379" s="117" t="s">
        <v>115</v>
      </c>
      <c r="AC379" s="118" t="s">
        <v>116</v>
      </c>
      <c r="AD379" s="131" t="s">
        <v>117</v>
      </c>
      <c r="AE379" s="3"/>
      <c r="AF379" s="49" t="s">
        <v>104</v>
      </c>
      <c r="AG379" s="77" t="b">
        <f t="shared" si="139"/>
        <v>1</v>
      </c>
      <c r="AH379" s="83" t="str">
        <f t="shared" si="131"/>
        <v>i</v>
      </c>
      <c r="AI379" s="84" t="str">
        <f t="shared" si="132"/>
        <v>COS</v>
      </c>
      <c r="AJ379" s="85" t="str">
        <f t="shared" si="133"/>
        <v>Reg I</v>
      </c>
      <c r="AK379" s="6"/>
      <c r="AL379" s="8" t="str">
        <f t="shared" si="134"/>
        <v>{35</v>
      </c>
      <c r="AM379" s="27" t="str">
        <f t="shared" si="135"/>
        <v>ITM_cos</v>
      </c>
      <c r="AN379" s="27" t="str">
        <f t="shared" si="136"/>
        <v>ITM_arccos</v>
      </c>
      <c r="AO379" s="27" t="str">
        <f t="shared" si="137"/>
        <v>ITM_toREC2</v>
      </c>
      <c r="AP379" s="46" t="str">
        <f>IF(NOT(ISNA(MATCH(AM379,Lookups!E:E,))),VLOOKUP(AM379,Lookups!E:F,2,0),
IF(NOT(ISNA(MATCH(AN379,Lookups!E:E,))),VLOOKUP(AN379,Lookups!E:F,2,0),
IF(NOT(ISNA(MATCH(AO379,Lookups!E:E,))),VLOOKUP(AO379,Lookups!E:F,2,0),"ITM_NULL")))</f>
        <v>ITM_NULL</v>
      </c>
      <c r="AQ379" s="28" t="str">
        <f t="shared" si="138"/>
        <v>ITM_I</v>
      </c>
      <c r="AR379" s="195" t="s">
        <v>105</v>
      </c>
      <c r="AS379" s="186" t="s">
        <v>120</v>
      </c>
      <c r="AT379" s="196" t="s">
        <v>107</v>
      </c>
      <c r="AW379" s="14" t="str">
        <f t="shared" si="140"/>
        <v>{35</v>
      </c>
      <c r="AX379" s="157" t="str" cm="1">
        <f t="array" ref="AX379">SUBSTITUTE(SUBSTITUTE(_xlfn.SWITCH(AM379, "ITM_T_HOME", "ITM_UP1", "ITM_T_END", "ITM_DOWN1", "DOCU_CHR_sub", "ITM_DOWN_ARROW", "DOCU_CHR_super", "ITM_UP_ARROW", "MNU_TAMALPHA", "ITM_alpha", "DOCU_CHR_caseFLIP", "ITM_NULL", "DOCU_CHR_numSET", "ITM_NULL", "DOCU_ITM_RADIX", "ITM_PERIOD", AM379), ".lo", ),"MNU_", "-MNU_")</f>
        <v>ITM_cos</v>
      </c>
      <c r="AY379" s="157" t="str" cm="1">
        <f t="array" ref="AY379">SUBSTITUTE(SUBSTITUTE(_xlfn.SWITCH(AN379, "ITM_T_HOME", "ITM_UP1", "ITM_T_END", "ITM_DOWN1", "DOCU_CHR_sub", "ITM_DOWN_ARROW", "DOCU_CHR_super", "ITM_UP_ARROW", "MNU_TAMALPHA", "ITM_alpha", "DOCU_CHR_caseFLIP", "ITM_NULL", "DOCU_CHR_numSET", "ITM_NULL", "DOCU_ITM_RADIX", "ITM_PERIOD", AN379), ".lo", ),"MNU_", "-MNU_")</f>
        <v>ITM_arccos</v>
      </c>
      <c r="AZ379" s="157" t="str" cm="1">
        <f t="array" ref="AZ379">SUBSTITUTE(SUBSTITUTE(_xlfn.SWITCH(AO379, "ITM_T_HOME", "ITM_UP1", "ITM_T_END", "ITM_DOWN1", "DOCU_CHR_sub", "ITM_DOWN_ARROW", "DOCU_CHR_super", "ITM_UP_ARROW", "MNU_TAMALPHA", "ITM_alpha", "DOCU_CHR_caseFLIP", "ITM_NULL", "DOCU_CHR_numSET", "ITM_NULL", "DOCU_ITM_RADIX", "ITM_PERIOD", AO379), ".lo", ),"MNU_", "-MNU_")</f>
        <v>ITM_toREC2</v>
      </c>
      <c r="BA379" s="173" t="str" cm="1">
        <f t="array" ref="BA379">SUBSTITUTE(SUBSTITUTE(_xlfn.SWITCH(AP379, "ITM_T_HOME", "ITM_UP1", "ITM_T_END", "ITM_DOWN1", "DOCU_CHR_sub", "ITM_DOWN_ARROW", "DOCU_CHR_super", "ITM_UP_ARROW", "MNU_TAMALPHA", "ITM_alpha", "DOCU_CHR_caseFLIP", "ITM_NULL", "DOCU_CHR_numSET", "ITM_NULL", "DOCU_ITM_RADIX", "ITM_PERIOD", AP379), ".lo", ),"MNU_", "-MNU_")</f>
        <v>ITM_NULL</v>
      </c>
      <c r="BB379" s="157" t="str" cm="1">
        <f t="array" ref="BB379">SUBSTITUTE(SUBSTITUTE(_xlfn.SWITCH(AQ379, "ITM_T_HOME", "ITM_UP1", "ITM_T_END", "ITM_DOWN1", "DOCU_CHR_sub", "ITM_DOWN_ARROW", "DOCU_CHR_super", "ITM_UP_ARROW", "MNU_TAMALPHA", "ITM_alpha", "DOCU_CHR_caseFLIP", "ITM_NULL", "DOCU_CHR_numSET", "ITM_NULL", "DOCU_ITM_RADIX", "ITM_PERIOD", AQ379), ".lo", ),"MNU_", "-MNU_")</f>
        <v>ITM_I</v>
      </c>
      <c r="BC379" s="157" t="str" cm="1">
        <f t="array" ref="BC379">SUBSTITUTE(SUBSTITUTE(_xlfn.SWITCH(AR379, "ITM_T_HOME", "ITM_UP1", "ITM_T_END", "ITM_DOWN1", "DOCU_CHR_sub", "ITM_DOWN_ARROW", "DOCU_CHR_super", "ITM_UP_ARROW", "MNU_TAMALPHA", "ITM_alpha", "DOCU_CHR_caseFLIP", "ITM_NULL", "DOCU_CHR_numSET", "ITM_NULL", "DOCU_ITM_RADIX", "ITM_PERIOD", AR379), ".lo", ),"MNU_", "-MNU_")</f>
        <v>ITM_i</v>
      </c>
      <c r="BD379" s="157" t="str" cm="1">
        <f t="array" ref="BD379">SUBSTITUTE(SUBSTITUTE(_xlfn.SWITCH(AS379, "ITM_T_HOME", "ITM_UP1", "ITM_T_END", "ITM_DOWN1", "DOCU_CHR_sub", "ITM_DOWN_ARROW", "DOCU_CHR_super", "ITM_UP_ARROW", "MNU_TAMALPHA", "ITM_alpha", "DOCU_CHR_caseFLIP", "ITM_NULL", "DOCU_CHR_numSET", "ITM_NULL", "DOCU_ITM_RADIX", "ITM_PERIOD", AS379), ".lo", ),"MNU_", "-MNU_")</f>
        <v>ITM_COS_SIGN</v>
      </c>
      <c r="BE379" s="157" t="str" cm="1">
        <f t="array" ref="BE379">SUBSTITUTE(SUBSTITUTE(_xlfn.SWITCH(AT379, "ITM_T_HOME", "ITM_UP1", "ITM_T_END", "ITM_DOWN1", "DOCU_CHR_sub", "ITM_DOWN_ARROW", "DOCU_CHR_super", "ITM_UP_ARROW", "MNU_TAMALPHA", "ITM_alpha", "DOCU_CHR_caseFLIP", "ITM_NULL", "DOCU_CHR_numSET", "ITM_NULL", "DOCU_ITM_RADIX", "ITM_PERIOD", AT379), ".lo", ),"MNU_", "-MNU_")</f>
        <v>ITM_REG_I</v>
      </c>
      <c r="BG379" s="75"/>
      <c r="BI379" s="13"/>
    </row>
    <row r="380" spans="24:61" ht="21" x14ac:dyDescent="0.2">
      <c r="X380" s="129" t="str">
        <f t="shared" si="130"/>
        <v>S47</v>
      </c>
      <c r="Y380" s="109">
        <v>3</v>
      </c>
      <c r="Z380" s="109">
        <v>6</v>
      </c>
      <c r="AA380" s="112" t="str">
        <f t="shared" si="129"/>
        <v>S47.36</v>
      </c>
      <c r="AB380" s="117" t="s">
        <v>122</v>
      </c>
      <c r="AC380" s="118" t="s">
        <v>123</v>
      </c>
      <c r="AD380" s="131" t="s">
        <v>124</v>
      </c>
      <c r="AE380" s="3"/>
      <c r="AF380" s="49" t="s">
        <v>111</v>
      </c>
      <c r="AG380" s="77" t="b">
        <f t="shared" si="139"/>
        <v>1</v>
      </c>
      <c r="AH380" s="83" t="str">
        <f t="shared" si="131"/>
        <v>j</v>
      </c>
      <c r="AI380" s="84" t="str">
        <f t="shared" si="132"/>
        <v>TAN</v>
      </c>
      <c r="AJ380" s="85" t="str">
        <f t="shared" si="133"/>
        <v>Reg J</v>
      </c>
      <c r="AK380" s="6"/>
      <c r="AL380" s="8" t="str">
        <f t="shared" si="134"/>
        <v>{36</v>
      </c>
      <c r="AM380" s="27" t="str">
        <f t="shared" si="135"/>
        <v>ITM_tan</v>
      </c>
      <c r="AN380" s="27" t="str">
        <f t="shared" si="136"/>
        <v>ITM_arctan</v>
      </c>
      <c r="AO380" s="27" t="str">
        <f t="shared" si="137"/>
        <v>ITM_toPOL2</v>
      </c>
      <c r="AP380" s="46" t="str">
        <f>IF(NOT(ISNA(MATCH(AM380,Lookups!E:E,))),VLOOKUP(AM380,Lookups!E:F,2,0),
IF(NOT(ISNA(MATCH(AN380,Lookups!E:E,))),VLOOKUP(AN380,Lookups!E:F,2,0),
IF(NOT(ISNA(MATCH(AO380,Lookups!E:E,))),VLOOKUP(AO380,Lookups!E:F,2,0),"ITM_NULL")))</f>
        <v>ITM_NULL</v>
      </c>
      <c r="AQ380" s="28" t="str">
        <f t="shared" si="138"/>
        <v>ITM_J</v>
      </c>
      <c r="AR380" s="195" t="s">
        <v>112</v>
      </c>
      <c r="AS380" s="186" t="s">
        <v>127</v>
      </c>
      <c r="AT380" s="196" t="s">
        <v>114</v>
      </c>
      <c r="AW380" s="14" t="str">
        <f t="shared" si="140"/>
        <v>{36</v>
      </c>
      <c r="AX380" s="157" t="str" cm="1">
        <f t="array" ref="AX380">SUBSTITUTE(SUBSTITUTE(_xlfn.SWITCH(AM380, "ITM_T_HOME", "ITM_UP1", "ITM_T_END", "ITM_DOWN1", "DOCU_CHR_sub", "ITM_DOWN_ARROW", "DOCU_CHR_super", "ITM_UP_ARROW", "MNU_TAMALPHA", "ITM_alpha", "DOCU_CHR_caseFLIP", "ITM_NULL", "DOCU_CHR_numSET", "ITM_NULL", "DOCU_ITM_RADIX", "ITM_PERIOD", AM380), ".lo", ),"MNU_", "-MNU_")</f>
        <v>ITM_tan</v>
      </c>
      <c r="AY380" s="157" t="str" cm="1">
        <f t="array" ref="AY380">SUBSTITUTE(SUBSTITUTE(_xlfn.SWITCH(AN380, "ITM_T_HOME", "ITM_UP1", "ITM_T_END", "ITM_DOWN1", "DOCU_CHR_sub", "ITM_DOWN_ARROW", "DOCU_CHR_super", "ITM_UP_ARROW", "MNU_TAMALPHA", "ITM_alpha", "DOCU_CHR_caseFLIP", "ITM_NULL", "DOCU_CHR_numSET", "ITM_NULL", "DOCU_ITM_RADIX", "ITM_PERIOD", AN380), ".lo", ),"MNU_", "-MNU_")</f>
        <v>ITM_arctan</v>
      </c>
      <c r="AZ380" s="157" t="str" cm="1">
        <f t="array" ref="AZ380">SUBSTITUTE(SUBSTITUTE(_xlfn.SWITCH(AO380, "ITM_T_HOME", "ITM_UP1", "ITM_T_END", "ITM_DOWN1", "DOCU_CHR_sub", "ITM_DOWN_ARROW", "DOCU_CHR_super", "ITM_UP_ARROW", "MNU_TAMALPHA", "ITM_alpha", "DOCU_CHR_caseFLIP", "ITM_NULL", "DOCU_CHR_numSET", "ITM_NULL", "DOCU_ITM_RADIX", "ITM_PERIOD", AO380), ".lo", ),"MNU_", "-MNU_")</f>
        <v>ITM_toPOL2</v>
      </c>
      <c r="BA380" s="173" t="str" cm="1">
        <f t="array" ref="BA380">SUBSTITUTE(SUBSTITUTE(_xlfn.SWITCH(AP380, "ITM_T_HOME", "ITM_UP1", "ITM_T_END", "ITM_DOWN1", "DOCU_CHR_sub", "ITM_DOWN_ARROW", "DOCU_CHR_super", "ITM_UP_ARROW", "MNU_TAMALPHA", "ITM_alpha", "DOCU_CHR_caseFLIP", "ITM_NULL", "DOCU_CHR_numSET", "ITM_NULL", "DOCU_ITM_RADIX", "ITM_PERIOD", AP380), ".lo", ),"MNU_", "-MNU_")</f>
        <v>ITM_NULL</v>
      </c>
      <c r="BB380" s="157" t="str" cm="1">
        <f t="array" ref="BB380">SUBSTITUTE(SUBSTITUTE(_xlfn.SWITCH(AQ380, "ITM_T_HOME", "ITM_UP1", "ITM_T_END", "ITM_DOWN1", "DOCU_CHR_sub", "ITM_DOWN_ARROW", "DOCU_CHR_super", "ITM_UP_ARROW", "MNU_TAMALPHA", "ITM_alpha", "DOCU_CHR_caseFLIP", "ITM_NULL", "DOCU_CHR_numSET", "ITM_NULL", "DOCU_ITM_RADIX", "ITM_PERIOD", AQ380), ".lo", ),"MNU_", "-MNU_")</f>
        <v>ITM_J</v>
      </c>
      <c r="BC380" s="157" t="str" cm="1">
        <f t="array" ref="BC380">SUBSTITUTE(SUBSTITUTE(_xlfn.SWITCH(AR380, "ITM_T_HOME", "ITM_UP1", "ITM_T_END", "ITM_DOWN1", "DOCU_CHR_sub", "ITM_DOWN_ARROW", "DOCU_CHR_super", "ITM_UP_ARROW", "MNU_TAMALPHA", "ITM_alpha", "DOCU_CHR_caseFLIP", "ITM_NULL", "DOCU_CHR_numSET", "ITM_NULL", "DOCU_ITM_RADIX", "ITM_PERIOD", AR380), ".lo", ),"MNU_", "-MNU_")</f>
        <v>ITM_j</v>
      </c>
      <c r="BD380" s="157" t="str" cm="1">
        <f t="array" ref="BD380">SUBSTITUTE(SUBSTITUTE(_xlfn.SWITCH(AS380, "ITM_T_HOME", "ITM_UP1", "ITM_T_END", "ITM_DOWN1", "DOCU_CHR_sub", "ITM_DOWN_ARROW", "DOCU_CHR_super", "ITM_UP_ARROW", "MNU_TAMALPHA", "ITM_alpha", "DOCU_CHR_caseFLIP", "ITM_NULL", "DOCU_CHR_numSET", "ITM_NULL", "DOCU_ITM_RADIX", "ITM_PERIOD", AS380), ".lo", ),"MNU_", "-MNU_")</f>
        <v>ITM_TAN_SIGN</v>
      </c>
      <c r="BE380" s="157" t="str" cm="1">
        <f t="array" ref="BE380">SUBSTITUTE(SUBSTITUTE(_xlfn.SWITCH(AT380, "ITM_T_HOME", "ITM_UP1", "ITM_T_END", "ITM_DOWN1", "DOCU_CHR_sub", "ITM_DOWN_ARROW", "DOCU_CHR_super", "ITM_UP_ARROW", "MNU_TAMALPHA", "ITM_alpha", "DOCU_CHR_caseFLIP", "ITM_NULL", "DOCU_CHR_numSET", "ITM_NULL", "DOCU_ITM_RADIX", "ITM_PERIOD", AT380), ".lo", ),"MNU_", "-MNU_")</f>
        <v>ITM_REG_J</v>
      </c>
      <c r="BG380" s="75"/>
      <c r="BI380" s="13"/>
    </row>
    <row r="381" spans="24:61" ht="21" x14ac:dyDescent="0.2">
      <c r="X381" s="129" t="str">
        <f t="shared" si="130"/>
        <v>S47</v>
      </c>
      <c r="Y381" s="106">
        <v>4</v>
      </c>
      <c r="Z381" s="106">
        <v>1</v>
      </c>
      <c r="AA381" s="112" t="str">
        <f t="shared" si="129"/>
        <v>S47.41</v>
      </c>
      <c r="AB381" s="117" t="s">
        <v>129</v>
      </c>
      <c r="AC381" s="118" t="s">
        <v>130</v>
      </c>
      <c r="AD381" s="119" t="s">
        <v>131</v>
      </c>
      <c r="AE381" s="3"/>
      <c r="AF381" s="49" t="s">
        <v>129</v>
      </c>
      <c r="AG381" s="77" t="b">
        <f t="shared" si="139"/>
        <v>0</v>
      </c>
      <c r="AH381" s="83" t="str">
        <f t="shared" si="131"/>
        <v>X.SWAP</v>
      </c>
      <c r="AI381" s="84" t="str">
        <f t="shared" si="132"/>
        <v>a.PARSE</v>
      </c>
      <c r="AJ381" s="85" t="str">
        <f t="shared" si="133"/>
        <v>ENTER</v>
      </c>
      <c r="AK381" s="6"/>
      <c r="AL381" s="8" t="str">
        <f t="shared" si="134"/>
        <v>{41</v>
      </c>
      <c r="AM381" s="27" t="str">
        <f t="shared" si="135"/>
        <v>ITM_ENTER</v>
      </c>
      <c r="AN381" s="27" t="str">
        <f t="shared" si="136"/>
        <v>KEY_COMPLEX</v>
      </c>
      <c r="AO381" s="27" t="str">
        <f t="shared" si="137"/>
        <v>MNU_CPX</v>
      </c>
      <c r="AP381" s="46" t="str">
        <f>IF(NOT(ISNA(MATCH(AM381,Lookups!E:E,))),VLOOKUP(AM381,Lookups!E:F,2,0),
IF(NOT(ISNA(MATCH(AN381,Lookups!E:E,))),VLOOKUP(AN381,Lookups!E:F,2,0),
IF(NOT(ISNA(MATCH(AO381,Lookups!E:E,))),VLOOKUP(AO381,Lookups!E:F,2,0),"ITM_NULL")))</f>
        <v>ITM_ENTER</v>
      </c>
      <c r="AQ381" s="28" t="str">
        <f t="shared" si="138"/>
        <v>ITM_ENTER</v>
      </c>
      <c r="AR381" s="198" t="s">
        <v>132</v>
      </c>
      <c r="AS381" s="186" t="s">
        <v>133</v>
      </c>
      <c r="AT381" s="197" t="s">
        <v>134</v>
      </c>
      <c r="AW381" s="14" t="str">
        <f t="shared" si="140"/>
        <v>{41</v>
      </c>
      <c r="AX381" s="157" t="str" cm="1">
        <f t="array" ref="AX381">SUBSTITUTE(SUBSTITUTE(_xlfn.SWITCH(AM381, "ITM_T_HOME", "ITM_UP1", "ITM_T_END", "ITM_DOWN1", "DOCU_CHR_sub", "ITM_DOWN_ARROW", "DOCU_CHR_super", "ITM_UP_ARROW", "MNU_TAMALPHA", "ITM_alpha", "DOCU_CHR_caseFLIP", "ITM_NULL", "DOCU_CHR_numSET", "ITM_NULL", "DOCU_ITM_RADIX", "ITM_PERIOD", AM381), ".lo", ),"MNU_", "-MNU_")</f>
        <v>ITM_ENTER</v>
      </c>
      <c r="AY381" s="157" t="str" cm="1">
        <f t="array" ref="AY381">SUBSTITUTE(SUBSTITUTE(_xlfn.SWITCH(AN381, "ITM_T_HOME", "ITM_UP1", "ITM_T_END", "ITM_DOWN1", "DOCU_CHR_sub", "ITM_DOWN_ARROW", "DOCU_CHR_super", "ITM_UP_ARROW", "MNU_TAMALPHA", "ITM_alpha", "DOCU_CHR_caseFLIP", "ITM_NULL", "DOCU_CHR_numSET", "ITM_NULL", "DOCU_ITM_RADIX", "ITM_PERIOD", AN381), ".lo", ),"MNU_", "-MNU_")</f>
        <v>KEY_COMPLEX</v>
      </c>
      <c r="AZ381" s="157" t="str" cm="1">
        <f t="array" ref="AZ381">SUBSTITUTE(SUBSTITUTE(_xlfn.SWITCH(AO381, "ITM_T_HOME", "ITM_UP1", "ITM_T_END", "ITM_DOWN1", "DOCU_CHR_sub", "ITM_DOWN_ARROW", "DOCU_CHR_super", "ITM_UP_ARROW", "MNU_TAMALPHA", "ITM_alpha", "DOCU_CHR_caseFLIP", "ITM_NULL", "DOCU_CHR_numSET", "ITM_NULL", "DOCU_ITM_RADIX", "ITM_PERIOD", AO381), ".lo", ),"MNU_", "-MNU_")</f>
        <v>-MNU_CPX</v>
      </c>
      <c r="BA381" s="173" t="str" cm="1">
        <f t="array" ref="BA381">SUBSTITUTE(SUBSTITUTE(_xlfn.SWITCH(AP381, "ITM_T_HOME", "ITM_UP1", "ITM_T_END", "ITM_DOWN1", "DOCU_CHR_sub", "ITM_DOWN_ARROW", "DOCU_CHR_super", "ITM_UP_ARROW", "MNU_TAMALPHA", "ITM_alpha", "DOCU_CHR_caseFLIP", "ITM_NULL", "DOCU_CHR_numSET", "ITM_NULL", "DOCU_ITM_RADIX", "ITM_PERIOD", AP381), ".lo", ),"MNU_", "-MNU_")</f>
        <v>ITM_ENTER</v>
      </c>
      <c r="BB381" s="157" t="str" cm="1">
        <f t="array" ref="BB381">SUBSTITUTE(SUBSTITUTE(_xlfn.SWITCH(AQ381, "ITM_T_HOME", "ITM_UP1", "ITM_T_END", "ITM_DOWN1", "DOCU_CHR_sub", "ITM_DOWN_ARROW", "DOCU_CHR_super", "ITM_UP_ARROW", "MNU_TAMALPHA", "ITM_alpha", "DOCU_CHR_caseFLIP", "ITM_NULL", "DOCU_CHR_numSET", "ITM_NULL", "DOCU_ITM_RADIX", "ITM_PERIOD", AQ381), ".lo", ),"MNU_", "-MNU_")</f>
        <v>ITM_ENTER</v>
      </c>
      <c r="BC381" s="157" t="str" cm="1">
        <f t="array" ref="BC381">SUBSTITUTE(SUBSTITUTE(_xlfn.SWITCH(AR381, "ITM_T_HOME", "ITM_UP1", "ITM_T_END", "ITM_DOWN1", "DOCU_CHR_sub", "ITM_DOWN_ARROW", "DOCU_CHR_super", "ITM_UP_ARROW", "MNU_TAMALPHA", "ITM_alpha", "DOCU_CHR_caseFLIP", "ITM_NULL", "DOCU_CHR_numSET", "ITM_NULL", "DOCU_ITM_RADIX", "ITM_PERIOD", AR381), ".lo", ),"MNU_", "-MNU_")</f>
        <v>ITM_XSWAP</v>
      </c>
      <c r="BD381" s="157" t="str" cm="1">
        <f t="array" ref="BD381">SUBSTITUTE(SUBSTITUTE(_xlfn.SWITCH(AS381, "ITM_T_HOME", "ITM_UP1", "ITM_T_END", "ITM_DOWN1", "DOCU_CHR_sub", "ITM_DOWN_ARROW", "DOCU_CHR_super", "ITM_UP_ARROW", "MNU_TAMALPHA", "ITM_alpha", "DOCU_CHR_caseFLIP", "ITM_NULL", "DOCU_CHR_numSET", "ITM_NULL", "DOCU_ITM_RADIX", "ITM_PERIOD", AS381), ".lo", ),"MNU_", "-MNU_")</f>
        <v>ITM_XPARSE</v>
      </c>
      <c r="BE381" s="157" t="str" cm="1">
        <f t="array" ref="BE381">SUBSTITUTE(SUBSTITUTE(_xlfn.SWITCH(AT381, "ITM_T_HOME", "ITM_UP1", "ITM_T_END", "ITM_DOWN1", "DOCU_CHR_sub", "ITM_DOWN_ARROW", "DOCU_CHR_super", "ITM_UP_ARROW", "MNU_TAMALPHA", "ITM_alpha", "DOCU_CHR_caseFLIP", "ITM_NULL", "DOCU_CHR_numSET", "ITM_NULL", "DOCU_ITM_RADIX", "ITM_PERIOD", AT381), ".lo", ),"MNU_", "-MNU_")</f>
        <v>ITM_ENTER</v>
      </c>
      <c r="BG381" s="75"/>
      <c r="BI381" s="13"/>
    </row>
    <row r="382" spans="24:61" ht="21" x14ac:dyDescent="0.2">
      <c r="X382" s="129" t="str">
        <f t="shared" si="130"/>
        <v>S47</v>
      </c>
      <c r="Y382" s="109">
        <v>4</v>
      </c>
      <c r="Z382" s="109">
        <v>2</v>
      </c>
      <c r="AA382" s="112" t="str">
        <f t="shared" si="129"/>
        <v>S47.42</v>
      </c>
      <c r="AB382" s="117" t="s">
        <v>135</v>
      </c>
      <c r="AC382" s="118" t="s">
        <v>136</v>
      </c>
      <c r="AD382" s="119" t="s">
        <v>137</v>
      </c>
      <c r="AE382" s="3"/>
      <c r="AF382" s="49" t="s">
        <v>118</v>
      </c>
      <c r="AG382" s="77" t="b">
        <f t="shared" si="139"/>
        <v>1</v>
      </c>
      <c r="AH382" s="83" t="str">
        <f t="shared" si="131"/>
        <v>k</v>
      </c>
      <c r="AI382" s="84" t="str">
        <f t="shared" si="132"/>
        <v>&lt;&gt;</v>
      </c>
      <c r="AJ382" s="85" t="str">
        <f t="shared" si="133"/>
        <v>Reg K</v>
      </c>
      <c r="AK382" s="6"/>
      <c r="AL382" s="8" t="str">
        <f t="shared" si="134"/>
        <v>{42</v>
      </c>
      <c r="AM382" s="27" t="str">
        <f t="shared" si="135"/>
        <v>ITM_XexY</v>
      </c>
      <c r="AN382" s="27" t="str">
        <f t="shared" si="136"/>
        <v>ITM_LASTX</v>
      </c>
      <c r="AO382" s="27" t="str">
        <f t="shared" si="137"/>
        <v>MNU_STK</v>
      </c>
      <c r="AP382" s="46" t="str">
        <f>IF(NOT(ISNA(MATCH(AM382,Lookups!E:E,))),VLOOKUP(AM382,Lookups!E:F,2,0),
IF(NOT(ISNA(MATCH(AN382,Lookups!E:E,))),VLOOKUP(AN382,Lookups!E:F,2,0),
IF(NOT(ISNA(MATCH(AO382,Lookups!E:E,))),VLOOKUP(AO382,Lookups!E:F,2,0),"ITM_NULL")))</f>
        <v>ITM_ex</v>
      </c>
      <c r="AQ382" s="28" t="str">
        <f t="shared" si="138"/>
        <v>ITM_K</v>
      </c>
      <c r="AR382" s="195" t="s">
        <v>119</v>
      </c>
      <c r="AS382" s="186" t="s">
        <v>140</v>
      </c>
      <c r="AT382" s="196" t="s">
        <v>121</v>
      </c>
      <c r="AW382" s="14" t="str">
        <f t="shared" si="140"/>
        <v>{42</v>
      </c>
      <c r="AX382" s="157" t="str" cm="1">
        <f t="array" ref="AX382">SUBSTITUTE(SUBSTITUTE(_xlfn.SWITCH(AM382, "ITM_T_HOME", "ITM_UP1", "ITM_T_END", "ITM_DOWN1", "DOCU_CHR_sub", "ITM_DOWN_ARROW", "DOCU_CHR_super", "ITM_UP_ARROW", "MNU_TAMALPHA", "ITM_alpha", "DOCU_CHR_caseFLIP", "ITM_NULL", "DOCU_CHR_numSET", "ITM_NULL", "DOCU_ITM_RADIX", "ITM_PERIOD", AM382), ".lo", ),"MNU_", "-MNU_")</f>
        <v>ITM_XexY</v>
      </c>
      <c r="AY382" s="157" t="str" cm="1">
        <f t="array" ref="AY382">SUBSTITUTE(SUBSTITUTE(_xlfn.SWITCH(AN382, "ITM_T_HOME", "ITM_UP1", "ITM_T_END", "ITM_DOWN1", "DOCU_CHR_sub", "ITM_DOWN_ARROW", "DOCU_CHR_super", "ITM_UP_ARROW", "MNU_TAMALPHA", "ITM_alpha", "DOCU_CHR_caseFLIP", "ITM_NULL", "DOCU_CHR_numSET", "ITM_NULL", "DOCU_ITM_RADIX", "ITM_PERIOD", AN382), ".lo", ),"MNU_", "-MNU_")</f>
        <v>ITM_LASTX</v>
      </c>
      <c r="AZ382" s="157" t="str" cm="1">
        <f t="array" ref="AZ382">SUBSTITUTE(SUBSTITUTE(_xlfn.SWITCH(AO382, "ITM_T_HOME", "ITM_UP1", "ITM_T_END", "ITM_DOWN1", "DOCU_CHR_sub", "ITM_DOWN_ARROW", "DOCU_CHR_super", "ITM_UP_ARROW", "MNU_TAMALPHA", "ITM_alpha", "DOCU_CHR_caseFLIP", "ITM_NULL", "DOCU_CHR_numSET", "ITM_NULL", "DOCU_ITM_RADIX", "ITM_PERIOD", AO382), ".lo", ),"MNU_", "-MNU_")</f>
        <v>-MNU_STK</v>
      </c>
      <c r="BA382" s="173" t="str" cm="1">
        <f t="array" ref="BA382">SUBSTITUTE(SUBSTITUTE(_xlfn.SWITCH(AP382, "ITM_T_HOME", "ITM_UP1", "ITM_T_END", "ITM_DOWN1", "DOCU_CHR_sub", "ITM_DOWN_ARROW", "DOCU_CHR_super", "ITM_UP_ARROW", "MNU_TAMALPHA", "ITM_alpha", "DOCU_CHR_caseFLIP", "ITM_NULL", "DOCU_CHR_numSET", "ITM_NULL", "DOCU_ITM_RADIX", "ITM_PERIOD", AP382), ".lo", ),"MNU_", "-MNU_")</f>
        <v>ITM_ex</v>
      </c>
      <c r="BB382" s="157" t="str" cm="1">
        <f t="array" ref="BB382">SUBSTITUTE(SUBSTITUTE(_xlfn.SWITCH(AQ382, "ITM_T_HOME", "ITM_UP1", "ITM_T_END", "ITM_DOWN1", "DOCU_CHR_sub", "ITM_DOWN_ARROW", "DOCU_CHR_super", "ITM_UP_ARROW", "MNU_TAMALPHA", "ITM_alpha", "DOCU_CHR_caseFLIP", "ITM_NULL", "DOCU_CHR_numSET", "ITM_NULL", "DOCU_ITM_RADIX", "ITM_PERIOD", AQ382), ".lo", ),"MNU_", "-MNU_")</f>
        <v>ITM_K</v>
      </c>
      <c r="BC382" s="157" t="str" cm="1">
        <f t="array" ref="BC382">SUBSTITUTE(SUBSTITUTE(_xlfn.SWITCH(AR382, "ITM_T_HOME", "ITM_UP1", "ITM_T_END", "ITM_DOWN1", "DOCU_CHR_sub", "ITM_DOWN_ARROW", "DOCU_CHR_super", "ITM_UP_ARROW", "MNU_TAMALPHA", "ITM_alpha", "DOCU_CHR_caseFLIP", "ITM_NULL", "DOCU_CHR_numSET", "ITM_NULL", "DOCU_ITM_RADIX", "ITM_PERIOD", AR382), ".lo", ),"MNU_", "-MNU_")</f>
        <v>ITM_k</v>
      </c>
      <c r="BD382" s="157" t="str" cm="1">
        <f t="array" ref="BD382">SUBSTITUTE(SUBSTITUTE(_xlfn.SWITCH(AS382, "ITM_T_HOME", "ITM_UP1", "ITM_T_END", "ITM_DOWN1", "DOCU_CHR_sub", "ITM_DOWN_ARROW", "DOCU_CHR_super", "ITM_UP_ARROW", "MNU_TAMALPHA", "ITM_alpha", "DOCU_CHR_caseFLIP", "ITM_NULL", "DOCU_CHR_numSET", "ITM_NULL", "DOCU_ITM_RADIX", "ITM_PERIOD", AS382), ".lo", ),"MNU_", "-MNU_")</f>
        <v>ITM_ex</v>
      </c>
      <c r="BE382" s="157" t="str" cm="1">
        <f t="array" ref="BE382">SUBSTITUTE(SUBSTITUTE(_xlfn.SWITCH(AT382, "ITM_T_HOME", "ITM_UP1", "ITM_T_END", "ITM_DOWN1", "DOCU_CHR_sub", "ITM_DOWN_ARROW", "DOCU_CHR_super", "ITM_UP_ARROW", "MNU_TAMALPHA", "ITM_alpha", "DOCU_CHR_caseFLIP", "ITM_NULL", "DOCU_CHR_numSET", "ITM_NULL", "DOCU_ITM_RADIX", "ITM_PERIOD", AT382), ".lo", ),"MNU_", "-MNU_")</f>
        <v>ITM_REG_K</v>
      </c>
      <c r="BG382" s="75"/>
      <c r="BI382" s="13"/>
    </row>
    <row r="383" spans="24:61" ht="21" x14ac:dyDescent="0.2">
      <c r="X383" s="129" t="str">
        <f t="shared" si="130"/>
        <v>S47</v>
      </c>
      <c r="Y383" s="109">
        <v>4</v>
      </c>
      <c r="Z383" s="109">
        <v>3</v>
      </c>
      <c r="AA383" s="112" t="str">
        <f t="shared" si="129"/>
        <v>S47.43</v>
      </c>
      <c r="AB383" s="117" t="s">
        <v>141</v>
      </c>
      <c r="AC383" s="118" t="s">
        <v>446</v>
      </c>
      <c r="AD383" s="119" t="s">
        <v>143</v>
      </c>
      <c r="AE383" s="3"/>
      <c r="AF383" s="49" t="s">
        <v>125</v>
      </c>
      <c r="AG383" s="77" t="b">
        <f t="shared" si="139"/>
        <v>1</v>
      </c>
      <c r="AH383" s="83" t="str">
        <f t="shared" si="131"/>
        <v>l</v>
      </c>
      <c r="AI383" s="84" t="str">
        <f t="shared" si="132"/>
        <v>+/-</v>
      </c>
      <c r="AJ383" s="85" t="str">
        <f t="shared" si="133"/>
        <v>Reg L</v>
      </c>
      <c r="AK383" s="6"/>
      <c r="AL383" s="8" t="str">
        <f t="shared" si="134"/>
        <v>{43</v>
      </c>
      <c r="AM383" s="27" t="str">
        <f t="shared" si="135"/>
        <v>ITM_CHS</v>
      </c>
      <c r="AN383" s="27" t="str">
        <f t="shared" si="136"/>
        <v>ITM_DRG</v>
      </c>
      <c r="AO383" s="27" t="str">
        <f t="shared" si="137"/>
        <v>MNU_TRG_C47</v>
      </c>
      <c r="AP383" s="46" t="str">
        <f>IF(NOT(ISNA(MATCH(AM383,Lookups!E:E,))),VLOOKUP(AM383,Lookups!E:F,2,0),
IF(NOT(ISNA(MATCH(AN383,Lookups!E:E,))),VLOOKUP(AN383,Lookups!E:F,2,0),
IF(NOT(ISNA(MATCH(AO383,Lookups!E:E,))),VLOOKUP(AO383,Lookups!E:F,2,0),"ITM_NULL")))</f>
        <v>ITM_PLUS_MINUS</v>
      </c>
      <c r="AQ383" s="28" t="str">
        <f t="shared" si="138"/>
        <v>ITM_L</v>
      </c>
      <c r="AR383" s="195" t="s">
        <v>126</v>
      </c>
      <c r="AS383" s="186" t="s">
        <v>146</v>
      </c>
      <c r="AT383" s="196" t="s">
        <v>128</v>
      </c>
      <c r="AW383" s="14" t="str">
        <f t="shared" si="140"/>
        <v>{43</v>
      </c>
      <c r="AX383" s="157" t="str" cm="1">
        <f t="array" ref="AX383">SUBSTITUTE(SUBSTITUTE(_xlfn.SWITCH(AM383, "ITM_T_HOME", "ITM_UP1", "ITM_T_END", "ITM_DOWN1", "DOCU_CHR_sub", "ITM_DOWN_ARROW", "DOCU_CHR_super", "ITM_UP_ARROW", "MNU_TAMALPHA", "ITM_alpha", "DOCU_CHR_caseFLIP", "ITM_NULL", "DOCU_CHR_numSET", "ITM_NULL", "DOCU_ITM_RADIX", "ITM_PERIOD", AM383), ".lo", ),"MNU_", "-MNU_")</f>
        <v>ITM_CHS</v>
      </c>
      <c r="AY383" s="157" t="str" cm="1">
        <f t="array" ref="AY383">SUBSTITUTE(SUBSTITUTE(_xlfn.SWITCH(AN383, "ITM_T_HOME", "ITM_UP1", "ITM_T_END", "ITM_DOWN1", "DOCU_CHR_sub", "ITM_DOWN_ARROW", "DOCU_CHR_super", "ITM_UP_ARROW", "MNU_TAMALPHA", "ITM_alpha", "DOCU_CHR_caseFLIP", "ITM_NULL", "DOCU_CHR_numSET", "ITM_NULL", "DOCU_ITM_RADIX", "ITM_PERIOD", AN383), ".lo", ),"MNU_", "-MNU_")</f>
        <v>ITM_DRG</v>
      </c>
      <c r="AZ383" s="157" t="str" cm="1">
        <f t="array" ref="AZ383">SUBSTITUTE(SUBSTITUTE(_xlfn.SWITCH(AO383, "ITM_T_HOME", "ITM_UP1", "ITM_T_END", "ITM_DOWN1", "DOCU_CHR_sub", "ITM_DOWN_ARROW", "DOCU_CHR_super", "ITM_UP_ARROW", "MNU_TAMALPHA", "ITM_alpha", "DOCU_CHR_caseFLIP", "ITM_NULL", "DOCU_CHR_numSET", "ITM_NULL", "DOCU_ITM_RADIX", "ITM_PERIOD", AO383), ".lo", ),"MNU_", "-MNU_")</f>
        <v>-MNU_TRG_C47</v>
      </c>
      <c r="BA383" s="173" t="str" cm="1">
        <f t="array" ref="BA383">SUBSTITUTE(SUBSTITUTE(_xlfn.SWITCH(AP383, "ITM_T_HOME", "ITM_UP1", "ITM_T_END", "ITM_DOWN1", "DOCU_CHR_sub", "ITM_DOWN_ARROW", "DOCU_CHR_super", "ITM_UP_ARROW", "MNU_TAMALPHA", "ITM_alpha", "DOCU_CHR_caseFLIP", "ITM_NULL", "DOCU_CHR_numSET", "ITM_NULL", "DOCU_ITM_RADIX", "ITM_PERIOD", AP383), ".lo", ),"MNU_", "-MNU_")</f>
        <v>ITM_PLUS_MINUS</v>
      </c>
      <c r="BB383" s="157" t="str" cm="1">
        <f t="array" ref="BB383">SUBSTITUTE(SUBSTITUTE(_xlfn.SWITCH(AQ383, "ITM_T_HOME", "ITM_UP1", "ITM_T_END", "ITM_DOWN1", "DOCU_CHR_sub", "ITM_DOWN_ARROW", "DOCU_CHR_super", "ITM_UP_ARROW", "MNU_TAMALPHA", "ITM_alpha", "DOCU_CHR_caseFLIP", "ITM_NULL", "DOCU_CHR_numSET", "ITM_NULL", "DOCU_ITM_RADIX", "ITM_PERIOD", AQ383), ".lo", ),"MNU_", "-MNU_")</f>
        <v>ITM_L</v>
      </c>
      <c r="BC383" s="157" t="str" cm="1">
        <f t="array" ref="BC383">SUBSTITUTE(SUBSTITUTE(_xlfn.SWITCH(AR383, "ITM_T_HOME", "ITM_UP1", "ITM_T_END", "ITM_DOWN1", "DOCU_CHR_sub", "ITM_DOWN_ARROW", "DOCU_CHR_super", "ITM_UP_ARROW", "MNU_TAMALPHA", "ITM_alpha", "DOCU_CHR_caseFLIP", "ITM_NULL", "DOCU_CHR_numSET", "ITM_NULL", "DOCU_ITM_RADIX", "ITM_PERIOD", AR383), ".lo", ),"MNU_", "-MNU_")</f>
        <v>ITM_l</v>
      </c>
      <c r="BD383" s="157" t="str" cm="1">
        <f t="array" ref="BD383">SUBSTITUTE(SUBSTITUTE(_xlfn.SWITCH(AS383, "ITM_T_HOME", "ITM_UP1", "ITM_T_END", "ITM_DOWN1", "DOCU_CHR_sub", "ITM_DOWN_ARROW", "DOCU_CHR_super", "ITM_UP_ARROW", "MNU_TAMALPHA", "ITM_alpha", "DOCU_CHR_caseFLIP", "ITM_NULL", "DOCU_CHR_numSET", "ITM_NULL", "DOCU_ITM_RADIX", "ITM_PERIOD", AS383), ".lo", ),"MNU_", "-MNU_")</f>
        <v>ITM_PLUS_MINUS</v>
      </c>
      <c r="BE383" s="157" t="str" cm="1">
        <f t="array" ref="BE383">SUBSTITUTE(SUBSTITUTE(_xlfn.SWITCH(AT383, "ITM_T_HOME", "ITM_UP1", "ITM_T_END", "ITM_DOWN1", "DOCU_CHR_sub", "ITM_DOWN_ARROW", "DOCU_CHR_super", "ITM_UP_ARROW", "MNU_TAMALPHA", "ITM_alpha", "DOCU_CHR_caseFLIP", "ITM_NULL", "DOCU_CHR_numSET", "ITM_NULL", "DOCU_ITM_RADIX", "ITM_PERIOD", AT383), ".lo", ),"MNU_", "-MNU_")</f>
        <v>ITM_REG_L</v>
      </c>
      <c r="BG383" s="75"/>
      <c r="BI383" s="13"/>
    </row>
    <row r="384" spans="24:61" ht="21" x14ac:dyDescent="0.2">
      <c r="X384" s="129" t="str">
        <f t="shared" si="130"/>
        <v>S47</v>
      </c>
      <c r="Y384" s="109">
        <v>4</v>
      </c>
      <c r="Z384" s="109">
        <v>4</v>
      </c>
      <c r="AA384" s="112" t="str">
        <f t="shared" si="129"/>
        <v>S47.44</v>
      </c>
      <c r="AB384" s="117" t="s">
        <v>147</v>
      </c>
      <c r="AC384" s="118" t="s">
        <v>149</v>
      </c>
      <c r="AD384" s="119" t="s">
        <v>148</v>
      </c>
      <c r="AE384" s="3"/>
      <c r="AF384" s="49" t="s">
        <v>138</v>
      </c>
      <c r="AG384" s="77" t="b">
        <f t="shared" si="139"/>
        <v>1</v>
      </c>
      <c r="AH384" s="83" t="str">
        <f t="shared" si="131"/>
        <v>m</v>
      </c>
      <c r="AI384" s="84" t="str">
        <f t="shared" si="132"/>
        <v>&lt;E&gt;</v>
      </c>
      <c r="AJ384" s="85" t="str">
        <f t="shared" si="133"/>
        <v xml:space="preserve"> </v>
      </c>
      <c r="AK384" s="6"/>
      <c r="AL384" s="8" t="str">
        <f t="shared" si="134"/>
        <v>{44</v>
      </c>
      <c r="AM384" s="27" t="str">
        <f t="shared" si="135"/>
        <v>ITM_EXPONENT</v>
      </c>
      <c r="AN384" s="27" t="str">
        <f t="shared" si="136"/>
        <v>MNU_EXP</v>
      </c>
      <c r="AO384" s="27" t="str">
        <f t="shared" si="137"/>
        <v>MNU_DISP</v>
      </c>
      <c r="AP384" s="46" t="str">
        <f>IF(NOT(ISNA(MATCH(AM384,Lookups!E:E,))),VLOOKUP(AM384,Lookups!E:F,2,0),
IF(NOT(ISNA(MATCH(AN384,Lookups!E:E,))),VLOOKUP(AN384,Lookups!E:F,2,0),
IF(NOT(ISNA(MATCH(AO384,Lookups!E:E,))),VLOOKUP(AO384,Lookups!E:F,2,0),"ITM_NULL")))</f>
        <v>ITM_NULL</v>
      </c>
      <c r="AQ384" s="28" t="str">
        <f t="shared" si="138"/>
        <v>ITM_M</v>
      </c>
      <c r="AR384" s="195" t="s">
        <v>139</v>
      </c>
      <c r="AS384" s="186" t="s">
        <v>152</v>
      </c>
      <c r="AT384" s="197" t="s">
        <v>81</v>
      </c>
      <c r="AW384" s="14" t="str">
        <f t="shared" si="140"/>
        <v>{44</v>
      </c>
      <c r="AX384" s="157" t="str" cm="1">
        <f t="array" ref="AX384">SUBSTITUTE(SUBSTITUTE(_xlfn.SWITCH(AM384, "ITM_T_HOME", "ITM_UP1", "ITM_T_END", "ITM_DOWN1", "DOCU_CHR_sub", "ITM_DOWN_ARROW", "DOCU_CHR_super", "ITM_UP_ARROW", "MNU_TAMALPHA", "ITM_alpha", "DOCU_CHR_caseFLIP", "ITM_NULL", "DOCU_CHR_numSET", "ITM_NULL", "DOCU_ITM_RADIX", "ITM_PERIOD", AM384), ".lo", ),"MNU_", "-MNU_")</f>
        <v>ITM_EXPONENT</v>
      </c>
      <c r="AY384" s="157" t="str" cm="1">
        <f t="array" ref="AY384">SUBSTITUTE(SUBSTITUTE(_xlfn.SWITCH(AN384, "ITM_T_HOME", "ITM_UP1", "ITM_T_END", "ITM_DOWN1", "DOCU_CHR_sub", "ITM_DOWN_ARROW", "DOCU_CHR_super", "ITM_UP_ARROW", "MNU_TAMALPHA", "ITM_alpha", "DOCU_CHR_caseFLIP", "ITM_NULL", "DOCU_CHR_numSET", "ITM_NULL", "DOCU_ITM_RADIX", "ITM_PERIOD", AN384), ".lo", ),"MNU_", "-MNU_")</f>
        <v>-MNU_EXP</v>
      </c>
      <c r="AZ384" s="157" t="str" cm="1">
        <f t="array" ref="AZ384">SUBSTITUTE(SUBSTITUTE(_xlfn.SWITCH(AO384, "ITM_T_HOME", "ITM_UP1", "ITM_T_END", "ITM_DOWN1", "DOCU_CHR_sub", "ITM_DOWN_ARROW", "DOCU_CHR_super", "ITM_UP_ARROW", "MNU_TAMALPHA", "ITM_alpha", "DOCU_CHR_caseFLIP", "ITM_NULL", "DOCU_CHR_numSET", "ITM_NULL", "DOCU_ITM_RADIX", "ITM_PERIOD", AO384), ".lo", ),"MNU_", "-MNU_")</f>
        <v>-MNU_DISP</v>
      </c>
      <c r="BA384" s="173" t="str" cm="1">
        <f t="array" ref="BA384">SUBSTITUTE(SUBSTITUTE(_xlfn.SWITCH(AP384, "ITM_T_HOME", "ITM_UP1", "ITM_T_END", "ITM_DOWN1", "DOCU_CHR_sub", "ITM_DOWN_ARROW", "DOCU_CHR_super", "ITM_UP_ARROW", "MNU_TAMALPHA", "ITM_alpha", "DOCU_CHR_caseFLIP", "ITM_NULL", "DOCU_CHR_numSET", "ITM_NULL", "DOCU_ITM_RADIX", "ITM_PERIOD", AP384), ".lo", ),"MNU_", "-MNU_")</f>
        <v>ITM_NULL</v>
      </c>
      <c r="BB384" s="157" t="str" cm="1">
        <f t="array" ref="BB384">SUBSTITUTE(SUBSTITUTE(_xlfn.SWITCH(AQ384, "ITM_T_HOME", "ITM_UP1", "ITM_T_END", "ITM_DOWN1", "DOCU_CHR_sub", "ITM_DOWN_ARROW", "DOCU_CHR_super", "ITM_UP_ARROW", "MNU_TAMALPHA", "ITM_alpha", "DOCU_CHR_caseFLIP", "ITM_NULL", "DOCU_CHR_numSET", "ITM_NULL", "DOCU_ITM_RADIX", "ITM_PERIOD", AQ384), ".lo", ),"MNU_", "-MNU_")</f>
        <v>ITM_M</v>
      </c>
      <c r="BC384" s="157" t="str" cm="1">
        <f t="array" ref="BC384">SUBSTITUTE(SUBSTITUTE(_xlfn.SWITCH(AR384, "ITM_T_HOME", "ITM_UP1", "ITM_T_END", "ITM_DOWN1", "DOCU_CHR_sub", "ITM_DOWN_ARROW", "DOCU_CHR_super", "ITM_UP_ARROW", "MNU_TAMALPHA", "ITM_alpha", "DOCU_CHR_caseFLIP", "ITM_NULL", "DOCU_CHR_numSET", "ITM_NULL", "DOCU_ITM_RADIX", "ITM_PERIOD", AR384), ".lo", ),"MNU_", "-MNU_")</f>
        <v>ITM_m</v>
      </c>
      <c r="BD384" s="157" t="str" cm="1">
        <f t="array" ref="BD384">SUBSTITUTE(SUBSTITUTE(_xlfn.SWITCH(AS384, "ITM_T_HOME", "ITM_UP1", "ITM_T_END", "ITM_DOWN1", "DOCU_CHR_sub", "ITM_DOWN_ARROW", "DOCU_CHR_super", "ITM_UP_ARROW", "MNU_TAMALPHA", "ITM_alpha", "DOCU_CHR_caseFLIP", "ITM_NULL", "DOCU_CHR_numSET", "ITM_NULL", "DOCU_ITM_RADIX", "ITM_PERIOD", AS384), ".lo", ),"MNU_", "-MNU_")</f>
        <v>ITM_EEXCHR</v>
      </c>
      <c r="BE384" s="157" t="str" cm="1">
        <f t="array" ref="BE384">SUBSTITUTE(SUBSTITUTE(_xlfn.SWITCH(AT384, "ITM_T_HOME", "ITM_UP1", "ITM_T_END", "ITM_DOWN1", "DOCU_CHR_sub", "ITM_DOWN_ARROW", "DOCU_CHR_super", "ITM_UP_ARROW", "MNU_TAMALPHA", "ITM_alpha", "DOCU_CHR_caseFLIP", "ITM_NULL", "DOCU_CHR_numSET", "ITM_NULL", "DOCU_ITM_RADIX", "ITM_PERIOD", AT384), ".lo", ),"MNU_", "-MNU_")</f>
        <v>ITM_NULL</v>
      </c>
      <c r="BG384" s="75"/>
      <c r="BI384" s="13"/>
    </row>
    <row r="385" spans="24:61" ht="21" x14ac:dyDescent="0.2">
      <c r="X385" s="129" t="str">
        <f t="shared" si="130"/>
        <v>S47</v>
      </c>
      <c r="Y385" s="109">
        <v>4</v>
      </c>
      <c r="Z385" s="109">
        <v>5</v>
      </c>
      <c r="AA385" s="112" t="str">
        <f t="shared" si="129"/>
        <v>S47.45</v>
      </c>
      <c r="AB385" s="117" t="s">
        <v>154</v>
      </c>
      <c r="AC385" s="118" t="s">
        <v>155</v>
      </c>
      <c r="AD385" s="119" t="s">
        <v>156</v>
      </c>
      <c r="AE385" s="3"/>
      <c r="AF385" s="49" t="s">
        <v>154</v>
      </c>
      <c r="AG385" s="77" t="b">
        <f t="shared" si="139"/>
        <v>0</v>
      </c>
      <c r="AH385" s="83" t="str">
        <f t="shared" si="131"/>
        <v>CLA</v>
      </c>
      <c r="AI385" s="84" t="str">
        <f t="shared" si="132"/>
        <v>CLA</v>
      </c>
      <c r="AJ385" s="85" t="str">
        <f t="shared" si="133"/>
        <v>&lt;=</v>
      </c>
      <c r="AK385" s="6"/>
      <c r="AL385" s="8" t="str">
        <f t="shared" si="134"/>
        <v>{45</v>
      </c>
      <c r="AM385" s="27" t="str">
        <f t="shared" si="135"/>
        <v>ITM_BACKSPACE</v>
      </c>
      <c r="AN385" s="27" t="str">
        <f t="shared" si="136"/>
        <v>ITM_UNDO</v>
      </c>
      <c r="AO385" s="27" t="str">
        <f t="shared" si="137"/>
        <v>MNU_CLR</v>
      </c>
      <c r="AP385" s="46" t="str">
        <f>IF(NOT(ISNA(MATCH(AM385,Lookups!E:E,))),VLOOKUP(AM385,Lookups!E:F,2,0),
IF(NOT(ISNA(MATCH(AN385,Lookups!E:E,))),VLOOKUP(AN385,Lookups!E:F,2,0),
IF(NOT(ISNA(MATCH(AO385,Lookups!E:E,))),VLOOKUP(AO385,Lookups!E:F,2,0),"ITM_NULL")))</f>
        <v>ITM_BACKSPACE</v>
      </c>
      <c r="AQ385" s="28" t="str">
        <f t="shared" si="138"/>
        <v>ITM_BACKSPACE</v>
      </c>
      <c r="AR385" s="198" t="s">
        <v>157</v>
      </c>
      <c r="AS385" s="186" t="s">
        <v>157</v>
      </c>
      <c r="AT385" s="197" t="s">
        <v>158</v>
      </c>
      <c r="AW385" s="14" t="str">
        <f t="shared" si="140"/>
        <v>{45</v>
      </c>
      <c r="AX385" s="157" t="str" cm="1">
        <f t="array" ref="AX385">SUBSTITUTE(SUBSTITUTE(_xlfn.SWITCH(AM385, "ITM_T_HOME", "ITM_UP1", "ITM_T_END", "ITM_DOWN1", "DOCU_CHR_sub", "ITM_DOWN_ARROW", "DOCU_CHR_super", "ITM_UP_ARROW", "MNU_TAMALPHA", "ITM_alpha", "DOCU_CHR_caseFLIP", "ITM_NULL", "DOCU_CHR_numSET", "ITM_NULL", "DOCU_ITM_RADIX", "ITM_PERIOD", AM385), ".lo", ),"MNU_", "-MNU_")</f>
        <v>ITM_BACKSPACE</v>
      </c>
      <c r="AY385" s="157" t="str" cm="1">
        <f t="array" ref="AY385">SUBSTITUTE(SUBSTITUTE(_xlfn.SWITCH(AN385, "ITM_T_HOME", "ITM_UP1", "ITM_T_END", "ITM_DOWN1", "DOCU_CHR_sub", "ITM_DOWN_ARROW", "DOCU_CHR_super", "ITM_UP_ARROW", "MNU_TAMALPHA", "ITM_alpha", "DOCU_CHR_caseFLIP", "ITM_NULL", "DOCU_CHR_numSET", "ITM_NULL", "DOCU_ITM_RADIX", "ITM_PERIOD", AN385), ".lo", ),"MNU_", "-MNU_")</f>
        <v>ITM_UNDO</v>
      </c>
      <c r="AZ385" s="157" t="str" cm="1">
        <f t="array" ref="AZ385">SUBSTITUTE(SUBSTITUTE(_xlfn.SWITCH(AO385, "ITM_T_HOME", "ITM_UP1", "ITM_T_END", "ITM_DOWN1", "DOCU_CHR_sub", "ITM_DOWN_ARROW", "DOCU_CHR_super", "ITM_UP_ARROW", "MNU_TAMALPHA", "ITM_alpha", "DOCU_CHR_caseFLIP", "ITM_NULL", "DOCU_CHR_numSET", "ITM_NULL", "DOCU_ITM_RADIX", "ITM_PERIOD", AO385), ".lo", ),"MNU_", "-MNU_")</f>
        <v>-MNU_CLR</v>
      </c>
      <c r="BA385" s="173" t="str" cm="1">
        <f t="array" ref="BA385">SUBSTITUTE(SUBSTITUTE(_xlfn.SWITCH(AP385, "ITM_T_HOME", "ITM_UP1", "ITM_T_END", "ITM_DOWN1", "DOCU_CHR_sub", "ITM_DOWN_ARROW", "DOCU_CHR_super", "ITM_UP_ARROW", "MNU_TAMALPHA", "ITM_alpha", "DOCU_CHR_caseFLIP", "ITM_NULL", "DOCU_CHR_numSET", "ITM_NULL", "DOCU_ITM_RADIX", "ITM_PERIOD", AP385), ".lo", ),"MNU_", "-MNU_")</f>
        <v>ITM_BACKSPACE</v>
      </c>
      <c r="BB385" s="157" t="str" cm="1">
        <f t="array" ref="BB385">SUBSTITUTE(SUBSTITUTE(_xlfn.SWITCH(AQ385, "ITM_T_HOME", "ITM_UP1", "ITM_T_END", "ITM_DOWN1", "DOCU_CHR_sub", "ITM_DOWN_ARROW", "DOCU_CHR_super", "ITM_UP_ARROW", "MNU_TAMALPHA", "ITM_alpha", "DOCU_CHR_caseFLIP", "ITM_NULL", "DOCU_CHR_numSET", "ITM_NULL", "DOCU_ITM_RADIX", "ITM_PERIOD", AQ385), ".lo", ),"MNU_", "-MNU_")</f>
        <v>ITM_BACKSPACE</v>
      </c>
      <c r="BC385" s="157" t="str" cm="1">
        <f t="array" ref="BC385">SUBSTITUTE(SUBSTITUTE(_xlfn.SWITCH(AR385, "ITM_T_HOME", "ITM_UP1", "ITM_T_END", "ITM_DOWN1", "DOCU_CHR_sub", "ITM_DOWN_ARROW", "DOCU_CHR_super", "ITM_UP_ARROW", "MNU_TAMALPHA", "ITM_alpha", "DOCU_CHR_caseFLIP", "ITM_NULL", "DOCU_CHR_numSET", "ITM_NULL", "DOCU_ITM_RADIX", "ITM_PERIOD", AR385), ".lo", ),"MNU_", "-MNU_")</f>
        <v>ITM_CLA</v>
      </c>
      <c r="BD385" s="157" t="str" cm="1">
        <f t="array" ref="BD385">SUBSTITUTE(SUBSTITUTE(_xlfn.SWITCH(AS385, "ITM_T_HOME", "ITM_UP1", "ITM_T_END", "ITM_DOWN1", "DOCU_CHR_sub", "ITM_DOWN_ARROW", "DOCU_CHR_super", "ITM_UP_ARROW", "MNU_TAMALPHA", "ITM_alpha", "DOCU_CHR_caseFLIP", "ITM_NULL", "DOCU_CHR_numSET", "ITM_NULL", "DOCU_ITM_RADIX", "ITM_PERIOD", AS385), ".lo", ),"MNU_", "-MNU_")</f>
        <v>ITM_CLA</v>
      </c>
      <c r="BE385" s="157" t="str" cm="1">
        <f t="array" ref="BE385">SUBSTITUTE(SUBSTITUTE(_xlfn.SWITCH(AT385, "ITM_T_HOME", "ITM_UP1", "ITM_T_END", "ITM_DOWN1", "DOCU_CHR_sub", "ITM_DOWN_ARROW", "DOCU_CHR_super", "ITM_UP_ARROW", "MNU_TAMALPHA", "ITM_alpha", "DOCU_CHR_caseFLIP", "ITM_NULL", "DOCU_CHR_numSET", "ITM_NULL", "DOCU_ITM_RADIX", "ITM_PERIOD", AT385), ".lo", ),"MNU_", "-MNU_")</f>
        <v>ITM_BACKSPACE</v>
      </c>
      <c r="BG385" s="75"/>
      <c r="BI385" s="13"/>
    </row>
    <row r="386" spans="24:61" ht="21" x14ac:dyDescent="0.2">
      <c r="X386" s="129" t="str">
        <f t="shared" si="130"/>
        <v>S47</v>
      </c>
      <c r="Y386" s="106">
        <v>5</v>
      </c>
      <c r="Z386" s="106">
        <v>1</v>
      </c>
      <c r="AA386" s="112" t="str">
        <f t="shared" si="129"/>
        <v>S47.51</v>
      </c>
      <c r="AB386" s="117" t="s">
        <v>82</v>
      </c>
      <c r="AC386" s="118" t="s">
        <v>83</v>
      </c>
      <c r="AD386" s="119" t="s">
        <v>227</v>
      </c>
      <c r="AE386" s="3"/>
      <c r="AF386" s="49" t="str">
        <f>" "</f>
        <v xml:space="preserve"> </v>
      </c>
      <c r="AG386" s="77" t="b">
        <f t="shared" si="139"/>
        <v>1</v>
      </c>
      <c r="AH386" s="83" t="str">
        <f t="shared" si="131"/>
        <v xml:space="preserve"> </v>
      </c>
      <c r="AI386" s="84" t="str">
        <f t="shared" si="132"/>
        <v>alpha</v>
      </c>
      <c r="AJ386" s="85" t="str">
        <f t="shared" si="133"/>
        <v>[TAMALPHA]</v>
      </c>
      <c r="AK386" s="6"/>
      <c r="AL386" s="8" t="str">
        <f t="shared" si="134"/>
        <v>{51</v>
      </c>
      <c r="AM386" s="27" t="str">
        <f t="shared" si="135"/>
        <v>ITM_XEQ</v>
      </c>
      <c r="AN386" s="27" t="str">
        <f t="shared" si="136"/>
        <v>ITM_AIM</v>
      </c>
      <c r="AO386" s="27" t="str">
        <f t="shared" si="137"/>
        <v>ITM_USERMODE</v>
      </c>
      <c r="AP386" s="46" t="str">
        <f>IF(NOT(ISNA(MATCH(AM386,Lookups!E:E,))),VLOOKUP(AM386,Lookups!E:F,2,0),
IF(NOT(ISNA(MATCH(AN386,Lookups!E:E,))),VLOOKUP(AN386,Lookups!E:F,2,0),
IF(NOT(ISNA(MATCH(AO386,Lookups!E:E,))),VLOOKUP(AO386,Lookups!E:F,2,0),"ITM_NULL")))</f>
        <v>ITM_NULL</v>
      </c>
      <c r="AQ386" s="28" t="str">
        <f t="shared" si="138"/>
        <v>ITM_NULL</v>
      </c>
      <c r="AR386" s="198" t="s">
        <v>81</v>
      </c>
      <c r="AS386" s="186" t="s">
        <v>87</v>
      </c>
      <c r="AT386" s="197" t="s">
        <v>622</v>
      </c>
      <c r="AW386" s="14" t="str">
        <f t="shared" si="140"/>
        <v>{51</v>
      </c>
      <c r="AX386" s="157" t="str" cm="1">
        <f t="array" ref="AX386">SUBSTITUTE(SUBSTITUTE(_xlfn.SWITCH(AM386, "ITM_T_HOME", "ITM_UP1", "ITM_T_END", "ITM_DOWN1", "DOCU_CHR_sub", "ITM_DOWN_ARROW", "DOCU_CHR_super", "ITM_UP_ARROW", "MNU_TAMALPHA", "ITM_alpha", "DOCU_CHR_caseFLIP", "ITM_NULL", "DOCU_CHR_numSET", "ITM_NULL", "DOCU_ITM_RADIX", "ITM_PERIOD", AM386), ".lo", ),"MNU_", "-MNU_")</f>
        <v>ITM_XEQ</v>
      </c>
      <c r="AY386" s="157" t="str" cm="1">
        <f t="array" ref="AY386">SUBSTITUTE(SUBSTITUTE(_xlfn.SWITCH(AN386, "ITM_T_HOME", "ITM_UP1", "ITM_T_END", "ITM_DOWN1", "DOCU_CHR_sub", "ITM_DOWN_ARROW", "DOCU_CHR_super", "ITM_UP_ARROW", "MNU_TAMALPHA", "ITM_alpha", "DOCU_CHR_caseFLIP", "ITM_NULL", "DOCU_CHR_numSET", "ITM_NULL", "DOCU_ITM_RADIX", "ITM_PERIOD", AN386), ".lo", ),"MNU_", "-MNU_")</f>
        <v>ITM_AIM</v>
      </c>
      <c r="AZ386" s="157" t="str" cm="1">
        <f t="array" ref="AZ386">SUBSTITUTE(SUBSTITUTE(_xlfn.SWITCH(AO386, "ITM_T_HOME", "ITM_UP1", "ITM_T_END", "ITM_DOWN1", "DOCU_CHR_sub", "ITM_DOWN_ARROW", "DOCU_CHR_super", "ITM_UP_ARROW", "MNU_TAMALPHA", "ITM_alpha", "DOCU_CHR_caseFLIP", "ITM_NULL", "DOCU_CHR_numSET", "ITM_NULL", "DOCU_ITM_RADIX", "ITM_PERIOD", AO386), ".lo", ),"MNU_", "-MNU_")</f>
        <v>ITM_USERMODE</v>
      </c>
      <c r="BA386" s="173" t="str" cm="1">
        <f t="array" ref="BA386">SUBSTITUTE(SUBSTITUTE(_xlfn.SWITCH(AP386, "ITM_T_HOME", "ITM_UP1", "ITM_T_END", "ITM_DOWN1", "DOCU_CHR_sub", "ITM_DOWN_ARROW", "DOCU_CHR_super", "ITM_UP_ARROW", "MNU_TAMALPHA", "ITM_alpha", "DOCU_CHR_caseFLIP", "ITM_NULL", "DOCU_CHR_numSET", "ITM_NULL", "DOCU_ITM_RADIX", "ITM_PERIOD", AP386), ".lo", ),"MNU_", "-MNU_")</f>
        <v>ITM_NULL</v>
      </c>
      <c r="BB386" s="157" t="str" cm="1">
        <f t="array" ref="BB386">SUBSTITUTE(SUBSTITUTE(_xlfn.SWITCH(AQ386, "ITM_T_HOME", "ITM_UP1", "ITM_T_END", "ITM_DOWN1", "DOCU_CHR_sub", "ITM_DOWN_ARROW", "DOCU_CHR_super", "ITM_UP_ARROW", "MNU_TAMALPHA", "ITM_alpha", "DOCU_CHR_caseFLIP", "ITM_NULL", "DOCU_CHR_numSET", "ITM_NULL", "DOCU_ITM_RADIX", "ITM_PERIOD", AQ386), ".lo", ),"MNU_", "-MNU_")</f>
        <v>ITM_NULL</v>
      </c>
      <c r="BC386" s="157" t="str" cm="1">
        <f t="array" ref="BC386">SUBSTITUTE(SUBSTITUTE(_xlfn.SWITCH(AR386, "ITM_T_HOME", "ITM_UP1", "ITM_T_END", "ITM_DOWN1", "DOCU_CHR_sub", "ITM_DOWN_ARROW", "DOCU_CHR_super", "ITM_UP_ARROW", "MNU_TAMALPHA", "ITM_alpha", "DOCU_CHR_caseFLIP", "ITM_NULL", "DOCU_CHR_numSET", "ITM_NULL", "DOCU_ITM_RADIX", "ITM_PERIOD", AR386), ".lo", ),"MNU_", "-MNU_")</f>
        <v>ITM_NULL</v>
      </c>
      <c r="BD386" s="157" t="str" cm="1">
        <f t="array" ref="BD386">SUBSTITUTE(SUBSTITUTE(_xlfn.SWITCH(AS386, "ITM_T_HOME", "ITM_UP1", "ITM_T_END", "ITM_DOWN1", "DOCU_CHR_sub", "ITM_DOWN_ARROW", "DOCU_CHR_super", "ITM_UP_ARROW", "MNU_TAMALPHA", "ITM_alpha", "DOCU_CHR_caseFLIP", "ITM_NULL", "DOCU_CHR_numSET", "ITM_NULL", "DOCU_ITM_RADIX", "ITM_PERIOD", AS386), ".lo", ),"MNU_", "-MNU_")</f>
        <v>ITM_alpha</v>
      </c>
      <c r="BE386" s="157" t="str" cm="1">
        <f t="array" ref="BE386">SUBSTITUTE(SUBSTITUTE(_xlfn.SWITCH(AT386, "ITM_T_HOME", "ITM_UP1", "ITM_T_END", "ITM_DOWN1", "DOCU_CHR_sub", "ITM_DOWN_ARROW", "DOCU_CHR_super", "ITM_UP_ARROW", "MNU_TAMALPHA", "ITM_alpha", "DOCU_CHR_caseFLIP", "ITM_NULL", "DOCU_CHR_numSET", "ITM_NULL", "DOCU_ITM_RADIX", "ITM_PERIOD", AT386), ".lo", ),"MNU_", "-MNU_")</f>
        <v>ITM_alpha</v>
      </c>
      <c r="BG386" s="75"/>
      <c r="BI386" s="13"/>
    </row>
    <row r="387" spans="24:61" ht="21" x14ac:dyDescent="0.2">
      <c r="X387" s="129" t="str">
        <f t="shared" si="130"/>
        <v>S47</v>
      </c>
      <c r="Y387" s="109">
        <v>5</v>
      </c>
      <c r="Z387" s="109">
        <v>2</v>
      </c>
      <c r="AA387" s="112" t="str">
        <f t="shared" si="129"/>
        <v>S47.52</v>
      </c>
      <c r="AB387" s="117">
        <v>7</v>
      </c>
      <c r="AC387" s="118" t="s">
        <v>84</v>
      </c>
      <c r="AD387" s="119" t="s">
        <v>167</v>
      </c>
      <c r="AE387" s="3"/>
      <c r="AF387" s="49" t="s">
        <v>144</v>
      </c>
      <c r="AG387" s="77" t="b">
        <f t="shared" si="139"/>
        <v>1</v>
      </c>
      <c r="AH387" s="83" t="str">
        <f t="shared" si="131"/>
        <v>n</v>
      </c>
      <c r="AI387" s="84">
        <f t="shared" si="132"/>
        <v>7</v>
      </c>
      <c r="AJ387" s="85">
        <f t="shared" si="133"/>
        <v>7</v>
      </c>
      <c r="AK387" s="6"/>
      <c r="AL387" s="8" t="str">
        <f t="shared" si="134"/>
        <v>{52</v>
      </c>
      <c r="AM387" s="27" t="str">
        <f t="shared" si="135"/>
        <v>ITM_7</v>
      </c>
      <c r="AN387" s="27" t="str">
        <f t="shared" si="136"/>
        <v>ITM_GTO</v>
      </c>
      <c r="AO387" s="27" t="str">
        <f t="shared" si="137"/>
        <v>MNU_HOME</v>
      </c>
      <c r="AP387" s="46" t="str">
        <f>IF(NOT(ISNA(MATCH(AM387,Lookups!E:E,))),VLOOKUP(AM387,Lookups!E:F,2,0),
IF(NOT(ISNA(MATCH(AN387,Lookups!E:E,))),VLOOKUP(AN387,Lookups!E:F,2,0),
IF(NOT(ISNA(MATCH(AO387,Lookups!E:E,))),VLOOKUP(AO387,Lookups!E:F,2,0),"ITM_NULL")))</f>
        <v>ITM_7</v>
      </c>
      <c r="AQ387" s="28" t="str">
        <f t="shared" si="138"/>
        <v>ITM_N</v>
      </c>
      <c r="AR387" s="195" t="s">
        <v>145</v>
      </c>
      <c r="AS387" s="186" t="s">
        <v>170</v>
      </c>
      <c r="AT387" s="197" t="s">
        <v>170</v>
      </c>
      <c r="AW387" s="14" t="str">
        <f t="shared" si="140"/>
        <v>{52</v>
      </c>
      <c r="AX387" s="157" t="str" cm="1">
        <f t="array" ref="AX387">SUBSTITUTE(SUBSTITUTE(_xlfn.SWITCH(AM387, "ITM_T_HOME", "ITM_UP1", "ITM_T_END", "ITM_DOWN1", "DOCU_CHR_sub", "ITM_DOWN_ARROW", "DOCU_CHR_super", "ITM_UP_ARROW", "MNU_TAMALPHA", "ITM_alpha", "DOCU_CHR_caseFLIP", "ITM_NULL", "DOCU_CHR_numSET", "ITM_NULL", "DOCU_ITM_RADIX", "ITM_PERIOD", AM387), ".lo", ),"MNU_", "-MNU_")</f>
        <v>ITM_7</v>
      </c>
      <c r="AY387" s="157" t="str" cm="1">
        <f t="array" ref="AY387">SUBSTITUTE(SUBSTITUTE(_xlfn.SWITCH(AN387, "ITM_T_HOME", "ITM_UP1", "ITM_T_END", "ITM_DOWN1", "DOCU_CHR_sub", "ITM_DOWN_ARROW", "DOCU_CHR_super", "ITM_UP_ARROW", "MNU_TAMALPHA", "ITM_alpha", "DOCU_CHR_caseFLIP", "ITM_NULL", "DOCU_CHR_numSET", "ITM_NULL", "DOCU_ITM_RADIX", "ITM_PERIOD", AN387), ".lo", ),"MNU_", "-MNU_")</f>
        <v>ITM_GTO</v>
      </c>
      <c r="AZ387" s="157" t="str" cm="1">
        <f t="array" ref="AZ387">SUBSTITUTE(SUBSTITUTE(_xlfn.SWITCH(AO387, "ITM_T_HOME", "ITM_UP1", "ITM_T_END", "ITM_DOWN1", "DOCU_CHR_sub", "ITM_DOWN_ARROW", "DOCU_CHR_super", "ITM_UP_ARROW", "MNU_TAMALPHA", "ITM_alpha", "DOCU_CHR_caseFLIP", "ITM_NULL", "DOCU_CHR_numSET", "ITM_NULL", "DOCU_ITM_RADIX", "ITM_PERIOD", AO387), ".lo", ),"MNU_", "-MNU_")</f>
        <v>-MNU_HOME</v>
      </c>
      <c r="BA387" s="173" t="str" cm="1">
        <f t="array" ref="BA387">SUBSTITUTE(SUBSTITUTE(_xlfn.SWITCH(AP387, "ITM_T_HOME", "ITM_UP1", "ITM_T_END", "ITM_DOWN1", "DOCU_CHR_sub", "ITM_DOWN_ARROW", "DOCU_CHR_super", "ITM_UP_ARROW", "MNU_TAMALPHA", "ITM_alpha", "DOCU_CHR_caseFLIP", "ITM_NULL", "DOCU_CHR_numSET", "ITM_NULL", "DOCU_ITM_RADIX", "ITM_PERIOD", AP387), ".lo", ),"MNU_", "-MNU_")</f>
        <v>ITM_7</v>
      </c>
      <c r="BB387" s="157" t="str" cm="1">
        <f t="array" ref="BB387">SUBSTITUTE(SUBSTITUTE(_xlfn.SWITCH(AQ387, "ITM_T_HOME", "ITM_UP1", "ITM_T_END", "ITM_DOWN1", "DOCU_CHR_sub", "ITM_DOWN_ARROW", "DOCU_CHR_super", "ITM_UP_ARROW", "MNU_TAMALPHA", "ITM_alpha", "DOCU_CHR_caseFLIP", "ITM_NULL", "DOCU_CHR_numSET", "ITM_NULL", "DOCU_ITM_RADIX", "ITM_PERIOD", AQ387), ".lo", ),"MNU_", "-MNU_")</f>
        <v>ITM_N</v>
      </c>
      <c r="BC387" s="157" t="str" cm="1">
        <f t="array" ref="BC387">SUBSTITUTE(SUBSTITUTE(_xlfn.SWITCH(AR387, "ITM_T_HOME", "ITM_UP1", "ITM_T_END", "ITM_DOWN1", "DOCU_CHR_sub", "ITM_DOWN_ARROW", "DOCU_CHR_super", "ITM_UP_ARROW", "MNU_TAMALPHA", "ITM_alpha", "DOCU_CHR_caseFLIP", "ITM_NULL", "DOCU_CHR_numSET", "ITM_NULL", "DOCU_ITM_RADIX", "ITM_PERIOD", AR387), ".lo", ),"MNU_", "-MNU_")</f>
        <v>ITM_n</v>
      </c>
      <c r="BD387" s="157" t="str" cm="1">
        <f t="array" ref="BD387">SUBSTITUTE(SUBSTITUTE(_xlfn.SWITCH(AS387, "ITM_T_HOME", "ITM_UP1", "ITM_T_END", "ITM_DOWN1", "DOCU_CHR_sub", "ITM_DOWN_ARROW", "DOCU_CHR_super", "ITM_UP_ARROW", "MNU_TAMALPHA", "ITM_alpha", "DOCU_CHR_caseFLIP", "ITM_NULL", "DOCU_CHR_numSET", "ITM_NULL", "DOCU_ITM_RADIX", "ITM_PERIOD", AS387), ".lo", ),"MNU_", "-MNU_")</f>
        <v>ITM_7</v>
      </c>
      <c r="BE387" s="157" t="str" cm="1">
        <f t="array" ref="BE387">SUBSTITUTE(SUBSTITUTE(_xlfn.SWITCH(AT387, "ITM_T_HOME", "ITM_UP1", "ITM_T_END", "ITM_DOWN1", "DOCU_CHR_sub", "ITM_DOWN_ARROW", "DOCU_CHR_super", "ITM_UP_ARROW", "MNU_TAMALPHA", "ITM_alpha", "DOCU_CHR_caseFLIP", "ITM_NULL", "DOCU_CHR_numSET", "ITM_NULL", "DOCU_ITM_RADIX", "ITM_PERIOD", AT387), ".lo", ),"MNU_", "-MNU_")</f>
        <v>ITM_7</v>
      </c>
      <c r="BG387" s="75"/>
      <c r="BI387" s="13"/>
    </row>
    <row r="388" spans="24:61" ht="21" x14ac:dyDescent="0.2">
      <c r="X388" s="129" t="str">
        <f t="shared" si="130"/>
        <v>S47</v>
      </c>
      <c r="Y388" s="109">
        <v>5</v>
      </c>
      <c r="Z388" s="109">
        <v>3</v>
      </c>
      <c r="AA388" s="112" t="str">
        <f t="shared" si="129"/>
        <v>S47.53</v>
      </c>
      <c r="AB388" s="117">
        <v>8</v>
      </c>
      <c r="AC388" s="118" t="s">
        <v>166</v>
      </c>
      <c r="AD388" s="119" t="s">
        <v>171</v>
      </c>
      <c r="AE388" s="3"/>
      <c r="AF388" s="49" t="s">
        <v>150</v>
      </c>
      <c r="AG388" s="77" t="b">
        <f t="shared" si="139"/>
        <v>1</v>
      </c>
      <c r="AH388" s="83" t="str">
        <f t="shared" si="131"/>
        <v>o</v>
      </c>
      <c r="AI388" s="84">
        <f t="shared" si="132"/>
        <v>8</v>
      </c>
      <c r="AJ388" s="85">
        <f t="shared" si="133"/>
        <v>8</v>
      </c>
      <c r="AK388" s="6"/>
      <c r="AL388" s="8" t="str">
        <f t="shared" si="134"/>
        <v>{53</v>
      </c>
      <c r="AM388" s="27" t="str">
        <f t="shared" si="135"/>
        <v>ITM_8</v>
      </c>
      <c r="AN388" s="27" t="str">
        <f t="shared" si="136"/>
        <v>MNU_EQN</v>
      </c>
      <c r="AO388" s="27" t="str">
        <f t="shared" si="137"/>
        <v>MNU_ADV</v>
      </c>
      <c r="AP388" s="46" t="str">
        <f>IF(NOT(ISNA(MATCH(AM388,Lookups!E:E,))),VLOOKUP(AM388,Lookups!E:F,2,0),
IF(NOT(ISNA(MATCH(AN388,Lookups!E:E,))),VLOOKUP(AN388,Lookups!E:F,2,0),
IF(NOT(ISNA(MATCH(AO388,Lookups!E:E,))),VLOOKUP(AO388,Lookups!E:F,2,0),"ITM_NULL")))</f>
        <v>ITM_8</v>
      </c>
      <c r="AQ388" s="28" t="str">
        <f t="shared" si="138"/>
        <v>ITM_O</v>
      </c>
      <c r="AR388" s="195" t="s">
        <v>151</v>
      </c>
      <c r="AS388" s="186" t="s">
        <v>175</v>
      </c>
      <c r="AT388" s="197" t="s">
        <v>175</v>
      </c>
      <c r="AW388" s="14" t="str">
        <f t="shared" si="140"/>
        <v>{53</v>
      </c>
      <c r="AX388" s="157" t="str" cm="1">
        <f t="array" ref="AX388">SUBSTITUTE(SUBSTITUTE(_xlfn.SWITCH(AM388, "ITM_T_HOME", "ITM_UP1", "ITM_T_END", "ITM_DOWN1", "DOCU_CHR_sub", "ITM_DOWN_ARROW", "DOCU_CHR_super", "ITM_UP_ARROW", "MNU_TAMALPHA", "ITM_alpha", "DOCU_CHR_caseFLIP", "ITM_NULL", "DOCU_CHR_numSET", "ITM_NULL", "DOCU_ITM_RADIX", "ITM_PERIOD", AM388), ".lo", ),"MNU_", "-MNU_")</f>
        <v>ITM_8</v>
      </c>
      <c r="AY388" s="157" t="str" cm="1">
        <f t="array" ref="AY388">SUBSTITUTE(SUBSTITUTE(_xlfn.SWITCH(AN388, "ITM_T_HOME", "ITM_UP1", "ITM_T_END", "ITM_DOWN1", "DOCU_CHR_sub", "ITM_DOWN_ARROW", "DOCU_CHR_super", "ITM_UP_ARROW", "MNU_TAMALPHA", "ITM_alpha", "DOCU_CHR_caseFLIP", "ITM_NULL", "DOCU_CHR_numSET", "ITM_NULL", "DOCU_ITM_RADIX", "ITM_PERIOD", AN388), ".lo", ),"MNU_", "-MNU_")</f>
        <v>-MNU_EQN</v>
      </c>
      <c r="AZ388" s="157" t="str" cm="1">
        <f t="array" ref="AZ388">SUBSTITUTE(SUBSTITUTE(_xlfn.SWITCH(AO388, "ITM_T_HOME", "ITM_UP1", "ITM_T_END", "ITM_DOWN1", "DOCU_CHR_sub", "ITM_DOWN_ARROW", "DOCU_CHR_super", "ITM_UP_ARROW", "MNU_TAMALPHA", "ITM_alpha", "DOCU_CHR_caseFLIP", "ITM_NULL", "DOCU_CHR_numSET", "ITM_NULL", "DOCU_ITM_RADIX", "ITM_PERIOD", AO388), ".lo", ),"MNU_", "-MNU_")</f>
        <v>-MNU_ADV</v>
      </c>
      <c r="BA388" s="173" t="str" cm="1">
        <f t="array" ref="BA388">SUBSTITUTE(SUBSTITUTE(_xlfn.SWITCH(AP388, "ITM_T_HOME", "ITM_UP1", "ITM_T_END", "ITM_DOWN1", "DOCU_CHR_sub", "ITM_DOWN_ARROW", "DOCU_CHR_super", "ITM_UP_ARROW", "MNU_TAMALPHA", "ITM_alpha", "DOCU_CHR_caseFLIP", "ITM_NULL", "DOCU_CHR_numSET", "ITM_NULL", "DOCU_ITM_RADIX", "ITM_PERIOD", AP388), ".lo", ),"MNU_", "-MNU_")</f>
        <v>ITM_8</v>
      </c>
      <c r="BB388" s="157" t="str" cm="1">
        <f t="array" ref="BB388">SUBSTITUTE(SUBSTITUTE(_xlfn.SWITCH(AQ388, "ITM_T_HOME", "ITM_UP1", "ITM_T_END", "ITM_DOWN1", "DOCU_CHR_sub", "ITM_DOWN_ARROW", "DOCU_CHR_super", "ITM_UP_ARROW", "MNU_TAMALPHA", "ITM_alpha", "DOCU_CHR_caseFLIP", "ITM_NULL", "DOCU_CHR_numSET", "ITM_NULL", "DOCU_ITM_RADIX", "ITM_PERIOD", AQ388), ".lo", ),"MNU_", "-MNU_")</f>
        <v>ITM_O</v>
      </c>
      <c r="BC388" s="157" t="str" cm="1">
        <f t="array" ref="BC388">SUBSTITUTE(SUBSTITUTE(_xlfn.SWITCH(AR388, "ITM_T_HOME", "ITM_UP1", "ITM_T_END", "ITM_DOWN1", "DOCU_CHR_sub", "ITM_DOWN_ARROW", "DOCU_CHR_super", "ITM_UP_ARROW", "MNU_TAMALPHA", "ITM_alpha", "DOCU_CHR_caseFLIP", "ITM_NULL", "DOCU_CHR_numSET", "ITM_NULL", "DOCU_ITM_RADIX", "ITM_PERIOD", AR388), ".lo", ),"MNU_", "-MNU_")</f>
        <v>ITM_o</v>
      </c>
      <c r="BD388" s="157" t="str" cm="1">
        <f t="array" ref="BD388">SUBSTITUTE(SUBSTITUTE(_xlfn.SWITCH(AS388, "ITM_T_HOME", "ITM_UP1", "ITM_T_END", "ITM_DOWN1", "DOCU_CHR_sub", "ITM_DOWN_ARROW", "DOCU_CHR_super", "ITM_UP_ARROW", "MNU_TAMALPHA", "ITM_alpha", "DOCU_CHR_caseFLIP", "ITM_NULL", "DOCU_CHR_numSET", "ITM_NULL", "DOCU_ITM_RADIX", "ITM_PERIOD", AS388), ".lo", ),"MNU_", "-MNU_")</f>
        <v>ITM_8</v>
      </c>
      <c r="BE388" s="157" t="str" cm="1">
        <f t="array" ref="BE388">SUBSTITUTE(SUBSTITUTE(_xlfn.SWITCH(AT388, "ITM_T_HOME", "ITM_UP1", "ITM_T_END", "ITM_DOWN1", "DOCU_CHR_sub", "ITM_DOWN_ARROW", "DOCU_CHR_super", "ITM_UP_ARROW", "MNU_TAMALPHA", "ITM_alpha", "DOCU_CHR_caseFLIP", "ITM_NULL", "DOCU_CHR_numSET", "ITM_NULL", "DOCU_ITM_RADIX", "ITM_PERIOD", AT388), ".lo", ),"MNU_", "-MNU_")</f>
        <v>ITM_8</v>
      </c>
      <c r="BG388" s="75"/>
      <c r="BI388" s="13"/>
    </row>
    <row r="389" spans="24:61" ht="21" x14ac:dyDescent="0.2">
      <c r="X389" s="129" t="str">
        <f t="shared" si="130"/>
        <v>S47</v>
      </c>
      <c r="Y389" s="109">
        <v>5</v>
      </c>
      <c r="Z389" s="109">
        <v>4</v>
      </c>
      <c r="AA389" s="112" t="str">
        <f t="shared" si="129"/>
        <v>S47.54</v>
      </c>
      <c r="AB389" s="117">
        <v>9</v>
      </c>
      <c r="AC389" s="118" t="s">
        <v>176</v>
      </c>
      <c r="AD389" s="119" t="s">
        <v>177</v>
      </c>
      <c r="AE389" s="3"/>
      <c r="AF389" s="49" t="s">
        <v>168</v>
      </c>
      <c r="AG389" s="77" t="b">
        <f t="shared" si="139"/>
        <v>1</v>
      </c>
      <c r="AH389" s="83" t="str">
        <f t="shared" si="131"/>
        <v>p</v>
      </c>
      <c r="AI389" s="84">
        <f t="shared" si="132"/>
        <v>9</v>
      </c>
      <c r="AJ389" s="85">
        <f t="shared" si="133"/>
        <v>9</v>
      </c>
      <c r="AK389" s="6"/>
      <c r="AL389" s="8" t="str">
        <f t="shared" si="134"/>
        <v>{54</v>
      </c>
      <c r="AM389" s="27" t="str">
        <f t="shared" si="135"/>
        <v>ITM_9</v>
      </c>
      <c r="AN389" s="27" t="str">
        <f t="shared" si="136"/>
        <v>MNU_MATX</v>
      </c>
      <c r="AO389" s="27" t="str">
        <f t="shared" si="137"/>
        <v>MNU_XFN</v>
      </c>
      <c r="AP389" s="46" t="str">
        <f>IF(NOT(ISNA(MATCH(AM389,Lookups!E:E,))),VLOOKUP(AM389,Lookups!E:F,2,0),
IF(NOT(ISNA(MATCH(AN389,Lookups!E:E,))),VLOOKUP(AN389,Lookups!E:F,2,0),
IF(NOT(ISNA(MATCH(AO389,Lookups!E:E,))),VLOOKUP(AO389,Lookups!E:F,2,0),"ITM_NULL")))</f>
        <v>ITM_9</v>
      </c>
      <c r="AQ389" s="28" t="str">
        <f t="shared" si="138"/>
        <v>ITM_P</v>
      </c>
      <c r="AR389" s="195" t="s">
        <v>169</v>
      </c>
      <c r="AS389" s="186" t="s">
        <v>180</v>
      </c>
      <c r="AT389" s="197" t="s">
        <v>180</v>
      </c>
      <c r="AW389" s="14" t="str">
        <f t="shared" si="140"/>
        <v>{54</v>
      </c>
      <c r="AX389" s="157" t="str" cm="1">
        <f t="array" ref="AX389">SUBSTITUTE(SUBSTITUTE(_xlfn.SWITCH(AM389, "ITM_T_HOME", "ITM_UP1", "ITM_T_END", "ITM_DOWN1", "DOCU_CHR_sub", "ITM_DOWN_ARROW", "DOCU_CHR_super", "ITM_UP_ARROW", "MNU_TAMALPHA", "ITM_alpha", "DOCU_CHR_caseFLIP", "ITM_NULL", "DOCU_CHR_numSET", "ITM_NULL", "DOCU_ITM_RADIX", "ITM_PERIOD", AM389), ".lo", ),"MNU_", "-MNU_")</f>
        <v>ITM_9</v>
      </c>
      <c r="AY389" s="157" t="str" cm="1">
        <f t="array" ref="AY389">SUBSTITUTE(SUBSTITUTE(_xlfn.SWITCH(AN389, "ITM_T_HOME", "ITM_UP1", "ITM_T_END", "ITM_DOWN1", "DOCU_CHR_sub", "ITM_DOWN_ARROW", "DOCU_CHR_super", "ITM_UP_ARROW", "MNU_TAMALPHA", "ITM_alpha", "DOCU_CHR_caseFLIP", "ITM_NULL", "DOCU_CHR_numSET", "ITM_NULL", "DOCU_ITM_RADIX", "ITM_PERIOD", AN389), ".lo", ),"MNU_", "-MNU_")</f>
        <v>-MNU_MATX</v>
      </c>
      <c r="AZ389" s="157" t="str" cm="1">
        <f t="array" ref="AZ389">SUBSTITUTE(SUBSTITUTE(_xlfn.SWITCH(AO389, "ITM_T_HOME", "ITM_UP1", "ITM_T_END", "ITM_DOWN1", "DOCU_CHR_sub", "ITM_DOWN_ARROW", "DOCU_CHR_super", "ITM_UP_ARROW", "MNU_TAMALPHA", "ITM_alpha", "DOCU_CHR_caseFLIP", "ITM_NULL", "DOCU_CHR_numSET", "ITM_NULL", "DOCU_ITM_RADIX", "ITM_PERIOD", AO389), ".lo", ),"MNU_", "-MNU_")</f>
        <v>-MNU_XFN</v>
      </c>
      <c r="BA389" s="173" t="str" cm="1">
        <f t="array" ref="BA389">SUBSTITUTE(SUBSTITUTE(_xlfn.SWITCH(AP389, "ITM_T_HOME", "ITM_UP1", "ITM_T_END", "ITM_DOWN1", "DOCU_CHR_sub", "ITM_DOWN_ARROW", "DOCU_CHR_super", "ITM_UP_ARROW", "MNU_TAMALPHA", "ITM_alpha", "DOCU_CHR_caseFLIP", "ITM_NULL", "DOCU_CHR_numSET", "ITM_NULL", "DOCU_ITM_RADIX", "ITM_PERIOD", AP389), ".lo", ),"MNU_", "-MNU_")</f>
        <v>ITM_9</v>
      </c>
      <c r="BB389" s="157" t="str" cm="1">
        <f t="array" ref="BB389">SUBSTITUTE(SUBSTITUTE(_xlfn.SWITCH(AQ389, "ITM_T_HOME", "ITM_UP1", "ITM_T_END", "ITM_DOWN1", "DOCU_CHR_sub", "ITM_DOWN_ARROW", "DOCU_CHR_super", "ITM_UP_ARROW", "MNU_TAMALPHA", "ITM_alpha", "DOCU_CHR_caseFLIP", "ITM_NULL", "DOCU_CHR_numSET", "ITM_NULL", "DOCU_ITM_RADIX", "ITM_PERIOD", AQ389), ".lo", ),"MNU_", "-MNU_")</f>
        <v>ITM_P</v>
      </c>
      <c r="BC389" s="157" t="str" cm="1">
        <f t="array" ref="BC389">SUBSTITUTE(SUBSTITUTE(_xlfn.SWITCH(AR389, "ITM_T_HOME", "ITM_UP1", "ITM_T_END", "ITM_DOWN1", "DOCU_CHR_sub", "ITM_DOWN_ARROW", "DOCU_CHR_super", "ITM_UP_ARROW", "MNU_TAMALPHA", "ITM_alpha", "DOCU_CHR_caseFLIP", "ITM_NULL", "DOCU_CHR_numSET", "ITM_NULL", "DOCU_ITM_RADIX", "ITM_PERIOD", AR389), ".lo", ),"MNU_", "-MNU_")</f>
        <v>ITM_p</v>
      </c>
      <c r="BD389" s="157" t="str" cm="1">
        <f t="array" ref="BD389">SUBSTITUTE(SUBSTITUTE(_xlfn.SWITCH(AS389, "ITM_T_HOME", "ITM_UP1", "ITM_T_END", "ITM_DOWN1", "DOCU_CHR_sub", "ITM_DOWN_ARROW", "DOCU_CHR_super", "ITM_UP_ARROW", "MNU_TAMALPHA", "ITM_alpha", "DOCU_CHR_caseFLIP", "ITM_NULL", "DOCU_CHR_numSET", "ITM_NULL", "DOCU_ITM_RADIX", "ITM_PERIOD", AS389), ".lo", ),"MNU_", "-MNU_")</f>
        <v>ITM_9</v>
      </c>
      <c r="BE389" s="157" t="str" cm="1">
        <f t="array" ref="BE389">SUBSTITUTE(SUBSTITUTE(_xlfn.SWITCH(AT389, "ITM_T_HOME", "ITM_UP1", "ITM_T_END", "ITM_DOWN1", "DOCU_CHR_sub", "ITM_DOWN_ARROW", "DOCU_CHR_super", "ITM_UP_ARROW", "MNU_TAMALPHA", "ITM_alpha", "DOCU_CHR_caseFLIP", "ITM_NULL", "DOCU_CHR_numSET", "ITM_NULL", "DOCU_ITM_RADIX", "ITM_PERIOD", AT389), ".lo", ),"MNU_", "-MNU_")</f>
        <v>ITM_9</v>
      </c>
      <c r="BG389" s="75"/>
      <c r="BI389" s="13"/>
    </row>
    <row r="390" spans="24:61" ht="21" x14ac:dyDescent="0.2">
      <c r="X390" s="129" t="str">
        <f t="shared" si="130"/>
        <v>S47</v>
      </c>
      <c r="Y390" s="109">
        <v>5</v>
      </c>
      <c r="Z390" s="109">
        <v>5</v>
      </c>
      <c r="AA390" s="112" t="str">
        <f t="shared" si="129"/>
        <v>S47.55</v>
      </c>
      <c r="AB390" s="121" t="s">
        <v>181</v>
      </c>
      <c r="AC390" s="118" t="s">
        <v>182</v>
      </c>
      <c r="AD390" s="119" t="s">
        <v>183</v>
      </c>
      <c r="AE390" s="3"/>
      <c r="AF390" s="49" t="s">
        <v>173</v>
      </c>
      <c r="AG390" s="77" t="b">
        <f t="shared" si="139"/>
        <v>1</v>
      </c>
      <c r="AH390" s="83" t="str">
        <f t="shared" si="131"/>
        <v>q</v>
      </c>
      <c r="AI390" s="84" t="str">
        <f t="shared" si="132"/>
        <v>÷</v>
      </c>
      <c r="AJ390" s="85" t="str">
        <f t="shared" si="133"/>
        <v>÷</v>
      </c>
      <c r="AK390" s="6"/>
      <c r="AL390" s="8" t="str">
        <f t="shared" si="134"/>
        <v>{55</v>
      </c>
      <c r="AM390" s="27" t="str">
        <f t="shared" si="135"/>
        <v>ITM_DIV</v>
      </c>
      <c r="AN390" s="27" t="str">
        <f t="shared" si="136"/>
        <v>MNU_STAT</v>
      </c>
      <c r="AO390" s="27" t="str">
        <f t="shared" si="137"/>
        <v>MNU_PLOTTING</v>
      </c>
      <c r="AP390" s="46" t="str">
        <f>IF(NOT(ISNA(MATCH(AM390,Lookups!E:E,))),VLOOKUP(AM390,Lookups!E:F,2,0),
IF(NOT(ISNA(MATCH(AN390,Lookups!E:E,))),VLOOKUP(AN390,Lookups!E:F,2,0),
IF(NOT(ISNA(MATCH(AO390,Lookups!E:E,))),VLOOKUP(AO390,Lookups!E:F,2,0),"ITM_NULL")))</f>
        <v>ITM_OBELUS</v>
      </c>
      <c r="AQ390" s="28" t="str">
        <f t="shared" si="138"/>
        <v>ITM_Q</v>
      </c>
      <c r="AR390" s="195" t="s">
        <v>174</v>
      </c>
      <c r="AS390" s="186" t="s">
        <v>186</v>
      </c>
      <c r="AT390" s="197" t="s">
        <v>187</v>
      </c>
      <c r="AW390" s="14" t="str">
        <f t="shared" si="140"/>
        <v>{55</v>
      </c>
      <c r="AX390" s="157" t="str" cm="1">
        <f t="array" ref="AX390">SUBSTITUTE(SUBSTITUTE(_xlfn.SWITCH(AM390, "ITM_T_HOME", "ITM_UP1", "ITM_T_END", "ITM_DOWN1", "DOCU_CHR_sub", "ITM_DOWN_ARROW", "DOCU_CHR_super", "ITM_UP_ARROW", "MNU_TAMALPHA", "ITM_alpha", "DOCU_CHR_caseFLIP", "ITM_NULL", "DOCU_CHR_numSET", "ITM_NULL", "DOCU_ITM_RADIX", "ITM_PERIOD", AM390), ".lo", ),"MNU_", "-MNU_")</f>
        <v>ITM_DIV</v>
      </c>
      <c r="AY390" s="157" t="str" cm="1">
        <f t="array" ref="AY390">SUBSTITUTE(SUBSTITUTE(_xlfn.SWITCH(AN390, "ITM_T_HOME", "ITM_UP1", "ITM_T_END", "ITM_DOWN1", "DOCU_CHR_sub", "ITM_DOWN_ARROW", "DOCU_CHR_super", "ITM_UP_ARROW", "MNU_TAMALPHA", "ITM_alpha", "DOCU_CHR_caseFLIP", "ITM_NULL", "DOCU_CHR_numSET", "ITM_NULL", "DOCU_ITM_RADIX", "ITM_PERIOD", AN390), ".lo", ),"MNU_", "-MNU_")</f>
        <v>-MNU_STAT</v>
      </c>
      <c r="AZ390" s="157" t="str" cm="1">
        <f t="array" ref="AZ390">SUBSTITUTE(SUBSTITUTE(_xlfn.SWITCH(AO390, "ITM_T_HOME", "ITM_UP1", "ITM_T_END", "ITM_DOWN1", "DOCU_CHR_sub", "ITM_DOWN_ARROW", "DOCU_CHR_super", "ITM_UP_ARROW", "MNU_TAMALPHA", "ITM_alpha", "DOCU_CHR_caseFLIP", "ITM_NULL", "DOCU_CHR_numSET", "ITM_NULL", "DOCU_ITM_RADIX", "ITM_PERIOD", AO390), ".lo", ),"MNU_", "-MNU_")</f>
        <v>-MNU_PLOTTING</v>
      </c>
      <c r="BA390" s="173" t="str" cm="1">
        <f t="array" ref="BA390">SUBSTITUTE(SUBSTITUTE(_xlfn.SWITCH(AP390, "ITM_T_HOME", "ITM_UP1", "ITM_T_END", "ITM_DOWN1", "DOCU_CHR_sub", "ITM_DOWN_ARROW", "DOCU_CHR_super", "ITM_UP_ARROW", "MNU_TAMALPHA", "ITM_alpha", "DOCU_CHR_caseFLIP", "ITM_NULL", "DOCU_CHR_numSET", "ITM_NULL", "DOCU_ITM_RADIX", "ITM_PERIOD", AP390), ".lo", ),"MNU_", "-MNU_")</f>
        <v>ITM_OBELUS</v>
      </c>
      <c r="BB390" s="157" t="str" cm="1">
        <f t="array" ref="BB390">SUBSTITUTE(SUBSTITUTE(_xlfn.SWITCH(AQ390, "ITM_T_HOME", "ITM_UP1", "ITM_T_END", "ITM_DOWN1", "DOCU_CHR_sub", "ITM_DOWN_ARROW", "DOCU_CHR_super", "ITM_UP_ARROW", "MNU_TAMALPHA", "ITM_alpha", "DOCU_CHR_caseFLIP", "ITM_NULL", "DOCU_CHR_numSET", "ITM_NULL", "DOCU_ITM_RADIX", "ITM_PERIOD", AQ390), ".lo", ),"MNU_", "-MNU_")</f>
        <v>ITM_Q</v>
      </c>
      <c r="BC390" s="157" t="str" cm="1">
        <f t="array" ref="BC390">SUBSTITUTE(SUBSTITUTE(_xlfn.SWITCH(AR390, "ITM_T_HOME", "ITM_UP1", "ITM_T_END", "ITM_DOWN1", "DOCU_CHR_sub", "ITM_DOWN_ARROW", "DOCU_CHR_super", "ITM_UP_ARROW", "MNU_TAMALPHA", "ITM_alpha", "DOCU_CHR_caseFLIP", "ITM_NULL", "DOCU_CHR_numSET", "ITM_NULL", "DOCU_ITM_RADIX", "ITM_PERIOD", AR390), ".lo", ),"MNU_", "-MNU_")</f>
        <v>ITM_q</v>
      </c>
      <c r="BD390" s="157" t="str" cm="1">
        <f t="array" ref="BD390">SUBSTITUTE(SUBSTITUTE(_xlfn.SWITCH(AS390, "ITM_T_HOME", "ITM_UP1", "ITM_T_END", "ITM_DOWN1", "DOCU_CHR_sub", "ITM_DOWN_ARROW", "DOCU_CHR_super", "ITM_UP_ARROW", "MNU_TAMALPHA", "ITM_alpha", "DOCU_CHR_caseFLIP", "ITM_NULL", "DOCU_CHR_numSET", "ITM_NULL", "DOCU_ITM_RADIX", "ITM_PERIOD", AS390), ".lo", ),"MNU_", "-MNU_")</f>
        <v>ITM_OBELUS</v>
      </c>
      <c r="BE390" s="157" t="str" cm="1">
        <f t="array" ref="BE390">SUBSTITUTE(SUBSTITUTE(_xlfn.SWITCH(AT390, "ITM_T_HOME", "ITM_UP1", "ITM_T_END", "ITM_DOWN1", "DOCU_CHR_sub", "ITM_DOWN_ARROW", "DOCU_CHR_super", "ITM_UP_ARROW", "MNU_TAMALPHA", "ITM_alpha", "DOCU_CHR_caseFLIP", "ITM_NULL", "DOCU_CHR_numSET", "ITM_NULL", "DOCU_ITM_RADIX", "ITM_PERIOD", AT390), ".lo", ),"MNU_", "-MNU_")</f>
        <v>ITM_DIV</v>
      </c>
      <c r="BG390" s="75"/>
      <c r="BI390" s="13"/>
    </row>
    <row r="391" spans="24:61" ht="21" x14ac:dyDescent="0.2">
      <c r="X391" s="129" t="str">
        <f t="shared" si="130"/>
        <v>S47</v>
      </c>
      <c r="Y391" s="106">
        <v>6</v>
      </c>
      <c r="Z391" s="106">
        <v>1</v>
      </c>
      <c r="AA391" s="112" t="str">
        <f t="shared" si="129"/>
        <v>S47.61</v>
      </c>
      <c r="AB391" s="117" t="s">
        <v>159</v>
      </c>
      <c r="AC391" s="132" t="s">
        <v>160</v>
      </c>
      <c r="AD391" s="132" t="s">
        <v>161</v>
      </c>
      <c r="AE391" s="3"/>
      <c r="AF391" s="49" t="s">
        <v>162</v>
      </c>
      <c r="AG391" s="77" t="b">
        <f t="shared" si="139"/>
        <v>0</v>
      </c>
      <c r="AH391" s="83" t="str">
        <f t="shared" si="131"/>
        <v>CASE UP</v>
      </c>
      <c r="AI391" s="84" t="str">
        <f t="shared" si="132"/>
        <v>Super</v>
      </c>
      <c r="AJ391" s="85" t="str">
        <f t="shared" si="133"/>
        <v>Up</v>
      </c>
      <c r="AK391" s="6"/>
      <c r="AL391" s="8" t="str">
        <f t="shared" si="134"/>
        <v>{61</v>
      </c>
      <c r="AM391" s="27" t="str">
        <f t="shared" si="135"/>
        <v>ITM_UP1</v>
      </c>
      <c r="AN391" s="27" t="str">
        <f t="shared" si="136"/>
        <v>ITM_BST</v>
      </c>
      <c r="AO391" s="27" t="str">
        <f t="shared" si="137"/>
        <v>ITM_RBR</v>
      </c>
      <c r="AP391" s="46" t="str">
        <f>IF(NOT(ISNA(MATCH(AM391,Lookups!E:E,))),VLOOKUP(AM391,Lookups!E:F,2,0),
IF(NOT(ISNA(MATCH(AN391,Lookups!E:E,))),VLOOKUP(AN391,Lookups!E:F,2,0),
IF(NOT(ISNA(MATCH(AO391,Lookups!E:E,))),VLOOKUP(AO391,Lookups!E:F,2,0),"ITM_NULL")))</f>
        <v>ITM_UP1</v>
      </c>
      <c r="AQ391" s="28" t="str">
        <f t="shared" si="138"/>
        <v>ITM_T_HOME</v>
      </c>
      <c r="AR391" s="198" t="s">
        <v>163</v>
      </c>
      <c r="AS391" s="186" t="s">
        <v>164</v>
      </c>
      <c r="AT391" s="197" t="s">
        <v>165</v>
      </c>
      <c r="AW391" s="14" t="str">
        <f t="shared" si="140"/>
        <v>{61</v>
      </c>
      <c r="AX391" s="157" t="str" cm="1">
        <f t="array" ref="AX391">SUBSTITUTE(SUBSTITUTE(_xlfn.SWITCH(AM391, "ITM_T_HOME", "ITM_UP1", "ITM_T_END", "ITM_DOWN1", "DOCU_CHR_sub", "ITM_DOWN_ARROW", "DOCU_CHR_super", "ITM_UP_ARROW", "MNU_TAMALPHA", "ITM_alpha", "DOCU_CHR_caseFLIP", "ITM_NULL", "DOCU_CHR_numSET", "ITM_NULL", "DOCU_ITM_RADIX", "ITM_PERIOD", AM391), ".lo", ),"MNU_", "-MNU_")</f>
        <v>ITM_UP1</v>
      </c>
      <c r="AY391" s="157" t="str" cm="1">
        <f t="array" ref="AY391">SUBSTITUTE(SUBSTITUTE(_xlfn.SWITCH(AN391, "ITM_T_HOME", "ITM_UP1", "ITM_T_END", "ITM_DOWN1", "DOCU_CHR_sub", "ITM_DOWN_ARROW", "DOCU_CHR_super", "ITM_UP_ARROW", "MNU_TAMALPHA", "ITM_alpha", "DOCU_CHR_caseFLIP", "ITM_NULL", "DOCU_CHR_numSET", "ITM_NULL", "DOCU_ITM_RADIX", "ITM_PERIOD", AN391), ".lo", ),"MNU_", "-MNU_")</f>
        <v>ITM_BST</v>
      </c>
      <c r="AZ391" s="157" t="str" cm="1">
        <f t="array" ref="AZ391">SUBSTITUTE(SUBSTITUTE(_xlfn.SWITCH(AO391, "ITM_T_HOME", "ITM_UP1", "ITM_T_END", "ITM_DOWN1", "DOCU_CHR_sub", "ITM_DOWN_ARROW", "DOCU_CHR_super", "ITM_UP_ARROW", "MNU_TAMALPHA", "ITM_alpha", "DOCU_CHR_caseFLIP", "ITM_NULL", "DOCU_CHR_numSET", "ITM_NULL", "DOCU_ITM_RADIX", "ITM_PERIOD", AO391), ".lo", ),"MNU_", "-MNU_")</f>
        <v>ITM_RBR</v>
      </c>
      <c r="BA391" s="173" t="str" cm="1">
        <f t="array" ref="BA391">SUBSTITUTE(SUBSTITUTE(_xlfn.SWITCH(AP391, "ITM_T_HOME", "ITM_UP1", "ITM_T_END", "ITM_DOWN1", "DOCU_CHR_sub", "ITM_DOWN_ARROW", "DOCU_CHR_super", "ITM_UP_ARROW", "MNU_TAMALPHA", "ITM_alpha", "DOCU_CHR_caseFLIP", "ITM_NULL", "DOCU_CHR_numSET", "ITM_NULL", "DOCU_ITM_RADIX", "ITM_PERIOD", AP391), ".lo", ),"MNU_", "-MNU_")</f>
        <v>ITM_UP1</v>
      </c>
      <c r="BB391" s="157" t="str" cm="1">
        <f t="array" ref="BB391">SUBSTITUTE(SUBSTITUTE(_xlfn.SWITCH(AQ391, "ITM_T_HOME", "ITM_UP1", "ITM_T_END", "ITM_DOWN1", "DOCU_CHR_sub", "ITM_DOWN_ARROW", "DOCU_CHR_super", "ITM_UP_ARROW", "MNU_TAMALPHA", "ITM_alpha", "DOCU_CHR_caseFLIP", "ITM_NULL", "DOCU_CHR_numSET", "ITM_NULL", "DOCU_ITM_RADIX", "ITM_PERIOD", AQ391), ".lo", ),"MNU_", "-MNU_")</f>
        <v>ITM_UP1</v>
      </c>
      <c r="BC391" s="157" t="str" cm="1">
        <f t="array" ref="BC391">SUBSTITUTE(SUBSTITUTE(_xlfn.SWITCH(AR391, "ITM_T_HOME", "ITM_UP1", "ITM_T_END", "ITM_DOWN1", "DOCU_CHR_sub", "ITM_DOWN_ARROW", "DOCU_CHR_super", "ITM_UP_ARROW", "MNU_TAMALPHA", "ITM_alpha", "DOCU_CHR_caseFLIP", "ITM_NULL", "DOCU_CHR_numSET", "ITM_NULL", "DOCU_ITM_RADIX", "ITM_PERIOD", AR391), ".lo", ),"MNU_", "-MNU_")</f>
        <v>CHR_caseUP</v>
      </c>
      <c r="BD391" s="157" t="str" cm="1">
        <f t="array" ref="BD391">SUBSTITUTE(SUBSTITUTE(_xlfn.SWITCH(AS391, "ITM_T_HOME", "ITM_UP1", "ITM_T_END", "ITM_DOWN1", "DOCU_CHR_sub", "ITM_DOWN_ARROW", "DOCU_CHR_super", "ITM_UP_ARROW", "MNU_TAMALPHA", "ITM_alpha", "DOCU_CHR_caseFLIP", "ITM_NULL", "DOCU_CHR_numSET", "ITM_NULL", "DOCU_ITM_RADIX", "ITM_PERIOD", AS391), ".lo", ),"MNU_", "-MNU_")</f>
        <v>ITM_UP_ARROW</v>
      </c>
      <c r="BE391" s="157" t="str" cm="1">
        <f t="array" ref="BE391">SUBSTITUTE(SUBSTITUTE(_xlfn.SWITCH(AT391, "ITM_T_HOME", "ITM_UP1", "ITM_T_END", "ITM_DOWN1", "DOCU_CHR_sub", "ITM_DOWN_ARROW", "DOCU_CHR_super", "ITM_UP_ARROW", "MNU_TAMALPHA", "ITM_alpha", "DOCU_CHR_caseFLIP", "ITM_NULL", "DOCU_CHR_numSET", "ITM_NULL", "DOCU_ITM_RADIX", "ITM_PERIOD", AT391), ".lo", ),"MNU_", "-MNU_")</f>
        <v>ITM_UP1</v>
      </c>
      <c r="BG391" s="75"/>
      <c r="BI391" s="13"/>
    </row>
    <row r="392" spans="24:61" ht="21" x14ac:dyDescent="0.2">
      <c r="X392" s="129" t="str">
        <f t="shared" si="130"/>
        <v>S47</v>
      </c>
      <c r="Y392" s="109">
        <v>6</v>
      </c>
      <c r="Z392" s="109">
        <v>2</v>
      </c>
      <c r="AA392" s="112" t="str">
        <f t="shared" si="129"/>
        <v>S47.62</v>
      </c>
      <c r="AB392" s="117">
        <v>4</v>
      </c>
      <c r="AC392" s="118" t="s">
        <v>195</v>
      </c>
      <c r="AD392" s="119" t="s">
        <v>196</v>
      </c>
      <c r="AE392" s="3"/>
      <c r="AF392" s="49" t="s">
        <v>178</v>
      </c>
      <c r="AG392" s="77" t="b">
        <f t="shared" si="139"/>
        <v>1</v>
      </c>
      <c r="AH392" s="83" t="str">
        <f t="shared" si="131"/>
        <v>r</v>
      </c>
      <c r="AI392" s="84">
        <f t="shared" si="132"/>
        <v>4</v>
      </c>
      <c r="AJ392" s="85">
        <f t="shared" si="133"/>
        <v>4</v>
      </c>
      <c r="AK392" s="6"/>
      <c r="AL392" s="8" t="str">
        <f t="shared" si="134"/>
        <v>{62</v>
      </c>
      <c r="AM392" s="27" t="str">
        <f t="shared" si="135"/>
        <v>ITM_4</v>
      </c>
      <c r="AN392" s="27" t="str">
        <f t="shared" si="136"/>
        <v>MNU_BASE</v>
      </c>
      <c r="AO392" s="27" t="str">
        <f t="shared" si="137"/>
        <v>MNU_BITS</v>
      </c>
      <c r="AP392" s="46" t="str">
        <f>IF(NOT(ISNA(MATCH(AM392,Lookups!E:E,))),VLOOKUP(AM392,Lookups!E:F,2,0),
IF(NOT(ISNA(MATCH(AN392,Lookups!E:E,))),VLOOKUP(AN392,Lookups!E:F,2,0),
IF(NOT(ISNA(MATCH(AO392,Lookups!E:E,))),VLOOKUP(AO392,Lookups!E:F,2,0),"ITM_NULL")))</f>
        <v>ITM_4</v>
      </c>
      <c r="AQ392" s="28" t="str">
        <f>VLOOKUP(AF392,labelitem,2,0)</f>
        <v>ITM_R</v>
      </c>
      <c r="AR392" s="195" t="s">
        <v>179</v>
      </c>
      <c r="AS392" s="186" t="s">
        <v>199</v>
      </c>
      <c r="AT392" s="197" t="s">
        <v>199</v>
      </c>
      <c r="AW392" s="14" t="str">
        <f t="shared" si="140"/>
        <v>{62</v>
      </c>
      <c r="AX392" s="157" t="str" cm="1">
        <f t="array" ref="AX392">SUBSTITUTE(SUBSTITUTE(_xlfn.SWITCH(AM392, "ITM_T_HOME", "ITM_UP1", "ITM_T_END", "ITM_DOWN1", "DOCU_CHR_sub", "ITM_DOWN_ARROW", "DOCU_CHR_super", "ITM_UP_ARROW", "MNU_TAMALPHA", "ITM_alpha", "DOCU_CHR_caseFLIP", "ITM_NULL", "DOCU_CHR_numSET", "ITM_NULL", "DOCU_ITM_RADIX", "ITM_PERIOD", AM392), ".lo", ),"MNU_", "-MNU_")</f>
        <v>ITM_4</v>
      </c>
      <c r="AY392" s="157" t="str" cm="1">
        <f t="array" ref="AY392">SUBSTITUTE(SUBSTITUTE(_xlfn.SWITCH(AN392, "ITM_T_HOME", "ITM_UP1", "ITM_T_END", "ITM_DOWN1", "DOCU_CHR_sub", "ITM_DOWN_ARROW", "DOCU_CHR_super", "ITM_UP_ARROW", "MNU_TAMALPHA", "ITM_alpha", "DOCU_CHR_caseFLIP", "ITM_NULL", "DOCU_CHR_numSET", "ITM_NULL", "DOCU_ITM_RADIX", "ITM_PERIOD", AN392), ".lo", ),"MNU_", "-MNU_")</f>
        <v>-MNU_BASE</v>
      </c>
      <c r="AZ392" s="157" t="str" cm="1">
        <f t="array" ref="AZ392">SUBSTITUTE(SUBSTITUTE(_xlfn.SWITCH(AO392, "ITM_T_HOME", "ITM_UP1", "ITM_T_END", "ITM_DOWN1", "DOCU_CHR_sub", "ITM_DOWN_ARROW", "DOCU_CHR_super", "ITM_UP_ARROW", "MNU_TAMALPHA", "ITM_alpha", "DOCU_CHR_caseFLIP", "ITM_NULL", "DOCU_CHR_numSET", "ITM_NULL", "DOCU_ITM_RADIX", "ITM_PERIOD", AO392), ".lo", ),"MNU_", "-MNU_")</f>
        <v>-MNU_BITS</v>
      </c>
      <c r="BA392" s="173" t="str" cm="1">
        <f t="array" ref="BA392">SUBSTITUTE(SUBSTITUTE(_xlfn.SWITCH(AP392, "ITM_T_HOME", "ITM_UP1", "ITM_T_END", "ITM_DOWN1", "DOCU_CHR_sub", "ITM_DOWN_ARROW", "DOCU_CHR_super", "ITM_UP_ARROW", "MNU_TAMALPHA", "ITM_alpha", "DOCU_CHR_caseFLIP", "ITM_NULL", "DOCU_CHR_numSET", "ITM_NULL", "DOCU_ITM_RADIX", "ITM_PERIOD", AP392), ".lo", ),"MNU_", "-MNU_")</f>
        <v>ITM_4</v>
      </c>
      <c r="BB392" s="157" t="str" cm="1">
        <f t="array" ref="BB392">SUBSTITUTE(SUBSTITUTE(_xlfn.SWITCH(AQ392, "ITM_T_HOME", "ITM_UP1", "ITM_T_END", "ITM_DOWN1", "DOCU_CHR_sub", "ITM_DOWN_ARROW", "DOCU_CHR_super", "ITM_UP_ARROW", "MNU_TAMALPHA", "ITM_alpha", "DOCU_CHR_caseFLIP", "ITM_NULL", "DOCU_CHR_numSET", "ITM_NULL", "DOCU_ITM_RADIX", "ITM_PERIOD", AQ392), ".lo", ),"MNU_", "-MNU_")</f>
        <v>ITM_R</v>
      </c>
      <c r="BC392" s="157" t="str" cm="1">
        <f t="array" ref="BC392">SUBSTITUTE(SUBSTITUTE(_xlfn.SWITCH(AR392, "ITM_T_HOME", "ITM_UP1", "ITM_T_END", "ITM_DOWN1", "DOCU_CHR_sub", "ITM_DOWN_ARROW", "DOCU_CHR_super", "ITM_UP_ARROW", "MNU_TAMALPHA", "ITM_alpha", "DOCU_CHR_caseFLIP", "ITM_NULL", "DOCU_CHR_numSET", "ITM_NULL", "DOCU_ITM_RADIX", "ITM_PERIOD", AR392), ".lo", ),"MNU_", "-MNU_")</f>
        <v>ITM_r</v>
      </c>
      <c r="BD392" s="157" t="str" cm="1">
        <f t="array" ref="BD392">SUBSTITUTE(SUBSTITUTE(_xlfn.SWITCH(AS392, "ITM_T_HOME", "ITM_UP1", "ITM_T_END", "ITM_DOWN1", "DOCU_CHR_sub", "ITM_DOWN_ARROW", "DOCU_CHR_super", "ITM_UP_ARROW", "MNU_TAMALPHA", "ITM_alpha", "DOCU_CHR_caseFLIP", "ITM_NULL", "DOCU_CHR_numSET", "ITM_NULL", "DOCU_ITM_RADIX", "ITM_PERIOD", AS392), ".lo", ),"MNU_", "-MNU_")</f>
        <v>ITM_4</v>
      </c>
      <c r="BE392" s="157" t="str" cm="1">
        <f t="array" ref="BE392">SUBSTITUTE(SUBSTITUTE(_xlfn.SWITCH(AT392, "ITM_T_HOME", "ITM_UP1", "ITM_T_END", "ITM_DOWN1", "DOCU_CHR_sub", "ITM_DOWN_ARROW", "DOCU_CHR_super", "ITM_UP_ARROW", "MNU_TAMALPHA", "ITM_alpha", "DOCU_CHR_caseFLIP", "ITM_NULL", "DOCU_CHR_numSET", "ITM_NULL", "DOCU_ITM_RADIX", "ITM_PERIOD", AT392), ".lo", ),"MNU_", "-MNU_")</f>
        <v>ITM_4</v>
      </c>
      <c r="BG392" s="75"/>
      <c r="BI392" s="13"/>
    </row>
    <row r="393" spans="24:61" ht="21" x14ac:dyDescent="0.2">
      <c r="X393" s="129" t="str">
        <f t="shared" si="130"/>
        <v>S47</v>
      </c>
      <c r="Y393" s="109">
        <v>6</v>
      </c>
      <c r="Z393" s="109">
        <v>3</v>
      </c>
      <c r="AA393" s="112" t="str">
        <f t="shared" si="129"/>
        <v>S47.63</v>
      </c>
      <c r="AB393" s="117">
        <v>5</v>
      </c>
      <c r="AC393" s="118" t="s">
        <v>200</v>
      </c>
      <c r="AD393" s="119" t="s">
        <v>201</v>
      </c>
      <c r="AE393" s="3"/>
      <c r="AF393" s="49" t="s">
        <v>184</v>
      </c>
      <c r="AG393" s="77" t="b">
        <f t="shared" si="139"/>
        <v>1</v>
      </c>
      <c r="AH393" s="83" t="str">
        <f t="shared" si="131"/>
        <v>s</v>
      </c>
      <c r="AI393" s="84">
        <f t="shared" si="132"/>
        <v>5</v>
      </c>
      <c r="AJ393" s="85">
        <f t="shared" si="133"/>
        <v>5</v>
      </c>
      <c r="AK393" s="6"/>
      <c r="AL393" s="8" t="str">
        <f t="shared" si="134"/>
        <v>{63</v>
      </c>
      <c r="AM393" s="27" t="str">
        <f t="shared" si="135"/>
        <v>ITM_5</v>
      </c>
      <c r="AN393" s="27" t="str">
        <f t="shared" si="136"/>
        <v>MNU_UNITCONV</v>
      </c>
      <c r="AO393" s="27" t="str">
        <f t="shared" si="137"/>
        <v>MNU_CLK</v>
      </c>
      <c r="AP393" s="46" t="str">
        <f>IF(NOT(ISNA(MATCH(AM393,Lookups!E:E,))),VLOOKUP(AM393,Lookups!E:F,2,0),
IF(NOT(ISNA(MATCH(AN393,Lookups!E:E,))),VLOOKUP(AN393,Lookups!E:F,2,0),
IF(NOT(ISNA(MATCH(AO393,Lookups!E:E,))),VLOOKUP(AO393,Lookups!E:F,2,0),"ITM_NULL")))</f>
        <v>ITM_5</v>
      </c>
      <c r="AQ393" s="28" t="str">
        <f>VLOOKUP(AF393,labelitem,2,0)</f>
        <v>ITM_S</v>
      </c>
      <c r="AR393" s="195" t="s">
        <v>185</v>
      </c>
      <c r="AS393" s="186" t="s">
        <v>204</v>
      </c>
      <c r="AT393" s="197" t="s">
        <v>204</v>
      </c>
      <c r="AW393" s="14" t="str">
        <f t="shared" si="140"/>
        <v>{63</v>
      </c>
      <c r="AX393" s="157" t="str" cm="1">
        <f t="array" ref="AX393">SUBSTITUTE(SUBSTITUTE(_xlfn.SWITCH(AM393, "ITM_T_HOME", "ITM_UP1", "ITM_T_END", "ITM_DOWN1", "DOCU_CHR_sub", "ITM_DOWN_ARROW", "DOCU_CHR_super", "ITM_UP_ARROW", "MNU_TAMALPHA", "ITM_alpha", "DOCU_CHR_caseFLIP", "ITM_NULL", "DOCU_CHR_numSET", "ITM_NULL", "DOCU_ITM_RADIX", "ITM_PERIOD", AM393), ".lo", ),"MNU_", "-MNU_")</f>
        <v>ITM_5</v>
      </c>
      <c r="AY393" s="157" t="str" cm="1">
        <f t="array" ref="AY393">SUBSTITUTE(SUBSTITUTE(_xlfn.SWITCH(AN393, "ITM_T_HOME", "ITM_UP1", "ITM_T_END", "ITM_DOWN1", "DOCU_CHR_sub", "ITM_DOWN_ARROW", "DOCU_CHR_super", "ITM_UP_ARROW", "MNU_TAMALPHA", "ITM_alpha", "DOCU_CHR_caseFLIP", "ITM_NULL", "DOCU_CHR_numSET", "ITM_NULL", "DOCU_ITM_RADIX", "ITM_PERIOD", AN393), ".lo", ),"MNU_", "-MNU_")</f>
        <v>-MNU_UNITCONV</v>
      </c>
      <c r="AZ393" s="157" t="str" cm="1">
        <f t="array" ref="AZ393">SUBSTITUTE(SUBSTITUTE(_xlfn.SWITCH(AO393, "ITM_T_HOME", "ITM_UP1", "ITM_T_END", "ITM_DOWN1", "DOCU_CHR_sub", "ITM_DOWN_ARROW", "DOCU_CHR_super", "ITM_UP_ARROW", "MNU_TAMALPHA", "ITM_alpha", "DOCU_CHR_caseFLIP", "ITM_NULL", "DOCU_CHR_numSET", "ITM_NULL", "DOCU_ITM_RADIX", "ITM_PERIOD", AO393), ".lo", ),"MNU_", "-MNU_")</f>
        <v>-MNU_CLK</v>
      </c>
      <c r="BA393" s="173" t="str" cm="1">
        <f t="array" ref="BA393">SUBSTITUTE(SUBSTITUTE(_xlfn.SWITCH(AP393, "ITM_T_HOME", "ITM_UP1", "ITM_T_END", "ITM_DOWN1", "DOCU_CHR_sub", "ITM_DOWN_ARROW", "DOCU_CHR_super", "ITM_UP_ARROW", "MNU_TAMALPHA", "ITM_alpha", "DOCU_CHR_caseFLIP", "ITM_NULL", "DOCU_CHR_numSET", "ITM_NULL", "DOCU_ITM_RADIX", "ITM_PERIOD", AP393), ".lo", ),"MNU_", "-MNU_")</f>
        <v>ITM_5</v>
      </c>
      <c r="BB393" s="157" t="str" cm="1">
        <f t="array" ref="BB393">SUBSTITUTE(SUBSTITUTE(_xlfn.SWITCH(AQ393, "ITM_T_HOME", "ITM_UP1", "ITM_T_END", "ITM_DOWN1", "DOCU_CHR_sub", "ITM_DOWN_ARROW", "DOCU_CHR_super", "ITM_UP_ARROW", "MNU_TAMALPHA", "ITM_alpha", "DOCU_CHR_caseFLIP", "ITM_NULL", "DOCU_CHR_numSET", "ITM_NULL", "DOCU_ITM_RADIX", "ITM_PERIOD", AQ393), ".lo", ),"MNU_", "-MNU_")</f>
        <v>ITM_S</v>
      </c>
      <c r="BC393" s="157" t="str" cm="1">
        <f t="array" ref="BC393">SUBSTITUTE(SUBSTITUTE(_xlfn.SWITCH(AR393, "ITM_T_HOME", "ITM_UP1", "ITM_T_END", "ITM_DOWN1", "DOCU_CHR_sub", "ITM_DOWN_ARROW", "DOCU_CHR_super", "ITM_UP_ARROW", "MNU_TAMALPHA", "ITM_alpha", "DOCU_CHR_caseFLIP", "ITM_NULL", "DOCU_CHR_numSET", "ITM_NULL", "DOCU_ITM_RADIX", "ITM_PERIOD", AR393), ".lo", ),"MNU_", "-MNU_")</f>
        <v>ITM_s</v>
      </c>
      <c r="BD393" s="157" t="str" cm="1">
        <f t="array" ref="BD393">SUBSTITUTE(SUBSTITUTE(_xlfn.SWITCH(AS393, "ITM_T_HOME", "ITM_UP1", "ITM_T_END", "ITM_DOWN1", "DOCU_CHR_sub", "ITM_DOWN_ARROW", "DOCU_CHR_super", "ITM_UP_ARROW", "MNU_TAMALPHA", "ITM_alpha", "DOCU_CHR_caseFLIP", "ITM_NULL", "DOCU_CHR_numSET", "ITM_NULL", "DOCU_ITM_RADIX", "ITM_PERIOD", AS393), ".lo", ),"MNU_", "-MNU_")</f>
        <v>ITM_5</v>
      </c>
      <c r="BE393" s="157" t="str" cm="1">
        <f t="array" ref="BE393">SUBSTITUTE(SUBSTITUTE(_xlfn.SWITCH(AT393, "ITM_T_HOME", "ITM_UP1", "ITM_T_END", "ITM_DOWN1", "DOCU_CHR_sub", "ITM_DOWN_ARROW", "DOCU_CHR_super", "ITM_UP_ARROW", "MNU_TAMALPHA", "ITM_alpha", "DOCU_CHR_caseFLIP", "ITM_NULL", "DOCU_CHR_numSET", "ITM_NULL", "DOCU_ITM_RADIX", "ITM_PERIOD", AT393), ".lo", ),"MNU_", "-MNU_")</f>
        <v>ITM_5</v>
      </c>
      <c r="BG393" s="75"/>
      <c r="BI393" s="13"/>
    </row>
    <row r="394" spans="24:61" ht="21" x14ac:dyDescent="0.2">
      <c r="X394" s="129" t="str">
        <f t="shared" si="130"/>
        <v>S47</v>
      </c>
      <c r="Y394" s="109">
        <v>6</v>
      </c>
      <c r="Z394" s="109">
        <v>4</v>
      </c>
      <c r="AA394" s="112" t="str">
        <f t="shared" si="129"/>
        <v>S47.64</v>
      </c>
      <c r="AB394" s="117">
        <v>6</v>
      </c>
      <c r="AC394" s="118" t="s">
        <v>205</v>
      </c>
      <c r="AD394" s="119" t="s">
        <v>206</v>
      </c>
      <c r="AE394" s="3"/>
      <c r="AF394" s="49" t="s">
        <v>197</v>
      </c>
      <c r="AG394" s="77" t="b">
        <f t="shared" si="139"/>
        <v>1</v>
      </c>
      <c r="AH394" s="83" t="str">
        <f t="shared" si="131"/>
        <v>t</v>
      </c>
      <c r="AI394" s="84">
        <f t="shared" si="132"/>
        <v>6</v>
      </c>
      <c r="AJ394" s="85">
        <f t="shared" si="133"/>
        <v>6</v>
      </c>
      <c r="AK394" s="6"/>
      <c r="AL394" s="8" t="str">
        <f t="shared" si="134"/>
        <v>{64</v>
      </c>
      <c r="AM394" s="27" t="str">
        <f t="shared" si="135"/>
        <v>ITM_6</v>
      </c>
      <c r="AN394" s="27" t="str">
        <f t="shared" si="136"/>
        <v>MNU_FLAGS</v>
      </c>
      <c r="AO394" s="27" t="str">
        <f t="shared" si="137"/>
        <v>MNU_PARTS</v>
      </c>
      <c r="AP394" s="46" t="str">
        <f>IF(NOT(ISNA(MATCH(AM394,Lookups!E:E,))),VLOOKUP(AM394,Lookups!E:F,2,0),
IF(NOT(ISNA(MATCH(AN394,Lookups!E:E,))),VLOOKUP(AN394,Lookups!E:F,2,0),
IF(NOT(ISNA(MATCH(AO394,Lookups!E:E,))),VLOOKUP(AO394,Lookups!E:F,2,0),"ITM_NULL")))</f>
        <v>ITM_6</v>
      </c>
      <c r="AQ394" s="28" t="str">
        <f>VLOOKUP(AF394,labelitem,2,0)</f>
        <v>ITM_T</v>
      </c>
      <c r="AR394" s="195" t="s">
        <v>198</v>
      </c>
      <c r="AS394" s="186" t="s">
        <v>209</v>
      </c>
      <c r="AT394" s="197" t="s">
        <v>209</v>
      </c>
      <c r="AW394" s="14" t="str">
        <f t="shared" si="140"/>
        <v>{64</v>
      </c>
      <c r="AX394" s="157" t="str" cm="1">
        <f t="array" ref="AX394">SUBSTITUTE(SUBSTITUTE(_xlfn.SWITCH(AM394, "ITM_T_HOME", "ITM_UP1", "ITM_T_END", "ITM_DOWN1", "DOCU_CHR_sub", "ITM_DOWN_ARROW", "DOCU_CHR_super", "ITM_UP_ARROW", "MNU_TAMALPHA", "ITM_alpha", "DOCU_CHR_caseFLIP", "ITM_NULL", "DOCU_CHR_numSET", "ITM_NULL", "DOCU_ITM_RADIX", "ITM_PERIOD", AM394), ".lo", ),"MNU_", "-MNU_")</f>
        <v>ITM_6</v>
      </c>
      <c r="AY394" s="157" t="str" cm="1">
        <f t="array" ref="AY394">SUBSTITUTE(SUBSTITUTE(_xlfn.SWITCH(AN394, "ITM_T_HOME", "ITM_UP1", "ITM_T_END", "ITM_DOWN1", "DOCU_CHR_sub", "ITM_DOWN_ARROW", "DOCU_CHR_super", "ITM_UP_ARROW", "MNU_TAMALPHA", "ITM_alpha", "DOCU_CHR_caseFLIP", "ITM_NULL", "DOCU_CHR_numSET", "ITM_NULL", "DOCU_ITM_RADIX", "ITM_PERIOD", AN394), ".lo", ),"MNU_", "-MNU_")</f>
        <v>-MNU_FLAGS</v>
      </c>
      <c r="AZ394" s="157" t="str" cm="1">
        <f t="array" ref="AZ394">SUBSTITUTE(SUBSTITUTE(_xlfn.SWITCH(AO394, "ITM_T_HOME", "ITM_UP1", "ITM_T_END", "ITM_DOWN1", "DOCU_CHR_sub", "ITM_DOWN_ARROW", "DOCU_CHR_super", "ITM_UP_ARROW", "MNU_TAMALPHA", "ITM_alpha", "DOCU_CHR_caseFLIP", "ITM_NULL", "DOCU_CHR_numSET", "ITM_NULL", "DOCU_ITM_RADIX", "ITM_PERIOD", AO394), ".lo", ),"MNU_", "-MNU_")</f>
        <v>-MNU_PARTS</v>
      </c>
      <c r="BA394" s="173" t="str" cm="1">
        <f t="array" ref="BA394">SUBSTITUTE(SUBSTITUTE(_xlfn.SWITCH(AP394, "ITM_T_HOME", "ITM_UP1", "ITM_T_END", "ITM_DOWN1", "DOCU_CHR_sub", "ITM_DOWN_ARROW", "DOCU_CHR_super", "ITM_UP_ARROW", "MNU_TAMALPHA", "ITM_alpha", "DOCU_CHR_caseFLIP", "ITM_NULL", "DOCU_CHR_numSET", "ITM_NULL", "DOCU_ITM_RADIX", "ITM_PERIOD", AP394), ".lo", ),"MNU_", "-MNU_")</f>
        <v>ITM_6</v>
      </c>
      <c r="BB394" s="157" t="str" cm="1">
        <f t="array" ref="BB394">SUBSTITUTE(SUBSTITUTE(_xlfn.SWITCH(AQ394, "ITM_T_HOME", "ITM_UP1", "ITM_T_END", "ITM_DOWN1", "DOCU_CHR_sub", "ITM_DOWN_ARROW", "DOCU_CHR_super", "ITM_UP_ARROW", "MNU_TAMALPHA", "ITM_alpha", "DOCU_CHR_caseFLIP", "ITM_NULL", "DOCU_CHR_numSET", "ITM_NULL", "DOCU_ITM_RADIX", "ITM_PERIOD", AQ394), ".lo", ),"MNU_", "-MNU_")</f>
        <v>ITM_T</v>
      </c>
      <c r="BC394" s="157" t="str" cm="1">
        <f t="array" ref="BC394">SUBSTITUTE(SUBSTITUTE(_xlfn.SWITCH(AR394, "ITM_T_HOME", "ITM_UP1", "ITM_T_END", "ITM_DOWN1", "DOCU_CHR_sub", "ITM_DOWN_ARROW", "DOCU_CHR_super", "ITM_UP_ARROW", "MNU_TAMALPHA", "ITM_alpha", "DOCU_CHR_caseFLIP", "ITM_NULL", "DOCU_CHR_numSET", "ITM_NULL", "DOCU_ITM_RADIX", "ITM_PERIOD", AR394), ".lo", ),"MNU_", "-MNU_")</f>
        <v>ITM_t</v>
      </c>
      <c r="BD394" s="157" t="str" cm="1">
        <f t="array" ref="BD394">SUBSTITUTE(SUBSTITUTE(_xlfn.SWITCH(AS394, "ITM_T_HOME", "ITM_UP1", "ITM_T_END", "ITM_DOWN1", "DOCU_CHR_sub", "ITM_DOWN_ARROW", "DOCU_CHR_super", "ITM_UP_ARROW", "MNU_TAMALPHA", "ITM_alpha", "DOCU_CHR_caseFLIP", "ITM_NULL", "DOCU_CHR_numSET", "ITM_NULL", "DOCU_ITM_RADIX", "ITM_PERIOD", AS394), ".lo", ),"MNU_", "-MNU_")</f>
        <v>ITM_6</v>
      </c>
      <c r="BE394" s="157" t="str" cm="1">
        <f t="array" ref="BE394">SUBSTITUTE(SUBSTITUTE(_xlfn.SWITCH(AT394, "ITM_T_HOME", "ITM_UP1", "ITM_T_END", "ITM_DOWN1", "DOCU_CHR_sub", "ITM_DOWN_ARROW", "DOCU_CHR_super", "ITM_UP_ARROW", "MNU_TAMALPHA", "ITM_alpha", "DOCU_CHR_caseFLIP", "ITM_NULL", "DOCU_CHR_numSET", "ITM_NULL", "DOCU_ITM_RADIX", "ITM_PERIOD", AT394), ".lo", ),"MNU_", "-MNU_")</f>
        <v>ITM_6</v>
      </c>
      <c r="BG394" s="75"/>
      <c r="BI394" s="13"/>
    </row>
    <row r="395" spans="24:61" ht="21" x14ac:dyDescent="0.2">
      <c r="X395" s="129" t="str">
        <f t="shared" si="130"/>
        <v>S47</v>
      </c>
      <c r="Y395" s="109">
        <v>6</v>
      </c>
      <c r="Z395" s="109">
        <v>5</v>
      </c>
      <c r="AA395" s="112" t="str">
        <f t="shared" si="129"/>
        <v>S47.65</v>
      </c>
      <c r="AB395" s="121" t="s">
        <v>210</v>
      </c>
      <c r="AC395" s="118" t="s">
        <v>211</v>
      </c>
      <c r="AD395" s="119" t="s">
        <v>212</v>
      </c>
      <c r="AE395" s="3"/>
      <c r="AF395" s="49" t="s">
        <v>202</v>
      </c>
      <c r="AG395" s="77" t="b">
        <f t="shared" si="139"/>
        <v>1</v>
      </c>
      <c r="AH395" s="83" t="str">
        <f t="shared" si="131"/>
        <v>u</v>
      </c>
      <c r="AI395" s="84" t="str">
        <f t="shared" si="132"/>
        <v>✕</v>
      </c>
      <c r="AJ395" s="85" t="str">
        <f t="shared" si="133"/>
        <v>✕</v>
      </c>
      <c r="AK395" s="6"/>
      <c r="AL395" s="8" t="str">
        <f t="shared" si="134"/>
        <v>{65</v>
      </c>
      <c r="AM395" s="27" t="str">
        <f t="shared" si="135"/>
        <v>ITM_MULT</v>
      </c>
      <c r="AN395" s="27" t="str">
        <f t="shared" si="136"/>
        <v>MNU_PROB</v>
      </c>
      <c r="AO395" s="27" t="str">
        <f t="shared" si="137"/>
        <v>MNU_INTS</v>
      </c>
      <c r="AP395" s="46" t="str">
        <f>IF(NOT(ISNA(MATCH(AM395,Lookups!E:E,))),VLOOKUP(AM395,Lookups!E:F,2,0),
IF(NOT(ISNA(MATCH(AN395,Lookups!E:E,))),VLOOKUP(AN395,Lookups!E:F,2,0),
IF(NOT(ISNA(MATCH(AO395,Lookups!E:E,))),VLOOKUP(AO395,Lookups!E:F,2,0),"ITM_NULL")))</f>
        <v>ITM_CROSS</v>
      </c>
      <c r="AQ395" s="28" t="str">
        <f>VLOOKUP(AF395,labelitem,2,0)</f>
        <v>ITM_U</v>
      </c>
      <c r="AR395" s="195" t="s">
        <v>203</v>
      </c>
      <c r="AS395" s="186" t="s">
        <v>215</v>
      </c>
      <c r="AT395" s="197" t="s">
        <v>216</v>
      </c>
      <c r="AW395" s="14" t="str">
        <f t="shared" si="140"/>
        <v>{65</v>
      </c>
      <c r="AX395" s="157" t="str" cm="1">
        <f t="array" ref="AX395">SUBSTITUTE(SUBSTITUTE(_xlfn.SWITCH(AM395, "ITM_T_HOME", "ITM_UP1", "ITM_T_END", "ITM_DOWN1", "DOCU_CHR_sub", "ITM_DOWN_ARROW", "DOCU_CHR_super", "ITM_UP_ARROW", "MNU_TAMALPHA", "ITM_alpha", "DOCU_CHR_caseFLIP", "ITM_NULL", "DOCU_CHR_numSET", "ITM_NULL", "DOCU_ITM_RADIX", "ITM_PERIOD", AM395), ".lo", ),"MNU_", "-MNU_")</f>
        <v>ITM_MULT</v>
      </c>
      <c r="AY395" s="157" t="str" cm="1">
        <f t="array" ref="AY395">SUBSTITUTE(SUBSTITUTE(_xlfn.SWITCH(AN395, "ITM_T_HOME", "ITM_UP1", "ITM_T_END", "ITM_DOWN1", "DOCU_CHR_sub", "ITM_DOWN_ARROW", "DOCU_CHR_super", "ITM_UP_ARROW", "MNU_TAMALPHA", "ITM_alpha", "DOCU_CHR_caseFLIP", "ITM_NULL", "DOCU_CHR_numSET", "ITM_NULL", "DOCU_ITM_RADIX", "ITM_PERIOD", AN395), ".lo", ),"MNU_", "-MNU_")</f>
        <v>-MNU_PROB</v>
      </c>
      <c r="AZ395" s="157" t="str" cm="1">
        <f t="array" ref="AZ395">SUBSTITUTE(SUBSTITUTE(_xlfn.SWITCH(AO395, "ITM_T_HOME", "ITM_UP1", "ITM_T_END", "ITM_DOWN1", "DOCU_CHR_sub", "ITM_DOWN_ARROW", "DOCU_CHR_super", "ITM_UP_ARROW", "MNU_TAMALPHA", "ITM_alpha", "DOCU_CHR_caseFLIP", "ITM_NULL", "DOCU_CHR_numSET", "ITM_NULL", "DOCU_ITM_RADIX", "ITM_PERIOD", AO395), ".lo", ),"MNU_", "-MNU_")</f>
        <v>-MNU_INTS</v>
      </c>
      <c r="BA395" s="173" t="str" cm="1">
        <f t="array" ref="BA395">SUBSTITUTE(SUBSTITUTE(_xlfn.SWITCH(AP395, "ITM_T_HOME", "ITM_UP1", "ITM_T_END", "ITM_DOWN1", "DOCU_CHR_sub", "ITM_DOWN_ARROW", "DOCU_CHR_super", "ITM_UP_ARROW", "MNU_TAMALPHA", "ITM_alpha", "DOCU_CHR_caseFLIP", "ITM_NULL", "DOCU_CHR_numSET", "ITM_NULL", "DOCU_ITM_RADIX", "ITM_PERIOD", AP395), ".lo", ),"MNU_", "-MNU_")</f>
        <v>ITM_CROSS</v>
      </c>
      <c r="BB395" s="157" t="str" cm="1">
        <f t="array" ref="BB395">SUBSTITUTE(SUBSTITUTE(_xlfn.SWITCH(AQ395, "ITM_T_HOME", "ITM_UP1", "ITM_T_END", "ITM_DOWN1", "DOCU_CHR_sub", "ITM_DOWN_ARROW", "DOCU_CHR_super", "ITM_UP_ARROW", "MNU_TAMALPHA", "ITM_alpha", "DOCU_CHR_caseFLIP", "ITM_NULL", "DOCU_CHR_numSET", "ITM_NULL", "DOCU_ITM_RADIX", "ITM_PERIOD", AQ395), ".lo", ),"MNU_", "-MNU_")</f>
        <v>ITM_U</v>
      </c>
      <c r="BC395" s="157" t="str" cm="1">
        <f t="array" ref="BC395">SUBSTITUTE(SUBSTITUTE(_xlfn.SWITCH(AR395, "ITM_T_HOME", "ITM_UP1", "ITM_T_END", "ITM_DOWN1", "DOCU_CHR_sub", "ITM_DOWN_ARROW", "DOCU_CHR_super", "ITM_UP_ARROW", "MNU_TAMALPHA", "ITM_alpha", "DOCU_CHR_caseFLIP", "ITM_NULL", "DOCU_CHR_numSET", "ITM_NULL", "DOCU_ITM_RADIX", "ITM_PERIOD", AR395), ".lo", ),"MNU_", "-MNU_")</f>
        <v>ITM_u</v>
      </c>
      <c r="BD395" s="157" t="str" cm="1">
        <f t="array" ref="BD395">SUBSTITUTE(SUBSTITUTE(_xlfn.SWITCH(AS395, "ITM_T_HOME", "ITM_UP1", "ITM_T_END", "ITM_DOWN1", "DOCU_CHR_sub", "ITM_DOWN_ARROW", "DOCU_CHR_super", "ITM_UP_ARROW", "MNU_TAMALPHA", "ITM_alpha", "DOCU_CHR_caseFLIP", "ITM_NULL", "DOCU_CHR_numSET", "ITM_NULL", "DOCU_ITM_RADIX", "ITM_PERIOD", AS395), ".lo", ),"MNU_", "-MNU_")</f>
        <v>ITM_CROSS</v>
      </c>
      <c r="BE395" s="157" t="str" cm="1">
        <f t="array" ref="BE395">SUBSTITUTE(SUBSTITUTE(_xlfn.SWITCH(AT395, "ITM_T_HOME", "ITM_UP1", "ITM_T_END", "ITM_DOWN1", "DOCU_CHR_sub", "ITM_DOWN_ARROW", "DOCU_CHR_super", "ITM_UP_ARROW", "MNU_TAMALPHA", "ITM_alpha", "DOCU_CHR_caseFLIP", "ITM_NULL", "DOCU_CHR_numSET", "ITM_NULL", "DOCU_ITM_RADIX", "ITM_PERIOD", AT395), ".lo", ),"MNU_", "-MNU_")</f>
        <v>ITM_MULT</v>
      </c>
      <c r="BG395" s="75"/>
      <c r="BI395" s="13"/>
    </row>
    <row r="396" spans="24:61" ht="21" x14ac:dyDescent="0.2">
      <c r="X396" s="129" t="str">
        <f t="shared" si="130"/>
        <v>S47</v>
      </c>
      <c r="Y396" s="106">
        <v>7</v>
      </c>
      <c r="Z396" s="106">
        <v>1</v>
      </c>
      <c r="AA396" s="112" t="str">
        <f t="shared" si="129"/>
        <v>S47.71</v>
      </c>
      <c r="AB396" s="117" t="s">
        <v>188</v>
      </c>
      <c r="AC396" s="132" t="s">
        <v>189</v>
      </c>
      <c r="AD396" s="132" t="s">
        <v>190</v>
      </c>
      <c r="AE396" s="3"/>
      <c r="AF396" s="49" t="s">
        <v>191</v>
      </c>
      <c r="AG396" s="77" t="b">
        <f t="shared" si="139"/>
        <v>0</v>
      </c>
      <c r="AH396" s="83" t="str">
        <f t="shared" si="131"/>
        <v>CASE DN</v>
      </c>
      <c r="AI396" s="84" t="str">
        <f t="shared" si="132"/>
        <v>Sub</v>
      </c>
      <c r="AJ396" s="85" t="str">
        <f t="shared" si="133"/>
        <v>Dn</v>
      </c>
      <c r="AK396" s="6"/>
      <c r="AL396" s="8" t="str">
        <f t="shared" si="134"/>
        <v>{71</v>
      </c>
      <c r="AM396" s="27" t="str">
        <f t="shared" si="135"/>
        <v>ITM_DOWN1</v>
      </c>
      <c r="AN396" s="27" t="str">
        <f t="shared" si="136"/>
        <v>ITM_SST</v>
      </c>
      <c r="AO396" s="27" t="str">
        <f t="shared" si="137"/>
        <v>ITM_FLGSV</v>
      </c>
      <c r="AP396" s="46" t="str">
        <f>IF(NOT(ISNA(MATCH(AM396,Lookups!E:E,))),VLOOKUP(AM396,Lookups!E:F,2,0),
IF(NOT(ISNA(MATCH(AN396,Lookups!E:E,))),VLOOKUP(AN396,Lookups!E:F,2,0),
IF(NOT(ISNA(MATCH(AO396,Lookups!E:E,))),VLOOKUP(AO396,Lookups!E:F,2,0),"ITM_NULL")))</f>
        <v>ITM_DOWN1</v>
      </c>
      <c r="AQ396" s="28" t="str">
        <f>VLOOKUP(AF396,labelitem,2,0)</f>
        <v>ITM_T_END</v>
      </c>
      <c r="AR396" s="198" t="s">
        <v>192</v>
      </c>
      <c r="AS396" s="186" t="s">
        <v>193</v>
      </c>
      <c r="AT396" s="197" t="s">
        <v>194</v>
      </c>
      <c r="AW396" s="14" t="str">
        <f t="shared" si="140"/>
        <v>{71</v>
      </c>
      <c r="AX396" s="157" t="str" cm="1">
        <f t="array" ref="AX396">SUBSTITUTE(SUBSTITUTE(_xlfn.SWITCH(AM396, "ITM_T_HOME", "ITM_UP1", "ITM_T_END", "ITM_DOWN1", "DOCU_CHR_sub", "ITM_DOWN_ARROW", "DOCU_CHR_super", "ITM_UP_ARROW", "MNU_TAMALPHA", "ITM_alpha", "DOCU_CHR_caseFLIP", "ITM_NULL", "DOCU_CHR_numSET", "ITM_NULL", "DOCU_ITM_RADIX", "ITM_PERIOD", AM396), ".lo", ),"MNU_", "-MNU_")</f>
        <v>ITM_DOWN1</v>
      </c>
      <c r="AY396" s="157" t="str" cm="1">
        <f t="array" ref="AY396">SUBSTITUTE(SUBSTITUTE(_xlfn.SWITCH(AN396, "ITM_T_HOME", "ITM_UP1", "ITM_T_END", "ITM_DOWN1", "DOCU_CHR_sub", "ITM_DOWN_ARROW", "DOCU_CHR_super", "ITM_UP_ARROW", "MNU_TAMALPHA", "ITM_alpha", "DOCU_CHR_caseFLIP", "ITM_NULL", "DOCU_CHR_numSET", "ITM_NULL", "DOCU_ITM_RADIX", "ITM_PERIOD", AN396), ".lo", ),"MNU_", "-MNU_")</f>
        <v>ITM_SST</v>
      </c>
      <c r="AZ396" s="157" t="str" cm="1">
        <f t="array" ref="AZ396">SUBSTITUTE(SUBSTITUTE(_xlfn.SWITCH(AO396, "ITM_T_HOME", "ITM_UP1", "ITM_T_END", "ITM_DOWN1", "DOCU_CHR_sub", "ITM_DOWN_ARROW", "DOCU_CHR_super", "ITM_UP_ARROW", "MNU_TAMALPHA", "ITM_alpha", "DOCU_CHR_caseFLIP", "ITM_NULL", "DOCU_CHR_numSET", "ITM_NULL", "DOCU_ITM_RADIX", "ITM_PERIOD", AO396), ".lo", ),"MNU_", "-MNU_")</f>
        <v>ITM_FLGSV</v>
      </c>
      <c r="BA396" s="173" t="str" cm="1">
        <f t="array" ref="BA396">SUBSTITUTE(SUBSTITUTE(_xlfn.SWITCH(AP396, "ITM_T_HOME", "ITM_UP1", "ITM_T_END", "ITM_DOWN1", "DOCU_CHR_sub", "ITM_DOWN_ARROW", "DOCU_CHR_super", "ITM_UP_ARROW", "MNU_TAMALPHA", "ITM_alpha", "DOCU_CHR_caseFLIP", "ITM_NULL", "DOCU_CHR_numSET", "ITM_NULL", "DOCU_ITM_RADIX", "ITM_PERIOD", AP396), ".lo", ),"MNU_", "-MNU_")</f>
        <v>ITM_DOWN1</v>
      </c>
      <c r="BB396" s="157" t="str" cm="1">
        <f t="array" ref="BB396">SUBSTITUTE(SUBSTITUTE(_xlfn.SWITCH(AQ396, "ITM_T_HOME", "ITM_UP1", "ITM_T_END", "ITM_DOWN1", "DOCU_CHR_sub", "ITM_DOWN_ARROW", "DOCU_CHR_super", "ITM_UP_ARROW", "MNU_TAMALPHA", "ITM_alpha", "DOCU_CHR_caseFLIP", "ITM_NULL", "DOCU_CHR_numSET", "ITM_NULL", "DOCU_ITM_RADIX", "ITM_PERIOD", AQ396), ".lo", ),"MNU_", "-MNU_")</f>
        <v>ITM_DOWN1</v>
      </c>
      <c r="BC396" s="157" t="str" cm="1">
        <f t="array" ref="BC396">SUBSTITUTE(SUBSTITUTE(_xlfn.SWITCH(AR396, "ITM_T_HOME", "ITM_UP1", "ITM_T_END", "ITM_DOWN1", "DOCU_CHR_sub", "ITM_DOWN_ARROW", "DOCU_CHR_super", "ITM_UP_ARROW", "MNU_TAMALPHA", "ITM_alpha", "DOCU_CHR_caseFLIP", "ITM_NULL", "DOCU_CHR_numSET", "ITM_NULL", "DOCU_ITM_RADIX", "ITM_PERIOD", AR396), ".lo", ),"MNU_", "-MNU_")</f>
        <v>CHR_caseDN</v>
      </c>
      <c r="BD396" s="157" t="str" cm="1">
        <f t="array" ref="BD396">SUBSTITUTE(SUBSTITUTE(_xlfn.SWITCH(AS396, "ITM_T_HOME", "ITM_UP1", "ITM_T_END", "ITM_DOWN1", "DOCU_CHR_sub", "ITM_DOWN_ARROW", "DOCU_CHR_super", "ITM_UP_ARROW", "MNU_TAMALPHA", "ITM_alpha", "DOCU_CHR_caseFLIP", "ITM_NULL", "DOCU_CHR_numSET", "ITM_NULL", "DOCU_ITM_RADIX", "ITM_PERIOD", AS396), ".lo", ),"MNU_", "-MNU_")</f>
        <v>ITM_DOWN_ARROW</v>
      </c>
      <c r="BE396" s="157" t="str" cm="1">
        <f t="array" ref="BE396">SUBSTITUTE(SUBSTITUTE(_xlfn.SWITCH(AT396, "ITM_T_HOME", "ITM_UP1", "ITM_T_END", "ITM_DOWN1", "DOCU_CHR_sub", "ITM_DOWN_ARROW", "DOCU_CHR_super", "ITM_UP_ARROW", "MNU_TAMALPHA", "ITM_alpha", "DOCU_CHR_caseFLIP", "ITM_NULL", "DOCU_CHR_numSET", "ITM_NULL", "DOCU_ITM_RADIX", "ITM_PERIOD", AT396), ".lo", ),"MNU_", "-MNU_")</f>
        <v>ITM_DOWN1</v>
      </c>
      <c r="BG396" s="75"/>
      <c r="BI396" s="13"/>
    </row>
    <row r="397" spans="24:61" ht="21" x14ac:dyDescent="0.2">
      <c r="X397" s="129" t="str">
        <f t="shared" si="130"/>
        <v>S47</v>
      </c>
      <c r="Y397" s="109">
        <v>7</v>
      </c>
      <c r="Z397" s="109">
        <v>2</v>
      </c>
      <c r="AA397" s="112" t="str">
        <f t="shared" si="129"/>
        <v>S47.72</v>
      </c>
      <c r="AB397" s="117">
        <v>1</v>
      </c>
      <c r="AC397" s="118" t="s">
        <v>222</v>
      </c>
      <c r="AD397" s="119" t="s">
        <v>223</v>
      </c>
      <c r="AE397" s="3"/>
      <c r="AF397" s="49" t="s">
        <v>207</v>
      </c>
      <c r="AG397" s="77" t="b">
        <f t="shared" si="139"/>
        <v>1</v>
      </c>
      <c r="AH397" s="83" t="str">
        <f t="shared" si="131"/>
        <v>v</v>
      </c>
      <c r="AI397" s="84">
        <f t="shared" si="132"/>
        <v>1</v>
      </c>
      <c r="AJ397" s="85">
        <f t="shared" si="133"/>
        <v>1</v>
      </c>
      <c r="AK397" s="6"/>
      <c r="AL397" s="8" t="str">
        <f t="shared" si="134"/>
        <v>{72</v>
      </c>
      <c r="AM397" s="27" t="str">
        <f t="shared" si="135"/>
        <v>ITM_1</v>
      </c>
      <c r="AN397" s="27" t="str">
        <f t="shared" si="136"/>
        <v>ITM_ASSIGN</v>
      </c>
      <c r="AO397" s="27" t="str">
        <f t="shared" si="137"/>
        <v>MNU_KEYS</v>
      </c>
      <c r="AP397" s="46" t="str">
        <f>IF(NOT(ISNA(MATCH(AM397,Lookups!E:E,))),VLOOKUP(AM397,Lookups!E:F,2,0),
IF(NOT(ISNA(MATCH(AN397,Lookups!E:E,))),VLOOKUP(AN397,Lookups!E:F,2,0),
IF(NOT(ISNA(MATCH(AO397,Lookups!E:E,))),VLOOKUP(AO397,Lookups!E:F,2,0),"ITM_NULL")))</f>
        <v>ITM_1</v>
      </c>
      <c r="AQ397" s="28" t="str">
        <f t="shared" ref="AQ397:AQ405" si="141">VLOOKUP(AF397,labelitem,2,0)</f>
        <v>ITM_V</v>
      </c>
      <c r="AR397" s="195" t="s">
        <v>208</v>
      </c>
      <c r="AS397" s="186" t="s">
        <v>226</v>
      </c>
      <c r="AT397" s="197" t="s">
        <v>226</v>
      </c>
      <c r="AW397" s="14" t="str">
        <f t="shared" si="140"/>
        <v>{72</v>
      </c>
      <c r="AX397" s="157" t="str" cm="1">
        <f t="array" ref="AX397">SUBSTITUTE(SUBSTITUTE(_xlfn.SWITCH(AM397, "ITM_T_HOME", "ITM_UP1", "ITM_T_END", "ITM_DOWN1", "DOCU_CHR_sub", "ITM_DOWN_ARROW", "DOCU_CHR_super", "ITM_UP_ARROW", "MNU_TAMALPHA", "ITM_alpha", "DOCU_CHR_caseFLIP", "ITM_NULL", "DOCU_CHR_numSET", "ITM_NULL", "DOCU_ITM_RADIX", "ITM_PERIOD", AM397), ".lo", ),"MNU_", "-MNU_")</f>
        <v>ITM_1</v>
      </c>
      <c r="AY397" s="157" t="str" cm="1">
        <f t="array" ref="AY397">SUBSTITUTE(SUBSTITUTE(_xlfn.SWITCH(AN397, "ITM_T_HOME", "ITM_UP1", "ITM_T_END", "ITM_DOWN1", "DOCU_CHR_sub", "ITM_DOWN_ARROW", "DOCU_CHR_super", "ITM_UP_ARROW", "MNU_TAMALPHA", "ITM_alpha", "DOCU_CHR_caseFLIP", "ITM_NULL", "DOCU_CHR_numSET", "ITM_NULL", "DOCU_ITM_RADIX", "ITM_PERIOD", AN397), ".lo", ),"MNU_", "-MNU_")</f>
        <v>ITM_ASSIGN</v>
      </c>
      <c r="AZ397" s="157" t="str" cm="1">
        <f t="array" ref="AZ397">SUBSTITUTE(SUBSTITUTE(_xlfn.SWITCH(AO397, "ITM_T_HOME", "ITM_UP1", "ITM_T_END", "ITM_DOWN1", "DOCU_CHR_sub", "ITM_DOWN_ARROW", "DOCU_CHR_super", "ITM_UP_ARROW", "MNU_TAMALPHA", "ITM_alpha", "DOCU_CHR_caseFLIP", "ITM_NULL", "DOCU_CHR_numSET", "ITM_NULL", "DOCU_ITM_RADIX", "ITM_PERIOD", AO397), ".lo", ),"MNU_", "-MNU_")</f>
        <v>-MNU_KEYS</v>
      </c>
      <c r="BA397" s="173" t="str" cm="1">
        <f t="array" ref="BA397">SUBSTITUTE(SUBSTITUTE(_xlfn.SWITCH(AP397, "ITM_T_HOME", "ITM_UP1", "ITM_T_END", "ITM_DOWN1", "DOCU_CHR_sub", "ITM_DOWN_ARROW", "DOCU_CHR_super", "ITM_UP_ARROW", "MNU_TAMALPHA", "ITM_alpha", "DOCU_CHR_caseFLIP", "ITM_NULL", "DOCU_CHR_numSET", "ITM_NULL", "DOCU_ITM_RADIX", "ITM_PERIOD", AP397), ".lo", ),"MNU_", "-MNU_")</f>
        <v>ITM_1</v>
      </c>
      <c r="BB397" s="157" t="str" cm="1">
        <f t="array" ref="BB397">SUBSTITUTE(SUBSTITUTE(_xlfn.SWITCH(AQ397, "ITM_T_HOME", "ITM_UP1", "ITM_T_END", "ITM_DOWN1", "DOCU_CHR_sub", "ITM_DOWN_ARROW", "DOCU_CHR_super", "ITM_UP_ARROW", "MNU_TAMALPHA", "ITM_alpha", "DOCU_CHR_caseFLIP", "ITM_NULL", "DOCU_CHR_numSET", "ITM_NULL", "DOCU_ITM_RADIX", "ITM_PERIOD", AQ397), ".lo", ),"MNU_", "-MNU_")</f>
        <v>ITM_V</v>
      </c>
      <c r="BC397" s="157" t="str" cm="1">
        <f t="array" ref="BC397">SUBSTITUTE(SUBSTITUTE(_xlfn.SWITCH(AR397, "ITM_T_HOME", "ITM_UP1", "ITM_T_END", "ITM_DOWN1", "DOCU_CHR_sub", "ITM_DOWN_ARROW", "DOCU_CHR_super", "ITM_UP_ARROW", "MNU_TAMALPHA", "ITM_alpha", "DOCU_CHR_caseFLIP", "ITM_NULL", "DOCU_CHR_numSET", "ITM_NULL", "DOCU_ITM_RADIX", "ITM_PERIOD", AR397), ".lo", ),"MNU_", "-MNU_")</f>
        <v>ITM_v</v>
      </c>
      <c r="BD397" s="157" t="str" cm="1">
        <f t="array" ref="BD397">SUBSTITUTE(SUBSTITUTE(_xlfn.SWITCH(AS397, "ITM_T_HOME", "ITM_UP1", "ITM_T_END", "ITM_DOWN1", "DOCU_CHR_sub", "ITM_DOWN_ARROW", "DOCU_CHR_super", "ITM_UP_ARROW", "MNU_TAMALPHA", "ITM_alpha", "DOCU_CHR_caseFLIP", "ITM_NULL", "DOCU_CHR_numSET", "ITM_NULL", "DOCU_ITM_RADIX", "ITM_PERIOD", AS397), ".lo", ),"MNU_", "-MNU_")</f>
        <v>ITM_1</v>
      </c>
      <c r="BE397" s="157" t="str" cm="1">
        <f t="array" ref="BE397">SUBSTITUTE(SUBSTITUTE(_xlfn.SWITCH(AT397, "ITM_T_HOME", "ITM_UP1", "ITM_T_END", "ITM_DOWN1", "DOCU_CHR_sub", "ITM_DOWN_ARROW", "DOCU_CHR_super", "ITM_UP_ARROW", "MNU_TAMALPHA", "ITM_alpha", "DOCU_CHR_caseFLIP", "ITM_NULL", "DOCU_CHR_numSET", "ITM_NULL", "DOCU_ITM_RADIX", "ITM_PERIOD", AT397), ".lo", ),"MNU_", "-MNU_")</f>
        <v>ITM_1</v>
      </c>
      <c r="BG397" s="75"/>
      <c r="BI397" s="13"/>
    </row>
    <row r="398" spans="24:61" ht="21" x14ac:dyDescent="0.2">
      <c r="X398" s="129" t="str">
        <f t="shared" si="130"/>
        <v>S47</v>
      </c>
      <c r="Y398" s="109">
        <v>7</v>
      </c>
      <c r="Z398" s="109">
        <v>3</v>
      </c>
      <c r="AA398" s="112" t="str">
        <f t="shared" si="129"/>
        <v>S47.73</v>
      </c>
      <c r="AB398" s="117">
        <v>2</v>
      </c>
      <c r="AC398" s="118" t="s">
        <v>447</v>
      </c>
      <c r="AD398" s="119" t="s">
        <v>645</v>
      </c>
      <c r="AE398" s="3"/>
      <c r="AF398" s="49" t="s">
        <v>213</v>
      </c>
      <c r="AG398" s="77" t="b">
        <f t="shared" si="139"/>
        <v>1</v>
      </c>
      <c r="AH398" s="83" t="str">
        <f t="shared" si="131"/>
        <v>w</v>
      </c>
      <c r="AI398" s="84">
        <f t="shared" si="132"/>
        <v>2</v>
      </c>
      <c r="AJ398" s="85">
        <f t="shared" si="133"/>
        <v>2</v>
      </c>
      <c r="AK398" s="6"/>
      <c r="AL398" s="8" t="str">
        <f t="shared" si="134"/>
        <v>{73</v>
      </c>
      <c r="AM398" s="27" t="str">
        <f t="shared" si="135"/>
        <v>ITM_2</v>
      </c>
      <c r="AN398" s="27" t="str">
        <f t="shared" si="136"/>
        <v>MNU_SETUP</v>
      </c>
      <c r="AO398" s="27" t="str">
        <f t="shared" si="137"/>
        <v>MNU_ALPHAFN</v>
      </c>
      <c r="AP398" s="46" t="str">
        <f>IF(NOT(ISNA(MATCH(AM398,Lookups!E:E,))),VLOOKUP(AM398,Lookups!E:F,2,0),
IF(NOT(ISNA(MATCH(AN398,Lookups!E:E,))),VLOOKUP(AN398,Lookups!E:F,2,0),
IF(NOT(ISNA(MATCH(AO398,Lookups!E:E,))),VLOOKUP(AO398,Lookups!E:F,2,0),"ITM_NULL")))</f>
        <v>ITM_2</v>
      </c>
      <c r="AQ398" s="28" t="str">
        <f t="shared" si="141"/>
        <v>ITM_W</v>
      </c>
      <c r="AR398" s="195" t="s">
        <v>214</v>
      </c>
      <c r="AS398" s="186" t="s">
        <v>230</v>
      </c>
      <c r="AT398" s="197" t="s">
        <v>230</v>
      </c>
      <c r="AW398" s="14" t="str">
        <f t="shared" si="140"/>
        <v>{73</v>
      </c>
      <c r="AX398" s="157" t="str" cm="1">
        <f t="array" ref="AX398">SUBSTITUTE(SUBSTITUTE(_xlfn.SWITCH(AM398, "ITM_T_HOME", "ITM_UP1", "ITM_T_END", "ITM_DOWN1", "DOCU_CHR_sub", "ITM_DOWN_ARROW", "DOCU_CHR_super", "ITM_UP_ARROW", "MNU_TAMALPHA", "ITM_alpha", "DOCU_CHR_caseFLIP", "ITM_NULL", "DOCU_CHR_numSET", "ITM_NULL", "DOCU_ITM_RADIX", "ITM_PERIOD", AM398), ".lo", ),"MNU_", "-MNU_")</f>
        <v>ITM_2</v>
      </c>
      <c r="AY398" s="157" t="str" cm="1">
        <f t="array" ref="AY398">SUBSTITUTE(SUBSTITUTE(_xlfn.SWITCH(AN398, "ITM_T_HOME", "ITM_UP1", "ITM_T_END", "ITM_DOWN1", "DOCU_CHR_sub", "ITM_DOWN_ARROW", "DOCU_CHR_super", "ITM_UP_ARROW", "MNU_TAMALPHA", "ITM_alpha", "DOCU_CHR_caseFLIP", "ITM_NULL", "DOCU_CHR_numSET", "ITM_NULL", "DOCU_ITM_RADIX", "ITM_PERIOD", AN398), ".lo", ),"MNU_", "-MNU_")</f>
        <v>-MNU_SETUP</v>
      </c>
      <c r="AZ398" s="157" t="str" cm="1">
        <f t="array" ref="AZ398">SUBSTITUTE(SUBSTITUTE(_xlfn.SWITCH(AO398, "ITM_T_HOME", "ITM_UP1", "ITM_T_END", "ITM_DOWN1", "DOCU_CHR_sub", "ITM_DOWN_ARROW", "DOCU_CHR_super", "ITM_UP_ARROW", "MNU_TAMALPHA", "ITM_alpha", "DOCU_CHR_caseFLIP", "ITM_NULL", "DOCU_CHR_numSET", "ITM_NULL", "DOCU_ITM_RADIX", "ITM_PERIOD", AO398), ".lo", ),"MNU_", "-MNU_")</f>
        <v>-MNU_ALPHAFN</v>
      </c>
      <c r="BA398" s="173" t="str" cm="1">
        <f t="array" ref="BA398">SUBSTITUTE(SUBSTITUTE(_xlfn.SWITCH(AP398, "ITM_T_HOME", "ITM_UP1", "ITM_T_END", "ITM_DOWN1", "DOCU_CHR_sub", "ITM_DOWN_ARROW", "DOCU_CHR_super", "ITM_UP_ARROW", "MNU_TAMALPHA", "ITM_alpha", "DOCU_CHR_caseFLIP", "ITM_NULL", "DOCU_CHR_numSET", "ITM_NULL", "DOCU_ITM_RADIX", "ITM_PERIOD", AP398), ".lo", ),"MNU_", "-MNU_")</f>
        <v>ITM_2</v>
      </c>
      <c r="BB398" s="157" t="str" cm="1">
        <f t="array" ref="BB398">SUBSTITUTE(SUBSTITUTE(_xlfn.SWITCH(AQ398, "ITM_T_HOME", "ITM_UP1", "ITM_T_END", "ITM_DOWN1", "DOCU_CHR_sub", "ITM_DOWN_ARROW", "DOCU_CHR_super", "ITM_UP_ARROW", "MNU_TAMALPHA", "ITM_alpha", "DOCU_CHR_caseFLIP", "ITM_NULL", "DOCU_CHR_numSET", "ITM_NULL", "DOCU_ITM_RADIX", "ITM_PERIOD", AQ398), ".lo", ),"MNU_", "-MNU_")</f>
        <v>ITM_W</v>
      </c>
      <c r="BC398" s="157" t="str" cm="1">
        <f t="array" ref="BC398">SUBSTITUTE(SUBSTITUTE(_xlfn.SWITCH(AR398, "ITM_T_HOME", "ITM_UP1", "ITM_T_END", "ITM_DOWN1", "DOCU_CHR_sub", "ITM_DOWN_ARROW", "DOCU_CHR_super", "ITM_UP_ARROW", "MNU_TAMALPHA", "ITM_alpha", "DOCU_CHR_caseFLIP", "ITM_NULL", "DOCU_CHR_numSET", "ITM_NULL", "DOCU_ITM_RADIX", "ITM_PERIOD", AR398), ".lo", ),"MNU_", "-MNU_")</f>
        <v>ITM_w</v>
      </c>
      <c r="BD398" s="157" t="str" cm="1">
        <f t="array" ref="BD398">SUBSTITUTE(SUBSTITUTE(_xlfn.SWITCH(AS398, "ITM_T_HOME", "ITM_UP1", "ITM_T_END", "ITM_DOWN1", "DOCU_CHR_sub", "ITM_DOWN_ARROW", "DOCU_CHR_super", "ITM_UP_ARROW", "MNU_TAMALPHA", "ITM_alpha", "DOCU_CHR_caseFLIP", "ITM_NULL", "DOCU_CHR_numSET", "ITM_NULL", "DOCU_ITM_RADIX", "ITM_PERIOD", AS398), ".lo", ),"MNU_", "-MNU_")</f>
        <v>ITM_2</v>
      </c>
      <c r="BE398" s="157" t="str" cm="1">
        <f t="array" ref="BE398">SUBSTITUTE(SUBSTITUTE(_xlfn.SWITCH(AT398, "ITM_T_HOME", "ITM_UP1", "ITM_T_END", "ITM_DOWN1", "DOCU_CHR_sub", "ITM_DOWN_ARROW", "DOCU_CHR_super", "ITM_UP_ARROW", "MNU_TAMALPHA", "ITM_alpha", "DOCU_CHR_caseFLIP", "ITM_NULL", "DOCU_CHR_numSET", "ITM_NULL", "DOCU_ITM_RADIX", "ITM_PERIOD", AT398), ".lo", ),"MNU_", "-MNU_")</f>
        <v>ITM_2</v>
      </c>
      <c r="BG398" s="75"/>
      <c r="BI398" s="13"/>
    </row>
    <row r="399" spans="24:61" ht="21" x14ac:dyDescent="0.2">
      <c r="X399" s="129" t="str">
        <f t="shared" si="130"/>
        <v>S47</v>
      </c>
      <c r="Y399" s="109">
        <v>7</v>
      </c>
      <c r="Z399" s="109">
        <v>4</v>
      </c>
      <c r="AA399" s="112" t="str">
        <f t="shared" si="129"/>
        <v>S47.74</v>
      </c>
      <c r="AB399" s="117">
        <v>3</v>
      </c>
      <c r="AC399" s="118" t="s">
        <v>231</v>
      </c>
      <c r="AD399" s="119" t="s">
        <v>232</v>
      </c>
      <c r="AE399" s="3"/>
      <c r="AF399" s="49" t="s">
        <v>224</v>
      </c>
      <c r="AG399" s="77" t="b">
        <f t="shared" si="139"/>
        <v>1</v>
      </c>
      <c r="AH399" s="83" t="str">
        <f t="shared" si="131"/>
        <v>x</v>
      </c>
      <c r="AI399" s="84">
        <f t="shared" si="132"/>
        <v>3</v>
      </c>
      <c r="AJ399" s="85">
        <f t="shared" si="133"/>
        <v>3</v>
      </c>
      <c r="AK399" s="6"/>
      <c r="AL399" s="8" t="str">
        <f t="shared" si="134"/>
        <v>{74</v>
      </c>
      <c r="AM399" s="27" t="str">
        <f t="shared" si="135"/>
        <v>ITM_3</v>
      </c>
      <c r="AN399" s="27" t="str">
        <f t="shared" si="136"/>
        <v>MNU_PFN</v>
      </c>
      <c r="AO399" s="27" t="str">
        <f t="shared" si="137"/>
        <v>MNU_LOOP</v>
      </c>
      <c r="AP399" s="46" t="str">
        <f>IF(NOT(ISNA(MATCH(AM399,Lookups!E:E,))),VLOOKUP(AM399,Lookups!E:F,2,0),
IF(NOT(ISNA(MATCH(AN399,Lookups!E:E,))),VLOOKUP(AN399,Lookups!E:F,2,0),
IF(NOT(ISNA(MATCH(AO399,Lookups!E:E,))),VLOOKUP(AO399,Lookups!E:F,2,0),"ITM_NULL")))</f>
        <v>ITM_3</v>
      </c>
      <c r="AQ399" s="28" t="str">
        <f t="shared" si="141"/>
        <v>ITM_X</v>
      </c>
      <c r="AR399" s="195" t="s">
        <v>225</v>
      </c>
      <c r="AS399" s="186" t="s">
        <v>235</v>
      </c>
      <c r="AT399" s="197" t="s">
        <v>235</v>
      </c>
      <c r="AW399" s="14" t="str">
        <f t="shared" si="140"/>
        <v>{74</v>
      </c>
      <c r="AX399" s="157" t="str" cm="1">
        <f t="array" ref="AX399">SUBSTITUTE(SUBSTITUTE(_xlfn.SWITCH(AM399, "ITM_T_HOME", "ITM_UP1", "ITM_T_END", "ITM_DOWN1", "DOCU_CHR_sub", "ITM_DOWN_ARROW", "DOCU_CHR_super", "ITM_UP_ARROW", "MNU_TAMALPHA", "ITM_alpha", "DOCU_CHR_caseFLIP", "ITM_NULL", "DOCU_CHR_numSET", "ITM_NULL", "DOCU_ITM_RADIX", "ITM_PERIOD", AM399), ".lo", ),"MNU_", "-MNU_")</f>
        <v>ITM_3</v>
      </c>
      <c r="AY399" s="157" t="str" cm="1">
        <f t="array" ref="AY399">SUBSTITUTE(SUBSTITUTE(_xlfn.SWITCH(AN399, "ITM_T_HOME", "ITM_UP1", "ITM_T_END", "ITM_DOWN1", "DOCU_CHR_sub", "ITM_DOWN_ARROW", "DOCU_CHR_super", "ITM_UP_ARROW", "MNU_TAMALPHA", "ITM_alpha", "DOCU_CHR_caseFLIP", "ITM_NULL", "DOCU_CHR_numSET", "ITM_NULL", "DOCU_ITM_RADIX", "ITM_PERIOD", AN399), ".lo", ),"MNU_", "-MNU_")</f>
        <v>-MNU_PFN</v>
      </c>
      <c r="AZ399" s="157" t="str" cm="1">
        <f t="array" ref="AZ399">SUBSTITUTE(SUBSTITUTE(_xlfn.SWITCH(AO399, "ITM_T_HOME", "ITM_UP1", "ITM_T_END", "ITM_DOWN1", "DOCU_CHR_sub", "ITM_DOWN_ARROW", "DOCU_CHR_super", "ITM_UP_ARROW", "MNU_TAMALPHA", "ITM_alpha", "DOCU_CHR_caseFLIP", "ITM_NULL", "DOCU_CHR_numSET", "ITM_NULL", "DOCU_ITM_RADIX", "ITM_PERIOD", AO399), ".lo", ),"MNU_", "-MNU_")</f>
        <v>-MNU_LOOP</v>
      </c>
      <c r="BA399" s="173" t="str" cm="1">
        <f t="array" ref="BA399">SUBSTITUTE(SUBSTITUTE(_xlfn.SWITCH(AP399, "ITM_T_HOME", "ITM_UP1", "ITM_T_END", "ITM_DOWN1", "DOCU_CHR_sub", "ITM_DOWN_ARROW", "DOCU_CHR_super", "ITM_UP_ARROW", "MNU_TAMALPHA", "ITM_alpha", "DOCU_CHR_caseFLIP", "ITM_NULL", "DOCU_CHR_numSET", "ITM_NULL", "DOCU_ITM_RADIX", "ITM_PERIOD", AP399), ".lo", ),"MNU_", "-MNU_")</f>
        <v>ITM_3</v>
      </c>
      <c r="BB399" s="157" t="str" cm="1">
        <f t="array" ref="BB399">SUBSTITUTE(SUBSTITUTE(_xlfn.SWITCH(AQ399, "ITM_T_HOME", "ITM_UP1", "ITM_T_END", "ITM_DOWN1", "DOCU_CHR_sub", "ITM_DOWN_ARROW", "DOCU_CHR_super", "ITM_UP_ARROW", "MNU_TAMALPHA", "ITM_alpha", "DOCU_CHR_caseFLIP", "ITM_NULL", "DOCU_CHR_numSET", "ITM_NULL", "DOCU_ITM_RADIX", "ITM_PERIOD", AQ399), ".lo", ),"MNU_", "-MNU_")</f>
        <v>ITM_X</v>
      </c>
      <c r="BC399" s="157" t="str" cm="1">
        <f t="array" ref="BC399">SUBSTITUTE(SUBSTITUTE(_xlfn.SWITCH(AR399, "ITM_T_HOME", "ITM_UP1", "ITM_T_END", "ITM_DOWN1", "DOCU_CHR_sub", "ITM_DOWN_ARROW", "DOCU_CHR_super", "ITM_UP_ARROW", "MNU_TAMALPHA", "ITM_alpha", "DOCU_CHR_caseFLIP", "ITM_NULL", "DOCU_CHR_numSET", "ITM_NULL", "DOCU_ITM_RADIX", "ITM_PERIOD", AR399), ".lo", ),"MNU_", "-MNU_")</f>
        <v>ITM_x</v>
      </c>
      <c r="BD399" s="157" t="str" cm="1">
        <f t="array" ref="BD399">SUBSTITUTE(SUBSTITUTE(_xlfn.SWITCH(AS399, "ITM_T_HOME", "ITM_UP1", "ITM_T_END", "ITM_DOWN1", "DOCU_CHR_sub", "ITM_DOWN_ARROW", "DOCU_CHR_super", "ITM_UP_ARROW", "MNU_TAMALPHA", "ITM_alpha", "DOCU_CHR_caseFLIP", "ITM_NULL", "DOCU_CHR_numSET", "ITM_NULL", "DOCU_ITM_RADIX", "ITM_PERIOD", AS399), ".lo", ),"MNU_", "-MNU_")</f>
        <v>ITM_3</v>
      </c>
      <c r="BE399" s="157" t="str" cm="1">
        <f t="array" ref="BE399">SUBSTITUTE(SUBSTITUTE(_xlfn.SWITCH(AT399, "ITM_T_HOME", "ITM_UP1", "ITM_T_END", "ITM_DOWN1", "DOCU_CHR_sub", "ITM_DOWN_ARROW", "DOCU_CHR_super", "ITM_UP_ARROW", "MNU_TAMALPHA", "ITM_alpha", "DOCU_CHR_caseFLIP", "ITM_NULL", "DOCU_CHR_numSET", "ITM_NULL", "DOCU_ITM_RADIX", "ITM_PERIOD", AT399), ".lo", ),"MNU_", "-MNU_")</f>
        <v>ITM_3</v>
      </c>
      <c r="BG399" s="75"/>
      <c r="BI399" s="13"/>
    </row>
    <row r="400" spans="24:61" ht="21" x14ac:dyDescent="0.2">
      <c r="X400" s="129" t="str">
        <f t="shared" si="130"/>
        <v>S47</v>
      </c>
      <c r="Y400" s="109">
        <v>7</v>
      </c>
      <c r="Z400" s="109">
        <v>5</v>
      </c>
      <c r="AA400" s="112" t="str">
        <f t="shared" si="129"/>
        <v>S47.75</v>
      </c>
      <c r="AB400" s="117" t="s">
        <v>236</v>
      </c>
      <c r="AC400" s="118" t="s">
        <v>172</v>
      </c>
      <c r="AD400" s="119" t="s">
        <v>238</v>
      </c>
      <c r="AE400" s="3"/>
      <c r="AF400" s="49" t="s">
        <v>228</v>
      </c>
      <c r="AG400" s="77" t="b">
        <f t="shared" si="139"/>
        <v>1</v>
      </c>
      <c r="AH400" s="83" t="str">
        <f t="shared" si="131"/>
        <v>y</v>
      </c>
      <c r="AI400" s="84" t="str">
        <f t="shared" si="132"/>
        <v>-</v>
      </c>
      <c r="AJ400" s="85" t="str">
        <f t="shared" si="133"/>
        <v>-</v>
      </c>
      <c r="AK400" s="6"/>
      <c r="AL400" s="8" t="str">
        <f t="shared" si="134"/>
        <v>{75</v>
      </c>
      <c r="AM400" s="27" t="str">
        <f t="shared" si="135"/>
        <v>ITM_SUB</v>
      </c>
      <c r="AN400" s="27" t="str">
        <f t="shared" si="136"/>
        <v>MNU_FIN</v>
      </c>
      <c r="AO400" s="27" t="str">
        <f t="shared" si="137"/>
        <v>MNU_IO</v>
      </c>
      <c r="AP400" s="46" t="str">
        <f>IF(NOT(ISNA(MATCH(AM400,Lookups!E:E,))),VLOOKUP(AM400,Lookups!E:F,2,0),
IF(NOT(ISNA(MATCH(AN400,Lookups!E:E,))),VLOOKUP(AN400,Lookups!E:F,2,0),
IF(NOT(ISNA(MATCH(AO400,Lookups!E:E,))),VLOOKUP(AO400,Lookups!E:F,2,0),"ITM_NULL")))</f>
        <v>ITM_MINUS</v>
      </c>
      <c r="AQ400" s="28" t="str">
        <f t="shared" si="141"/>
        <v>ITM_Y</v>
      </c>
      <c r="AR400" s="195" t="s">
        <v>229</v>
      </c>
      <c r="AS400" s="186" t="s">
        <v>240</v>
      </c>
      <c r="AT400" s="197" t="s">
        <v>241</v>
      </c>
      <c r="AW400" s="14" t="str">
        <f t="shared" si="140"/>
        <v>{75</v>
      </c>
      <c r="AX400" s="157" t="str" cm="1">
        <f t="array" ref="AX400">SUBSTITUTE(SUBSTITUTE(_xlfn.SWITCH(AM400, "ITM_T_HOME", "ITM_UP1", "ITM_T_END", "ITM_DOWN1", "DOCU_CHR_sub", "ITM_DOWN_ARROW", "DOCU_CHR_super", "ITM_UP_ARROW", "MNU_TAMALPHA", "ITM_alpha", "DOCU_CHR_caseFLIP", "ITM_NULL", "DOCU_CHR_numSET", "ITM_NULL", "DOCU_ITM_RADIX", "ITM_PERIOD", AM400), ".lo", ),"MNU_", "-MNU_")</f>
        <v>ITM_SUB</v>
      </c>
      <c r="AY400" s="157" t="str" cm="1">
        <f t="array" ref="AY400">SUBSTITUTE(SUBSTITUTE(_xlfn.SWITCH(AN400, "ITM_T_HOME", "ITM_UP1", "ITM_T_END", "ITM_DOWN1", "DOCU_CHR_sub", "ITM_DOWN_ARROW", "DOCU_CHR_super", "ITM_UP_ARROW", "MNU_TAMALPHA", "ITM_alpha", "DOCU_CHR_caseFLIP", "ITM_NULL", "DOCU_CHR_numSET", "ITM_NULL", "DOCU_ITM_RADIX", "ITM_PERIOD", AN400), ".lo", ),"MNU_", "-MNU_")</f>
        <v>-MNU_FIN</v>
      </c>
      <c r="AZ400" s="157" t="str" cm="1">
        <f t="array" ref="AZ400">SUBSTITUTE(SUBSTITUTE(_xlfn.SWITCH(AO400, "ITM_T_HOME", "ITM_UP1", "ITM_T_END", "ITM_DOWN1", "DOCU_CHR_sub", "ITM_DOWN_ARROW", "DOCU_CHR_super", "ITM_UP_ARROW", "MNU_TAMALPHA", "ITM_alpha", "DOCU_CHR_caseFLIP", "ITM_NULL", "DOCU_CHR_numSET", "ITM_NULL", "DOCU_ITM_RADIX", "ITM_PERIOD", AO400), ".lo", ),"MNU_", "-MNU_")</f>
        <v>-MNU_IO</v>
      </c>
      <c r="BA400" s="173" t="str" cm="1">
        <f t="array" ref="BA400">SUBSTITUTE(SUBSTITUTE(_xlfn.SWITCH(AP400, "ITM_T_HOME", "ITM_UP1", "ITM_T_END", "ITM_DOWN1", "DOCU_CHR_sub", "ITM_DOWN_ARROW", "DOCU_CHR_super", "ITM_UP_ARROW", "MNU_TAMALPHA", "ITM_alpha", "DOCU_CHR_caseFLIP", "ITM_NULL", "DOCU_CHR_numSET", "ITM_NULL", "DOCU_ITM_RADIX", "ITM_PERIOD", AP400), ".lo", ),"MNU_", "-MNU_")</f>
        <v>ITM_MINUS</v>
      </c>
      <c r="BB400" s="157" t="str" cm="1">
        <f t="array" ref="BB400">SUBSTITUTE(SUBSTITUTE(_xlfn.SWITCH(AQ400, "ITM_T_HOME", "ITM_UP1", "ITM_T_END", "ITM_DOWN1", "DOCU_CHR_sub", "ITM_DOWN_ARROW", "DOCU_CHR_super", "ITM_UP_ARROW", "MNU_TAMALPHA", "ITM_alpha", "DOCU_CHR_caseFLIP", "ITM_NULL", "DOCU_CHR_numSET", "ITM_NULL", "DOCU_ITM_RADIX", "ITM_PERIOD", AQ400), ".lo", ),"MNU_", "-MNU_")</f>
        <v>ITM_Y</v>
      </c>
      <c r="BC400" s="157" t="str" cm="1">
        <f t="array" ref="BC400">SUBSTITUTE(SUBSTITUTE(_xlfn.SWITCH(AR400, "ITM_T_HOME", "ITM_UP1", "ITM_T_END", "ITM_DOWN1", "DOCU_CHR_sub", "ITM_DOWN_ARROW", "DOCU_CHR_super", "ITM_UP_ARROW", "MNU_TAMALPHA", "ITM_alpha", "DOCU_CHR_caseFLIP", "ITM_NULL", "DOCU_CHR_numSET", "ITM_NULL", "DOCU_ITM_RADIX", "ITM_PERIOD", AR400), ".lo", ),"MNU_", "-MNU_")</f>
        <v>ITM_y</v>
      </c>
      <c r="BD400" s="157" t="str" cm="1">
        <f t="array" ref="BD400">SUBSTITUTE(SUBSTITUTE(_xlfn.SWITCH(AS400, "ITM_T_HOME", "ITM_UP1", "ITM_T_END", "ITM_DOWN1", "DOCU_CHR_sub", "ITM_DOWN_ARROW", "DOCU_CHR_super", "ITM_UP_ARROW", "MNU_TAMALPHA", "ITM_alpha", "DOCU_CHR_caseFLIP", "ITM_NULL", "DOCU_CHR_numSET", "ITM_NULL", "DOCU_ITM_RADIX", "ITM_PERIOD", AS400), ".lo", ),"MNU_", "-MNU_")</f>
        <v>ITM_MINUS</v>
      </c>
      <c r="BE400" s="157" t="str" cm="1">
        <f t="array" ref="BE400">SUBSTITUTE(SUBSTITUTE(_xlfn.SWITCH(AT400, "ITM_T_HOME", "ITM_UP1", "ITM_T_END", "ITM_DOWN1", "DOCU_CHR_sub", "ITM_DOWN_ARROW", "DOCU_CHR_super", "ITM_UP_ARROW", "MNU_TAMALPHA", "ITM_alpha", "DOCU_CHR_caseFLIP", "ITM_NULL", "DOCU_CHR_numSET", "ITM_NULL", "DOCU_ITM_RADIX", "ITM_PERIOD", AT400), ".lo", ),"MNU_", "-MNU_")</f>
        <v>ITM_SUB</v>
      </c>
      <c r="BG400" s="75"/>
      <c r="BI400" s="13"/>
    </row>
    <row r="401" spans="20:65" ht="21" x14ac:dyDescent="0.2">
      <c r="X401" s="129" t="str">
        <f t="shared" si="130"/>
        <v>S47</v>
      </c>
      <c r="Y401" s="106">
        <v>8</v>
      </c>
      <c r="Z401" s="106">
        <v>1</v>
      </c>
      <c r="AA401" s="112" t="str">
        <f t="shared" si="129"/>
        <v>S47.81</v>
      </c>
      <c r="AB401" s="117" t="s">
        <v>242</v>
      </c>
      <c r="AC401" s="118" t="s">
        <v>243</v>
      </c>
      <c r="AD401" s="119" t="s">
        <v>244</v>
      </c>
      <c r="AE401" s="3"/>
      <c r="AF401" s="49" t="s">
        <v>242</v>
      </c>
      <c r="AG401" s="77" t="b">
        <f t="shared" si="139"/>
        <v>0</v>
      </c>
      <c r="AH401" s="83" t="str">
        <f t="shared" si="131"/>
        <v>OFF</v>
      </c>
      <c r="AI401" s="84" t="str">
        <f t="shared" si="132"/>
        <v>SNAP</v>
      </c>
      <c r="AJ401" s="85" t="str">
        <f t="shared" si="133"/>
        <v>EXIT</v>
      </c>
      <c r="AK401" s="6"/>
      <c r="AL401" s="8" t="str">
        <f t="shared" si="134"/>
        <v>{81</v>
      </c>
      <c r="AM401" s="27" t="str">
        <f t="shared" si="135"/>
        <v>ITM_EXIT1</v>
      </c>
      <c r="AN401" s="27" t="str">
        <f t="shared" si="136"/>
        <v>ITM_OFF</v>
      </c>
      <c r="AO401" s="27" t="str">
        <f t="shared" si="137"/>
        <v>ITM_SNAP</v>
      </c>
      <c r="AP401" s="46" t="str">
        <f>IF(NOT(ISNA(MATCH(AM401,Lookups!E:E,))),VLOOKUP(AM401,Lookups!E:F,2,0),
IF(NOT(ISNA(MATCH(AN401,Lookups!E:E,))),VLOOKUP(AN401,Lookups!E:F,2,0),
IF(NOT(ISNA(MATCH(AO401,Lookups!E:E,))),VLOOKUP(AO401,Lookups!E:F,2,0),"ITM_NULL")))</f>
        <v>ITM_EXIT1</v>
      </c>
      <c r="AQ401" s="28" t="str">
        <f t="shared" si="141"/>
        <v>ITM_EXIT1</v>
      </c>
      <c r="AR401" s="198" t="s">
        <v>245</v>
      </c>
      <c r="AS401" s="186" t="s">
        <v>246</v>
      </c>
      <c r="AT401" s="197" t="s">
        <v>247</v>
      </c>
      <c r="AW401" s="14" t="str">
        <f t="shared" si="140"/>
        <v>{81</v>
      </c>
      <c r="AX401" s="157" t="str" cm="1">
        <f t="array" ref="AX401">SUBSTITUTE(SUBSTITUTE(_xlfn.SWITCH(AM401, "ITM_T_HOME", "ITM_UP1", "ITM_T_END", "ITM_DOWN1", "DOCU_CHR_sub", "ITM_DOWN_ARROW", "DOCU_CHR_super", "ITM_UP_ARROW", "MNU_TAMALPHA", "ITM_alpha", "DOCU_CHR_caseFLIP", "ITM_NULL", "DOCU_CHR_numSET", "ITM_NULL", "DOCU_ITM_RADIX", "ITM_PERIOD", AM401), ".lo", ),"MNU_", "-MNU_")</f>
        <v>ITM_EXIT1</v>
      </c>
      <c r="AY401" s="157" t="str" cm="1">
        <f t="array" ref="AY401">SUBSTITUTE(SUBSTITUTE(_xlfn.SWITCH(AN401, "ITM_T_HOME", "ITM_UP1", "ITM_T_END", "ITM_DOWN1", "DOCU_CHR_sub", "ITM_DOWN_ARROW", "DOCU_CHR_super", "ITM_UP_ARROW", "MNU_TAMALPHA", "ITM_alpha", "DOCU_CHR_caseFLIP", "ITM_NULL", "DOCU_CHR_numSET", "ITM_NULL", "DOCU_ITM_RADIX", "ITM_PERIOD", AN401), ".lo", ),"MNU_", "-MNU_")</f>
        <v>ITM_OFF</v>
      </c>
      <c r="AZ401" s="157" t="str" cm="1">
        <f t="array" ref="AZ401">SUBSTITUTE(SUBSTITUTE(_xlfn.SWITCH(AO401, "ITM_T_HOME", "ITM_UP1", "ITM_T_END", "ITM_DOWN1", "DOCU_CHR_sub", "ITM_DOWN_ARROW", "DOCU_CHR_super", "ITM_UP_ARROW", "MNU_TAMALPHA", "ITM_alpha", "DOCU_CHR_caseFLIP", "ITM_NULL", "DOCU_CHR_numSET", "ITM_NULL", "DOCU_ITM_RADIX", "ITM_PERIOD", AO401), ".lo", ),"MNU_", "-MNU_")</f>
        <v>ITM_SNAP</v>
      </c>
      <c r="BA401" s="173" t="str" cm="1">
        <f t="array" ref="BA401">SUBSTITUTE(SUBSTITUTE(_xlfn.SWITCH(AP401, "ITM_T_HOME", "ITM_UP1", "ITM_T_END", "ITM_DOWN1", "DOCU_CHR_sub", "ITM_DOWN_ARROW", "DOCU_CHR_super", "ITM_UP_ARROW", "MNU_TAMALPHA", "ITM_alpha", "DOCU_CHR_caseFLIP", "ITM_NULL", "DOCU_CHR_numSET", "ITM_NULL", "DOCU_ITM_RADIX", "ITM_PERIOD", AP401), ".lo", ),"MNU_", "-MNU_")</f>
        <v>ITM_EXIT1</v>
      </c>
      <c r="BB401" s="157" t="str" cm="1">
        <f t="array" ref="BB401">SUBSTITUTE(SUBSTITUTE(_xlfn.SWITCH(AQ401, "ITM_T_HOME", "ITM_UP1", "ITM_T_END", "ITM_DOWN1", "DOCU_CHR_sub", "ITM_DOWN_ARROW", "DOCU_CHR_super", "ITM_UP_ARROW", "MNU_TAMALPHA", "ITM_alpha", "DOCU_CHR_caseFLIP", "ITM_NULL", "DOCU_CHR_numSET", "ITM_NULL", "DOCU_ITM_RADIX", "ITM_PERIOD", AQ401), ".lo", ),"MNU_", "-MNU_")</f>
        <v>ITM_EXIT1</v>
      </c>
      <c r="BC401" s="157" t="str" cm="1">
        <f t="array" ref="BC401">SUBSTITUTE(SUBSTITUTE(_xlfn.SWITCH(AR401, "ITM_T_HOME", "ITM_UP1", "ITM_T_END", "ITM_DOWN1", "DOCU_CHR_sub", "ITM_DOWN_ARROW", "DOCU_CHR_super", "ITM_UP_ARROW", "MNU_TAMALPHA", "ITM_alpha", "DOCU_CHR_caseFLIP", "ITM_NULL", "DOCU_CHR_numSET", "ITM_NULL", "DOCU_ITM_RADIX", "ITM_PERIOD", AR401), ".lo", ),"MNU_", "-MNU_")</f>
        <v>ITM_OFF</v>
      </c>
      <c r="BD401" s="157" t="str" cm="1">
        <f t="array" ref="BD401">SUBSTITUTE(SUBSTITUTE(_xlfn.SWITCH(AS401, "ITM_T_HOME", "ITM_UP1", "ITM_T_END", "ITM_DOWN1", "DOCU_CHR_sub", "ITM_DOWN_ARROW", "DOCU_CHR_super", "ITM_UP_ARROW", "MNU_TAMALPHA", "ITM_alpha", "DOCU_CHR_caseFLIP", "ITM_NULL", "DOCU_CHR_numSET", "ITM_NULL", "DOCU_ITM_RADIX", "ITM_PERIOD", AS401), ".lo", ),"MNU_", "-MNU_")</f>
        <v>ITM_SNAP</v>
      </c>
      <c r="BE401" s="157" t="str" cm="1">
        <f t="array" ref="BE401">SUBSTITUTE(SUBSTITUTE(_xlfn.SWITCH(AT401, "ITM_T_HOME", "ITM_UP1", "ITM_T_END", "ITM_DOWN1", "DOCU_CHR_sub", "ITM_DOWN_ARROW", "DOCU_CHR_super", "ITM_UP_ARROW", "MNU_TAMALPHA", "ITM_alpha", "DOCU_CHR_caseFLIP", "ITM_NULL", "DOCU_CHR_numSET", "ITM_NULL", "DOCU_ITM_RADIX", "ITM_PERIOD", AT401), ".lo", ),"MNU_", "-MNU_")</f>
        <v>ITM_EXIT1</v>
      </c>
      <c r="BG401" s="75"/>
      <c r="BI401" s="13"/>
    </row>
    <row r="402" spans="20:65" ht="21" x14ac:dyDescent="0.2">
      <c r="X402" s="129" t="str">
        <f t="shared" si="130"/>
        <v>S47</v>
      </c>
      <c r="Y402" s="109">
        <v>8</v>
      </c>
      <c r="Z402" s="109">
        <v>2</v>
      </c>
      <c r="AA402" s="112" t="str">
        <f t="shared" si="129"/>
        <v>S47.82</v>
      </c>
      <c r="AB402" s="117">
        <v>0</v>
      </c>
      <c r="AC402" s="118" t="s">
        <v>248</v>
      </c>
      <c r="AD402" s="119" t="s">
        <v>249</v>
      </c>
      <c r="AE402" s="3"/>
      <c r="AF402" s="49" t="s">
        <v>233</v>
      </c>
      <c r="AG402" s="77" t="b">
        <f t="shared" si="139"/>
        <v>1</v>
      </c>
      <c r="AH402" s="83" t="str">
        <f t="shared" si="131"/>
        <v>z</v>
      </c>
      <c r="AI402" s="84">
        <f t="shared" si="132"/>
        <v>0</v>
      </c>
      <c r="AJ402" s="85">
        <f t="shared" si="133"/>
        <v>0</v>
      </c>
      <c r="AK402" s="6"/>
      <c r="AL402" s="8" t="str">
        <f t="shared" si="134"/>
        <v>{82</v>
      </c>
      <c r="AM402" s="27" t="str">
        <f t="shared" si="135"/>
        <v>ITM_0</v>
      </c>
      <c r="AN402" s="27" t="str">
        <f t="shared" si="136"/>
        <v>ITM_VIEW</v>
      </c>
      <c r="AO402" s="27" t="str">
        <f t="shared" si="137"/>
        <v>ITM_TIMER</v>
      </c>
      <c r="AP402" s="46" t="str">
        <f>IF(NOT(ISNA(MATCH(AM402,Lookups!E:E,))),VLOOKUP(AM402,Lookups!E:F,2,0),
IF(NOT(ISNA(MATCH(AN402,Lookups!E:E,))),VLOOKUP(AN402,Lookups!E:F,2,0),
IF(NOT(ISNA(MATCH(AO402,Lookups!E:E,))),VLOOKUP(AO402,Lookups!E:F,2,0),"ITM_NULL")))</f>
        <v>ITM_0</v>
      </c>
      <c r="AQ402" s="28" t="str">
        <f t="shared" si="141"/>
        <v>ITM_Z</v>
      </c>
      <c r="AR402" s="195" t="s">
        <v>234</v>
      </c>
      <c r="AS402" s="186" t="s">
        <v>252</v>
      </c>
      <c r="AT402" s="197" t="s">
        <v>252</v>
      </c>
      <c r="AW402" s="14" t="str">
        <f t="shared" si="140"/>
        <v>{82</v>
      </c>
      <c r="AX402" s="157" t="str" cm="1">
        <f t="array" ref="AX402">SUBSTITUTE(SUBSTITUTE(_xlfn.SWITCH(AM402, "ITM_T_HOME", "ITM_UP1", "ITM_T_END", "ITM_DOWN1", "DOCU_CHR_sub", "ITM_DOWN_ARROW", "DOCU_CHR_super", "ITM_UP_ARROW", "MNU_TAMALPHA", "ITM_alpha", "DOCU_CHR_caseFLIP", "ITM_NULL", "DOCU_CHR_numSET", "ITM_NULL", "DOCU_ITM_RADIX", "ITM_PERIOD", AM402), ".lo", ),"MNU_", "-MNU_")</f>
        <v>ITM_0</v>
      </c>
      <c r="AY402" s="157" t="str" cm="1">
        <f t="array" ref="AY402">SUBSTITUTE(SUBSTITUTE(_xlfn.SWITCH(AN402, "ITM_T_HOME", "ITM_UP1", "ITM_T_END", "ITM_DOWN1", "DOCU_CHR_sub", "ITM_DOWN_ARROW", "DOCU_CHR_super", "ITM_UP_ARROW", "MNU_TAMALPHA", "ITM_alpha", "DOCU_CHR_caseFLIP", "ITM_NULL", "DOCU_CHR_numSET", "ITM_NULL", "DOCU_ITM_RADIX", "ITM_PERIOD", AN402), ".lo", ),"MNU_", "-MNU_")</f>
        <v>ITM_VIEW</v>
      </c>
      <c r="AZ402" s="157" t="str" cm="1">
        <f t="array" ref="AZ402">SUBSTITUTE(SUBSTITUTE(_xlfn.SWITCH(AO402, "ITM_T_HOME", "ITM_UP1", "ITM_T_END", "ITM_DOWN1", "DOCU_CHR_sub", "ITM_DOWN_ARROW", "DOCU_CHR_super", "ITM_UP_ARROW", "MNU_TAMALPHA", "ITM_alpha", "DOCU_CHR_caseFLIP", "ITM_NULL", "DOCU_CHR_numSET", "ITM_NULL", "DOCU_ITM_RADIX", "ITM_PERIOD", AO402), ".lo", ),"MNU_", "-MNU_")</f>
        <v>ITM_TIMER</v>
      </c>
      <c r="BA402" s="173" t="str" cm="1">
        <f t="array" ref="BA402">SUBSTITUTE(SUBSTITUTE(_xlfn.SWITCH(AP402, "ITM_T_HOME", "ITM_UP1", "ITM_T_END", "ITM_DOWN1", "DOCU_CHR_sub", "ITM_DOWN_ARROW", "DOCU_CHR_super", "ITM_UP_ARROW", "MNU_TAMALPHA", "ITM_alpha", "DOCU_CHR_caseFLIP", "ITM_NULL", "DOCU_CHR_numSET", "ITM_NULL", "DOCU_ITM_RADIX", "ITM_PERIOD", AP402), ".lo", ),"MNU_", "-MNU_")</f>
        <v>ITM_0</v>
      </c>
      <c r="BB402" s="157" t="str" cm="1">
        <f t="array" ref="BB402">SUBSTITUTE(SUBSTITUTE(_xlfn.SWITCH(AQ402, "ITM_T_HOME", "ITM_UP1", "ITM_T_END", "ITM_DOWN1", "DOCU_CHR_sub", "ITM_DOWN_ARROW", "DOCU_CHR_super", "ITM_UP_ARROW", "MNU_TAMALPHA", "ITM_alpha", "DOCU_CHR_caseFLIP", "ITM_NULL", "DOCU_CHR_numSET", "ITM_NULL", "DOCU_ITM_RADIX", "ITM_PERIOD", AQ402), ".lo", ),"MNU_", "-MNU_")</f>
        <v>ITM_Z</v>
      </c>
      <c r="BC402" s="157" t="str" cm="1">
        <f t="array" ref="BC402">SUBSTITUTE(SUBSTITUTE(_xlfn.SWITCH(AR402, "ITM_T_HOME", "ITM_UP1", "ITM_T_END", "ITM_DOWN1", "DOCU_CHR_sub", "ITM_DOWN_ARROW", "DOCU_CHR_super", "ITM_UP_ARROW", "MNU_TAMALPHA", "ITM_alpha", "DOCU_CHR_caseFLIP", "ITM_NULL", "DOCU_CHR_numSET", "ITM_NULL", "DOCU_ITM_RADIX", "ITM_PERIOD", AR402), ".lo", ),"MNU_", "-MNU_")</f>
        <v>ITM_z</v>
      </c>
      <c r="BD402" s="157" t="str" cm="1">
        <f t="array" ref="BD402">SUBSTITUTE(SUBSTITUTE(_xlfn.SWITCH(AS402, "ITM_T_HOME", "ITM_UP1", "ITM_T_END", "ITM_DOWN1", "DOCU_CHR_sub", "ITM_DOWN_ARROW", "DOCU_CHR_super", "ITM_UP_ARROW", "MNU_TAMALPHA", "ITM_alpha", "DOCU_CHR_caseFLIP", "ITM_NULL", "DOCU_CHR_numSET", "ITM_NULL", "DOCU_ITM_RADIX", "ITM_PERIOD", AS402), ".lo", ),"MNU_", "-MNU_")</f>
        <v>ITM_0</v>
      </c>
      <c r="BE402" s="157" t="str" cm="1">
        <f t="array" ref="BE402">SUBSTITUTE(SUBSTITUTE(_xlfn.SWITCH(AT402, "ITM_T_HOME", "ITM_UP1", "ITM_T_END", "ITM_DOWN1", "DOCU_CHR_sub", "ITM_DOWN_ARROW", "DOCU_CHR_super", "ITM_UP_ARROW", "MNU_TAMALPHA", "ITM_alpha", "DOCU_CHR_caseFLIP", "ITM_NULL", "DOCU_CHR_numSET", "ITM_NULL", "DOCU_ITM_RADIX", "ITM_PERIOD", AT402), ".lo", ),"MNU_", "-MNU_")</f>
        <v>ITM_0</v>
      </c>
      <c r="BG402" s="75"/>
      <c r="BI402" s="13"/>
    </row>
    <row r="403" spans="20:65" ht="21" x14ac:dyDescent="0.2">
      <c r="X403" s="129" t="str">
        <f t="shared" si="130"/>
        <v>S47</v>
      </c>
      <c r="Y403" s="109">
        <v>8</v>
      </c>
      <c r="Z403" s="109">
        <v>3</v>
      </c>
      <c r="AA403" s="112" t="str">
        <f t="shared" si="129"/>
        <v>S47.83</v>
      </c>
      <c r="AB403" s="117" t="s">
        <v>253</v>
      </c>
      <c r="AC403" s="118" t="s">
        <v>254</v>
      </c>
      <c r="AD403" s="119" t="s">
        <v>255</v>
      </c>
      <c r="AE403" s="3"/>
      <c r="AF403" s="49" t="s">
        <v>256</v>
      </c>
      <c r="AG403" s="77" t="b">
        <f t="shared" si="139"/>
        <v>0</v>
      </c>
      <c r="AH403" s="83" t="str">
        <f t="shared" si="131"/>
        <v>.</v>
      </c>
      <c r="AI403" s="84" t="str">
        <f t="shared" si="132"/>
        <v>.</v>
      </c>
      <c r="AJ403" s="85" t="str">
        <f t="shared" si="133"/>
        <v>.</v>
      </c>
      <c r="AK403" s="6"/>
      <c r="AL403" s="8" t="str">
        <f t="shared" si="134"/>
        <v>{83</v>
      </c>
      <c r="AM403" s="27" t="str">
        <f t="shared" si="135"/>
        <v>DOCU_ITM_RADIX</v>
      </c>
      <c r="AN403" s="27" t="str">
        <f t="shared" si="136"/>
        <v>ITM_SHOW</v>
      </c>
      <c r="AO403" s="27" t="str">
        <f t="shared" si="137"/>
        <v>MNU_INFO</v>
      </c>
      <c r="AP403" s="46" t="str">
        <f>IF(NOT(ISNA(MATCH(AM403,Lookups!E:E,))),VLOOKUP(AM403,Lookups!E:F,2,0),
IF(NOT(ISNA(MATCH(AN403,Lookups!E:E,))),VLOOKUP(AN403,Lookups!E:F,2,0),
IF(NOT(ISNA(MATCH(AO403,Lookups!E:E,))),VLOOKUP(AO403,Lookups!E:F,2,0),"ITM_NULL")))</f>
        <v>ITM_PERIOD</v>
      </c>
      <c r="AQ403" s="28" t="str">
        <f t="shared" si="141"/>
        <v>ITM_COMMA</v>
      </c>
      <c r="AR403" s="198" t="s">
        <v>257</v>
      </c>
      <c r="AS403" s="186" t="s">
        <v>257</v>
      </c>
      <c r="AT403" s="197" t="s">
        <v>257</v>
      </c>
      <c r="AW403" s="14" t="str">
        <f t="shared" si="140"/>
        <v>{83</v>
      </c>
      <c r="AX403" s="157" t="str" cm="1">
        <f t="array" ref="AX403">SUBSTITUTE(SUBSTITUTE(_xlfn.SWITCH(AM403, "ITM_T_HOME", "ITM_UP1", "ITM_T_END", "ITM_DOWN1", "DOCU_CHR_sub", "ITM_DOWN_ARROW", "DOCU_CHR_super", "ITM_UP_ARROW", "MNU_TAMALPHA", "ITM_alpha", "DOCU_CHR_caseFLIP", "ITM_NULL", "DOCU_CHR_numSET", "ITM_NULL", "DOCU_ITM_RADIX", "ITM_PERIOD", AM403), ".lo", ),"MNU_", "-MNU_")</f>
        <v>ITM_PERIOD</v>
      </c>
      <c r="AY403" s="157" t="str" cm="1">
        <f t="array" ref="AY403">SUBSTITUTE(SUBSTITUTE(_xlfn.SWITCH(AN403, "ITM_T_HOME", "ITM_UP1", "ITM_T_END", "ITM_DOWN1", "DOCU_CHR_sub", "ITM_DOWN_ARROW", "DOCU_CHR_super", "ITM_UP_ARROW", "MNU_TAMALPHA", "ITM_alpha", "DOCU_CHR_caseFLIP", "ITM_NULL", "DOCU_CHR_numSET", "ITM_NULL", "DOCU_ITM_RADIX", "ITM_PERIOD", AN403), ".lo", ),"MNU_", "-MNU_")</f>
        <v>ITM_SHOW</v>
      </c>
      <c r="AZ403" s="157" t="str" cm="1">
        <f t="array" ref="AZ403">SUBSTITUTE(SUBSTITUTE(_xlfn.SWITCH(AO403, "ITM_T_HOME", "ITM_UP1", "ITM_T_END", "ITM_DOWN1", "DOCU_CHR_sub", "ITM_DOWN_ARROW", "DOCU_CHR_super", "ITM_UP_ARROW", "MNU_TAMALPHA", "ITM_alpha", "DOCU_CHR_caseFLIP", "ITM_NULL", "DOCU_CHR_numSET", "ITM_NULL", "DOCU_ITM_RADIX", "ITM_PERIOD", AO403), ".lo", ),"MNU_", "-MNU_")</f>
        <v>-MNU_INFO</v>
      </c>
      <c r="BA403" s="173" t="str" cm="1">
        <f t="array" ref="BA403">SUBSTITUTE(SUBSTITUTE(_xlfn.SWITCH(AP403, "ITM_T_HOME", "ITM_UP1", "ITM_T_END", "ITM_DOWN1", "DOCU_CHR_sub", "ITM_DOWN_ARROW", "DOCU_CHR_super", "ITM_UP_ARROW", "MNU_TAMALPHA", "ITM_alpha", "DOCU_CHR_caseFLIP", "ITM_NULL", "DOCU_CHR_numSET", "ITM_NULL", "DOCU_ITM_RADIX", "ITM_PERIOD", AP403), ".lo", ),"MNU_", "-MNU_")</f>
        <v>ITM_PERIOD</v>
      </c>
      <c r="BB403" s="157" t="str" cm="1">
        <f t="array" ref="BB403">SUBSTITUTE(SUBSTITUTE(_xlfn.SWITCH(AQ403, "ITM_T_HOME", "ITM_UP1", "ITM_T_END", "ITM_DOWN1", "DOCU_CHR_sub", "ITM_DOWN_ARROW", "DOCU_CHR_super", "ITM_UP_ARROW", "MNU_TAMALPHA", "ITM_alpha", "DOCU_CHR_caseFLIP", "ITM_NULL", "DOCU_CHR_numSET", "ITM_NULL", "DOCU_ITM_RADIX", "ITM_PERIOD", AQ403), ".lo", ),"MNU_", "-MNU_")</f>
        <v>ITM_COMMA</v>
      </c>
      <c r="BC403" s="157" t="str" cm="1">
        <f t="array" ref="BC403">SUBSTITUTE(SUBSTITUTE(_xlfn.SWITCH(AR403, "ITM_T_HOME", "ITM_UP1", "ITM_T_END", "ITM_DOWN1", "DOCU_CHR_sub", "ITM_DOWN_ARROW", "DOCU_CHR_super", "ITM_UP_ARROW", "MNU_TAMALPHA", "ITM_alpha", "DOCU_CHR_caseFLIP", "ITM_NULL", "DOCU_CHR_numSET", "ITM_NULL", "DOCU_ITM_RADIX", "ITM_PERIOD", AR403), ".lo", ),"MNU_", "-MNU_")</f>
        <v>ITM_PERIOD</v>
      </c>
      <c r="BD403" s="157" t="str" cm="1">
        <f t="array" ref="BD403">SUBSTITUTE(SUBSTITUTE(_xlfn.SWITCH(AS403, "ITM_T_HOME", "ITM_UP1", "ITM_T_END", "ITM_DOWN1", "DOCU_CHR_sub", "ITM_DOWN_ARROW", "DOCU_CHR_super", "ITM_UP_ARROW", "MNU_TAMALPHA", "ITM_alpha", "DOCU_CHR_caseFLIP", "ITM_NULL", "DOCU_CHR_numSET", "ITM_NULL", "DOCU_ITM_RADIX", "ITM_PERIOD", AS403), ".lo", ),"MNU_", "-MNU_")</f>
        <v>ITM_PERIOD</v>
      </c>
      <c r="BE403" s="157" t="str" cm="1">
        <f t="array" ref="BE403">SUBSTITUTE(SUBSTITUTE(_xlfn.SWITCH(AT403, "ITM_T_HOME", "ITM_UP1", "ITM_T_END", "ITM_DOWN1", "DOCU_CHR_sub", "ITM_DOWN_ARROW", "DOCU_CHR_super", "ITM_UP_ARROW", "MNU_TAMALPHA", "ITM_alpha", "DOCU_CHR_caseFLIP", "ITM_NULL", "DOCU_CHR_numSET", "ITM_NULL", "DOCU_ITM_RADIX", "ITM_PERIOD", AT403), ".lo", ),"MNU_", "-MNU_")</f>
        <v>ITM_PERIOD</v>
      </c>
      <c r="BG403" s="75"/>
      <c r="BI403" s="13"/>
    </row>
    <row r="404" spans="20:65" ht="21" x14ac:dyDescent="0.2">
      <c r="X404" s="129" t="str">
        <f t="shared" si="130"/>
        <v>S47</v>
      </c>
      <c r="Y404" s="109">
        <v>8</v>
      </c>
      <c r="Z404" s="109">
        <v>4</v>
      </c>
      <c r="AA404" s="112" t="str">
        <f t="shared" si="129"/>
        <v>S47.84</v>
      </c>
      <c r="AB404" s="117" t="s">
        <v>258</v>
      </c>
      <c r="AC404" s="118" t="s">
        <v>259</v>
      </c>
      <c r="AD404" s="119" t="s">
        <v>260</v>
      </c>
      <c r="AE404" s="3"/>
      <c r="AF404" s="53" t="s">
        <v>261</v>
      </c>
      <c r="AG404" s="77" t="b">
        <f t="shared" si="139"/>
        <v>0</v>
      </c>
      <c r="AH404" s="83" t="str">
        <f t="shared" si="131"/>
        <v>/</v>
      </c>
      <c r="AI404" s="84" t="str">
        <f t="shared" si="132"/>
        <v>/</v>
      </c>
      <c r="AJ404" s="85" t="str">
        <f t="shared" si="133"/>
        <v xml:space="preserve"> </v>
      </c>
      <c r="AK404" s="6"/>
      <c r="AL404" s="8" t="str">
        <f t="shared" si="134"/>
        <v>{84</v>
      </c>
      <c r="AM404" s="27" t="str">
        <f t="shared" si="135"/>
        <v>ITM_RS</v>
      </c>
      <c r="AN404" s="27" t="str">
        <f t="shared" si="136"/>
        <v>ITM_PR</v>
      </c>
      <c r="AO404" s="27" t="str">
        <f t="shared" si="137"/>
        <v>MNU_TEST</v>
      </c>
      <c r="AP404" s="46" t="str">
        <f>IF(NOT(ISNA(MATCH(AM404,Lookups!E:E,))),VLOOKUP(AM404,Lookups!E:F,2,0),
IF(NOT(ISNA(MATCH(AN404,Lookups!E:E,))),VLOOKUP(AN404,Lookups!E:F,2,0),
IF(NOT(ISNA(MATCH(AO404,Lookups!E:E,))),VLOOKUP(AO404,Lookups!E:F,2,0),"ITM_NULL")))</f>
        <v>ITM_NULL</v>
      </c>
      <c r="AQ404" s="28" t="str">
        <f t="shared" si="141"/>
        <v>ITM_QUESTION_MARK</v>
      </c>
      <c r="AR404" s="198" t="s">
        <v>262</v>
      </c>
      <c r="AS404" s="186" t="s">
        <v>262</v>
      </c>
      <c r="AT404" s="197" t="s">
        <v>81</v>
      </c>
      <c r="AW404" s="14" t="str">
        <f t="shared" si="140"/>
        <v>{84</v>
      </c>
      <c r="AX404" s="157" t="str" cm="1">
        <f t="array" ref="AX404">SUBSTITUTE(SUBSTITUTE(_xlfn.SWITCH(AM404, "ITM_T_HOME", "ITM_UP1", "ITM_T_END", "ITM_DOWN1", "DOCU_CHR_sub", "ITM_DOWN_ARROW", "DOCU_CHR_super", "ITM_UP_ARROW", "MNU_TAMALPHA", "ITM_alpha", "DOCU_CHR_caseFLIP", "ITM_NULL", "DOCU_CHR_numSET", "ITM_NULL", "DOCU_ITM_RADIX", "ITM_PERIOD", AM404), ".lo", ),"MNU_", "-MNU_")</f>
        <v>ITM_RS</v>
      </c>
      <c r="AY404" s="157" t="str" cm="1">
        <f t="array" ref="AY404">SUBSTITUTE(SUBSTITUTE(_xlfn.SWITCH(AN404, "ITM_T_HOME", "ITM_UP1", "ITM_T_END", "ITM_DOWN1", "DOCU_CHR_sub", "ITM_DOWN_ARROW", "DOCU_CHR_super", "ITM_UP_ARROW", "MNU_TAMALPHA", "ITM_alpha", "DOCU_CHR_caseFLIP", "ITM_NULL", "DOCU_CHR_numSET", "ITM_NULL", "DOCU_ITM_RADIX", "ITM_PERIOD", AN404), ".lo", ),"MNU_", "-MNU_")</f>
        <v>ITM_PR</v>
      </c>
      <c r="AZ404" s="157" t="str" cm="1">
        <f t="array" ref="AZ404">SUBSTITUTE(SUBSTITUTE(_xlfn.SWITCH(AO404, "ITM_T_HOME", "ITM_UP1", "ITM_T_END", "ITM_DOWN1", "DOCU_CHR_sub", "ITM_DOWN_ARROW", "DOCU_CHR_super", "ITM_UP_ARROW", "MNU_TAMALPHA", "ITM_alpha", "DOCU_CHR_caseFLIP", "ITM_NULL", "DOCU_CHR_numSET", "ITM_NULL", "DOCU_ITM_RADIX", "ITM_PERIOD", AO404), ".lo", ),"MNU_", "-MNU_")</f>
        <v>-MNU_TEST</v>
      </c>
      <c r="BA404" s="173" t="str" cm="1">
        <f t="array" ref="BA404">SUBSTITUTE(SUBSTITUTE(_xlfn.SWITCH(AP404, "ITM_T_HOME", "ITM_UP1", "ITM_T_END", "ITM_DOWN1", "DOCU_CHR_sub", "ITM_DOWN_ARROW", "DOCU_CHR_super", "ITM_UP_ARROW", "MNU_TAMALPHA", "ITM_alpha", "DOCU_CHR_caseFLIP", "ITM_NULL", "DOCU_CHR_numSET", "ITM_NULL", "DOCU_ITM_RADIX", "ITM_PERIOD", AP404), ".lo", ),"MNU_", "-MNU_")</f>
        <v>ITM_NULL</v>
      </c>
      <c r="BB404" s="157" t="str" cm="1">
        <f t="array" ref="BB404">SUBSTITUTE(SUBSTITUTE(_xlfn.SWITCH(AQ404, "ITM_T_HOME", "ITM_UP1", "ITM_T_END", "ITM_DOWN1", "DOCU_CHR_sub", "ITM_DOWN_ARROW", "DOCU_CHR_super", "ITM_UP_ARROW", "MNU_TAMALPHA", "ITM_alpha", "DOCU_CHR_caseFLIP", "ITM_NULL", "DOCU_CHR_numSET", "ITM_NULL", "DOCU_ITM_RADIX", "ITM_PERIOD", AQ404), ".lo", ),"MNU_", "-MNU_")</f>
        <v>ITM_QUESTION_MARK</v>
      </c>
      <c r="BC404" s="157" t="str" cm="1">
        <f t="array" ref="BC404">SUBSTITUTE(SUBSTITUTE(_xlfn.SWITCH(AR404, "ITM_T_HOME", "ITM_UP1", "ITM_T_END", "ITM_DOWN1", "DOCU_CHR_sub", "ITM_DOWN_ARROW", "DOCU_CHR_super", "ITM_UP_ARROW", "MNU_TAMALPHA", "ITM_alpha", "DOCU_CHR_caseFLIP", "ITM_NULL", "DOCU_CHR_numSET", "ITM_NULL", "DOCU_ITM_RADIX", "ITM_PERIOD", AR404), ".lo", ),"MNU_", "-MNU_")</f>
        <v>ITM_SLASH</v>
      </c>
      <c r="BD404" s="157" t="str" cm="1">
        <f t="array" ref="BD404">SUBSTITUTE(SUBSTITUTE(_xlfn.SWITCH(AS404, "ITM_T_HOME", "ITM_UP1", "ITM_T_END", "ITM_DOWN1", "DOCU_CHR_sub", "ITM_DOWN_ARROW", "DOCU_CHR_super", "ITM_UP_ARROW", "MNU_TAMALPHA", "ITM_alpha", "DOCU_CHR_caseFLIP", "ITM_NULL", "DOCU_CHR_numSET", "ITM_NULL", "DOCU_ITM_RADIX", "ITM_PERIOD", AS404), ".lo", ),"MNU_", "-MNU_")</f>
        <v>ITM_SLASH</v>
      </c>
      <c r="BE404" s="157" t="str" cm="1">
        <f t="array" ref="BE404">SUBSTITUTE(SUBSTITUTE(_xlfn.SWITCH(AT404, "ITM_T_HOME", "ITM_UP1", "ITM_T_END", "ITM_DOWN1", "DOCU_CHR_sub", "ITM_DOWN_ARROW", "DOCU_CHR_super", "ITM_UP_ARROW", "MNU_TAMALPHA", "ITM_alpha", "DOCU_CHR_caseFLIP", "ITM_NULL", "DOCU_CHR_numSET", "ITM_NULL", "DOCU_ITM_RADIX", "ITM_PERIOD", AT404), ".lo", ),"MNU_", "-MNU_")</f>
        <v>ITM_NULL</v>
      </c>
      <c r="BG404" s="75"/>
      <c r="BI404" s="13"/>
    </row>
    <row r="405" spans="20:65" ht="22" thickBot="1" x14ac:dyDescent="0.25">
      <c r="X405" s="129" t="str">
        <f t="shared" si="130"/>
        <v>S47</v>
      </c>
      <c r="Y405" s="109">
        <v>8</v>
      </c>
      <c r="Z405" s="109">
        <v>5</v>
      </c>
      <c r="AA405" s="112" t="str">
        <f t="shared" si="129"/>
        <v>S47.85</v>
      </c>
      <c r="AB405" s="122" t="s">
        <v>263</v>
      </c>
      <c r="AC405" s="123" t="s">
        <v>264</v>
      </c>
      <c r="AD405" s="124" t="s">
        <v>265</v>
      </c>
      <c r="AE405" s="125"/>
      <c r="AF405" s="50" t="s">
        <v>266</v>
      </c>
      <c r="AG405" s="77" t="b">
        <f t="shared" si="139"/>
        <v>0</v>
      </c>
      <c r="AH405" s="86" t="str">
        <f t="shared" si="131"/>
        <v>+</v>
      </c>
      <c r="AI405" s="87" t="str">
        <f t="shared" si="132"/>
        <v>+</v>
      </c>
      <c r="AJ405" s="88" t="str">
        <f t="shared" si="133"/>
        <v>+</v>
      </c>
      <c r="AK405" s="6"/>
      <c r="AL405" s="8" t="str">
        <f t="shared" si="134"/>
        <v>{85</v>
      </c>
      <c r="AM405" s="27" t="str">
        <f t="shared" si="135"/>
        <v>ITM_ADD</v>
      </c>
      <c r="AN405" s="27" t="str">
        <f t="shared" si="136"/>
        <v>MNU_CATALOG</v>
      </c>
      <c r="AO405" s="27" t="str">
        <f t="shared" si="137"/>
        <v>MNU_CONST</v>
      </c>
      <c r="AP405" s="46" t="str">
        <f>IF(NOT(ISNA(MATCH(AM405,Lookups!E:E,))),VLOOKUP(AM405,Lookups!E:F,2,0),
IF(NOT(ISNA(MATCH(AN405,Lookups!E:E,))),VLOOKUP(AN405,Lookups!E:F,2,0),
IF(NOT(ISNA(MATCH(AO405,Lookups!E:E,))),VLOOKUP(AO405,Lookups!E:F,2,0),"ITM_NULL")))</f>
        <v>ITM_PLUS</v>
      </c>
      <c r="AQ405" s="28" t="str">
        <f t="shared" si="141"/>
        <v>ITM_SPACE</v>
      </c>
      <c r="AR405" s="199" t="s">
        <v>267</v>
      </c>
      <c r="AS405" s="200" t="s">
        <v>267</v>
      </c>
      <c r="AT405" s="201" t="s">
        <v>268</v>
      </c>
      <c r="AW405" s="14" t="str">
        <f t="shared" si="140"/>
        <v>{85</v>
      </c>
      <c r="AX405" s="157" t="str" cm="1">
        <f t="array" ref="AX405">SUBSTITUTE(SUBSTITUTE(_xlfn.SWITCH(AM405, "ITM_T_HOME", "ITM_UP1", "ITM_T_END", "ITM_DOWN1", "DOCU_CHR_sub", "ITM_DOWN_ARROW", "DOCU_CHR_super", "ITM_UP_ARROW", "MNU_TAMALPHA", "ITM_alpha", "DOCU_CHR_caseFLIP", "ITM_NULL", "DOCU_CHR_numSET", "ITM_NULL", "DOCU_ITM_RADIX", "ITM_PERIOD", AM405), ".lo", ),"MNU_", "-MNU_")</f>
        <v>ITM_ADD</v>
      </c>
      <c r="AY405" s="157" t="str" cm="1">
        <f t="array" ref="AY405">SUBSTITUTE(SUBSTITUTE(_xlfn.SWITCH(AN405, "ITM_T_HOME", "ITM_UP1", "ITM_T_END", "ITM_DOWN1", "DOCU_CHR_sub", "ITM_DOWN_ARROW", "DOCU_CHR_super", "ITM_UP_ARROW", "MNU_TAMALPHA", "ITM_alpha", "DOCU_CHR_caseFLIP", "ITM_NULL", "DOCU_CHR_numSET", "ITM_NULL", "DOCU_ITM_RADIX", "ITM_PERIOD", AN405), ".lo", ),"MNU_", "-MNU_")</f>
        <v>-MNU_CATALOG</v>
      </c>
      <c r="AZ405" s="157" t="str" cm="1">
        <f t="array" ref="AZ405">SUBSTITUTE(SUBSTITUTE(_xlfn.SWITCH(AO405, "ITM_T_HOME", "ITM_UP1", "ITM_T_END", "ITM_DOWN1", "DOCU_CHR_sub", "ITM_DOWN_ARROW", "DOCU_CHR_super", "ITM_UP_ARROW", "MNU_TAMALPHA", "ITM_alpha", "DOCU_CHR_caseFLIP", "ITM_NULL", "DOCU_CHR_numSET", "ITM_NULL", "DOCU_ITM_RADIX", "ITM_PERIOD", AO405), ".lo", ),"MNU_", "-MNU_")</f>
        <v>-MNU_CONST</v>
      </c>
      <c r="BA405" s="173" t="str" cm="1">
        <f t="array" ref="BA405">SUBSTITUTE(SUBSTITUTE(_xlfn.SWITCH(AP405, "ITM_T_HOME", "ITM_UP1", "ITM_T_END", "ITM_DOWN1", "DOCU_CHR_sub", "ITM_DOWN_ARROW", "DOCU_CHR_super", "ITM_UP_ARROW", "MNU_TAMALPHA", "ITM_alpha", "DOCU_CHR_caseFLIP", "ITM_NULL", "DOCU_CHR_numSET", "ITM_NULL", "DOCU_ITM_RADIX", "ITM_PERIOD", AP405), ".lo", ),"MNU_", "-MNU_")</f>
        <v>ITM_PLUS</v>
      </c>
      <c r="BB405" s="157" t="str" cm="1">
        <f t="array" ref="BB405">SUBSTITUTE(SUBSTITUTE(_xlfn.SWITCH(AQ405, "ITM_T_HOME", "ITM_UP1", "ITM_T_END", "ITM_DOWN1", "DOCU_CHR_sub", "ITM_DOWN_ARROW", "DOCU_CHR_super", "ITM_UP_ARROW", "MNU_TAMALPHA", "ITM_alpha", "DOCU_CHR_caseFLIP", "ITM_NULL", "DOCU_CHR_numSET", "ITM_NULL", "DOCU_ITM_RADIX", "ITM_PERIOD", AQ405), ".lo", ),"MNU_", "-MNU_")</f>
        <v>ITM_SPACE</v>
      </c>
      <c r="BC405" s="157" t="str" cm="1">
        <f t="array" ref="BC405">SUBSTITUTE(SUBSTITUTE(_xlfn.SWITCH(AR405, "ITM_T_HOME", "ITM_UP1", "ITM_T_END", "ITM_DOWN1", "DOCU_CHR_sub", "ITM_DOWN_ARROW", "DOCU_CHR_super", "ITM_UP_ARROW", "MNU_TAMALPHA", "ITM_alpha", "DOCU_CHR_caseFLIP", "ITM_NULL", "DOCU_CHR_numSET", "ITM_NULL", "DOCU_ITM_RADIX", "ITM_PERIOD", AR405), ".lo", ),"MNU_", "-MNU_")</f>
        <v>ITM_PLUS</v>
      </c>
      <c r="BD405" s="157" t="str" cm="1">
        <f t="array" ref="BD405">SUBSTITUTE(SUBSTITUTE(_xlfn.SWITCH(AS405, "ITM_T_HOME", "ITM_UP1", "ITM_T_END", "ITM_DOWN1", "DOCU_CHR_sub", "ITM_DOWN_ARROW", "DOCU_CHR_super", "ITM_UP_ARROW", "MNU_TAMALPHA", "ITM_alpha", "DOCU_CHR_caseFLIP", "ITM_NULL", "DOCU_CHR_numSET", "ITM_NULL", "DOCU_ITM_RADIX", "ITM_PERIOD", AS405), ".lo", ),"MNU_", "-MNU_")</f>
        <v>ITM_PLUS</v>
      </c>
      <c r="BE405" s="157" t="str" cm="1">
        <f t="array" ref="BE405">SUBSTITUTE(SUBSTITUTE(_xlfn.SWITCH(AT405, "ITM_T_HOME", "ITM_UP1", "ITM_T_END", "ITM_DOWN1", "DOCU_CHR_sub", "ITM_DOWN_ARROW", "DOCU_CHR_super", "ITM_UP_ARROW", "MNU_TAMALPHA", "ITM_alpha", "DOCU_CHR_caseFLIP", "ITM_NULL", "DOCU_CHR_numSET", "ITM_NULL", "DOCU_ITM_RADIX", "ITM_PERIOD", AT405), ".lo", ),"MNU_", "-MNU_")</f>
        <v>ITM_ADD</v>
      </c>
      <c r="BG405" s="75"/>
      <c r="BI405" s="13"/>
    </row>
    <row r="406" spans="20:65" ht="21" x14ac:dyDescent="0.2">
      <c r="AK406" s="6"/>
      <c r="BG406" s="75"/>
      <c r="BI406" s="13"/>
      <c r="BL406" s="1" t="str">
        <f>SUBSTITUTE(AR406,".lo","")</f>
        <v/>
      </c>
      <c r="BM406" s="1" t="str">
        <f>SUBSTITUTE(AS406,".lo","")</f>
        <v/>
      </c>
    </row>
    <row r="407" spans="20:65" ht="21" x14ac:dyDescent="0.2">
      <c r="AK407" s="6"/>
      <c r="AQ407" s="29"/>
      <c r="AR407" s="202"/>
      <c r="AS407" s="202"/>
      <c r="AT407" s="202"/>
      <c r="BG407" s="75"/>
      <c r="BI407" s="13"/>
    </row>
    <row r="408" spans="20:65" ht="22" thickBot="1" x14ac:dyDescent="0.25">
      <c r="T408" s="184">
        <v>45254</v>
      </c>
      <c r="X408" s="137" t="s">
        <v>0</v>
      </c>
      <c r="Y408" s="138">
        <v>1</v>
      </c>
      <c r="Z408" s="138">
        <v>1</v>
      </c>
      <c r="AA408" s="139" t="str">
        <f t="shared" ref="AA408:AA450" si="142">X408&amp;"."&amp;Y408&amp;Z408</f>
        <v>R47.11</v>
      </c>
      <c r="AB408" s="140" t="s">
        <v>31</v>
      </c>
      <c r="AC408" s="18"/>
      <c r="AD408" s="18"/>
      <c r="AF408" s="18"/>
      <c r="AH408" s="95"/>
      <c r="AI408" s="95"/>
      <c r="AJ408" s="95"/>
      <c r="AK408" s="6"/>
      <c r="AQ408" s="29"/>
      <c r="AR408" s="202"/>
    </row>
    <row r="409" spans="20:65" ht="21" x14ac:dyDescent="0.2">
      <c r="T409" s="179" t="s">
        <v>446</v>
      </c>
      <c r="U409" s="146" t="s">
        <v>110</v>
      </c>
      <c r="V409" s="147" t="s">
        <v>117</v>
      </c>
      <c r="X409" s="141" t="str">
        <f>X408</f>
        <v>R47</v>
      </c>
      <c r="Y409" s="142">
        <v>1</v>
      </c>
      <c r="Z409" s="142">
        <v>2</v>
      </c>
      <c r="AA409" s="139" t="str">
        <f t="shared" si="142"/>
        <v>R47.12</v>
      </c>
      <c r="AB409" s="140" t="s">
        <v>32</v>
      </c>
      <c r="AC409" s="18"/>
      <c r="AD409" s="18"/>
      <c r="AF409" s="18"/>
      <c r="AH409" s="95"/>
      <c r="AI409" s="95"/>
      <c r="AJ409" s="95"/>
      <c r="AK409" s="6"/>
    </row>
    <row r="410" spans="20:65" ht="21" x14ac:dyDescent="0.2">
      <c r="T410" s="176" t="s">
        <v>62</v>
      </c>
      <c r="U410" s="149" t="s">
        <v>453</v>
      </c>
      <c r="V410" s="150" t="s">
        <v>124</v>
      </c>
      <c r="X410" s="141" t="str">
        <f t="shared" ref="X410:X450" si="143">X409</f>
        <v>R47</v>
      </c>
      <c r="Y410" s="142">
        <v>1</v>
      </c>
      <c r="Z410" s="142">
        <v>3</v>
      </c>
      <c r="AA410" s="139" t="str">
        <f t="shared" si="142"/>
        <v>R47.13</v>
      </c>
      <c r="AB410" s="140" t="s">
        <v>33</v>
      </c>
      <c r="AC410" s="18"/>
      <c r="AD410" s="18"/>
      <c r="AF410" s="18"/>
      <c r="AH410" s="95"/>
      <c r="AI410" s="95"/>
      <c r="AJ410" s="95"/>
      <c r="AK410" s="6"/>
      <c r="AM410" s="72" t="s">
        <v>34</v>
      </c>
      <c r="AX410" s="72" t="s">
        <v>35</v>
      </c>
      <c r="AY410" s="27" t="s">
        <v>36</v>
      </c>
      <c r="BG410" s="75"/>
      <c r="BI410" s="17" t="str">
        <f>"// "&amp;X410&amp;" Layout from Layout_template_automation template: Do not change manually"</f>
        <v>// R47 Layout from Layout_template_automation template: Do not change manually</v>
      </c>
    </row>
    <row r="411" spans="20:65" ht="22" thickBot="1" x14ac:dyDescent="0.25">
      <c r="T411" s="176" t="s">
        <v>61</v>
      </c>
      <c r="U411" s="149" t="s">
        <v>102</v>
      </c>
      <c r="V411" s="150" t="s">
        <v>63</v>
      </c>
      <c r="X411" s="141" t="str">
        <f t="shared" si="143"/>
        <v>R47</v>
      </c>
      <c r="Y411" s="142">
        <v>1</v>
      </c>
      <c r="Z411" s="142">
        <v>4</v>
      </c>
      <c r="AA411" s="139" t="str">
        <f t="shared" si="142"/>
        <v>R47.14</v>
      </c>
      <c r="AB411" s="140" t="s">
        <v>37</v>
      </c>
      <c r="AC411" s="18"/>
      <c r="AD411" s="18"/>
      <c r="AF411" s="18"/>
      <c r="AH411" s="95"/>
      <c r="AI411" s="95"/>
      <c r="AJ411" s="95"/>
      <c r="AK411" s="6"/>
      <c r="BG411" s="75"/>
      <c r="BI411" s="16" t="s">
        <v>38</v>
      </c>
    </row>
    <row r="412" spans="20:65" ht="22" thickBot="1" x14ac:dyDescent="0.25">
      <c r="T412" s="176" t="s">
        <v>103</v>
      </c>
      <c r="U412" s="149" t="s">
        <v>55</v>
      </c>
      <c r="V412" s="150" t="s">
        <v>70</v>
      </c>
      <c r="X412" s="141" t="str">
        <f t="shared" si="143"/>
        <v>R47</v>
      </c>
      <c r="Y412" s="142">
        <v>1</v>
      </c>
      <c r="Z412" s="142">
        <v>5</v>
      </c>
      <c r="AA412" s="139" t="str">
        <f t="shared" si="142"/>
        <v>R47.15</v>
      </c>
      <c r="AB412" s="140" t="s">
        <v>37</v>
      </c>
      <c r="AC412" s="18"/>
      <c r="AD412" s="18"/>
      <c r="AF412" s="18"/>
      <c r="AH412" s="95"/>
      <c r="AI412" s="95"/>
      <c r="AJ412" s="95"/>
      <c r="AK412" s="6"/>
      <c r="AL412" s="185" t="str">
        <f>X412</f>
        <v>R47</v>
      </c>
      <c r="AM412" s="224" t="s">
        <v>39</v>
      </c>
      <c r="AN412" s="224"/>
      <c r="AO412" s="224"/>
      <c r="AP412" s="71" t="s">
        <v>40</v>
      </c>
      <c r="AQ412" s="31" t="s">
        <v>41</v>
      </c>
      <c r="AR412" s="189" t="s">
        <v>42</v>
      </c>
      <c r="AS412" s="190" t="s">
        <v>42</v>
      </c>
      <c r="AT412" s="191" t="s">
        <v>42</v>
      </c>
      <c r="BG412" s="75"/>
      <c r="BI412" s="16" t="str">
        <f>"TO_QSPI const calcKey_t kbd_std_"&amp;X413&amp;"[37] = {"</f>
        <v>TO_QSPI const calcKey_t kbd_std_R47[37] = {</v>
      </c>
    </row>
    <row r="413" spans="20:65" ht="22" thickBot="1" x14ac:dyDescent="0.25">
      <c r="T413" s="176" t="s">
        <v>68</v>
      </c>
      <c r="U413" s="149" t="s">
        <v>69</v>
      </c>
      <c r="V413" s="150" t="s">
        <v>48</v>
      </c>
      <c r="X413" s="141" t="str">
        <f t="shared" si="143"/>
        <v>R47</v>
      </c>
      <c r="Y413" s="142">
        <v>1</v>
      </c>
      <c r="Z413" s="142">
        <v>6</v>
      </c>
      <c r="AA413" s="139" t="str">
        <f t="shared" si="142"/>
        <v>R47.16</v>
      </c>
      <c r="AB413" s="143" t="s">
        <v>43</v>
      </c>
      <c r="AC413" s="44"/>
      <c r="AD413" s="44"/>
      <c r="AF413" s="44"/>
      <c r="AH413" s="96"/>
      <c r="AI413" s="96"/>
      <c r="AJ413" s="96"/>
      <c r="AK413" s="6"/>
      <c r="BG413" s="75"/>
      <c r="BI413" s="16" t="s">
        <v>44</v>
      </c>
    </row>
    <row r="414" spans="20:65" ht="21" x14ac:dyDescent="0.2">
      <c r="T414" s="176" t="s">
        <v>75</v>
      </c>
      <c r="U414" s="149" t="s">
        <v>76</v>
      </c>
      <c r="V414" s="150" t="s">
        <v>56</v>
      </c>
      <c r="X414" s="141" t="str">
        <f t="shared" si="143"/>
        <v>R47</v>
      </c>
      <c r="Y414" s="138">
        <v>2</v>
      </c>
      <c r="Z414" s="138">
        <v>1</v>
      </c>
      <c r="AA414" s="144" t="str">
        <f t="shared" si="142"/>
        <v>R47.21</v>
      </c>
      <c r="AB414" s="176" t="s">
        <v>62</v>
      </c>
      <c r="AC414" s="146" t="s">
        <v>110</v>
      </c>
      <c r="AD414" s="147" t="s">
        <v>117</v>
      </c>
      <c r="AE414" s="116"/>
      <c r="AF414" s="51" t="s">
        <v>50</v>
      </c>
      <c r="AG414" s="77" t="b">
        <f>AF414=AH414</f>
        <v>1</v>
      </c>
      <c r="AH414" s="80" t="str">
        <f t="shared" ref="AH414:AH450" si="144">INDEX(labelitem,MATCH(AR414,items,0),1)</f>
        <v>a</v>
      </c>
      <c r="AI414" s="81" t="str">
        <f t="shared" ref="AI414:AI450" si="145">INDEX(labelitem,MATCH(AS414,items,0),1)</f>
        <v>&lt;i&gt;</v>
      </c>
      <c r="AJ414" s="82" t="str">
        <f t="shared" ref="AJ414:AJ450" si="146">INDEX(labelitem,MATCH(AT414,items,0),1)</f>
        <v>Reg A</v>
      </c>
      <c r="AK414" s="6"/>
      <c r="AL414" s="8" t="str">
        <f t="shared" ref="AL414:AL450" si="147">"{"&amp;Y414*10+Z414</f>
        <v>{21</v>
      </c>
      <c r="AM414" s="27" t="str">
        <f t="shared" ref="AM414:AM431" si="148">VLOOKUP(AB414,labelitem,2,0)</f>
        <v>ITM_SQUARE</v>
      </c>
      <c r="AN414" s="27" t="str">
        <f t="shared" ref="AN414:AN450" si="149">VLOOKUP(AC414,labelitem,2,0)</f>
        <v>ITM_op_j</v>
      </c>
      <c r="AO414" s="27" t="str">
        <f t="shared" ref="AO414:AO450" si="150">VLOOKUP(AD414,labelitem,2,0)</f>
        <v>ITM_toREC2</v>
      </c>
      <c r="AP414" s="46" t="str">
        <f>IF(NOT(ISNA(MATCH(AM414,Lookups!E:E,))),VLOOKUP(AM414,Lookups!E:F,2,0),
IF(NOT(ISNA(MATCH(AN414,Lookups!E:E,))),VLOOKUP(AN414,Lookups!E:F,2,0),
IF(NOT(ISNA(MATCH(AO414,Lookups!E:E,))),VLOOKUP(AO414,Lookups!E:F,2,0),"ITM_NULL")))</f>
        <v>ITM_NULL</v>
      </c>
      <c r="AQ414" s="28" t="str">
        <f t="shared" ref="AQ414:AQ440" si="151">VLOOKUP(AF414,labelitem,2,0)</f>
        <v>ITM_A</v>
      </c>
      <c r="AR414" s="192" t="s">
        <v>51</v>
      </c>
      <c r="AS414" s="193" t="s">
        <v>638</v>
      </c>
      <c r="AT414" s="257" t="s">
        <v>53</v>
      </c>
      <c r="AW414" s="14" t="str">
        <f>AL414</f>
        <v>{21</v>
      </c>
      <c r="AX414" s="157" t="str" cm="1">
        <f t="array" ref="AX414">SUBSTITUTE(SUBSTITUTE(_xlfn.SWITCH(AM414, "ITM_T_HOME", "ITM_UP1", "ITM_T_END", "ITM_DOWN1", "DOCU_CHR_sub", "ITM_DOWN_ARROW", "DOCU_CHR_super", "ITM_UP_ARROW", "MNU_TAMALPHA", "ITM_alpha", "DOCU_CHR_caseFLIP", "ITM_NULL", "DOCU_CHR_numSET", "ITM_NULL", "DOCU_ITM_RADIX", "ITM_PERIOD", AM414), ".lo", ),"MNU_", "-MNU_")</f>
        <v>ITM_SQUARE</v>
      </c>
      <c r="AY414" s="157" t="str" cm="1">
        <f t="array" ref="AY414">SUBSTITUTE(SUBSTITUTE(_xlfn.SWITCH(AN414, "ITM_T_HOME", "ITM_UP1", "ITM_T_END", "ITM_DOWN1", "DOCU_CHR_sub", "ITM_DOWN_ARROW", "DOCU_CHR_super", "ITM_UP_ARROW", "MNU_TAMALPHA", "ITM_alpha", "DOCU_CHR_caseFLIP", "ITM_NULL", "DOCU_CHR_numSET", "ITM_NULL", "DOCU_ITM_RADIX", "ITM_PERIOD", AN414), ".lo", ),"MNU_", "-MNU_")</f>
        <v>ITM_op_j</v>
      </c>
      <c r="AZ414" s="157" t="str" cm="1">
        <f t="array" ref="AZ414">SUBSTITUTE(SUBSTITUTE(_xlfn.SWITCH(AO414, "ITM_T_HOME", "ITM_UP1", "ITM_T_END", "ITM_DOWN1", "DOCU_CHR_sub", "ITM_DOWN_ARROW", "DOCU_CHR_super", "ITM_UP_ARROW", "MNU_TAMALPHA", "ITM_alpha", "DOCU_CHR_caseFLIP", "ITM_NULL", "DOCU_CHR_numSET", "ITM_NULL", "DOCU_ITM_RADIX", "ITM_PERIOD", AO414), ".lo", ),"MNU_", "-MNU_")</f>
        <v>ITM_toREC2</v>
      </c>
      <c r="BA414" s="173" t="str" cm="1">
        <f t="array" ref="BA414">SUBSTITUTE(SUBSTITUTE(_xlfn.SWITCH(AP414, "ITM_T_HOME", "ITM_UP1", "ITM_T_END", "ITM_DOWN1", "DOCU_CHR_sub", "ITM_DOWN_ARROW", "DOCU_CHR_super", "ITM_UP_ARROW", "MNU_TAMALPHA", "ITM_alpha", "DOCU_CHR_caseFLIP", "ITM_NULL", "DOCU_CHR_numSET", "ITM_NULL", "DOCU_ITM_RADIX", "ITM_PERIOD", AP414), ".lo", ),"MNU_", "-MNU_")</f>
        <v>ITM_NULL</v>
      </c>
      <c r="BB414" s="157" t="str" cm="1">
        <f t="array" ref="BB414">SUBSTITUTE(SUBSTITUTE(_xlfn.SWITCH(AQ414, "ITM_T_HOME", "ITM_UP1", "ITM_T_END", "ITM_DOWN1", "DOCU_CHR_sub", "ITM_DOWN_ARROW", "DOCU_CHR_super", "ITM_UP_ARROW", "MNU_TAMALPHA", "ITM_alpha", "DOCU_CHR_caseFLIP", "ITM_NULL", "DOCU_CHR_numSET", "ITM_NULL", "DOCU_ITM_RADIX", "ITM_PERIOD", AQ414), ".lo", ),"MNU_", "-MNU_")</f>
        <v>ITM_A</v>
      </c>
      <c r="BC414" s="157" t="str" cm="1">
        <f t="array" ref="BC414">SUBSTITUTE(SUBSTITUTE(_xlfn.SWITCH(AR414, "ITM_T_HOME", "ITM_UP1", "ITM_T_END", "ITM_DOWN1", "DOCU_CHR_sub", "ITM_DOWN_ARROW", "DOCU_CHR_super", "ITM_UP_ARROW", "MNU_TAMALPHA", "ITM_alpha", "DOCU_CHR_caseFLIP", "ITM_NULL", "DOCU_CHR_numSET", "ITM_NULL", "DOCU_ITM_RADIX", "ITM_PERIOD", AR414), ".lo", ),"MNU_", "-MNU_")</f>
        <v>ITM_a</v>
      </c>
      <c r="BD414" s="157" t="str" cm="1">
        <f t="array" ref="BD414">SUBSTITUTE(SUBSTITUTE(_xlfn.SWITCH(AS414, "ITM_T_HOME", "ITM_UP1", "ITM_T_END", "ITM_DOWN1", "DOCU_CHR_sub", "ITM_DOWN_ARROW", "DOCU_CHR_super", "ITM_UP_ARROW", "MNU_TAMALPHA", "ITM_alpha", "DOCU_CHR_caseFLIP", "ITM_NULL", "DOCU_CHR_numSET", "ITM_NULL", "DOCU_ITM_RADIX", "ITM_PERIOD", AS414), ".lo", ),"MNU_", "-MNU_")</f>
        <v>ITM_op_i_char</v>
      </c>
      <c r="BE414" s="157" t="str" cm="1">
        <f t="array" ref="BE414">SUBSTITUTE(SUBSTITUTE(_xlfn.SWITCH(AT414, "ITM_T_HOME", "ITM_UP1", "ITM_T_END", "ITM_DOWN1", "DOCU_CHR_sub", "ITM_DOWN_ARROW", "DOCU_CHR_super", "ITM_UP_ARROW", "MNU_TAMALPHA", "ITM_alpha", "DOCU_CHR_caseFLIP", "ITM_NULL", "DOCU_CHR_numSET", "ITM_NULL", "DOCU_ITM_RADIX", "ITM_PERIOD", AT414), ".lo", ),"MNU_", "-MNU_")</f>
        <v>ITM_REG_A</v>
      </c>
      <c r="BG414" s="75"/>
      <c r="BI414" s="13" t="str">
        <f t="shared" ref="BI414:BI449" si="152">"  "&amp;AW414&amp;", "&amp;REPT(" ",$BH$54-LEN(AW414))&amp;
AX414&amp;", "&amp;REPT(" ",$BH$54-LEN(AX414))&amp;
AY414&amp;", "&amp;REPT(" ",$BH$54-LEN(AY414))&amp;
AZ414&amp;", "&amp;REPT(" ",$BH$54-LEN(AZ414))&amp;
BA414&amp;", "&amp;REPT(" ",$BH$54-LEN(BA414))&amp;
BB414&amp;", "&amp;REPT(" ",$BH$54-LEN(BB414))&amp;
BC414&amp;", "&amp;REPT(" ",$BH$54-LEN(BC414))&amp;
BD414&amp;", "&amp;REPT(" ",$BH$54-LEN(BD414))&amp;
BE414&amp;REPT(" ",$BH$54-LEN(BE414))&amp;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415" spans="20:65" ht="22" thickBot="1" x14ac:dyDescent="0.25">
      <c r="T415" s="148" t="s">
        <v>88</v>
      </c>
      <c r="U415" s="149" t="s">
        <v>89</v>
      </c>
      <c r="V415" s="150" t="s">
        <v>90</v>
      </c>
      <c r="X415" s="141" t="str">
        <f t="shared" si="143"/>
        <v>R47</v>
      </c>
      <c r="Y415" s="142">
        <v>2</v>
      </c>
      <c r="Z415" s="142">
        <v>2</v>
      </c>
      <c r="AA415" s="144" t="str">
        <f t="shared" si="142"/>
        <v>R47.22</v>
      </c>
      <c r="AB415" s="176" t="s">
        <v>61</v>
      </c>
      <c r="AC415" s="149" t="s">
        <v>453</v>
      </c>
      <c r="AD415" s="150" t="s">
        <v>124</v>
      </c>
      <c r="AE415" s="3"/>
      <c r="AF415" s="52" t="s">
        <v>57</v>
      </c>
      <c r="AG415" s="77" t="b">
        <f t="shared" ref="AG415:AG450" si="153">AF415=AH415</f>
        <v>1</v>
      </c>
      <c r="AH415" s="83" t="str">
        <f t="shared" si="144"/>
        <v>b</v>
      </c>
      <c r="AI415" s="84" t="str">
        <f t="shared" si="145"/>
        <v>√</v>
      </c>
      <c r="AJ415" s="85" t="str">
        <f t="shared" si="146"/>
        <v>Reg B</v>
      </c>
      <c r="AK415" s="6"/>
      <c r="AL415" s="8" t="str">
        <f t="shared" si="147"/>
        <v>{22</v>
      </c>
      <c r="AM415" s="27" t="str">
        <f t="shared" si="148"/>
        <v>ITM_SQUAREROOTX</v>
      </c>
      <c r="AN415" s="27" t="str">
        <f t="shared" si="149"/>
        <v>ITM_op_j_pol</v>
      </c>
      <c r="AO415" s="27" t="str">
        <f t="shared" si="150"/>
        <v>ITM_toPOL2</v>
      </c>
      <c r="AP415" s="46" t="str">
        <f>IF(NOT(ISNA(MATCH(AM415,Lookups!E:E,))),VLOOKUP(AM415,Lookups!E:F,2,0),
IF(NOT(ISNA(MATCH(AN415,Lookups!E:E,))),VLOOKUP(AN415,Lookups!E:F,2,0),
IF(NOT(ISNA(MATCH(AO415,Lookups!E:E,))),VLOOKUP(AO415,Lookups!E:F,2,0),"ITM_NULL")))</f>
        <v>ITM_ROOT_SIGN</v>
      </c>
      <c r="AQ415" s="28" t="str">
        <f t="shared" si="151"/>
        <v>ITM_B</v>
      </c>
      <c r="AR415" s="195" t="s">
        <v>58</v>
      </c>
      <c r="AS415" s="186" t="s">
        <v>66</v>
      </c>
      <c r="AT415" s="255" t="s">
        <v>60</v>
      </c>
      <c r="AW415" s="14" t="str">
        <f t="shared" ref="AW415:AW450" si="154">AL415</f>
        <v>{22</v>
      </c>
      <c r="AX415" s="157" t="str" cm="1">
        <f t="array" ref="AX415">SUBSTITUTE(SUBSTITUTE(_xlfn.SWITCH(AM415, "ITM_T_HOME", "ITM_UP1", "ITM_T_END", "ITM_DOWN1", "DOCU_CHR_sub", "ITM_DOWN_ARROW", "DOCU_CHR_super", "ITM_UP_ARROW", "MNU_TAMALPHA", "ITM_alpha", "DOCU_CHR_caseFLIP", "ITM_NULL", "DOCU_CHR_numSET", "ITM_NULL", "DOCU_ITM_RADIX", "ITM_PERIOD", AM415), ".lo", ),"MNU_", "-MNU_")</f>
        <v>ITM_SQUAREROOTX</v>
      </c>
      <c r="AY415" s="157" t="str" cm="1">
        <f t="array" ref="AY415">SUBSTITUTE(SUBSTITUTE(_xlfn.SWITCH(AN415, "ITM_T_HOME", "ITM_UP1", "ITM_T_END", "ITM_DOWN1", "DOCU_CHR_sub", "ITM_DOWN_ARROW", "DOCU_CHR_super", "ITM_UP_ARROW", "MNU_TAMALPHA", "ITM_alpha", "DOCU_CHR_caseFLIP", "ITM_NULL", "DOCU_CHR_numSET", "ITM_NULL", "DOCU_ITM_RADIX", "ITM_PERIOD", AN415), ".lo", ),"MNU_", "-MNU_")</f>
        <v>ITM_op_j_pol</v>
      </c>
      <c r="AZ415" s="157" t="str" cm="1">
        <f t="array" ref="AZ415">SUBSTITUTE(SUBSTITUTE(_xlfn.SWITCH(AO415, "ITM_T_HOME", "ITM_UP1", "ITM_T_END", "ITM_DOWN1", "DOCU_CHR_sub", "ITM_DOWN_ARROW", "DOCU_CHR_super", "ITM_UP_ARROW", "MNU_TAMALPHA", "ITM_alpha", "DOCU_CHR_caseFLIP", "ITM_NULL", "DOCU_CHR_numSET", "ITM_NULL", "DOCU_ITM_RADIX", "ITM_PERIOD", AO415), ".lo", ),"MNU_", "-MNU_")</f>
        <v>ITM_toPOL2</v>
      </c>
      <c r="BA415" s="173" t="str" cm="1">
        <f t="array" ref="BA415">SUBSTITUTE(SUBSTITUTE(_xlfn.SWITCH(AP415, "ITM_T_HOME", "ITM_UP1", "ITM_T_END", "ITM_DOWN1", "DOCU_CHR_sub", "ITM_DOWN_ARROW", "DOCU_CHR_super", "ITM_UP_ARROW", "MNU_TAMALPHA", "ITM_alpha", "DOCU_CHR_caseFLIP", "ITM_NULL", "DOCU_CHR_numSET", "ITM_NULL", "DOCU_ITM_RADIX", "ITM_PERIOD", AP415), ".lo", ),"MNU_", "-MNU_")</f>
        <v>ITM_ROOT_SIGN</v>
      </c>
      <c r="BB415" s="157" t="str" cm="1">
        <f t="array" ref="BB415">SUBSTITUTE(SUBSTITUTE(_xlfn.SWITCH(AQ415, "ITM_T_HOME", "ITM_UP1", "ITM_T_END", "ITM_DOWN1", "DOCU_CHR_sub", "ITM_DOWN_ARROW", "DOCU_CHR_super", "ITM_UP_ARROW", "MNU_TAMALPHA", "ITM_alpha", "DOCU_CHR_caseFLIP", "ITM_NULL", "DOCU_CHR_numSET", "ITM_NULL", "DOCU_ITM_RADIX", "ITM_PERIOD", AQ415), ".lo", ),"MNU_", "-MNU_")</f>
        <v>ITM_B</v>
      </c>
      <c r="BC415" s="157" t="str" cm="1">
        <f t="array" ref="BC415">SUBSTITUTE(SUBSTITUTE(_xlfn.SWITCH(AR415, "ITM_T_HOME", "ITM_UP1", "ITM_T_END", "ITM_DOWN1", "DOCU_CHR_sub", "ITM_DOWN_ARROW", "DOCU_CHR_super", "ITM_UP_ARROW", "MNU_TAMALPHA", "ITM_alpha", "DOCU_CHR_caseFLIP", "ITM_NULL", "DOCU_CHR_numSET", "ITM_NULL", "DOCU_ITM_RADIX", "ITM_PERIOD", AR415), ".lo", ),"MNU_", "-MNU_")</f>
        <v>ITM_b</v>
      </c>
      <c r="BD415" s="157" t="str" cm="1">
        <f t="array" ref="BD415">SUBSTITUTE(SUBSTITUTE(_xlfn.SWITCH(AS415, "ITM_T_HOME", "ITM_UP1", "ITM_T_END", "ITM_DOWN1", "DOCU_CHR_sub", "ITM_DOWN_ARROW", "DOCU_CHR_super", "ITM_UP_ARROW", "MNU_TAMALPHA", "ITM_alpha", "DOCU_CHR_caseFLIP", "ITM_NULL", "DOCU_CHR_numSET", "ITM_NULL", "DOCU_ITM_RADIX", "ITM_PERIOD", AS415), ".lo", ),"MNU_", "-MNU_")</f>
        <v>ITM_ROOT_SIGN</v>
      </c>
      <c r="BE415" s="157" t="str" cm="1">
        <f t="array" ref="BE415">SUBSTITUTE(SUBSTITUTE(_xlfn.SWITCH(AT415, "ITM_T_HOME", "ITM_UP1", "ITM_T_END", "ITM_DOWN1", "DOCU_CHR_sub", "ITM_DOWN_ARROW", "DOCU_CHR_super", "ITM_UP_ARROW", "MNU_TAMALPHA", "ITM_alpha", "DOCU_CHR_caseFLIP", "ITM_NULL", "DOCU_CHR_numSET", "ITM_NULL", "DOCU_ITM_RADIX", "ITM_PERIOD", AT415), ".lo", ),"MNU_", "-MNU_")</f>
        <v>ITM_REG_B</v>
      </c>
      <c r="BG415" s="75"/>
      <c r="BI415" s="13" t="str">
        <f t="shared" si="152"/>
        <v xml:space="preserve">  {22,                  ITM_SQUAREROOTX,      ITM_op_j_pol,         ITM_toPOL2,           ITM_ROOT_SIGN,        ITM_B,                ITM_b,                ITM_ROOT_SIGN,        ITM_REG_B           },</v>
      </c>
    </row>
    <row r="416" spans="20:65" ht="21" x14ac:dyDescent="0.2">
      <c r="T416" s="148" t="s">
        <v>94</v>
      </c>
      <c r="U416" s="149" t="s">
        <v>95</v>
      </c>
      <c r="V416" s="150" t="s">
        <v>96</v>
      </c>
      <c r="X416" s="141" t="str">
        <f t="shared" si="143"/>
        <v>R47</v>
      </c>
      <c r="Y416" s="142">
        <v>2</v>
      </c>
      <c r="Z416" s="142">
        <v>3</v>
      </c>
      <c r="AA416" s="144" t="str">
        <f t="shared" si="142"/>
        <v>R47.23</v>
      </c>
      <c r="AB416" s="179" t="s">
        <v>54</v>
      </c>
      <c r="AC416" s="149" t="s">
        <v>386</v>
      </c>
      <c r="AD416" s="150" t="s">
        <v>63</v>
      </c>
      <c r="AE416" s="3"/>
      <c r="AF416" s="52" t="s">
        <v>64</v>
      </c>
      <c r="AG416" s="77" t="b">
        <f t="shared" si="153"/>
        <v>1</v>
      </c>
      <c r="AH416" s="83" t="str">
        <f t="shared" si="144"/>
        <v>c</v>
      </c>
      <c r="AI416" s="84" t="str">
        <f t="shared" si="145"/>
        <v>!</v>
      </c>
      <c r="AJ416" s="85" t="str">
        <f t="shared" si="146"/>
        <v>Reg C</v>
      </c>
      <c r="AK416" s="6"/>
      <c r="AL416" s="8" t="str">
        <f t="shared" si="147"/>
        <v>{23</v>
      </c>
      <c r="AM416" s="27" t="str">
        <f t="shared" si="148"/>
        <v>ITM_1ONX</v>
      </c>
      <c r="AN416" s="27" t="str">
        <f t="shared" si="149"/>
        <v>ITM_XFACT</v>
      </c>
      <c r="AO416" s="27" t="str">
        <f t="shared" si="150"/>
        <v>ITM_ms</v>
      </c>
      <c r="AP416" s="46" t="str">
        <f>IF(NOT(ISNA(MATCH(AM416,Lookups!E:E,))),VLOOKUP(AM416,Lookups!E:F,2,0),
IF(NOT(ISNA(MATCH(AN416,Lookups!E:E,))),VLOOKUP(AN416,Lookups!E:F,2,0),
IF(NOT(ISNA(MATCH(AO416,Lookups!E:E,))),VLOOKUP(AO416,Lookups!E:F,2,0),"ITM_NULL")))</f>
        <v>ITM_NULL</v>
      </c>
      <c r="AQ416" s="28" t="str">
        <f t="shared" si="151"/>
        <v>ITM_C</v>
      </c>
      <c r="AR416" s="195" t="s">
        <v>65</v>
      </c>
      <c r="AS416" s="186" t="s">
        <v>635</v>
      </c>
      <c r="AT416" s="255" t="s">
        <v>67</v>
      </c>
      <c r="AW416" s="14" t="str">
        <f t="shared" si="154"/>
        <v>{23</v>
      </c>
      <c r="AX416" s="157" t="str" cm="1">
        <f t="array" ref="AX416">SUBSTITUTE(SUBSTITUTE(_xlfn.SWITCH(AM416, "ITM_T_HOME", "ITM_UP1", "ITM_T_END", "ITM_DOWN1", "DOCU_CHR_sub", "ITM_DOWN_ARROW", "DOCU_CHR_super", "ITM_UP_ARROW", "MNU_TAMALPHA", "ITM_alpha", "DOCU_CHR_caseFLIP", "ITM_NULL", "DOCU_CHR_numSET", "ITM_NULL", "DOCU_ITM_RADIX", "ITM_PERIOD", AM416), ".lo", ),"MNU_", "-MNU_")</f>
        <v>ITM_1ONX</v>
      </c>
      <c r="AY416" s="157" t="str" cm="1">
        <f t="array" ref="AY416">SUBSTITUTE(SUBSTITUTE(_xlfn.SWITCH(AN416, "ITM_T_HOME", "ITM_UP1", "ITM_T_END", "ITM_DOWN1", "DOCU_CHR_sub", "ITM_DOWN_ARROW", "DOCU_CHR_super", "ITM_UP_ARROW", "MNU_TAMALPHA", "ITM_alpha", "DOCU_CHR_caseFLIP", "ITM_NULL", "DOCU_CHR_numSET", "ITM_NULL", "DOCU_ITM_RADIX", "ITM_PERIOD", AN416), ".lo", ),"MNU_", "-MNU_")</f>
        <v>ITM_XFACT</v>
      </c>
      <c r="AZ416" s="157" t="str" cm="1">
        <f t="array" ref="AZ416">SUBSTITUTE(SUBSTITUTE(_xlfn.SWITCH(AO416, "ITM_T_HOME", "ITM_UP1", "ITM_T_END", "ITM_DOWN1", "DOCU_CHR_sub", "ITM_DOWN_ARROW", "DOCU_CHR_super", "ITM_UP_ARROW", "MNU_TAMALPHA", "ITM_alpha", "DOCU_CHR_caseFLIP", "ITM_NULL", "DOCU_CHR_numSET", "ITM_NULL", "DOCU_ITM_RADIX", "ITM_PERIOD", AO416), ".lo", ),"MNU_", "-MNU_")</f>
        <v>ITM_ms</v>
      </c>
      <c r="BA416" s="173" t="str" cm="1">
        <f t="array" ref="BA416">SUBSTITUTE(SUBSTITUTE(_xlfn.SWITCH(AP416, "ITM_T_HOME", "ITM_UP1", "ITM_T_END", "ITM_DOWN1", "DOCU_CHR_sub", "ITM_DOWN_ARROW", "DOCU_CHR_super", "ITM_UP_ARROW", "MNU_TAMALPHA", "ITM_alpha", "DOCU_CHR_caseFLIP", "ITM_NULL", "DOCU_CHR_numSET", "ITM_NULL", "DOCU_ITM_RADIX", "ITM_PERIOD", AP416), ".lo", ),"MNU_", "-MNU_")</f>
        <v>ITM_NULL</v>
      </c>
      <c r="BB416" s="157" t="str" cm="1">
        <f t="array" ref="BB416">SUBSTITUTE(SUBSTITUTE(_xlfn.SWITCH(AQ416, "ITM_T_HOME", "ITM_UP1", "ITM_T_END", "ITM_DOWN1", "DOCU_CHR_sub", "ITM_DOWN_ARROW", "DOCU_CHR_super", "ITM_UP_ARROW", "MNU_TAMALPHA", "ITM_alpha", "DOCU_CHR_caseFLIP", "ITM_NULL", "DOCU_CHR_numSET", "ITM_NULL", "DOCU_ITM_RADIX", "ITM_PERIOD", AQ416), ".lo", ),"MNU_", "-MNU_")</f>
        <v>ITM_C</v>
      </c>
      <c r="BC416" s="157" t="str" cm="1">
        <f t="array" ref="BC416">SUBSTITUTE(SUBSTITUTE(_xlfn.SWITCH(AR416, "ITM_T_HOME", "ITM_UP1", "ITM_T_END", "ITM_DOWN1", "DOCU_CHR_sub", "ITM_DOWN_ARROW", "DOCU_CHR_super", "ITM_UP_ARROW", "MNU_TAMALPHA", "ITM_alpha", "DOCU_CHR_caseFLIP", "ITM_NULL", "DOCU_CHR_numSET", "ITM_NULL", "DOCU_ITM_RADIX", "ITM_PERIOD", AR416), ".lo", ),"MNU_", "-MNU_")</f>
        <v>ITM_c</v>
      </c>
      <c r="BD416" s="157" t="str" cm="1">
        <f t="array" ref="BD416">SUBSTITUTE(SUBSTITUTE(_xlfn.SWITCH(AS416, "ITM_T_HOME", "ITM_UP1", "ITM_T_END", "ITM_DOWN1", "DOCU_CHR_sub", "ITM_DOWN_ARROW", "DOCU_CHR_super", "ITM_UP_ARROW", "MNU_TAMALPHA", "ITM_alpha", "DOCU_CHR_caseFLIP", "ITM_NULL", "DOCU_CHR_numSET", "ITM_NULL", "DOCU_ITM_RADIX", "ITM_PERIOD", AS416), ".lo", ),"MNU_", "-MNU_")</f>
        <v>ITM_EXCLAMATION_MARK</v>
      </c>
      <c r="BE416" s="157" t="str" cm="1">
        <f t="array" ref="BE416">SUBSTITUTE(SUBSTITUTE(_xlfn.SWITCH(AT416, "ITM_T_HOME", "ITM_UP1", "ITM_T_END", "ITM_DOWN1", "DOCU_CHR_sub", "ITM_DOWN_ARROW", "DOCU_CHR_super", "ITM_UP_ARROW", "MNU_TAMALPHA", "ITM_alpha", "DOCU_CHR_caseFLIP", "ITM_NULL", "DOCU_CHR_numSET", "ITM_NULL", "DOCU_ITM_RADIX", "ITM_PERIOD", AT416), ".lo", ),"MNU_", "-MNU_")</f>
        <v>ITM_REG_C</v>
      </c>
      <c r="BG416" s="75"/>
      <c r="BI416" s="13" t="str">
        <f t="shared" si="152"/>
        <v xml:space="preserve">  {23,                  ITM_1ONX,             ITM_XFACT,            ITM_ms,               ITM_NULL,             ITM_C,                ITM_c,                ITM_EXCLAMATION_MARK, ITM_REG_C           },</v>
      </c>
    </row>
    <row r="417" spans="15:61" ht="21" x14ac:dyDescent="0.2">
      <c r="T417" s="148" t="s">
        <v>101</v>
      </c>
      <c r="U417" s="149" t="s">
        <v>386</v>
      </c>
      <c r="V417" s="150" t="s">
        <v>326</v>
      </c>
      <c r="X417" s="141" t="str">
        <f t="shared" si="143"/>
        <v>R47</v>
      </c>
      <c r="Y417" s="142">
        <v>2</v>
      </c>
      <c r="Z417" s="142">
        <v>4</v>
      </c>
      <c r="AA417" s="144" t="str">
        <f t="shared" si="142"/>
        <v>R47.24</v>
      </c>
      <c r="AB417" s="176" t="s">
        <v>55</v>
      </c>
      <c r="AC417" s="149" t="s">
        <v>103</v>
      </c>
      <c r="AD417" s="150" t="s">
        <v>70</v>
      </c>
      <c r="AE417" s="3"/>
      <c r="AF417" s="52" t="s">
        <v>71</v>
      </c>
      <c r="AG417" s="77" t="b">
        <f t="shared" si="153"/>
        <v>1</v>
      </c>
      <c r="AH417" s="83" t="str">
        <f t="shared" si="144"/>
        <v>d</v>
      </c>
      <c r="AI417" s="84" t="str">
        <f t="shared" si="145"/>
        <v>^</v>
      </c>
      <c r="AJ417" s="85" t="str">
        <f t="shared" si="146"/>
        <v>Reg D</v>
      </c>
      <c r="AK417" s="6"/>
      <c r="AL417" s="8" t="str">
        <f t="shared" si="147"/>
        <v>{24</v>
      </c>
      <c r="AM417" s="27" t="str">
        <f t="shared" si="148"/>
        <v>ITM_YX</v>
      </c>
      <c r="AN417" s="27" t="str">
        <f t="shared" si="149"/>
        <v>ITM_XTHROOT</v>
      </c>
      <c r="AO417" s="27" t="str">
        <f t="shared" si="150"/>
        <v>ITM_dotD</v>
      </c>
      <c r="AP417" s="46" t="str">
        <f>IF(NOT(ISNA(MATCH(AM417,Lookups!E:E,))),VLOOKUP(AM417,Lookups!E:F,2,0),
IF(NOT(ISNA(MATCH(AN417,Lookups!E:E,))),VLOOKUP(AN417,Lookups!E:F,2,0),
IF(NOT(ISNA(MATCH(AO417,Lookups!E:E,))),VLOOKUP(AO417,Lookups!E:F,2,0),"ITM_NULL")))</f>
        <v>ITM_NULL</v>
      </c>
      <c r="AQ417" s="28" t="str">
        <f t="shared" si="151"/>
        <v>ITM_D</v>
      </c>
      <c r="AR417" s="195" t="s">
        <v>72</v>
      </c>
      <c r="AS417" s="186" t="s">
        <v>59</v>
      </c>
      <c r="AT417" s="255" t="s">
        <v>74</v>
      </c>
      <c r="AW417" s="14" t="str">
        <f t="shared" si="154"/>
        <v>{24</v>
      </c>
      <c r="AX417" s="157" t="str" cm="1">
        <f t="array" ref="AX417">SUBSTITUTE(SUBSTITUTE(_xlfn.SWITCH(AM417, "ITM_T_HOME", "ITM_UP1", "ITM_T_END", "ITM_DOWN1", "DOCU_CHR_sub", "ITM_DOWN_ARROW", "DOCU_CHR_super", "ITM_UP_ARROW", "MNU_TAMALPHA", "ITM_alpha", "DOCU_CHR_caseFLIP", "ITM_NULL", "DOCU_CHR_numSET", "ITM_NULL", "DOCU_ITM_RADIX", "ITM_PERIOD", AM417), ".lo", ),"MNU_", "-MNU_")</f>
        <v>ITM_YX</v>
      </c>
      <c r="AY417" s="157" t="str" cm="1">
        <f t="array" ref="AY417">SUBSTITUTE(SUBSTITUTE(_xlfn.SWITCH(AN417, "ITM_T_HOME", "ITM_UP1", "ITM_T_END", "ITM_DOWN1", "DOCU_CHR_sub", "ITM_DOWN_ARROW", "DOCU_CHR_super", "ITM_UP_ARROW", "MNU_TAMALPHA", "ITM_alpha", "DOCU_CHR_caseFLIP", "ITM_NULL", "DOCU_CHR_numSET", "ITM_NULL", "DOCU_ITM_RADIX", "ITM_PERIOD", AN417), ".lo", ),"MNU_", "-MNU_")</f>
        <v>ITM_XTHROOT</v>
      </c>
      <c r="AZ417" s="157" t="str" cm="1">
        <f t="array" ref="AZ417">SUBSTITUTE(SUBSTITUTE(_xlfn.SWITCH(AO417, "ITM_T_HOME", "ITM_UP1", "ITM_T_END", "ITM_DOWN1", "DOCU_CHR_sub", "ITM_DOWN_ARROW", "DOCU_CHR_super", "ITM_UP_ARROW", "MNU_TAMALPHA", "ITM_alpha", "DOCU_CHR_caseFLIP", "ITM_NULL", "DOCU_CHR_numSET", "ITM_NULL", "DOCU_ITM_RADIX", "ITM_PERIOD", AO417), ".lo", ),"MNU_", "-MNU_")</f>
        <v>ITM_dotD</v>
      </c>
      <c r="BA417" s="173" t="str" cm="1">
        <f t="array" ref="BA417">SUBSTITUTE(SUBSTITUTE(_xlfn.SWITCH(AP417, "ITM_T_HOME", "ITM_UP1", "ITM_T_END", "ITM_DOWN1", "DOCU_CHR_sub", "ITM_DOWN_ARROW", "DOCU_CHR_super", "ITM_UP_ARROW", "MNU_TAMALPHA", "ITM_alpha", "DOCU_CHR_caseFLIP", "ITM_NULL", "DOCU_CHR_numSET", "ITM_NULL", "DOCU_ITM_RADIX", "ITM_PERIOD", AP417), ".lo", ),"MNU_", "-MNU_")</f>
        <v>ITM_NULL</v>
      </c>
      <c r="BB417" s="157" t="str" cm="1">
        <f t="array" ref="BB417">SUBSTITUTE(SUBSTITUTE(_xlfn.SWITCH(AQ417, "ITM_T_HOME", "ITM_UP1", "ITM_T_END", "ITM_DOWN1", "DOCU_CHR_sub", "ITM_DOWN_ARROW", "DOCU_CHR_super", "ITM_UP_ARROW", "MNU_TAMALPHA", "ITM_alpha", "DOCU_CHR_caseFLIP", "ITM_NULL", "DOCU_CHR_numSET", "ITM_NULL", "DOCU_ITM_RADIX", "ITM_PERIOD", AQ417), ".lo", ),"MNU_", "-MNU_")</f>
        <v>ITM_D</v>
      </c>
      <c r="BC417" s="157" t="str" cm="1">
        <f t="array" ref="BC417">SUBSTITUTE(SUBSTITUTE(_xlfn.SWITCH(AR417, "ITM_T_HOME", "ITM_UP1", "ITM_T_END", "ITM_DOWN1", "DOCU_CHR_sub", "ITM_DOWN_ARROW", "DOCU_CHR_super", "ITM_UP_ARROW", "MNU_TAMALPHA", "ITM_alpha", "DOCU_CHR_caseFLIP", "ITM_NULL", "DOCU_CHR_numSET", "ITM_NULL", "DOCU_ITM_RADIX", "ITM_PERIOD", AR417), ".lo", ),"MNU_", "-MNU_")</f>
        <v>ITM_d</v>
      </c>
      <c r="BD417" s="157" t="str" cm="1">
        <f t="array" ref="BD417">SUBSTITUTE(SUBSTITUTE(_xlfn.SWITCH(AS417, "ITM_T_HOME", "ITM_UP1", "ITM_T_END", "ITM_DOWN1", "DOCU_CHR_sub", "ITM_DOWN_ARROW", "DOCU_CHR_super", "ITM_UP_ARROW", "MNU_TAMALPHA", "ITM_alpha", "DOCU_CHR_caseFLIP", "ITM_NULL", "DOCU_CHR_numSET", "ITM_NULL", "DOCU_ITM_RADIX", "ITM_PERIOD", AS417), ".lo", ),"MNU_", "-MNU_")</f>
        <v>ITM_CIRCUMFLEX</v>
      </c>
      <c r="BE417" s="157" t="str" cm="1">
        <f t="array" ref="BE417">SUBSTITUTE(SUBSTITUTE(_xlfn.SWITCH(AT417, "ITM_T_HOME", "ITM_UP1", "ITM_T_END", "ITM_DOWN1", "DOCU_CHR_sub", "ITM_DOWN_ARROW", "DOCU_CHR_super", "ITM_UP_ARROW", "MNU_TAMALPHA", "ITM_alpha", "DOCU_CHR_caseFLIP", "ITM_NULL", "DOCU_CHR_numSET", "ITM_NULL", "DOCU_ITM_RADIX", "ITM_PERIOD", AT417), ".lo", ),"MNU_", "-MNU_")</f>
        <v>ITM_REG_D</v>
      </c>
      <c r="BG417" s="75"/>
      <c r="BI417" s="13" t="str">
        <f t="shared" si="152"/>
        <v xml:space="preserve">  {24,                  ITM_YX,               ITM_XTHROOT,          ITM_dotD,             ITM_NULL,             ITM_D,                ITM_d,                ITM_CIRCUMFLEX,       ITM_REG_D           },</v>
      </c>
    </row>
    <row r="418" spans="15:61" ht="21" x14ac:dyDescent="0.2">
      <c r="T418" s="148" t="s">
        <v>54</v>
      </c>
      <c r="U418" s="149" t="s">
        <v>227</v>
      </c>
      <c r="V418" s="150" t="s">
        <v>222</v>
      </c>
      <c r="X418" s="141" t="str">
        <f t="shared" si="143"/>
        <v>R47</v>
      </c>
      <c r="Y418" s="142">
        <v>2</v>
      </c>
      <c r="Z418" s="142">
        <v>5</v>
      </c>
      <c r="AA418" s="144" t="str">
        <f t="shared" si="142"/>
        <v>R47.25</v>
      </c>
      <c r="AB418" s="176" t="s">
        <v>68</v>
      </c>
      <c r="AC418" s="149" t="s">
        <v>69</v>
      </c>
      <c r="AD418" s="150" t="s">
        <v>48</v>
      </c>
      <c r="AE418" s="3"/>
      <c r="AF418" s="52" t="s">
        <v>78</v>
      </c>
      <c r="AG418" s="77" t="b">
        <f t="shared" si="153"/>
        <v>1</v>
      </c>
      <c r="AH418" s="83" t="str">
        <f t="shared" si="144"/>
        <v>e</v>
      </c>
      <c r="AI418" s="84" t="str">
        <f t="shared" si="145"/>
        <v>&lt;e&gt;</v>
      </c>
      <c r="AJ418" s="85" t="str">
        <f t="shared" si="146"/>
        <v>Reg E</v>
      </c>
      <c r="AK418" s="6"/>
      <c r="AL418" s="8" t="str">
        <f t="shared" si="147"/>
        <v>{25</v>
      </c>
      <c r="AM418" s="27" t="str">
        <f t="shared" si="148"/>
        <v>ITM_LOG10</v>
      </c>
      <c r="AN418" s="27" t="str">
        <f t="shared" si="149"/>
        <v>ITM_10x</v>
      </c>
      <c r="AO418" s="27" t="str">
        <f t="shared" si="150"/>
        <v>ITM_RI</v>
      </c>
      <c r="AP418" s="46" t="str">
        <f>IF(NOT(ISNA(MATCH(AM418,Lookups!E:E,))),VLOOKUP(AM418,Lookups!E:F,2,0),
IF(NOT(ISNA(MATCH(AN418,Lookups!E:E,))),VLOOKUP(AN418,Lookups!E:F,2,0),
IF(NOT(ISNA(MATCH(AO418,Lookups!E:E,))),VLOOKUP(AO418,Lookups!E:F,2,0),"ITM_NULL")))</f>
        <v>ITM_NULL</v>
      </c>
      <c r="AQ418" s="28" t="str">
        <f t="shared" si="151"/>
        <v>ITM_E</v>
      </c>
      <c r="AR418" s="195" t="s">
        <v>79</v>
      </c>
      <c r="AS418" s="186" t="s">
        <v>637</v>
      </c>
      <c r="AT418" s="255" t="s">
        <v>672</v>
      </c>
      <c r="AW418" s="14" t="str">
        <f t="shared" si="154"/>
        <v>{25</v>
      </c>
      <c r="AX418" s="157" t="str" cm="1">
        <f t="array" ref="AX418">SUBSTITUTE(SUBSTITUTE(_xlfn.SWITCH(AM418, "ITM_T_HOME", "ITM_UP1", "ITM_T_END", "ITM_DOWN1", "DOCU_CHR_sub", "ITM_DOWN_ARROW", "DOCU_CHR_super", "ITM_UP_ARROW", "MNU_TAMALPHA", "ITM_alpha", "DOCU_CHR_caseFLIP", "ITM_NULL", "DOCU_CHR_numSET", "ITM_NULL", "DOCU_ITM_RADIX", "ITM_PERIOD", AM418), ".lo", ),"MNU_", "-MNU_")</f>
        <v>ITM_LOG10</v>
      </c>
      <c r="AY418" s="157" t="str" cm="1">
        <f t="array" ref="AY418">SUBSTITUTE(SUBSTITUTE(_xlfn.SWITCH(AN418, "ITM_T_HOME", "ITM_UP1", "ITM_T_END", "ITM_DOWN1", "DOCU_CHR_sub", "ITM_DOWN_ARROW", "DOCU_CHR_super", "ITM_UP_ARROW", "MNU_TAMALPHA", "ITM_alpha", "DOCU_CHR_caseFLIP", "ITM_NULL", "DOCU_CHR_numSET", "ITM_NULL", "DOCU_ITM_RADIX", "ITM_PERIOD", AN418), ".lo", ),"MNU_", "-MNU_")</f>
        <v>ITM_10x</v>
      </c>
      <c r="AZ418" s="157" t="str" cm="1">
        <f t="array" ref="AZ418">SUBSTITUTE(SUBSTITUTE(_xlfn.SWITCH(AO418, "ITM_T_HOME", "ITM_UP1", "ITM_T_END", "ITM_DOWN1", "DOCU_CHR_sub", "ITM_DOWN_ARROW", "DOCU_CHR_super", "ITM_UP_ARROW", "MNU_TAMALPHA", "ITM_alpha", "DOCU_CHR_caseFLIP", "ITM_NULL", "DOCU_CHR_numSET", "ITM_NULL", "DOCU_ITM_RADIX", "ITM_PERIOD", AO418), ".lo", ),"MNU_", "-MNU_")</f>
        <v>ITM_RI</v>
      </c>
      <c r="BA418" s="173" t="str" cm="1">
        <f t="array" ref="BA418">SUBSTITUTE(SUBSTITUTE(_xlfn.SWITCH(AP418, "ITM_T_HOME", "ITM_UP1", "ITM_T_END", "ITM_DOWN1", "DOCU_CHR_sub", "ITM_DOWN_ARROW", "DOCU_CHR_super", "ITM_UP_ARROW", "MNU_TAMALPHA", "ITM_alpha", "DOCU_CHR_caseFLIP", "ITM_NULL", "DOCU_CHR_numSET", "ITM_NULL", "DOCU_ITM_RADIX", "ITM_PERIOD", AP418), ".lo", ),"MNU_", "-MNU_")</f>
        <v>ITM_NULL</v>
      </c>
      <c r="BB418" s="157" t="str" cm="1">
        <f t="array" ref="BB418">SUBSTITUTE(SUBSTITUTE(_xlfn.SWITCH(AQ418, "ITM_T_HOME", "ITM_UP1", "ITM_T_END", "ITM_DOWN1", "DOCU_CHR_sub", "ITM_DOWN_ARROW", "DOCU_CHR_super", "ITM_UP_ARROW", "MNU_TAMALPHA", "ITM_alpha", "DOCU_CHR_caseFLIP", "ITM_NULL", "DOCU_CHR_numSET", "ITM_NULL", "DOCU_ITM_RADIX", "ITM_PERIOD", AQ418), ".lo", ),"MNU_", "-MNU_")</f>
        <v>ITM_E</v>
      </c>
      <c r="BC418" s="157" t="str" cm="1">
        <f t="array" ref="BC418">SUBSTITUTE(SUBSTITUTE(_xlfn.SWITCH(AR418, "ITM_T_HOME", "ITM_UP1", "ITM_T_END", "ITM_DOWN1", "DOCU_CHR_sub", "ITM_DOWN_ARROW", "DOCU_CHR_super", "ITM_UP_ARROW", "MNU_TAMALPHA", "ITM_alpha", "DOCU_CHR_caseFLIP", "ITM_NULL", "DOCU_CHR_numSET", "ITM_NULL", "DOCU_ITM_RADIX", "ITM_PERIOD", AR418), ".lo", ),"MNU_", "-MNU_")</f>
        <v>ITM_e</v>
      </c>
      <c r="BD418" s="157" t="str" cm="1">
        <f t="array" ref="BD418">SUBSTITUTE(SUBSTITUTE(_xlfn.SWITCH(AS418, "ITM_T_HOME", "ITM_UP1", "ITM_T_END", "ITM_DOWN1", "DOCU_CHR_sub", "ITM_DOWN_ARROW", "DOCU_CHR_super", "ITM_UP_ARROW", "MNU_TAMALPHA", "ITM_alpha", "DOCU_CHR_caseFLIP", "ITM_NULL", "DOCU_CHR_numSET", "ITM_NULL", "DOCU_ITM_RADIX", "ITM_PERIOD", AS418), ".lo", ),"MNU_", "-MNU_")</f>
        <v>ITM_EulerE</v>
      </c>
      <c r="BE418" s="157" t="str" cm="1">
        <f t="array" ref="BE418">SUBSTITUTE(SUBSTITUTE(_xlfn.SWITCH(AT418, "ITM_T_HOME", "ITM_UP1", "ITM_T_END", "ITM_DOWN1", "DOCU_CHR_sub", "ITM_DOWN_ARROW", "DOCU_CHR_super", "ITM_UP_ARROW", "MNU_TAMALPHA", "ITM_alpha", "DOCU_CHR_caseFLIP", "ITM_NULL", "DOCU_CHR_numSET", "ITM_NULL", "DOCU_ITM_RADIX", "ITM_PERIOD", AT418), ".lo", ),"MNU_", "-MNU_")</f>
        <v>ITM_REG_E</v>
      </c>
      <c r="BG418" s="75"/>
      <c r="BI418" s="13" t="str">
        <f t="shared" si="152"/>
        <v xml:space="preserve">  {25,                  ITM_LOG10,            ITM_10x,              ITM_RI,               ITM_NULL,             ITM_E,                ITM_e,                ITM_EulerE,           ITM_REG_E           },</v>
      </c>
    </row>
    <row r="419" spans="15:61" ht="21" x14ac:dyDescent="0.2">
      <c r="T419" s="121" t="s">
        <v>339</v>
      </c>
      <c r="U419" s="151" t="s">
        <v>218</v>
      </c>
      <c r="V419" s="151" t="s">
        <v>218</v>
      </c>
      <c r="X419" s="141" t="str">
        <f t="shared" si="143"/>
        <v>R47</v>
      </c>
      <c r="Y419" s="142">
        <v>2</v>
      </c>
      <c r="Z419" s="142">
        <v>6</v>
      </c>
      <c r="AA419" s="144" t="str">
        <f t="shared" si="142"/>
        <v>R47.26</v>
      </c>
      <c r="AB419" s="176" t="s">
        <v>75</v>
      </c>
      <c r="AC419" s="149" t="s">
        <v>76</v>
      </c>
      <c r="AD419" s="150" t="s">
        <v>56</v>
      </c>
      <c r="AE419" s="3"/>
      <c r="AF419" s="52" t="s">
        <v>85</v>
      </c>
      <c r="AG419" s="77" t="b">
        <f t="shared" si="153"/>
        <v>1</v>
      </c>
      <c r="AH419" s="83" t="str">
        <f t="shared" si="144"/>
        <v>f</v>
      </c>
      <c r="AI419" s="84" t="str">
        <f t="shared" si="145"/>
        <v>#</v>
      </c>
      <c r="AJ419" s="85" t="str">
        <f t="shared" si="146"/>
        <v>Reg F</v>
      </c>
      <c r="AK419" s="6"/>
      <c r="AL419" s="8" t="str">
        <f t="shared" si="147"/>
        <v>{26</v>
      </c>
      <c r="AM419" s="27" t="str">
        <f t="shared" si="148"/>
        <v>ITM_LN</v>
      </c>
      <c r="AN419" s="27" t="str">
        <f t="shared" si="149"/>
        <v>ITM_EXP</v>
      </c>
      <c r="AO419" s="27" t="str">
        <f t="shared" si="150"/>
        <v>ITM_HASH_JM</v>
      </c>
      <c r="AP419" s="46" t="str">
        <f>IF(NOT(ISNA(MATCH(AM419,Lookups!E:E,))),VLOOKUP(AM419,Lookups!E:F,2,0),
IF(NOT(ISNA(MATCH(AN419,Lookups!E:E,))),VLOOKUP(AN419,Lookups!E:F,2,0),
IF(NOT(ISNA(MATCH(AO419,Lookups!E:E,))),VLOOKUP(AO419,Lookups!E:F,2,0),"ITM_NULL")))</f>
        <v>ITM_NUMBER_SIGN</v>
      </c>
      <c r="AQ419" s="28" t="str">
        <f t="shared" si="151"/>
        <v>ITM_F</v>
      </c>
      <c r="AR419" s="195" t="s">
        <v>86</v>
      </c>
      <c r="AS419" s="186" t="s">
        <v>283</v>
      </c>
      <c r="AT419" s="255" t="s">
        <v>676</v>
      </c>
      <c r="AW419" s="14" t="str">
        <f t="shared" si="154"/>
        <v>{26</v>
      </c>
      <c r="AX419" s="157" t="str" cm="1">
        <f t="array" ref="AX419">SUBSTITUTE(SUBSTITUTE(_xlfn.SWITCH(AM419, "ITM_T_HOME", "ITM_UP1", "ITM_T_END", "ITM_DOWN1", "DOCU_CHR_sub", "ITM_DOWN_ARROW", "DOCU_CHR_super", "ITM_UP_ARROW", "MNU_TAMALPHA", "ITM_alpha", "DOCU_CHR_caseFLIP", "ITM_NULL", "DOCU_CHR_numSET", "ITM_NULL", "DOCU_ITM_RADIX", "ITM_PERIOD", AM419), ".lo", ),"MNU_", "-MNU_")</f>
        <v>ITM_LN</v>
      </c>
      <c r="AY419" s="157" t="str" cm="1">
        <f t="array" ref="AY419">SUBSTITUTE(SUBSTITUTE(_xlfn.SWITCH(AN419, "ITM_T_HOME", "ITM_UP1", "ITM_T_END", "ITM_DOWN1", "DOCU_CHR_sub", "ITM_DOWN_ARROW", "DOCU_CHR_super", "ITM_UP_ARROW", "MNU_TAMALPHA", "ITM_alpha", "DOCU_CHR_caseFLIP", "ITM_NULL", "DOCU_CHR_numSET", "ITM_NULL", "DOCU_ITM_RADIX", "ITM_PERIOD", AN419), ".lo", ),"MNU_", "-MNU_")</f>
        <v>ITM_EXP</v>
      </c>
      <c r="AZ419" s="157" t="str" cm="1">
        <f t="array" ref="AZ419">SUBSTITUTE(SUBSTITUTE(_xlfn.SWITCH(AO419, "ITM_T_HOME", "ITM_UP1", "ITM_T_END", "ITM_DOWN1", "DOCU_CHR_sub", "ITM_DOWN_ARROW", "DOCU_CHR_super", "ITM_UP_ARROW", "MNU_TAMALPHA", "ITM_alpha", "DOCU_CHR_caseFLIP", "ITM_NULL", "DOCU_CHR_numSET", "ITM_NULL", "DOCU_ITM_RADIX", "ITM_PERIOD", AO419), ".lo", ),"MNU_", "-MNU_")</f>
        <v>ITM_HASH_JM</v>
      </c>
      <c r="BA419" s="173" t="str" cm="1">
        <f t="array" ref="BA419">SUBSTITUTE(SUBSTITUTE(_xlfn.SWITCH(AP419, "ITM_T_HOME", "ITM_UP1", "ITM_T_END", "ITM_DOWN1", "DOCU_CHR_sub", "ITM_DOWN_ARROW", "DOCU_CHR_super", "ITM_UP_ARROW", "MNU_TAMALPHA", "ITM_alpha", "DOCU_CHR_caseFLIP", "ITM_NULL", "DOCU_CHR_numSET", "ITM_NULL", "DOCU_ITM_RADIX", "ITM_PERIOD", AP419), ".lo", ),"MNU_", "-MNU_")</f>
        <v>ITM_NUMBER_SIGN</v>
      </c>
      <c r="BB419" s="157" t="str" cm="1">
        <f t="array" ref="BB419">SUBSTITUTE(SUBSTITUTE(_xlfn.SWITCH(AQ419, "ITM_T_HOME", "ITM_UP1", "ITM_T_END", "ITM_DOWN1", "DOCU_CHR_sub", "ITM_DOWN_ARROW", "DOCU_CHR_super", "ITM_UP_ARROW", "MNU_TAMALPHA", "ITM_alpha", "DOCU_CHR_caseFLIP", "ITM_NULL", "DOCU_CHR_numSET", "ITM_NULL", "DOCU_ITM_RADIX", "ITM_PERIOD", AQ419), ".lo", ),"MNU_", "-MNU_")</f>
        <v>ITM_F</v>
      </c>
      <c r="BC419" s="157" t="str" cm="1">
        <f t="array" ref="BC419">SUBSTITUTE(SUBSTITUTE(_xlfn.SWITCH(AR419, "ITM_T_HOME", "ITM_UP1", "ITM_T_END", "ITM_DOWN1", "DOCU_CHR_sub", "ITM_DOWN_ARROW", "DOCU_CHR_super", "ITM_UP_ARROW", "MNU_TAMALPHA", "ITM_alpha", "DOCU_CHR_caseFLIP", "ITM_NULL", "DOCU_CHR_numSET", "ITM_NULL", "DOCU_ITM_RADIX", "ITM_PERIOD", AR419), ".lo", ),"MNU_", "-MNU_")</f>
        <v>ITM_f</v>
      </c>
      <c r="BD419" s="157" t="str" cm="1">
        <f t="array" ref="BD419">SUBSTITUTE(SUBSTITUTE(_xlfn.SWITCH(AS419, "ITM_T_HOME", "ITM_UP1", "ITM_T_END", "ITM_DOWN1", "DOCU_CHR_sub", "ITM_DOWN_ARROW", "DOCU_CHR_super", "ITM_UP_ARROW", "MNU_TAMALPHA", "ITM_alpha", "DOCU_CHR_caseFLIP", "ITM_NULL", "DOCU_CHR_numSET", "ITM_NULL", "DOCU_ITM_RADIX", "ITM_PERIOD", AS419), ".lo", ),"MNU_", "-MNU_")</f>
        <v>ITM_NUMBER_SIGN</v>
      </c>
      <c r="BE419" s="157" t="str" cm="1">
        <f t="array" ref="BE419">SUBSTITUTE(SUBSTITUTE(_xlfn.SWITCH(AT419, "ITM_T_HOME", "ITM_UP1", "ITM_T_END", "ITM_DOWN1", "DOCU_CHR_sub", "ITM_DOWN_ARROW", "DOCU_CHR_super", "ITM_UP_ARROW", "MNU_TAMALPHA", "ITM_alpha", "DOCU_CHR_caseFLIP", "ITM_NULL", "DOCU_CHR_numSET", "ITM_NULL", "DOCU_ITM_RADIX", "ITM_PERIOD", AT419), ".lo", ),"MNU_", "-MNU_")</f>
        <v>ITM_REG_F</v>
      </c>
      <c r="BG419" s="75"/>
      <c r="BI419" s="13" t="str">
        <f t="shared" si="152"/>
        <v xml:space="preserve">  {26,                  ITM_LN,               ITM_EXP,              ITM_HASH_JM,          ITM_NUMBER_SIGN,      ITM_F,                ITM_f,                ITM_NUMBER_SIGN,      ITM_REG_F           },</v>
      </c>
    </row>
    <row r="420" spans="15:61" ht="21" x14ac:dyDescent="0.2">
      <c r="T420" s="121" t="s">
        <v>341</v>
      </c>
      <c r="U420" s="151" t="s">
        <v>218</v>
      </c>
      <c r="V420" s="151" t="s">
        <v>218</v>
      </c>
      <c r="X420" s="141" t="str">
        <f t="shared" si="143"/>
        <v>R47</v>
      </c>
      <c r="Y420" s="138">
        <v>3</v>
      </c>
      <c r="Z420" s="138">
        <v>1</v>
      </c>
      <c r="AA420" s="144" t="str">
        <f t="shared" si="142"/>
        <v>R47.31</v>
      </c>
      <c r="AB420" s="148" t="s">
        <v>88</v>
      </c>
      <c r="AC420" s="149" t="s">
        <v>89</v>
      </c>
      <c r="AD420" s="150" t="s">
        <v>90</v>
      </c>
      <c r="AE420" s="3"/>
      <c r="AF420" s="52" t="s">
        <v>91</v>
      </c>
      <c r="AG420" s="77" t="b">
        <f t="shared" si="153"/>
        <v>1</v>
      </c>
      <c r="AH420" s="83" t="str">
        <f t="shared" si="144"/>
        <v>g</v>
      </c>
      <c r="AI420" s="84" t="str">
        <f t="shared" si="145"/>
        <v>|</v>
      </c>
      <c r="AJ420" s="85" t="str">
        <f t="shared" si="146"/>
        <v>Reg G</v>
      </c>
      <c r="AK420" s="6"/>
      <c r="AL420" s="8" t="str">
        <f t="shared" si="147"/>
        <v>{31</v>
      </c>
      <c r="AM420" s="27" t="str">
        <f t="shared" si="148"/>
        <v>ITM_STO</v>
      </c>
      <c r="AN420" s="27" t="str">
        <f t="shared" si="149"/>
        <v>ITM_MAGNITUDE</v>
      </c>
      <c r="AO420" s="27" t="str">
        <f t="shared" si="150"/>
        <v>ITM_ARG</v>
      </c>
      <c r="AP420" s="46" t="str">
        <f>IF(NOT(ISNA(MATCH(AM420,Lookups!E:E,))),VLOOKUP(AM420,Lookups!E:F,2,0),
IF(NOT(ISNA(MATCH(AN420,Lookups!E:E,))),VLOOKUP(AN420,Lookups!E:F,2,0),
IF(NOT(ISNA(MATCH(AO420,Lookups!E:E,))),VLOOKUP(AO420,Lookups!E:F,2,0),"ITM_NULL")))</f>
        <v>ITM_NULL</v>
      </c>
      <c r="AQ420" s="28" t="str">
        <f t="shared" si="151"/>
        <v>ITM_G</v>
      </c>
      <c r="AR420" s="195" t="s">
        <v>92</v>
      </c>
      <c r="AS420" s="186" t="s">
        <v>93</v>
      </c>
      <c r="AT420" s="255" t="s">
        <v>673</v>
      </c>
      <c r="AW420" s="14" t="str">
        <f t="shared" si="154"/>
        <v>{31</v>
      </c>
      <c r="AX420" s="157" t="str" cm="1">
        <f t="array" ref="AX420">SUBSTITUTE(SUBSTITUTE(_xlfn.SWITCH(AM420, "ITM_T_HOME", "ITM_UP1", "ITM_T_END", "ITM_DOWN1", "DOCU_CHR_sub", "ITM_DOWN_ARROW", "DOCU_CHR_super", "ITM_UP_ARROW", "MNU_TAMALPHA", "ITM_alpha", "DOCU_CHR_caseFLIP", "ITM_NULL", "DOCU_CHR_numSET", "ITM_NULL", "DOCU_ITM_RADIX", "ITM_PERIOD", AM420), ".lo", ),"MNU_", "-MNU_")</f>
        <v>ITM_STO</v>
      </c>
      <c r="AY420" s="157" t="str" cm="1">
        <f t="array" ref="AY420">SUBSTITUTE(SUBSTITUTE(_xlfn.SWITCH(AN420, "ITM_T_HOME", "ITM_UP1", "ITM_T_END", "ITM_DOWN1", "DOCU_CHR_sub", "ITM_DOWN_ARROW", "DOCU_CHR_super", "ITM_UP_ARROW", "MNU_TAMALPHA", "ITM_alpha", "DOCU_CHR_caseFLIP", "ITM_NULL", "DOCU_CHR_numSET", "ITM_NULL", "DOCU_ITM_RADIX", "ITM_PERIOD", AN420), ".lo", ),"MNU_", "-MNU_")</f>
        <v>ITM_MAGNITUDE</v>
      </c>
      <c r="AZ420" s="157" t="str" cm="1">
        <f t="array" ref="AZ420">SUBSTITUTE(SUBSTITUTE(_xlfn.SWITCH(AO420, "ITM_T_HOME", "ITM_UP1", "ITM_T_END", "ITM_DOWN1", "DOCU_CHR_sub", "ITM_DOWN_ARROW", "DOCU_CHR_super", "ITM_UP_ARROW", "MNU_TAMALPHA", "ITM_alpha", "DOCU_CHR_caseFLIP", "ITM_NULL", "DOCU_CHR_numSET", "ITM_NULL", "DOCU_ITM_RADIX", "ITM_PERIOD", AO420), ".lo", ),"MNU_", "-MNU_")</f>
        <v>ITM_ARG</v>
      </c>
      <c r="BA420" s="173" t="str" cm="1">
        <f t="array" ref="BA420">SUBSTITUTE(SUBSTITUTE(_xlfn.SWITCH(AP420, "ITM_T_HOME", "ITM_UP1", "ITM_T_END", "ITM_DOWN1", "DOCU_CHR_sub", "ITM_DOWN_ARROW", "DOCU_CHR_super", "ITM_UP_ARROW", "MNU_TAMALPHA", "ITM_alpha", "DOCU_CHR_caseFLIP", "ITM_NULL", "DOCU_CHR_numSET", "ITM_NULL", "DOCU_ITM_RADIX", "ITM_PERIOD", AP420), ".lo", ),"MNU_", "-MNU_")</f>
        <v>ITM_NULL</v>
      </c>
      <c r="BB420" s="157" t="str" cm="1">
        <f t="array" ref="BB420">SUBSTITUTE(SUBSTITUTE(_xlfn.SWITCH(AQ420, "ITM_T_HOME", "ITM_UP1", "ITM_T_END", "ITM_DOWN1", "DOCU_CHR_sub", "ITM_DOWN_ARROW", "DOCU_CHR_super", "ITM_UP_ARROW", "MNU_TAMALPHA", "ITM_alpha", "DOCU_CHR_caseFLIP", "ITM_NULL", "DOCU_CHR_numSET", "ITM_NULL", "DOCU_ITM_RADIX", "ITM_PERIOD", AQ420), ".lo", ),"MNU_", "-MNU_")</f>
        <v>ITM_G</v>
      </c>
      <c r="BC420" s="157" t="str" cm="1">
        <f t="array" ref="BC420">SUBSTITUTE(SUBSTITUTE(_xlfn.SWITCH(AR420, "ITM_T_HOME", "ITM_UP1", "ITM_T_END", "ITM_DOWN1", "DOCU_CHR_sub", "ITM_DOWN_ARROW", "DOCU_CHR_super", "ITM_UP_ARROW", "MNU_TAMALPHA", "ITM_alpha", "DOCU_CHR_caseFLIP", "ITM_NULL", "DOCU_CHR_numSET", "ITM_NULL", "DOCU_ITM_RADIX", "ITM_PERIOD", AR420), ".lo", ),"MNU_", "-MNU_")</f>
        <v>ITM_g</v>
      </c>
      <c r="BD420" s="157" t="str" cm="1">
        <f t="array" ref="BD420">SUBSTITUTE(SUBSTITUTE(_xlfn.SWITCH(AS420, "ITM_T_HOME", "ITM_UP1", "ITM_T_END", "ITM_DOWN1", "DOCU_CHR_sub", "ITM_DOWN_ARROW", "DOCU_CHR_super", "ITM_UP_ARROW", "MNU_TAMALPHA", "ITM_alpha", "DOCU_CHR_caseFLIP", "ITM_NULL", "DOCU_CHR_numSET", "ITM_NULL", "DOCU_ITM_RADIX", "ITM_PERIOD", AS420), ".lo", ),"MNU_", "-MNU_")</f>
        <v>ITM_VERTICAL_BAR</v>
      </c>
      <c r="BE420" s="157" t="str" cm="1">
        <f t="array" ref="BE420">SUBSTITUTE(SUBSTITUTE(_xlfn.SWITCH(AT420, "ITM_T_HOME", "ITM_UP1", "ITM_T_END", "ITM_DOWN1", "DOCU_CHR_sub", "ITM_DOWN_ARROW", "DOCU_CHR_super", "ITM_UP_ARROW", "MNU_TAMALPHA", "ITM_alpha", "DOCU_CHR_caseFLIP", "ITM_NULL", "DOCU_CHR_numSET", "ITM_NULL", "DOCU_ITM_RADIX", "ITM_PERIOD", AT420), ".lo", ),"MNU_", "-MNU_")</f>
        <v>ITM_REG_G</v>
      </c>
      <c r="BG420" s="75"/>
      <c r="BI420" s="13" t="str">
        <f t="shared" si="152"/>
        <v xml:space="preserve">  {31,                  ITM_STO,              ITM_MAGNITUDE,        ITM_ARG,              ITM_NULL,             ITM_G,                ITM_g,                ITM_VERTICAL_BAR,     ITM_REG_G           },</v>
      </c>
    </row>
    <row r="421" spans="15:61" ht="21" x14ac:dyDescent="0.2">
      <c r="T421" s="148" t="s">
        <v>129</v>
      </c>
      <c r="U421" s="149" t="s">
        <v>130</v>
      </c>
      <c r="V421" s="150" t="s">
        <v>131</v>
      </c>
      <c r="X421" s="141" t="str">
        <f t="shared" si="143"/>
        <v>R47</v>
      </c>
      <c r="Y421" s="142">
        <v>3</v>
      </c>
      <c r="Z421" s="142">
        <v>2</v>
      </c>
      <c r="AA421" s="144" t="str">
        <f t="shared" si="142"/>
        <v>R47.32</v>
      </c>
      <c r="AB421" s="148" t="s">
        <v>94</v>
      </c>
      <c r="AC421" s="149" t="s">
        <v>95</v>
      </c>
      <c r="AD421" s="150" t="s">
        <v>96</v>
      </c>
      <c r="AE421" s="3"/>
      <c r="AF421" s="52" t="s">
        <v>97</v>
      </c>
      <c r="AG421" s="77" t="b">
        <f t="shared" si="153"/>
        <v>1</v>
      </c>
      <c r="AH421" s="83" t="str">
        <f t="shared" si="144"/>
        <v>h</v>
      </c>
      <c r="AI421" s="84" t="str">
        <f t="shared" si="145"/>
        <v>Delta</v>
      </c>
      <c r="AJ421" s="85" t="str">
        <f t="shared" si="146"/>
        <v>Reg H</v>
      </c>
      <c r="AK421" s="6"/>
      <c r="AL421" s="8" t="str">
        <f t="shared" si="147"/>
        <v>{32</v>
      </c>
      <c r="AM421" s="27" t="str">
        <f t="shared" si="148"/>
        <v>ITM_RCL</v>
      </c>
      <c r="AN421" s="27" t="str">
        <f t="shared" si="149"/>
        <v>ITM_PC</v>
      </c>
      <c r="AO421" s="64" t="str">
        <f t="shared" si="150"/>
        <v>ITM_DELTAPC</v>
      </c>
      <c r="AP421" s="46" t="str">
        <f>IF(NOT(ISNA(MATCH(AM421,Lookups!E:E,))),VLOOKUP(AM421,Lookups!E:F,2,0),
IF(NOT(ISNA(MATCH(AN421,Lookups!E:E,))),VLOOKUP(AN421,Lookups!E:F,2,0),
IF(NOT(ISNA(MATCH(AO421,Lookups!E:E,))),VLOOKUP(AO421,Lookups!E:F,2,0),"ITM_NULL")))</f>
        <v>ITM_NULL</v>
      </c>
      <c r="AQ421" s="28" t="str">
        <f t="shared" si="151"/>
        <v>ITM_H</v>
      </c>
      <c r="AR421" s="195" t="s">
        <v>98</v>
      </c>
      <c r="AS421" s="186" t="s">
        <v>99</v>
      </c>
      <c r="AT421" s="255" t="s">
        <v>674</v>
      </c>
      <c r="AW421" s="14" t="str">
        <f t="shared" si="154"/>
        <v>{32</v>
      </c>
      <c r="AX421" s="157" t="str" cm="1">
        <f t="array" ref="AX421">SUBSTITUTE(SUBSTITUTE(_xlfn.SWITCH(AM421, "ITM_T_HOME", "ITM_UP1", "ITM_T_END", "ITM_DOWN1", "DOCU_CHR_sub", "ITM_DOWN_ARROW", "DOCU_CHR_super", "ITM_UP_ARROW", "MNU_TAMALPHA", "ITM_alpha", "DOCU_CHR_caseFLIP", "ITM_NULL", "DOCU_CHR_numSET", "ITM_NULL", "DOCU_ITM_RADIX", "ITM_PERIOD", AM421), ".lo", ),"MNU_", "-MNU_")</f>
        <v>ITM_RCL</v>
      </c>
      <c r="AY421" s="157" t="str" cm="1">
        <f t="array" ref="AY421">SUBSTITUTE(SUBSTITUTE(_xlfn.SWITCH(AN421, "ITM_T_HOME", "ITM_UP1", "ITM_T_END", "ITM_DOWN1", "DOCU_CHR_sub", "ITM_DOWN_ARROW", "DOCU_CHR_super", "ITM_UP_ARROW", "MNU_TAMALPHA", "ITM_alpha", "DOCU_CHR_caseFLIP", "ITM_NULL", "DOCU_CHR_numSET", "ITM_NULL", "DOCU_ITM_RADIX", "ITM_PERIOD", AN421), ".lo", ),"MNU_", "-MNU_")</f>
        <v>ITM_PC</v>
      </c>
      <c r="AZ421" s="157" t="str" cm="1">
        <f t="array" ref="AZ421">SUBSTITUTE(SUBSTITUTE(_xlfn.SWITCH(AO421, "ITM_T_HOME", "ITM_UP1", "ITM_T_END", "ITM_DOWN1", "DOCU_CHR_sub", "ITM_DOWN_ARROW", "DOCU_CHR_super", "ITM_UP_ARROW", "MNU_TAMALPHA", "ITM_alpha", "DOCU_CHR_caseFLIP", "ITM_NULL", "DOCU_CHR_numSET", "ITM_NULL", "DOCU_ITM_RADIX", "ITM_PERIOD", AO421), ".lo", ),"MNU_", "-MNU_")</f>
        <v>ITM_DELTAPC</v>
      </c>
      <c r="BA421" s="173" t="str" cm="1">
        <f t="array" ref="BA421">SUBSTITUTE(SUBSTITUTE(_xlfn.SWITCH(AP421, "ITM_T_HOME", "ITM_UP1", "ITM_T_END", "ITM_DOWN1", "DOCU_CHR_sub", "ITM_DOWN_ARROW", "DOCU_CHR_super", "ITM_UP_ARROW", "MNU_TAMALPHA", "ITM_alpha", "DOCU_CHR_caseFLIP", "ITM_NULL", "DOCU_CHR_numSET", "ITM_NULL", "DOCU_ITM_RADIX", "ITM_PERIOD", AP421), ".lo", ),"MNU_", "-MNU_")</f>
        <v>ITM_NULL</v>
      </c>
      <c r="BB421" s="157" t="str" cm="1">
        <f t="array" ref="BB421">SUBSTITUTE(SUBSTITUTE(_xlfn.SWITCH(AQ421, "ITM_T_HOME", "ITM_UP1", "ITM_T_END", "ITM_DOWN1", "DOCU_CHR_sub", "ITM_DOWN_ARROW", "DOCU_CHR_super", "ITM_UP_ARROW", "MNU_TAMALPHA", "ITM_alpha", "DOCU_CHR_caseFLIP", "ITM_NULL", "DOCU_CHR_numSET", "ITM_NULL", "DOCU_ITM_RADIX", "ITM_PERIOD", AQ421), ".lo", ),"MNU_", "-MNU_")</f>
        <v>ITM_H</v>
      </c>
      <c r="BC421" s="157" t="str" cm="1">
        <f t="array" ref="BC421">SUBSTITUTE(SUBSTITUTE(_xlfn.SWITCH(AR421, "ITM_T_HOME", "ITM_UP1", "ITM_T_END", "ITM_DOWN1", "DOCU_CHR_sub", "ITM_DOWN_ARROW", "DOCU_CHR_super", "ITM_UP_ARROW", "MNU_TAMALPHA", "ITM_alpha", "DOCU_CHR_caseFLIP", "ITM_NULL", "DOCU_CHR_numSET", "ITM_NULL", "DOCU_ITM_RADIX", "ITM_PERIOD", AR421), ".lo", ),"MNU_", "-MNU_")</f>
        <v>ITM_h</v>
      </c>
      <c r="BD421" s="157" t="str" cm="1">
        <f t="array" ref="BD421">SUBSTITUTE(SUBSTITUTE(_xlfn.SWITCH(AS421, "ITM_T_HOME", "ITM_UP1", "ITM_T_END", "ITM_DOWN1", "DOCU_CHR_sub", "ITM_DOWN_ARROW", "DOCU_CHR_super", "ITM_UP_ARROW", "MNU_TAMALPHA", "ITM_alpha", "DOCU_CHR_caseFLIP", "ITM_NULL", "DOCU_CHR_numSET", "ITM_NULL", "DOCU_ITM_RADIX", "ITM_PERIOD", AS421), ".lo", ),"MNU_", "-MNU_")</f>
        <v>ITM_DELTA</v>
      </c>
      <c r="BE421" s="157" t="str" cm="1">
        <f t="array" ref="BE421">SUBSTITUTE(SUBSTITUTE(_xlfn.SWITCH(AT421, "ITM_T_HOME", "ITM_UP1", "ITM_T_END", "ITM_DOWN1", "DOCU_CHR_sub", "ITM_DOWN_ARROW", "DOCU_CHR_super", "ITM_UP_ARROW", "MNU_TAMALPHA", "ITM_alpha", "DOCU_CHR_caseFLIP", "ITM_NULL", "DOCU_CHR_numSET", "ITM_NULL", "DOCU_ITM_RADIX", "ITM_PERIOD", AT421), ".lo", ),"MNU_", "-MNU_")</f>
        <v>ITM_REG_H</v>
      </c>
      <c r="BG421" s="75"/>
      <c r="BI421" s="13" t="str">
        <f t="shared" si="152"/>
        <v xml:space="preserve">  {32,                  ITM_RCL,              ITM_PC,               ITM_DELTAPC,          ITM_NULL,             ITM_H,                ITM_h,                ITM_DELTA,            ITM_REG_H           },</v>
      </c>
    </row>
    <row r="422" spans="15:61" ht="21" x14ac:dyDescent="0.2">
      <c r="T422" s="148" t="s">
        <v>135</v>
      </c>
      <c r="U422" s="149" t="s">
        <v>136</v>
      </c>
      <c r="V422" s="150" t="s">
        <v>137</v>
      </c>
      <c r="X422" s="141" t="str">
        <f t="shared" si="143"/>
        <v>R47</v>
      </c>
      <c r="Y422" s="142">
        <v>3</v>
      </c>
      <c r="Z422" s="142">
        <v>3</v>
      </c>
      <c r="AA422" s="144" t="str">
        <f t="shared" si="142"/>
        <v>R47.33</v>
      </c>
      <c r="AB422" s="148" t="s">
        <v>101</v>
      </c>
      <c r="AC422" s="149" t="s">
        <v>102</v>
      </c>
      <c r="AD422" s="150" t="s">
        <v>326</v>
      </c>
      <c r="AE422" s="3"/>
      <c r="AF422" s="52" t="s">
        <v>104</v>
      </c>
      <c r="AG422" s="77" t="b">
        <f t="shared" si="153"/>
        <v>1</v>
      </c>
      <c r="AH422" s="83" t="str">
        <f t="shared" si="144"/>
        <v>i</v>
      </c>
      <c r="AI422" s="84" t="str">
        <f t="shared" si="145"/>
        <v>pi</v>
      </c>
      <c r="AJ422" s="85" t="str">
        <f t="shared" si="146"/>
        <v>Reg I</v>
      </c>
      <c r="AK422" s="6"/>
      <c r="AL422" s="8" t="str">
        <f t="shared" si="147"/>
        <v>{33</v>
      </c>
      <c r="AM422" s="27" t="str">
        <f t="shared" si="148"/>
        <v>ITM_Rdown</v>
      </c>
      <c r="AN422" s="27" t="str">
        <f t="shared" si="149"/>
        <v>ITM_CONSTpi</v>
      </c>
      <c r="AO422" s="27" t="str">
        <f t="shared" si="150"/>
        <v>ITM_Rup</v>
      </c>
      <c r="AP422" s="46" t="str">
        <f>IF(NOT(ISNA(MATCH(AM422,Lookups!E:E,))),VLOOKUP(AM422,Lookups!E:F,2,0),
IF(NOT(ISNA(MATCH(AN422,Lookups!E:E,))),VLOOKUP(AN422,Lookups!E:F,2,0),
IF(NOT(ISNA(MATCH(AO422,Lookups!E:E,))),VLOOKUP(AO422,Lookups!E:F,2,0),"ITM_NULL")))</f>
        <v>ITM_NULL</v>
      </c>
      <c r="AQ422" s="28" t="str">
        <f t="shared" si="151"/>
        <v>ITM_I</v>
      </c>
      <c r="AR422" s="195" t="s">
        <v>105</v>
      </c>
      <c r="AS422" s="186" t="s">
        <v>106</v>
      </c>
      <c r="AT422" s="255" t="s">
        <v>107</v>
      </c>
      <c r="AW422" s="14" t="str">
        <f t="shared" si="154"/>
        <v>{33</v>
      </c>
      <c r="AX422" s="157" t="str" cm="1">
        <f t="array" ref="AX422">SUBSTITUTE(SUBSTITUTE(_xlfn.SWITCH(AM422, "ITM_T_HOME", "ITM_UP1", "ITM_T_END", "ITM_DOWN1", "DOCU_CHR_sub", "ITM_DOWN_ARROW", "DOCU_CHR_super", "ITM_UP_ARROW", "MNU_TAMALPHA", "ITM_alpha", "DOCU_CHR_caseFLIP", "ITM_NULL", "DOCU_CHR_numSET", "ITM_NULL", "DOCU_ITM_RADIX", "ITM_PERIOD", AM422), ".lo", ),"MNU_", "-MNU_")</f>
        <v>ITM_Rdown</v>
      </c>
      <c r="AY422" s="157" t="str" cm="1">
        <f t="array" ref="AY422">SUBSTITUTE(SUBSTITUTE(_xlfn.SWITCH(AN422, "ITM_T_HOME", "ITM_UP1", "ITM_T_END", "ITM_DOWN1", "DOCU_CHR_sub", "ITM_DOWN_ARROW", "DOCU_CHR_super", "ITM_UP_ARROW", "MNU_TAMALPHA", "ITM_alpha", "DOCU_CHR_caseFLIP", "ITM_NULL", "DOCU_CHR_numSET", "ITM_NULL", "DOCU_ITM_RADIX", "ITM_PERIOD", AN422), ".lo", ),"MNU_", "-MNU_")</f>
        <v>ITM_CONSTpi</v>
      </c>
      <c r="AZ422" s="157" t="str" cm="1">
        <f t="array" ref="AZ422">SUBSTITUTE(SUBSTITUTE(_xlfn.SWITCH(AO422, "ITM_T_HOME", "ITM_UP1", "ITM_T_END", "ITM_DOWN1", "DOCU_CHR_sub", "ITM_DOWN_ARROW", "DOCU_CHR_super", "ITM_UP_ARROW", "MNU_TAMALPHA", "ITM_alpha", "DOCU_CHR_caseFLIP", "ITM_NULL", "DOCU_CHR_numSET", "ITM_NULL", "DOCU_ITM_RADIX", "ITM_PERIOD", AO422), ".lo", ),"MNU_", "-MNU_")</f>
        <v>ITM_Rup</v>
      </c>
      <c r="BA422" s="173" t="str" cm="1">
        <f t="array" ref="BA422">SUBSTITUTE(SUBSTITUTE(_xlfn.SWITCH(AP422, "ITM_T_HOME", "ITM_UP1", "ITM_T_END", "ITM_DOWN1", "DOCU_CHR_sub", "ITM_DOWN_ARROW", "DOCU_CHR_super", "ITM_UP_ARROW", "MNU_TAMALPHA", "ITM_alpha", "DOCU_CHR_caseFLIP", "ITM_NULL", "DOCU_CHR_numSET", "ITM_NULL", "DOCU_ITM_RADIX", "ITM_PERIOD", AP422), ".lo", ),"MNU_", "-MNU_")</f>
        <v>ITM_NULL</v>
      </c>
      <c r="BB422" s="157" t="str" cm="1">
        <f t="array" ref="BB422">SUBSTITUTE(SUBSTITUTE(_xlfn.SWITCH(AQ422, "ITM_T_HOME", "ITM_UP1", "ITM_T_END", "ITM_DOWN1", "DOCU_CHR_sub", "ITM_DOWN_ARROW", "DOCU_CHR_super", "ITM_UP_ARROW", "MNU_TAMALPHA", "ITM_alpha", "DOCU_CHR_caseFLIP", "ITM_NULL", "DOCU_CHR_numSET", "ITM_NULL", "DOCU_ITM_RADIX", "ITM_PERIOD", AQ422), ".lo", ),"MNU_", "-MNU_")</f>
        <v>ITM_I</v>
      </c>
      <c r="BC422" s="157" t="str" cm="1">
        <f t="array" ref="BC422">SUBSTITUTE(SUBSTITUTE(_xlfn.SWITCH(AR422, "ITM_T_HOME", "ITM_UP1", "ITM_T_END", "ITM_DOWN1", "DOCU_CHR_sub", "ITM_DOWN_ARROW", "DOCU_CHR_super", "ITM_UP_ARROW", "MNU_TAMALPHA", "ITM_alpha", "DOCU_CHR_caseFLIP", "ITM_NULL", "DOCU_CHR_numSET", "ITM_NULL", "DOCU_ITM_RADIX", "ITM_PERIOD", AR422), ".lo", ),"MNU_", "-MNU_")</f>
        <v>ITM_i</v>
      </c>
      <c r="BD422" s="157" t="str" cm="1">
        <f t="array" ref="BD422">SUBSTITUTE(SUBSTITUTE(_xlfn.SWITCH(AS422, "ITM_T_HOME", "ITM_UP1", "ITM_T_END", "ITM_DOWN1", "DOCU_CHR_sub", "ITM_DOWN_ARROW", "DOCU_CHR_super", "ITM_UP_ARROW", "MNU_TAMALPHA", "ITM_alpha", "DOCU_CHR_caseFLIP", "ITM_NULL", "DOCU_CHR_numSET", "ITM_NULL", "DOCU_ITM_RADIX", "ITM_PERIOD", AS422), ".lo", ),"MNU_", "-MNU_")</f>
        <v>ITM_pi</v>
      </c>
      <c r="BE422" s="157" t="str" cm="1">
        <f t="array" ref="BE422">SUBSTITUTE(SUBSTITUTE(_xlfn.SWITCH(AT422, "ITM_T_HOME", "ITM_UP1", "ITM_T_END", "ITM_DOWN1", "DOCU_CHR_sub", "ITM_DOWN_ARROW", "DOCU_CHR_super", "ITM_UP_ARROW", "MNU_TAMALPHA", "ITM_alpha", "DOCU_CHR_caseFLIP", "ITM_NULL", "DOCU_CHR_numSET", "ITM_NULL", "DOCU_ITM_RADIX", "ITM_PERIOD", AT422), ".lo", ),"MNU_", "-MNU_")</f>
        <v>ITM_REG_I</v>
      </c>
      <c r="BG422" s="75"/>
      <c r="BI422" s="13" t="str">
        <f t="shared" si="152"/>
        <v xml:space="preserve">  {33,                  ITM_Rdown,            ITM_CONSTpi,          ITM_Rup,              ITM_NULL,             ITM_I,                ITM_i,                ITM_pi,               ITM_REG_I           },</v>
      </c>
    </row>
    <row r="423" spans="15:61" ht="21" x14ac:dyDescent="0.2">
      <c r="T423" s="148" t="s">
        <v>141</v>
      </c>
      <c r="U423" s="149" t="s">
        <v>644</v>
      </c>
      <c r="V423" s="150" t="s">
        <v>633</v>
      </c>
      <c r="X423" s="141" t="str">
        <f t="shared" si="143"/>
        <v>R47</v>
      </c>
      <c r="Y423" s="142">
        <v>3</v>
      </c>
      <c r="Z423" s="142">
        <v>4</v>
      </c>
      <c r="AA423" s="144" t="str">
        <f t="shared" si="142"/>
        <v>R47.34</v>
      </c>
      <c r="AB423" s="148" t="s">
        <v>446</v>
      </c>
      <c r="AC423" s="149" t="s">
        <v>227</v>
      </c>
      <c r="AD423" s="150" t="s">
        <v>222</v>
      </c>
      <c r="AE423" s="3"/>
      <c r="AF423" s="52" t="s">
        <v>111</v>
      </c>
      <c r="AG423" s="77" t="b">
        <f t="shared" si="153"/>
        <v>1</v>
      </c>
      <c r="AH423" s="83" t="str">
        <f t="shared" si="144"/>
        <v>j</v>
      </c>
      <c r="AI423" s="84" t="str">
        <f t="shared" si="145"/>
        <v>&lt;j&gt;</v>
      </c>
      <c r="AJ423" s="85" t="str">
        <f t="shared" si="146"/>
        <v>Reg J</v>
      </c>
      <c r="AK423" s="6"/>
      <c r="AL423" s="8" t="str">
        <f t="shared" si="147"/>
        <v>{34</v>
      </c>
      <c r="AM423" s="27" t="str">
        <f t="shared" si="148"/>
        <v>ITM_DRG</v>
      </c>
      <c r="AN423" s="27" t="str">
        <f t="shared" si="149"/>
        <v>ITM_USERMODE</v>
      </c>
      <c r="AO423" s="27" t="str">
        <f t="shared" si="150"/>
        <v>ITM_ASSIGN</v>
      </c>
      <c r="AP423" s="46" t="str">
        <f>IF(NOT(ISNA(MATCH(AM423,Lookups!E:E,))),VLOOKUP(AM423,Lookups!E:F,2,0),
IF(NOT(ISNA(MATCH(AN423,Lookups!E:E,))),VLOOKUP(AN423,Lookups!E:F,2,0),
IF(NOT(ISNA(MATCH(AO423,Lookups!E:E,))),VLOOKUP(AO423,Lookups!E:F,2,0),"ITM_NULL")))</f>
        <v>ITM_NULL</v>
      </c>
      <c r="AQ423" s="28" t="str">
        <f t="shared" si="151"/>
        <v>ITM_J</v>
      </c>
      <c r="AR423" s="195" t="s">
        <v>112</v>
      </c>
      <c r="AS423" s="186" t="s">
        <v>642</v>
      </c>
      <c r="AT423" s="255" t="s">
        <v>114</v>
      </c>
      <c r="AW423" s="14" t="str">
        <f t="shared" si="154"/>
        <v>{34</v>
      </c>
      <c r="AX423" s="157" t="str" cm="1">
        <f t="array" ref="AX423">SUBSTITUTE(SUBSTITUTE(_xlfn.SWITCH(AM423, "ITM_T_HOME", "ITM_UP1", "ITM_T_END", "ITM_DOWN1", "DOCU_CHR_sub", "ITM_DOWN_ARROW", "DOCU_CHR_super", "ITM_UP_ARROW", "MNU_TAMALPHA", "ITM_alpha", "DOCU_CHR_caseFLIP", "ITM_NULL", "DOCU_CHR_numSET", "ITM_NULL", "DOCU_ITM_RADIX", "ITM_PERIOD", AM423), ".lo", ),"MNU_", "-MNU_")</f>
        <v>ITM_DRG</v>
      </c>
      <c r="AY423" s="157" t="str" cm="1">
        <f t="array" ref="AY423">SUBSTITUTE(SUBSTITUTE(_xlfn.SWITCH(AN423, "ITM_T_HOME", "ITM_UP1", "ITM_T_END", "ITM_DOWN1", "DOCU_CHR_sub", "ITM_DOWN_ARROW", "DOCU_CHR_super", "ITM_UP_ARROW", "MNU_TAMALPHA", "ITM_alpha", "DOCU_CHR_caseFLIP", "ITM_NULL", "DOCU_CHR_numSET", "ITM_NULL", "DOCU_ITM_RADIX", "ITM_PERIOD", AN423), ".lo", ),"MNU_", "-MNU_")</f>
        <v>ITM_USERMODE</v>
      </c>
      <c r="AZ423" s="157" t="str" cm="1">
        <f t="array" ref="AZ423">SUBSTITUTE(SUBSTITUTE(_xlfn.SWITCH(AO423, "ITM_T_HOME", "ITM_UP1", "ITM_T_END", "ITM_DOWN1", "DOCU_CHR_sub", "ITM_DOWN_ARROW", "DOCU_CHR_super", "ITM_UP_ARROW", "MNU_TAMALPHA", "ITM_alpha", "DOCU_CHR_caseFLIP", "ITM_NULL", "DOCU_CHR_numSET", "ITM_NULL", "DOCU_ITM_RADIX", "ITM_PERIOD", AO423), ".lo", ),"MNU_", "-MNU_")</f>
        <v>ITM_ASSIGN</v>
      </c>
      <c r="BA423" s="173" t="str" cm="1">
        <f t="array" ref="BA423">SUBSTITUTE(SUBSTITUTE(_xlfn.SWITCH(AP423, "ITM_T_HOME", "ITM_UP1", "ITM_T_END", "ITM_DOWN1", "DOCU_CHR_sub", "ITM_DOWN_ARROW", "DOCU_CHR_super", "ITM_UP_ARROW", "MNU_TAMALPHA", "ITM_alpha", "DOCU_CHR_caseFLIP", "ITM_NULL", "DOCU_CHR_numSET", "ITM_NULL", "DOCU_ITM_RADIX", "ITM_PERIOD", AP423), ".lo", ),"MNU_", "-MNU_")</f>
        <v>ITM_NULL</v>
      </c>
      <c r="BB423" s="157" t="str" cm="1">
        <f t="array" ref="BB423">SUBSTITUTE(SUBSTITUTE(_xlfn.SWITCH(AQ423, "ITM_T_HOME", "ITM_UP1", "ITM_T_END", "ITM_DOWN1", "DOCU_CHR_sub", "ITM_DOWN_ARROW", "DOCU_CHR_super", "ITM_UP_ARROW", "MNU_TAMALPHA", "ITM_alpha", "DOCU_CHR_caseFLIP", "ITM_NULL", "DOCU_CHR_numSET", "ITM_NULL", "DOCU_ITM_RADIX", "ITM_PERIOD", AQ423), ".lo", ),"MNU_", "-MNU_")</f>
        <v>ITM_J</v>
      </c>
      <c r="BC423" s="157" t="str" cm="1">
        <f t="array" ref="BC423">SUBSTITUTE(SUBSTITUTE(_xlfn.SWITCH(AR423, "ITM_T_HOME", "ITM_UP1", "ITM_T_END", "ITM_DOWN1", "DOCU_CHR_sub", "ITM_DOWN_ARROW", "DOCU_CHR_super", "ITM_UP_ARROW", "MNU_TAMALPHA", "ITM_alpha", "DOCU_CHR_caseFLIP", "ITM_NULL", "DOCU_CHR_numSET", "ITM_NULL", "DOCU_ITM_RADIX", "ITM_PERIOD", AR423), ".lo", ),"MNU_", "-MNU_")</f>
        <v>ITM_j</v>
      </c>
      <c r="BD423" s="157" t="str" cm="1">
        <f t="array" ref="BD423">SUBSTITUTE(SUBSTITUTE(_xlfn.SWITCH(AS423, "ITM_T_HOME", "ITM_UP1", "ITM_T_END", "ITM_DOWN1", "DOCU_CHR_sub", "ITM_DOWN_ARROW", "DOCU_CHR_super", "ITM_UP_ARROW", "MNU_TAMALPHA", "ITM_alpha", "DOCU_CHR_caseFLIP", "ITM_NULL", "DOCU_CHR_numSET", "ITM_NULL", "DOCU_ITM_RADIX", "ITM_PERIOD", AS423), ".lo", ),"MNU_", "-MNU_")</f>
        <v>ITM_op_j_char</v>
      </c>
      <c r="BE423" s="157" t="str" cm="1">
        <f t="array" ref="BE423">SUBSTITUTE(SUBSTITUTE(_xlfn.SWITCH(AT423, "ITM_T_HOME", "ITM_UP1", "ITM_T_END", "ITM_DOWN1", "DOCU_CHR_sub", "ITM_DOWN_ARROW", "DOCU_CHR_super", "ITM_UP_ARROW", "MNU_TAMALPHA", "ITM_alpha", "DOCU_CHR_caseFLIP", "ITM_NULL", "DOCU_CHR_numSET", "ITM_NULL", "DOCU_ITM_RADIX", "ITM_PERIOD", AT423), ".lo", ),"MNU_", "-MNU_")</f>
        <v>ITM_REG_J</v>
      </c>
      <c r="BG423" s="75"/>
      <c r="BI423" s="13" t="str">
        <f t="shared" si="152"/>
        <v xml:space="preserve">  {34,                  ITM_DRG,              ITM_USERMODE,         ITM_ASSIGN,           ITM_NULL,             ITM_J,                ITM_j,                ITM_op_j_char,        ITM_REG_J           },</v>
      </c>
    </row>
    <row r="424" spans="15:61" ht="21" x14ac:dyDescent="0.2">
      <c r="T424" s="148" t="s">
        <v>147</v>
      </c>
      <c r="U424" s="149" t="s">
        <v>148</v>
      </c>
      <c r="V424" s="150" t="s">
        <v>149</v>
      </c>
      <c r="X424" s="141" t="str">
        <f t="shared" si="143"/>
        <v>R47</v>
      </c>
      <c r="Y424" s="142">
        <v>3</v>
      </c>
      <c r="Z424" s="142">
        <v>5</v>
      </c>
      <c r="AA424" s="144" t="str">
        <f t="shared" si="142"/>
        <v>R47.35</v>
      </c>
      <c r="AB424" s="121" t="s">
        <v>339</v>
      </c>
      <c r="AC424" s="151" t="s">
        <v>218</v>
      </c>
      <c r="AD424" s="151" t="s">
        <v>218</v>
      </c>
      <c r="AE424" s="3"/>
      <c r="AF424" s="121" t="s">
        <v>339</v>
      </c>
      <c r="AG424" s="77" t="b">
        <f t="shared" si="153"/>
        <v>0</v>
      </c>
      <c r="AH424" s="83" t="str">
        <f t="shared" si="144"/>
        <v>(FlipChar)</v>
      </c>
      <c r="AI424" s="84" t="str">
        <f t="shared" si="145"/>
        <v xml:space="preserve"> </v>
      </c>
      <c r="AJ424" s="85" t="str">
        <f t="shared" si="146"/>
        <v xml:space="preserve"> f </v>
      </c>
      <c r="AK424" s="6"/>
      <c r="AL424" s="8" t="str">
        <f t="shared" si="147"/>
        <v>{35</v>
      </c>
      <c r="AM424" s="27" t="str">
        <f t="shared" si="148"/>
        <v>ITM_SHIFTf</v>
      </c>
      <c r="AN424" s="27" t="str">
        <f t="shared" si="149"/>
        <v>ITM_NULL</v>
      </c>
      <c r="AO424" s="27" t="str">
        <f t="shared" si="150"/>
        <v>ITM_NULL</v>
      </c>
      <c r="AP424" s="46" t="str">
        <f>IF(NOT(ISNA(MATCH(AM424,Lookups!E:E,))),VLOOKUP(AM424,Lookups!E:F,2,0),
IF(NOT(ISNA(MATCH(AN424,Lookups!E:E,))),VLOOKUP(AN424,Lookups!E:F,2,0),
IF(NOT(ISNA(MATCH(AO424,Lookups!E:E,))),VLOOKUP(AO424,Lookups!E:F,2,0),"ITM_NULL")))</f>
        <v>ITM_SHIFTf</v>
      </c>
      <c r="AQ424" s="28" t="str">
        <f t="shared" si="151"/>
        <v>ITM_SHIFTf</v>
      </c>
      <c r="AR424" s="219" t="s">
        <v>219</v>
      </c>
      <c r="AS424" s="220" t="s">
        <v>81</v>
      </c>
      <c r="AT424" s="256" t="s">
        <v>340</v>
      </c>
      <c r="AW424" s="14" t="str">
        <f t="shared" si="154"/>
        <v>{35</v>
      </c>
      <c r="AX424" s="157" t="str" cm="1">
        <f t="array" ref="AX424">SUBSTITUTE(SUBSTITUTE(_xlfn.SWITCH(AM424, "ITM_T_HOME", "ITM_UP1", "ITM_T_END", "ITM_DOWN1", "DOCU_CHR_sub", "ITM_DOWN_ARROW", "DOCU_CHR_super", "ITM_UP_ARROW", "MNU_TAMALPHA", "ITM_alpha", "DOCU_CHR_caseFLIP", "ITM_NULL", "DOCU_CHR_numSET", "ITM_NULL", "DOCU_ITM_RADIX", "ITM_PERIOD", AM424), ".lo", ),"MNU_", "-MNU_")</f>
        <v>ITM_SHIFTf</v>
      </c>
      <c r="AY424" s="157" t="str" cm="1">
        <f t="array" ref="AY424">SUBSTITUTE(SUBSTITUTE(_xlfn.SWITCH(AN424, "ITM_T_HOME", "ITM_UP1", "ITM_T_END", "ITM_DOWN1", "DOCU_CHR_sub", "ITM_DOWN_ARROW", "DOCU_CHR_super", "ITM_UP_ARROW", "MNU_TAMALPHA", "ITM_alpha", "DOCU_CHR_caseFLIP", "ITM_NULL", "DOCU_CHR_numSET", "ITM_NULL", "DOCU_ITM_RADIX", "ITM_PERIOD", AN424), ".lo", ),"MNU_", "-MNU_")</f>
        <v>ITM_NULL</v>
      </c>
      <c r="AZ424" s="157" t="str" cm="1">
        <f t="array" ref="AZ424">SUBSTITUTE(SUBSTITUTE(_xlfn.SWITCH(AO424, "ITM_T_HOME", "ITM_UP1", "ITM_T_END", "ITM_DOWN1", "DOCU_CHR_sub", "ITM_DOWN_ARROW", "DOCU_CHR_super", "ITM_UP_ARROW", "MNU_TAMALPHA", "ITM_alpha", "DOCU_CHR_caseFLIP", "ITM_NULL", "DOCU_CHR_numSET", "ITM_NULL", "DOCU_ITM_RADIX", "ITM_PERIOD", AO424), ".lo", ),"MNU_", "-MNU_")</f>
        <v>ITM_NULL</v>
      </c>
      <c r="BA424" s="173" t="str" cm="1">
        <f t="array" ref="BA424">SUBSTITUTE(SUBSTITUTE(_xlfn.SWITCH(AP424, "ITM_T_HOME", "ITM_UP1", "ITM_T_END", "ITM_DOWN1", "DOCU_CHR_sub", "ITM_DOWN_ARROW", "DOCU_CHR_super", "ITM_UP_ARROW", "MNU_TAMALPHA", "ITM_alpha", "DOCU_CHR_caseFLIP", "ITM_NULL", "DOCU_CHR_numSET", "ITM_NULL", "DOCU_ITM_RADIX", "ITM_PERIOD", AP424), ".lo", ),"MNU_", "-MNU_")</f>
        <v>ITM_SHIFTf</v>
      </c>
      <c r="BB424" s="157" t="str" cm="1">
        <f t="array" ref="BB424">SUBSTITUTE(SUBSTITUTE(_xlfn.SWITCH(AQ424, "ITM_T_HOME", "ITM_UP1", "ITM_T_END", "ITM_DOWN1", "DOCU_CHR_sub", "ITM_DOWN_ARROW", "DOCU_CHR_super", "ITM_UP_ARROW", "MNU_TAMALPHA", "ITM_alpha", "DOCU_CHR_caseFLIP", "ITM_NULL", "DOCU_CHR_numSET", "ITM_NULL", "DOCU_ITM_RADIX", "ITM_PERIOD", AQ424), ".lo", ),"MNU_", "-MNU_")</f>
        <v>ITM_SHIFTf</v>
      </c>
      <c r="BC424" s="157" t="str" cm="1">
        <f t="array" ref="BC424">SUBSTITUTE(SUBSTITUTE(_xlfn.SWITCH(AR424, "ITM_T_HOME", "ITM_UP1", "ITM_T_END", "ITM_DOWN1", "DOCU_CHR_sub", "ITM_DOWN_ARROW", "DOCU_CHR_super", "ITM_UP_ARROW", "MNU_TAMALPHA", "ITM_alpha", "DOCU_CHR_caseFLIP", "ITM_NULL", "DOCU_CHR_numSET", "ITM_NULL", "DOCU_ITM_RADIX", "ITM_PERIOD", AR424), ".lo", ),"MNU_", "-MNU_")</f>
        <v>ITM_NULL</v>
      </c>
      <c r="BD424" s="157" t="str" cm="1">
        <f t="array" ref="BD424">SUBSTITUTE(SUBSTITUTE(_xlfn.SWITCH(AS424, "ITM_T_HOME", "ITM_UP1", "ITM_T_END", "ITM_DOWN1", "DOCU_CHR_sub", "ITM_DOWN_ARROW", "DOCU_CHR_super", "ITM_UP_ARROW", "MNU_TAMALPHA", "ITM_alpha", "DOCU_CHR_caseFLIP", "ITM_NULL", "DOCU_CHR_numSET", "ITM_NULL", "DOCU_ITM_RADIX", "ITM_PERIOD", AS424), ".lo", ),"MNU_", "-MNU_")</f>
        <v>ITM_NULL</v>
      </c>
      <c r="BE424" s="157" t="str" cm="1">
        <f t="array" ref="BE424">SUBSTITUTE(SUBSTITUTE(_xlfn.SWITCH(AT424, "ITM_T_HOME", "ITM_UP1", "ITM_T_END", "ITM_DOWN1", "DOCU_CHR_sub", "ITM_DOWN_ARROW", "DOCU_CHR_super", "ITM_UP_ARROW", "MNU_TAMALPHA", "ITM_alpha", "DOCU_CHR_caseFLIP", "ITM_NULL", "DOCU_CHR_numSET", "ITM_NULL", "DOCU_ITM_RADIX", "ITM_PERIOD", AT424), ".lo", ),"MNU_", "-MNU_")</f>
        <v>ITM_SHIFTf</v>
      </c>
      <c r="BG424" s="75"/>
      <c r="BI424" s="13" t="str">
        <f t="shared" si="152"/>
        <v xml:space="preserve">  {35,                  ITM_SHIFTf,           ITM_NULL,             ITM_NULL,             ITM_SHIFTf,           ITM_SHIFTf,           ITM_NULL,             ITM_NULL,             ITM_SHIFTf          },</v>
      </c>
    </row>
    <row r="425" spans="15:61" ht="21" x14ac:dyDescent="0.2">
      <c r="T425" s="148" t="s">
        <v>154</v>
      </c>
      <c r="U425" s="149" t="s">
        <v>155</v>
      </c>
      <c r="V425" s="150" t="s">
        <v>156</v>
      </c>
      <c r="X425" s="141" t="str">
        <f t="shared" si="143"/>
        <v>R47</v>
      </c>
      <c r="Y425" s="142">
        <v>3</v>
      </c>
      <c r="Z425" s="142">
        <v>6</v>
      </c>
      <c r="AA425" s="144" t="str">
        <f t="shared" si="142"/>
        <v>R47.36</v>
      </c>
      <c r="AB425" s="121" t="s">
        <v>341</v>
      </c>
      <c r="AC425" s="151" t="s">
        <v>218</v>
      </c>
      <c r="AD425" s="151" t="s">
        <v>218</v>
      </c>
      <c r="AE425" s="3"/>
      <c r="AF425" s="121" t="s">
        <v>341</v>
      </c>
      <c r="AG425" s="77" t="b">
        <f t="shared" si="153"/>
        <v>0</v>
      </c>
      <c r="AH425" s="83" t="str">
        <f t="shared" si="144"/>
        <v xml:space="preserve"> </v>
      </c>
      <c r="AI425" s="84" t="str">
        <f t="shared" si="145"/>
        <v>(Digit)</v>
      </c>
      <c r="AJ425" s="85" t="str">
        <f t="shared" si="146"/>
        <v xml:space="preserve"> g </v>
      </c>
      <c r="AK425" s="6"/>
      <c r="AL425" s="8" t="str">
        <f t="shared" si="147"/>
        <v>{36</v>
      </c>
      <c r="AM425" s="27" t="str">
        <f t="shared" si="148"/>
        <v>ITM_SHIFTg</v>
      </c>
      <c r="AN425" s="27" t="str">
        <f t="shared" si="149"/>
        <v>ITM_NULL</v>
      </c>
      <c r="AO425" s="27" t="str">
        <f t="shared" si="150"/>
        <v>ITM_NULL</v>
      </c>
      <c r="AP425" s="46" t="str">
        <f>IF(NOT(ISNA(MATCH(AM425,Lookups!E:E,))),VLOOKUP(AM425,Lookups!E:F,2,0),
IF(NOT(ISNA(MATCH(AN425,Lookups!E:E,))),VLOOKUP(AN425,Lookups!E:F,2,0),
IF(NOT(ISNA(MATCH(AO425,Lookups!E:E,))),VLOOKUP(AO425,Lookups!E:F,2,0),"ITM_NULL")))</f>
        <v>ITM_SHIFTg</v>
      </c>
      <c r="AQ425" s="28" t="str">
        <f t="shared" si="151"/>
        <v>ITM_SHIFTg</v>
      </c>
      <c r="AR425" s="219" t="s">
        <v>81</v>
      </c>
      <c r="AS425" s="220" t="s">
        <v>220</v>
      </c>
      <c r="AT425" s="256" t="s">
        <v>343</v>
      </c>
      <c r="AW425" s="14" t="str">
        <f t="shared" si="154"/>
        <v>{36</v>
      </c>
      <c r="AX425" s="157" t="str" cm="1">
        <f t="array" ref="AX425">SUBSTITUTE(SUBSTITUTE(_xlfn.SWITCH(AM425, "ITM_T_HOME", "ITM_UP1", "ITM_T_END", "ITM_DOWN1", "DOCU_CHR_sub", "ITM_DOWN_ARROW", "DOCU_CHR_super", "ITM_UP_ARROW", "MNU_TAMALPHA", "ITM_alpha", "DOCU_CHR_caseFLIP", "ITM_NULL", "DOCU_CHR_numSET", "ITM_NULL", "DOCU_ITM_RADIX", "ITM_PERIOD", AM425), ".lo", ),"MNU_", "-MNU_")</f>
        <v>ITM_SHIFTg</v>
      </c>
      <c r="AY425" s="157" t="str" cm="1">
        <f t="array" ref="AY425">SUBSTITUTE(SUBSTITUTE(_xlfn.SWITCH(AN425, "ITM_T_HOME", "ITM_UP1", "ITM_T_END", "ITM_DOWN1", "DOCU_CHR_sub", "ITM_DOWN_ARROW", "DOCU_CHR_super", "ITM_UP_ARROW", "MNU_TAMALPHA", "ITM_alpha", "DOCU_CHR_caseFLIP", "ITM_NULL", "DOCU_CHR_numSET", "ITM_NULL", "DOCU_ITM_RADIX", "ITM_PERIOD", AN425), ".lo", ),"MNU_", "-MNU_")</f>
        <v>ITM_NULL</v>
      </c>
      <c r="AZ425" s="157" t="str" cm="1">
        <f t="array" ref="AZ425">SUBSTITUTE(SUBSTITUTE(_xlfn.SWITCH(AO425, "ITM_T_HOME", "ITM_UP1", "ITM_T_END", "ITM_DOWN1", "DOCU_CHR_sub", "ITM_DOWN_ARROW", "DOCU_CHR_super", "ITM_UP_ARROW", "MNU_TAMALPHA", "ITM_alpha", "DOCU_CHR_caseFLIP", "ITM_NULL", "DOCU_CHR_numSET", "ITM_NULL", "DOCU_ITM_RADIX", "ITM_PERIOD", AO425), ".lo", ),"MNU_", "-MNU_")</f>
        <v>ITM_NULL</v>
      </c>
      <c r="BA425" s="173" t="str" cm="1">
        <f t="array" ref="BA425">SUBSTITUTE(SUBSTITUTE(_xlfn.SWITCH(AP425, "ITM_T_HOME", "ITM_UP1", "ITM_T_END", "ITM_DOWN1", "DOCU_CHR_sub", "ITM_DOWN_ARROW", "DOCU_CHR_super", "ITM_UP_ARROW", "MNU_TAMALPHA", "ITM_alpha", "DOCU_CHR_caseFLIP", "ITM_NULL", "DOCU_CHR_numSET", "ITM_NULL", "DOCU_ITM_RADIX", "ITM_PERIOD", AP425), ".lo", ),"MNU_", "-MNU_")</f>
        <v>ITM_SHIFTg</v>
      </c>
      <c r="BB425" s="157" t="str" cm="1">
        <f t="array" ref="BB425">SUBSTITUTE(SUBSTITUTE(_xlfn.SWITCH(AQ425, "ITM_T_HOME", "ITM_UP1", "ITM_T_END", "ITM_DOWN1", "DOCU_CHR_sub", "ITM_DOWN_ARROW", "DOCU_CHR_super", "ITM_UP_ARROW", "MNU_TAMALPHA", "ITM_alpha", "DOCU_CHR_caseFLIP", "ITM_NULL", "DOCU_CHR_numSET", "ITM_NULL", "DOCU_ITM_RADIX", "ITM_PERIOD", AQ425), ".lo", ),"MNU_", "-MNU_")</f>
        <v>ITM_SHIFTg</v>
      </c>
      <c r="BC425" s="157" t="str" cm="1">
        <f t="array" ref="BC425">SUBSTITUTE(SUBSTITUTE(_xlfn.SWITCH(AR425, "ITM_T_HOME", "ITM_UP1", "ITM_T_END", "ITM_DOWN1", "DOCU_CHR_sub", "ITM_DOWN_ARROW", "DOCU_CHR_super", "ITM_UP_ARROW", "MNU_TAMALPHA", "ITM_alpha", "DOCU_CHR_caseFLIP", "ITM_NULL", "DOCU_CHR_numSET", "ITM_NULL", "DOCU_ITM_RADIX", "ITM_PERIOD", AR425), ".lo", ),"MNU_", "-MNU_")</f>
        <v>ITM_NULL</v>
      </c>
      <c r="BD425" s="157" t="str" cm="1">
        <f t="array" ref="BD425">SUBSTITUTE(SUBSTITUTE(_xlfn.SWITCH(AS425, "ITM_T_HOME", "ITM_UP1", "ITM_T_END", "ITM_DOWN1", "DOCU_CHR_sub", "ITM_DOWN_ARROW", "DOCU_CHR_super", "ITM_UP_ARROW", "MNU_TAMALPHA", "ITM_alpha", "DOCU_CHR_caseFLIP", "ITM_NULL", "DOCU_CHR_numSET", "ITM_NULL", "DOCU_ITM_RADIX", "ITM_PERIOD", AS425), ".lo", ),"MNU_", "-MNU_")</f>
        <v>ITM_NULL</v>
      </c>
      <c r="BE425" s="157" t="str" cm="1">
        <f t="array" ref="BE425">SUBSTITUTE(SUBSTITUTE(_xlfn.SWITCH(AT425, "ITM_T_HOME", "ITM_UP1", "ITM_T_END", "ITM_DOWN1", "DOCU_CHR_sub", "ITM_DOWN_ARROW", "DOCU_CHR_super", "ITM_UP_ARROW", "MNU_TAMALPHA", "ITM_alpha", "DOCU_CHR_caseFLIP", "ITM_NULL", "DOCU_CHR_numSET", "ITM_NULL", "DOCU_ITM_RADIX", "ITM_PERIOD", AT425), ".lo", ),"MNU_", "-MNU_")</f>
        <v>ITM_SHIFTg</v>
      </c>
      <c r="BG425" s="75"/>
      <c r="BI425" s="13" t="str">
        <f t="shared" si="152"/>
        <v xml:space="preserve">  {36,                  ITM_SHIFTg,           ITM_NULL,             ITM_NULL,             ITM_SHIFTg,           ITM_SHIFTg,           ITM_NULL,             ITM_NULL,             ITM_SHIFTg          },</v>
      </c>
    </row>
    <row r="426" spans="15:61" ht="21" x14ac:dyDescent="0.2">
      <c r="T426" s="148" t="s">
        <v>82</v>
      </c>
      <c r="U426" s="118" t="s">
        <v>83</v>
      </c>
      <c r="V426" s="150" t="s">
        <v>84</v>
      </c>
      <c r="X426" s="141" t="str">
        <f t="shared" si="143"/>
        <v>R47</v>
      </c>
      <c r="Y426" s="138">
        <v>4</v>
      </c>
      <c r="Z426" s="138">
        <v>1</v>
      </c>
      <c r="AA426" s="144" t="str">
        <f t="shared" si="142"/>
        <v>R47.41</v>
      </c>
      <c r="AB426" s="148" t="s">
        <v>129</v>
      </c>
      <c r="AC426" s="149" t="s">
        <v>130</v>
      </c>
      <c r="AD426" s="150" t="s">
        <v>131</v>
      </c>
      <c r="AE426" s="3"/>
      <c r="AF426" s="52" t="s">
        <v>129</v>
      </c>
      <c r="AG426" s="77" t="b">
        <f t="shared" si="153"/>
        <v>0</v>
      </c>
      <c r="AH426" s="83" t="str">
        <f t="shared" si="144"/>
        <v>X.SWAP</v>
      </c>
      <c r="AI426" s="84" t="str">
        <f t="shared" si="145"/>
        <v>a.PARSE</v>
      </c>
      <c r="AJ426" s="85" t="str">
        <f t="shared" si="146"/>
        <v>ENTER</v>
      </c>
      <c r="AK426" s="6"/>
      <c r="AL426" s="8" t="str">
        <f t="shared" si="147"/>
        <v>{41</v>
      </c>
      <c r="AM426" s="27" t="str">
        <f t="shared" si="148"/>
        <v>ITM_ENTER</v>
      </c>
      <c r="AN426" s="27" t="str">
        <f t="shared" si="149"/>
        <v>KEY_COMPLEX</v>
      </c>
      <c r="AO426" s="27" t="str">
        <f t="shared" si="150"/>
        <v>MNU_CPX</v>
      </c>
      <c r="AP426" s="46" t="str">
        <f>IF(NOT(ISNA(MATCH(AM426,Lookups!E:E,))),VLOOKUP(AM426,Lookups!E:F,2,0),
IF(NOT(ISNA(MATCH(AN426,Lookups!E:E,))),VLOOKUP(AN426,Lookups!E:F,2,0),
IF(NOT(ISNA(MATCH(AO426,Lookups!E:E,))),VLOOKUP(AO426,Lookups!E:F,2,0),"ITM_NULL")))</f>
        <v>ITM_ENTER</v>
      </c>
      <c r="AQ426" s="28" t="str">
        <f t="shared" si="151"/>
        <v>ITM_ENTER</v>
      </c>
      <c r="AR426" s="198" t="s">
        <v>132</v>
      </c>
      <c r="AS426" s="186" t="s">
        <v>133</v>
      </c>
      <c r="AT426" s="255" t="s">
        <v>134</v>
      </c>
      <c r="AW426" s="14" t="str">
        <f t="shared" si="154"/>
        <v>{41</v>
      </c>
      <c r="AX426" s="157" t="str" cm="1">
        <f t="array" ref="AX426">SUBSTITUTE(SUBSTITUTE(_xlfn.SWITCH(AM426, "ITM_T_HOME", "ITM_UP1", "ITM_T_END", "ITM_DOWN1", "DOCU_CHR_sub", "ITM_DOWN_ARROW", "DOCU_CHR_super", "ITM_UP_ARROW", "MNU_TAMALPHA", "ITM_alpha", "DOCU_CHR_caseFLIP", "ITM_NULL", "DOCU_CHR_numSET", "ITM_NULL", "DOCU_ITM_RADIX", "ITM_PERIOD", AM426), ".lo", ),"MNU_", "-MNU_")</f>
        <v>ITM_ENTER</v>
      </c>
      <c r="AY426" s="157" t="str" cm="1">
        <f t="array" ref="AY426">SUBSTITUTE(SUBSTITUTE(_xlfn.SWITCH(AN426, "ITM_T_HOME", "ITM_UP1", "ITM_T_END", "ITM_DOWN1", "DOCU_CHR_sub", "ITM_DOWN_ARROW", "DOCU_CHR_super", "ITM_UP_ARROW", "MNU_TAMALPHA", "ITM_alpha", "DOCU_CHR_caseFLIP", "ITM_NULL", "DOCU_CHR_numSET", "ITM_NULL", "DOCU_ITM_RADIX", "ITM_PERIOD", AN426), ".lo", ),"MNU_", "-MNU_")</f>
        <v>KEY_COMPLEX</v>
      </c>
      <c r="AZ426" s="157" t="str" cm="1">
        <f t="array" ref="AZ426">SUBSTITUTE(SUBSTITUTE(_xlfn.SWITCH(AO426, "ITM_T_HOME", "ITM_UP1", "ITM_T_END", "ITM_DOWN1", "DOCU_CHR_sub", "ITM_DOWN_ARROW", "DOCU_CHR_super", "ITM_UP_ARROW", "MNU_TAMALPHA", "ITM_alpha", "DOCU_CHR_caseFLIP", "ITM_NULL", "DOCU_CHR_numSET", "ITM_NULL", "DOCU_ITM_RADIX", "ITM_PERIOD", AO426), ".lo", ),"MNU_", "-MNU_")</f>
        <v>-MNU_CPX</v>
      </c>
      <c r="BA426" s="173" t="str" cm="1">
        <f t="array" ref="BA426">SUBSTITUTE(SUBSTITUTE(_xlfn.SWITCH(AP426, "ITM_T_HOME", "ITM_UP1", "ITM_T_END", "ITM_DOWN1", "DOCU_CHR_sub", "ITM_DOWN_ARROW", "DOCU_CHR_super", "ITM_UP_ARROW", "MNU_TAMALPHA", "ITM_alpha", "DOCU_CHR_caseFLIP", "ITM_NULL", "DOCU_CHR_numSET", "ITM_NULL", "DOCU_ITM_RADIX", "ITM_PERIOD", AP426), ".lo", ),"MNU_", "-MNU_")</f>
        <v>ITM_ENTER</v>
      </c>
      <c r="BB426" s="157" t="str" cm="1">
        <f t="array" ref="BB426">SUBSTITUTE(SUBSTITUTE(_xlfn.SWITCH(AQ426, "ITM_T_HOME", "ITM_UP1", "ITM_T_END", "ITM_DOWN1", "DOCU_CHR_sub", "ITM_DOWN_ARROW", "DOCU_CHR_super", "ITM_UP_ARROW", "MNU_TAMALPHA", "ITM_alpha", "DOCU_CHR_caseFLIP", "ITM_NULL", "DOCU_CHR_numSET", "ITM_NULL", "DOCU_ITM_RADIX", "ITM_PERIOD", AQ426), ".lo", ),"MNU_", "-MNU_")</f>
        <v>ITM_ENTER</v>
      </c>
      <c r="BC426" s="157" t="str" cm="1">
        <f t="array" ref="BC426">SUBSTITUTE(SUBSTITUTE(_xlfn.SWITCH(AR426, "ITM_T_HOME", "ITM_UP1", "ITM_T_END", "ITM_DOWN1", "DOCU_CHR_sub", "ITM_DOWN_ARROW", "DOCU_CHR_super", "ITM_UP_ARROW", "MNU_TAMALPHA", "ITM_alpha", "DOCU_CHR_caseFLIP", "ITM_NULL", "DOCU_CHR_numSET", "ITM_NULL", "DOCU_ITM_RADIX", "ITM_PERIOD", AR426), ".lo", ),"MNU_", "-MNU_")</f>
        <v>ITM_XSWAP</v>
      </c>
      <c r="BD426" s="157" t="str" cm="1">
        <f t="array" ref="BD426">SUBSTITUTE(SUBSTITUTE(_xlfn.SWITCH(AS426, "ITM_T_HOME", "ITM_UP1", "ITM_T_END", "ITM_DOWN1", "DOCU_CHR_sub", "ITM_DOWN_ARROW", "DOCU_CHR_super", "ITM_UP_ARROW", "MNU_TAMALPHA", "ITM_alpha", "DOCU_CHR_caseFLIP", "ITM_NULL", "DOCU_CHR_numSET", "ITM_NULL", "DOCU_ITM_RADIX", "ITM_PERIOD", AS426), ".lo", ),"MNU_", "-MNU_")</f>
        <v>ITM_XPARSE</v>
      </c>
      <c r="BE426" s="157" t="str" cm="1">
        <f t="array" ref="BE426">SUBSTITUTE(SUBSTITUTE(_xlfn.SWITCH(AT426, "ITM_T_HOME", "ITM_UP1", "ITM_T_END", "ITM_DOWN1", "DOCU_CHR_sub", "ITM_DOWN_ARROW", "DOCU_CHR_super", "ITM_UP_ARROW", "MNU_TAMALPHA", "ITM_alpha", "DOCU_CHR_caseFLIP", "ITM_NULL", "DOCU_CHR_numSET", "ITM_NULL", "DOCU_ITM_RADIX", "ITM_PERIOD", AT426), ".lo", ),"MNU_", "-MNU_")</f>
        <v>ITM_ENTER</v>
      </c>
      <c r="BG426" s="75"/>
      <c r="BI426" s="13" t="str">
        <f t="shared" si="152"/>
        <v xml:space="preserve">  {41,                  ITM_ENTER,            KEY_COMPLEX,          -MNU_CPX,             ITM_ENTER,            ITM_ENTER,            ITM_XSWAP,            ITM_XPARSE,           ITM_ENTER           },</v>
      </c>
    </row>
    <row r="427" spans="15:61" ht="22" thickBot="1" x14ac:dyDescent="0.25">
      <c r="O427" s="1" t="s">
        <v>625</v>
      </c>
      <c r="T427" s="148">
        <v>7</v>
      </c>
      <c r="U427" s="149" t="s">
        <v>108</v>
      </c>
      <c r="V427" s="150" t="s">
        <v>109</v>
      </c>
      <c r="X427" s="141" t="str">
        <f t="shared" si="143"/>
        <v>R47</v>
      </c>
      <c r="Y427" s="142">
        <v>4</v>
      </c>
      <c r="Z427" s="142">
        <v>2</v>
      </c>
      <c r="AA427" s="144" t="str">
        <f t="shared" si="142"/>
        <v>R47.42</v>
      </c>
      <c r="AB427" s="148" t="s">
        <v>135</v>
      </c>
      <c r="AC427" s="149" t="s">
        <v>136</v>
      </c>
      <c r="AD427" s="150" t="s">
        <v>137</v>
      </c>
      <c r="AE427" s="3"/>
      <c r="AF427" s="52" t="s">
        <v>118</v>
      </c>
      <c r="AG427" s="77" t="b">
        <f t="shared" si="153"/>
        <v>1</v>
      </c>
      <c r="AH427" s="83" t="str">
        <f t="shared" si="144"/>
        <v>k</v>
      </c>
      <c r="AI427" s="84" t="str">
        <f t="shared" si="145"/>
        <v>&lt;&gt;</v>
      </c>
      <c r="AJ427" s="85" t="str">
        <f t="shared" si="146"/>
        <v>Reg K</v>
      </c>
      <c r="AK427" s="6"/>
      <c r="AL427" s="8" t="str">
        <f t="shared" si="147"/>
        <v>{42</v>
      </c>
      <c r="AM427" s="27" t="str">
        <f t="shared" si="148"/>
        <v>ITM_XexY</v>
      </c>
      <c r="AN427" s="27" t="str">
        <f t="shared" si="149"/>
        <v>ITM_LASTX</v>
      </c>
      <c r="AO427" s="27" t="str">
        <f t="shared" si="150"/>
        <v>MNU_STK</v>
      </c>
      <c r="AP427" s="46" t="str">
        <f>IF(NOT(ISNA(MATCH(AM427,Lookups!E:E,))),VLOOKUP(AM427,Lookups!E:F,2,0),
IF(NOT(ISNA(MATCH(AN427,Lookups!E:E,))),VLOOKUP(AN427,Lookups!E:F,2,0),
IF(NOT(ISNA(MATCH(AO427,Lookups!E:E,))),VLOOKUP(AO427,Lookups!E:F,2,0),"ITM_NULL")))</f>
        <v>ITM_ex</v>
      </c>
      <c r="AQ427" s="28" t="str">
        <f t="shared" si="151"/>
        <v>ITM_K</v>
      </c>
      <c r="AR427" s="195" t="s">
        <v>119</v>
      </c>
      <c r="AS427" s="186" t="s">
        <v>140</v>
      </c>
      <c r="AT427" s="255" t="s">
        <v>121</v>
      </c>
      <c r="AW427" s="14" t="str">
        <f t="shared" si="154"/>
        <v>{42</v>
      </c>
      <c r="AX427" s="157" t="str" cm="1">
        <f t="array" ref="AX427">SUBSTITUTE(SUBSTITUTE(_xlfn.SWITCH(AM427, "ITM_T_HOME", "ITM_UP1", "ITM_T_END", "ITM_DOWN1", "DOCU_CHR_sub", "ITM_DOWN_ARROW", "DOCU_CHR_super", "ITM_UP_ARROW", "MNU_TAMALPHA", "ITM_alpha", "DOCU_CHR_caseFLIP", "ITM_NULL", "DOCU_CHR_numSET", "ITM_NULL", "DOCU_ITM_RADIX", "ITM_PERIOD", AM427), ".lo", ),"MNU_", "-MNU_")</f>
        <v>ITM_XexY</v>
      </c>
      <c r="AY427" s="157" t="str" cm="1">
        <f t="array" ref="AY427">SUBSTITUTE(SUBSTITUTE(_xlfn.SWITCH(AN427, "ITM_T_HOME", "ITM_UP1", "ITM_T_END", "ITM_DOWN1", "DOCU_CHR_sub", "ITM_DOWN_ARROW", "DOCU_CHR_super", "ITM_UP_ARROW", "MNU_TAMALPHA", "ITM_alpha", "DOCU_CHR_caseFLIP", "ITM_NULL", "DOCU_CHR_numSET", "ITM_NULL", "DOCU_ITM_RADIX", "ITM_PERIOD", AN427), ".lo", ),"MNU_", "-MNU_")</f>
        <v>ITM_LASTX</v>
      </c>
      <c r="AZ427" s="157" t="str" cm="1">
        <f t="array" ref="AZ427">SUBSTITUTE(SUBSTITUTE(_xlfn.SWITCH(AO427, "ITM_T_HOME", "ITM_UP1", "ITM_T_END", "ITM_DOWN1", "DOCU_CHR_sub", "ITM_DOWN_ARROW", "DOCU_CHR_super", "ITM_UP_ARROW", "MNU_TAMALPHA", "ITM_alpha", "DOCU_CHR_caseFLIP", "ITM_NULL", "DOCU_CHR_numSET", "ITM_NULL", "DOCU_ITM_RADIX", "ITM_PERIOD", AO427), ".lo", ),"MNU_", "-MNU_")</f>
        <v>-MNU_STK</v>
      </c>
      <c r="BA427" s="173" t="str" cm="1">
        <f t="array" ref="BA427">SUBSTITUTE(SUBSTITUTE(_xlfn.SWITCH(AP427, "ITM_T_HOME", "ITM_UP1", "ITM_T_END", "ITM_DOWN1", "DOCU_CHR_sub", "ITM_DOWN_ARROW", "DOCU_CHR_super", "ITM_UP_ARROW", "MNU_TAMALPHA", "ITM_alpha", "DOCU_CHR_caseFLIP", "ITM_NULL", "DOCU_CHR_numSET", "ITM_NULL", "DOCU_ITM_RADIX", "ITM_PERIOD", AP427), ".lo", ),"MNU_", "-MNU_")</f>
        <v>ITM_ex</v>
      </c>
      <c r="BB427" s="157" t="str" cm="1">
        <f t="array" ref="BB427">SUBSTITUTE(SUBSTITUTE(_xlfn.SWITCH(AQ427, "ITM_T_HOME", "ITM_UP1", "ITM_T_END", "ITM_DOWN1", "DOCU_CHR_sub", "ITM_DOWN_ARROW", "DOCU_CHR_super", "ITM_UP_ARROW", "MNU_TAMALPHA", "ITM_alpha", "DOCU_CHR_caseFLIP", "ITM_NULL", "DOCU_CHR_numSET", "ITM_NULL", "DOCU_ITM_RADIX", "ITM_PERIOD", AQ427), ".lo", ),"MNU_", "-MNU_")</f>
        <v>ITM_K</v>
      </c>
      <c r="BC427" s="157" t="str" cm="1">
        <f t="array" ref="BC427">SUBSTITUTE(SUBSTITUTE(_xlfn.SWITCH(AR427, "ITM_T_HOME", "ITM_UP1", "ITM_T_END", "ITM_DOWN1", "DOCU_CHR_sub", "ITM_DOWN_ARROW", "DOCU_CHR_super", "ITM_UP_ARROW", "MNU_TAMALPHA", "ITM_alpha", "DOCU_CHR_caseFLIP", "ITM_NULL", "DOCU_CHR_numSET", "ITM_NULL", "DOCU_ITM_RADIX", "ITM_PERIOD", AR427), ".lo", ),"MNU_", "-MNU_")</f>
        <v>ITM_k</v>
      </c>
      <c r="BD427" s="157" t="str" cm="1">
        <f t="array" ref="BD427">SUBSTITUTE(SUBSTITUTE(_xlfn.SWITCH(AS427, "ITM_T_HOME", "ITM_UP1", "ITM_T_END", "ITM_DOWN1", "DOCU_CHR_sub", "ITM_DOWN_ARROW", "DOCU_CHR_super", "ITM_UP_ARROW", "MNU_TAMALPHA", "ITM_alpha", "DOCU_CHR_caseFLIP", "ITM_NULL", "DOCU_CHR_numSET", "ITM_NULL", "DOCU_ITM_RADIX", "ITM_PERIOD", AS427), ".lo", ),"MNU_", "-MNU_")</f>
        <v>ITM_ex</v>
      </c>
      <c r="BE427" s="157" t="str" cm="1">
        <f t="array" ref="BE427">SUBSTITUTE(SUBSTITUTE(_xlfn.SWITCH(AT427, "ITM_T_HOME", "ITM_UP1", "ITM_T_END", "ITM_DOWN1", "DOCU_CHR_sub", "ITM_DOWN_ARROW", "DOCU_CHR_super", "ITM_UP_ARROW", "MNU_TAMALPHA", "ITM_alpha", "DOCU_CHR_caseFLIP", "ITM_NULL", "DOCU_CHR_numSET", "ITM_NULL", "DOCU_ITM_RADIX", "ITM_PERIOD", AT427), ".lo", ),"MNU_", "-MNU_")</f>
        <v>ITM_REG_K</v>
      </c>
      <c r="BG427" s="75"/>
      <c r="BI427" s="13" t="str">
        <f t="shared" si="152"/>
        <v xml:space="preserve">  {42,                  ITM_XexY,             ITM_LASTX,            -MNU_STK,             ITM_ex,               ITM_K,                ITM_k,                ITM_ex,               ITM_REG_K           },</v>
      </c>
    </row>
    <row r="428" spans="15:61" ht="21" x14ac:dyDescent="0.2">
      <c r="O428" s="147" t="s">
        <v>626</v>
      </c>
      <c r="T428" s="148">
        <v>8</v>
      </c>
      <c r="U428" s="152" t="s">
        <v>115</v>
      </c>
      <c r="V428" s="150" t="s">
        <v>116</v>
      </c>
      <c r="X428" s="141" t="str">
        <f t="shared" si="143"/>
        <v>R47</v>
      </c>
      <c r="Y428" s="142">
        <v>4</v>
      </c>
      <c r="Z428" s="142">
        <v>3</v>
      </c>
      <c r="AA428" s="144" t="str">
        <f t="shared" si="142"/>
        <v>R47.43</v>
      </c>
      <c r="AB428" s="148" t="s">
        <v>141</v>
      </c>
      <c r="AC428" s="149" t="s">
        <v>148</v>
      </c>
      <c r="AD428" s="150" t="s">
        <v>633</v>
      </c>
      <c r="AE428" s="3"/>
      <c r="AF428" s="52" t="s">
        <v>125</v>
      </c>
      <c r="AG428" s="77" t="b">
        <f t="shared" si="153"/>
        <v>1</v>
      </c>
      <c r="AH428" s="83" t="str">
        <f t="shared" si="144"/>
        <v>l</v>
      </c>
      <c r="AI428" s="84" t="str">
        <f t="shared" si="145"/>
        <v>+/-</v>
      </c>
      <c r="AJ428" s="85" t="str">
        <f t="shared" si="146"/>
        <v>Reg L</v>
      </c>
      <c r="AK428" s="6"/>
      <c r="AL428" s="8" t="str">
        <f t="shared" si="147"/>
        <v>{43</v>
      </c>
      <c r="AM428" s="27" t="str">
        <f t="shared" si="148"/>
        <v>ITM_CHS</v>
      </c>
      <c r="AN428" s="27" t="str">
        <f t="shared" si="149"/>
        <v>MNU_DISP</v>
      </c>
      <c r="AO428" s="27" t="str">
        <f t="shared" si="150"/>
        <v>MNU_TRG</v>
      </c>
      <c r="AP428" s="46" t="str">
        <f>IF(NOT(ISNA(MATCH(AM428,Lookups!E:E,))),VLOOKUP(AM428,Lookups!E:F,2,0),
IF(NOT(ISNA(MATCH(AN428,Lookups!E:E,))),VLOOKUP(AN428,Lookups!E:F,2,0),
IF(NOT(ISNA(MATCH(AO428,Lookups!E:E,))),VLOOKUP(AO428,Lookups!E:F,2,0),"ITM_NULL")))</f>
        <v>ITM_PLUS_MINUS</v>
      </c>
      <c r="AQ428" s="28" t="str">
        <f t="shared" si="151"/>
        <v>ITM_L</v>
      </c>
      <c r="AR428" s="195" t="s">
        <v>126</v>
      </c>
      <c r="AS428" s="186" t="s">
        <v>146</v>
      </c>
      <c r="AT428" s="255" t="s">
        <v>128</v>
      </c>
      <c r="AW428" s="14" t="str">
        <f t="shared" si="154"/>
        <v>{43</v>
      </c>
      <c r="AX428" s="157" t="str" cm="1">
        <f t="array" ref="AX428">SUBSTITUTE(SUBSTITUTE(_xlfn.SWITCH(AM428, "ITM_T_HOME", "ITM_UP1", "ITM_T_END", "ITM_DOWN1", "DOCU_CHR_sub", "ITM_DOWN_ARROW", "DOCU_CHR_super", "ITM_UP_ARROW", "MNU_TAMALPHA", "ITM_alpha", "DOCU_CHR_caseFLIP", "ITM_NULL", "DOCU_CHR_numSET", "ITM_NULL", "DOCU_ITM_RADIX", "ITM_PERIOD", AM428), ".lo", ),"MNU_", "-MNU_")</f>
        <v>ITM_CHS</v>
      </c>
      <c r="AY428" s="157" t="str" cm="1">
        <f t="array" ref="AY428">SUBSTITUTE(SUBSTITUTE(_xlfn.SWITCH(AN428, "ITM_T_HOME", "ITM_UP1", "ITM_T_END", "ITM_DOWN1", "DOCU_CHR_sub", "ITM_DOWN_ARROW", "DOCU_CHR_super", "ITM_UP_ARROW", "MNU_TAMALPHA", "ITM_alpha", "DOCU_CHR_caseFLIP", "ITM_NULL", "DOCU_CHR_numSET", "ITM_NULL", "DOCU_ITM_RADIX", "ITM_PERIOD", AN428), ".lo", ),"MNU_", "-MNU_")</f>
        <v>-MNU_DISP</v>
      </c>
      <c r="AZ428" s="157" t="str" cm="1">
        <f t="array" ref="AZ428">SUBSTITUTE(SUBSTITUTE(_xlfn.SWITCH(AO428, "ITM_T_HOME", "ITM_UP1", "ITM_T_END", "ITM_DOWN1", "DOCU_CHR_sub", "ITM_DOWN_ARROW", "DOCU_CHR_super", "ITM_UP_ARROW", "MNU_TAMALPHA", "ITM_alpha", "DOCU_CHR_caseFLIP", "ITM_NULL", "DOCU_CHR_numSET", "ITM_NULL", "DOCU_ITM_RADIX", "ITM_PERIOD", AO428), ".lo", ),"MNU_", "-MNU_")</f>
        <v>-MNU_TRG</v>
      </c>
      <c r="BA428" s="173" t="str" cm="1">
        <f t="array" ref="BA428">SUBSTITUTE(SUBSTITUTE(_xlfn.SWITCH(AP428, "ITM_T_HOME", "ITM_UP1", "ITM_T_END", "ITM_DOWN1", "DOCU_CHR_sub", "ITM_DOWN_ARROW", "DOCU_CHR_super", "ITM_UP_ARROW", "MNU_TAMALPHA", "ITM_alpha", "DOCU_CHR_caseFLIP", "ITM_NULL", "DOCU_CHR_numSET", "ITM_NULL", "DOCU_ITM_RADIX", "ITM_PERIOD", AP428), ".lo", ),"MNU_", "-MNU_")</f>
        <v>ITM_PLUS_MINUS</v>
      </c>
      <c r="BB428" s="157" t="str" cm="1">
        <f t="array" ref="BB428">SUBSTITUTE(SUBSTITUTE(_xlfn.SWITCH(AQ428, "ITM_T_HOME", "ITM_UP1", "ITM_T_END", "ITM_DOWN1", "DOCU_CHR_sub", "ITM_DOWN_ARROW", "DOCU_CHR_super", "ITM_UP_ARROW", "MNU_TAMALPHA", "ITM_alpha", "DOCU_CHR_caseFLIP", "ITM_NULL", "DOCU_CHR_numSET", "ITM_NULL", "DOCU_ITM_RADIX", "ITM_PERIOD", AQ428), ".lo", ),"MNU_", "-MNU_")</f>
        <v>ITM_L</v>
      </c>
      <c r="BC428" s="157" t="str" cm="1">
        <f t="array" ref="BC428">SUBSTITUTE(SUBSTITUTE(_xlfn.SWITCH(AR428, "ITM_T_HOME", "ITM_UP1", "ITM_T_END", "ITM_DOWN1", "DOCU_CHR_sub", "ITM_DOWN_ARROW", "DOCU_CHR_super", "ITM_UP_ARROW", "MNU_TAMALPHA", "ITM_alpha", "DOCU_CHR_caseFLIP", "ITM_NULL", "DOCU_CHR_numSET", "ITM_NULL", "DOCU_ITM_RADIX", "ITM_PERIOD", AR428), ".lo", ),"MNU_", "-MNU_")</f>
        <v>ITM_l</v>
      </c>
      <c r="BD428" s="157" t="str" cm="1">
        <f t="array" ref="BD428">SUBSTITUTE(SUBSTITUTE(_xlfn.SWITCH(AS428, "ITM_T_HOME", "ITM_UP1", "ITM_T_END", "ITM_DOWN1", "DOCU_CHR_sub", "ITM_DOWN_ARROW", "DOCU_CHR_super", "ITM_UP_ARROW", "MNU_TAMALPHA", "ITM_alpha", "DOCU_CHR_caseFLIP", "ITM_NULL", "DOCU_CHR_numSET", "ITM_NULL", "DOCU_ITM_RADIX", "ITM_PERIOD", AS428), ".lo", ),"MNU_", "-MNU_")</f>
        <v>ITM_PLUS_MINUS</v>
      </c>
      <c r="BE428" s="157" t="str" cm="1">
        <f t="array" ref="BE428">SUBSTITUTE(SUBSTITUTE(_xlfn.SWITCH(AT428, "ITM_T_HOME", "ITM_UP1", "ITM_T_END", "ITM_DOWN1", "DOCU_CHR_sub", "ITM_DOWN_ARROW", "DOCU_CHR_super", "ITM_UP_ARROW", "MNU_TAMALPHA", "ITM_alpha", "DOCU_CHR_caseFLIP", "ITM_NULL", "DOCU_CHR_numSET", "ITM_NULL", "DOCU_ITM_RADIX", "ITM_PERIOD", AT428), ".lo", ),"MNU_", "-MNU_")</f>
        <v>ITM_REG_L</v>
      </c>
      <c r="BG428" s="75"/>
      <c r="BI428" s="13" t="str">
        <f t="shared" si="152"/>
        <v xml:space="preserve">  {43,                  ITM_CHS,              -MNU_DISP,            -MNU_TRG,             ITM_PLUS_MINUS,       ITM_L,                ITM_l,                ITM_PLUS_MINUS,       ITM_REG_L           },</v>
      </c>
    </row>
    <row r="429" spans="15:61" ht="21" x14ac:dyDescent="0.2">
      <c r="T429" s="148">
        <v>9</v>
      </c>
      <c r="U429" s="149" t="s">
        <v>122</v>
      </c>
      <c r="V429" s="150" t="s">
        <v>123</v>
      </c>
      <c r="X429" s="141" t="str">
        <f t="shared" si="143"/>
        <v>R47</v>
      </c>
      <c r="Y429" s="142">
        <v>4</v>
      </c>
      <c r="Z429" s="142">
        <v>4</v>
      </c>
      <c r="AA429" s="144" t="str">
        <f t="shared" si="142"/>
        <v>R47.44</v>
      </c>
      <c r="AB429" s="148" t="s">
        <v>147</v>
      </c>
      <c r="AC429" s="149" t="s">
        <v>644</v>
      </c>
      <c r="AD429" s="150" t="s">
        <v>149</v>
      </c>
      <c r="AE429" s="3"/>
      <c r="AF429" s="52" t="s">
        <v>138</v>
      </c>
      <c r="AG429" s="77" t="b">
        <f t="shared" si="153"/>
        <v>1</v>
      </c>
      <c r="AH429" s="83" t="str">
        <f t="shared" si="144"/>
        <v>m</v>
      </c>
      <c r="AI429" s="84" t="str">
        <f t="shared" si="145"/>
        <v>&lt;E&gt;</v>
      </c>
      <c r="AJ429" s="85" t="str">
        <f t="shared" si="146"/>
        <v>Reg M</v>
      </c>
      <c r="AK429" s="6"/>
      <c r="AL429" s="8" t="str">
        <f t="shared" si="147"/>
        <v>{44</v>
      </c>
      <c r="AM429" s="27" t="str">
        <f t="shared" si="148"/>
        <v>ITM_EXPONENT</v>
      </c>
      <c r="AN429" s="27" t="str">
        <f t="shared" si="149"/>
        <v>MNU_PREFIX</v>
      </c>
      <c r="AO429" s="27" t="str">
        <f t="shared" si="150"/>
        <v>MNU_EXP</v>
      </c>
      <c r="AP429" s="46" t="str">
        <f>IF(NOT(ISNA(MATCH(AM429,Lookups!E:E,))),VLOOKUP(AM429,Lookups!E:F,2,0),
IF(NOT(ISNA(MATCH(AN429,Lookups!E:E,))),VLOOKUP(AN429,Lookups!E:F,2,0),
IF(NOT(ISNA(MATCH(AO429,Lookups!E:E,))),VLOOKUP(AO429,Lookups!E:F,2,0),"ITM_NULL")))</f>
        <v>ITM_NULL</v>
      </c>
      <c r="AQ429" s="28" t="str">
        <f t="shared" si="151"/>
        <v>ITM_M</v>
      </c>
      <c r="AR429" s="195" t="s">
        <v>139</v>
      </c>
      <c r="AS429" s="186" t="s">
        <v>152</v>
      </c>
      <c r="AT429" s="255" t="s">
        <v>654</v>
      </c>
      <c r="AW429" s="14" t="str">
        <f t="shared" si="154"/>
        <v>{44</v>
      </c>
      <c r="AX429" s="157" t="str" cm="1">
        <f t="array" ref="AX429">SUBSTITUTE(SUBSTITUTE(_xlfn.SWITCH(AM429, "ITM_T_HOME", "ITM_UP1", "ITM_T_END", "ITM_DOWN1", "DOCU_CHR_sub", "ITM_DOWN_ARROW", "DOCU_CHR_super", "ITM_UP_ARROW", "MNU_TAMALPHA", "ITM_alpha", "DOCU_CHR_caseFLIP", "ITM_NULL", "DOCU_CHR_numSET", "ITM_NULL", "DOCU_ITM_RADIX", "ITM_PERIOD", AM429), ".lo", ),"MNU_", "-MNU_")</f>
        <v>ITM_EXPONENT</v>
      </c>
      <c r="AY429" s="157" t="str" cm="1">
        <f t="array" ref="AY429">SUBSTITUTE(SUBSTITUTE(_xlfn.SWITCH(AN429, "ITM_T_HOME", "ITM_UP1", "ITM_T_END", "ITM_DOWN1", "DOCU_CHR_sub", "ITM_DOWN_ARROW", "DOCU_CHR_super", "ITM_UP_ARROW", "MNU_TAMALPHA", "ITM_alpha", "DOCU_CHR_caseFLIP", "ITM_NULL", "DOCU_CHR_numSET", "ITM_NULL", "DOCU_ITM_RADIX", "ITM_PERIOD", AN429), ".lo", ),"MNU_", "-MNU_")</f>
        <v>-MNU_PREFIX</v>
      </c>
      <c r="AZ429" s="157" t="str" cm="1">
        <f t="array" ref="AZ429">SUBSTITUTE(SUBSTITUTE(_xlfn.SWITCH(AO429, "ITM_T_HOME", "ITM_UP1", "ITM_T_END", "ITM_DOWN1", "DOCU_CHR_sub", "ITM_DOWN_ARROW", "DOCU_CHR_super", "ITM_UP_ARROW", "MNU_TAMALPHA", "ITM_alpha", "DOCU_CHR_caseFLIP", "ITM_NULL", "DOCU_CHR_numSET", "ITM_NULL", "DOCU_ITM_RADIX", "ITM_PERIOD", AO429), ".lo", ),"MNU_", "-MNU_")</f>
        <v>-MNU_EXP</v>
      </c>
      <c r="BA429" s="173" t="str" cm="1">
        <f t="array" ref="BA429">SUBSTITUTE(SUBSTITUTE(_xlfn.SWITCH(AP429, "ITM_T_HOME", "ITM_UP1", "ITM_T_END", "ITM_DOWN1", "DOCU_CHR_sub", "ITM_DOWN_ARROW", "DOCU_CHR_super", "ITM_UP_ARROW", "MNU_TAMALPHA", "ITM_alpha", "DOCU_CHR_caseFLIP", "ITM_NULL", "DOCU_CHR_numSET", "ITM_NULL", "DOCU_ITM_RADIX", "ITM_PERIOD", AP429), ".lo", ),"MNU_", "-MNU_")</f>
        <v>ITM_NULL</v>
      </c>
      <c r="BB429" s="157" t="str" cm="1">
        <f t="array" ref="BB429">SUBSTITUTE(SUBSTITUTE(_xlfn.SWITCH(AQ429, "ITM_T_HOME", "ITM_UP1", "ITM_T_END", "ITM_DOWN1", "DOCU_CHR_sub", "ITM_DOWN_ARROW", "DOCU_CHR_super", "ITM_UP_ARROW", "MNU_TAMALPHA", "ITM_alpha", "DOCU_CHR_caseFLIP", "ITM_NULL", "DOCU_CHR_numSET", "ITM_NULL", "DOCU_ITM_RADIX", "ITM_PERIOD", AQ429), ".lo", ),"MNU_", "-MNU_")</f>
        <v>ITM_M</v>
      </c>
      <c r="BC429" s="157" t="str" cm="1">
        <f t="array" ref="BC429">SUBSTITUTE(SUBSTITUTE(_xlfn.SWITCH(AR429, "ITM_T_HOME", "ITM_UP1", "ITM_T_END", "ITM_DOWN1", "DOCU_CHR_sub", "ITM_DOWN_ARROW", "DOCU_CHR_super", "ITM_UP_ARROW", "MNU_TAMALPHA", "ITM_alpha", "DOCU_CHR_caseFLIP", "ITM_NULL", "DOCU_CHR_numSET", "ITM_NULL", "DOCU_ITM_RADIX", "ITM_PERIOD", AR429), ".lo", ),"MNU_", "-MNU_")</f>
        <v>ITM_m</v>
      </c>
      <c r="BD429" s="157" t="str" cm="1">
        <f t="array" ref="BD429">SUBSTITUTE(SUBSTITUTE(_xlfn.SWITCH(AS429, "ITM_T_HOME", "ITM_UP1", "ITM_T_END", "ITM_DOWN1", "DOCU_CHR_sub", "ITM_DOWN_ARROW", "DOCU_CHR_super", "ITM_UP_ARROW", "MNU_TAMALPHA", "ITM_alpha", "DOCU_CHR_caseFLIP", "ITM_NULL", "DOCU_CHR_numSET", "ITM_NULL", "DOCU_ITM_RADIX", "ITM_PERIOD", AS429), ".lo", ),"MNU_", "-MNU_")</f>
        <v>ITM_EEXCHR</v>
      </c>
      <c r="BE429" s="157" t="str" cm="1">
        <f t="array" ref="BE429">SUBSTITUTE(SUBSTITUTE(_xlfn.SWITCH(AT429, "ITM_T_HOME", "ITM_UP1", "ITM_T_END", "ITM_DOWN1", "DOCU_CHR_sub", "ITM_DOWN_ARROW", "DOCU_CHR_super", "ITM_UP_ARROW", "MNU_TAMALPHA", "ITM_alpha", "DOCU_CHR_caseFLIP", "ITM_NULL", "DOCU_CHR_numSET", "ITM_NULL", "DOCU_ITM_RADIX", "ITM_PERIOD", AT429), ".lo", ),"MNU_", "-MNU_")</f>
        <v>ITM_REG_M</v>
      </c>
      <c r="BG429" s="75"/>
      <c r="BI429" s="13" t="str">
        <f t="shared" si="152"/>
        <v xml:space="preserve">  {44,                  ITM_EXPONENT,         -MNU_PREFIX,          -MNU_EXP,             ITM_NULL,             ITM_M,                ITM_m,                ITM_EEXCHR,           ITM_REG_M           },</v>
      </c>
    </row>
    <row r="430" spans="15:61" ht="21" x14ac:dyDescent="0.2">
      <c r="T430" s="153" t="s">
        <v>181</v>
      </c>
      <c r="U430" s="149" t="s">
        <v>182</v>
      </c>
      <c r="V430" s="150" t="s">
        <v>183</v>
      </c>
      <c r="X430" s="141" t="str">
        <f t="shared" si="143"/>
        <v>R47</v>
      </c>
      <c r="Y430" s="142">
        <v>4</v>
      </c>
      <c r="Z430" s="142">
        <v>5</v>
      </c>
      <c r="AA430" s="144" t="str">
        <f t="shared" si="142"/>
        <v>R47.45</v>
      </c>
      <c r="AB430" s="148" t="s">
        <v>154</v>
      </c>
      <c r="AC430" s="149" t="s">
        <v>155</v>
      </c>
      <c r="AD430" s="150" t="s">
        <v>156</v>
      </c>
      <c r="AE430" s="3"/>
      <c r="AF430" s="52" t="s">
        <v>154</v>
      </c>
      <c r="AG430" s="77" t="b">
        <f t="shared" si="153"/>
        <v>0</v>
      </c>
      <c r="AH430" s="83" t="str">
        <f t="shared" si="144"/>
        <v>CLA</v>
      </c>
      <c r="AI430" s="84" t="str">
        <f t="shared" si="145"/>
        <v>CLA</v>
      </c>
      <c r="AJ430" s="85" t="str">
        <f t="shared" si="146"/>
        <v>&lt;=</v>
      </c>
      <c r="AK430" s="6"/>
      <c r="AL430" s="8" t="str">
        <f t="shared" si="147"/>
        <v>{45</v>
      </c>
      <c r="AM430" s="27" t="str">
        <f t="shared" si="148"/>
        <v>ITM_BACKSPACE</v>
      </c>
      <c r="AN430" s="27" t="str">
        <f t="shared" si="149"/>
        <v>ITM_UNDO</v>
      </c>
      <c r="AO430" s="27" t="str">
        <f t="shared" si="150"/>
        <v>MNU_CLR</v>
      </c>
      <c r="AP430" s="46" t="str">
        <f>IF(NOT(ISNA(MATCH(AM430,Lookups!E:E,))),VLOOKUP(AM430,Lookups!E:F,2,0),
IF(NOT(ISNA(MATCH(AN430,Lookups!E:E,))),VLOOKUP(AN430,Lookups!E:F,2,0),
IF(NOT(ISNA(MATCH(AO430,Lookups!E:E,))),VLOOKUP(AO430,Lookups!E:F,2,0),"ITM_NULL")))</f>
        <v>ITM_BACKSPACE</v>
      </c>
      <c r="AQ430" s="28" t="str">
        <f t="shared" si="151"/>
        <v>ITM_BACKSPACE</v>
      </c>
      <c r="AR430" s="198" t="s">
        <v>157</v>
      </c>
      <c r="AS430" s="186" t="s">
        <v>157</v>
      </c>
      <c r="AT430" s="255" t="s">
        <v>158</v>
      </c>
      <c r="AW430" s="14" t="str">
        <f t="shared" si="154"/>
        <v>{45</v>
      </c>
      <c r="AX430" s="157" t="str" cm="1">
        <f t="array" ref="AX430">SUBSTITUTE(SUBSTITUTE(_xlfn.SWITCH(AM430, "ITM_T_HOME", "ITM_UP1", "ITM_T_END", "ITM_DOWN1", "DOCU_CHR_sub", "ITM_DOWN_ARROW", "DOCU_CHR_super", "ITM_UP_ARROW", "MNU_TAMALPHA", "ITM_alpha", "DOCU_CHR_caseFLIP", "ITM_NULL", "DOCU_CHR_numSET", "ITM_NULL", "DOCU_ITM_RADIX", "ITM_PERIOD", AM430), ".lo", ),"MNU_", "-MNU_")</f>
        <v>ITM_BACKSPACE</v>
      </c>
      <c r="AY430" s="157" t="str" cm="1">
        <f t="array" ref="AY430">SUBSTITUTE(SUBSTITUTE(_xlfn.SWITCH(AN430, "ITM_T_HOME", "ITM_UP1", "ITM_T_END", "ITM_DOWN1", "DOCU_CHR_sub", "ITM_DOWN_ARROW", "DOCU_CHR_super", "ITM_UP_ARROW", "MNU_TAMALPHA", "ITM_alpha", "DOCU_CHR_caseFLIP", "ITM_NULL", "DOCU_CHR_numSET", "ITM_NULL", "DOCU_ITM_RADIX", "ITM_PERIOD", AN430), ".lo", ),"MNU_", "-MNU_")</f>
        <v>ITM_UNDO</v>
      </c>
      <c r="AZ430" s="157" t="str" cm="1">
        <f t="array" ref="AZ430">SUBSTITUTE(SUBSTITUTE(_xlfn.SWITCH(AO430, "ITM_T_HOME", "ITM_UP1", "ITM_T_END", "ITM_DOWN1", "DOCU_CHR_sub", "ITM_DOWN_ARROW", "DOCU_CHR_super", "ITM_UP_ARROW", "MNU_TAMALPHA", "ITM_alpha", "DOCU_CHR_caseFLIP", "ITM_NULL", "DOCU_CHR_numSET", "ITM_NULL", "DOCU_ITM_RADIX", "ITM_PERIOD", AO430), ".lo", ),"MNU_", "-MNU_")</f>
        <v>-MNU_CLR</v>
      </c>
      <c r="BA430" s="173" t="str" cm="1">
        <f t="array" ref="BA430">SUBSTITUTE(SUBSTITUTE(_xlfn.SWITCH(AP430, "ITM_T_HOME", "ITM_UP1", "ITM_T_END", "ITM_DOWN1", "DOCU_CHR_sub", "ITM_DOWN_ARROW", "DOCU_CHR_super", "ITM_UP_ARROW", "MNU_TAMALPHA", "ITM_alpha", "DOCU_CHR_caseFLIP", "ITM_NULL", "DOCU_CHR_numSET", "ITM_NULL", "DOCU_ITM_RADIX", "ITM_PERIOD", AP430), ".lo", ),"MNU_", "-MNU_")</f>
        <v>ITM_BACKSPACE</v>
      </c>
      <c r="BB430" s="157" t="str" cm="1">
        <f t="array" ref="BB430">SUBSTITUTE(SUBSTITUTE(_xlfn.SWITCH(AQ430, "ITM_T_HOME", "ITM_UP1", "ITM_T_END", "ITM_DOWN1", "DOCU_CHR_sub", "ITM_DOWN_ARROW", "DOCU_CHR_super", "ITM_UP_ARROW", "MNU_TAMALPHA", "ITM_alpha", "DOCU_CHR_caseFLIP", "ITM_NULL", "DOCU_CHR_numSET", "ITM_NULL", "DOCU_ITM_RADIX", "ITM_PERIOD", AQ430), ".lo", ),"MNU_", "-MNU_")</f>
        <v>ITM_BACKSPACE</v>
      </c>
      <c r="BC430" s="157" t="str" cm="1">
        <f t="array" ref="BC430">SUBSTITUTE(SUBSTITUTE(_xlfn.SWITCH(AR430, "ITM_T_HOME", "ITM_UP1", "ITM_T_END", "ITM_DOWN1", "DOCU_CHR_sub", "ITM_DOWN_ARROW", "DOCU_CHR_super", "ITM_UP_ARROW", "MNU_TAMALPHA", "ITM_alpha", "DOCU_CHR_caseFLIP", "ITM_NULL", "DOCU_CHR_numSET", "ITM_NULL", "DOCU_ITM_RADIX", "ITM_PERIOD", AR430), ".lo", ),"MNU_", "-MNU_")</f>
        <v>ITM_CLA</v>
      </c>
      <c r="BD430" s="157" t="str" cm="1">
        <f t="array" ref="BD430">SUBSTITUTE(SUBSTITUTE(_xlfn.SWITCH(AS430, "ITM_T_HOME", "ITM_UP1", "ITM_T_END", "ITM_DOWN1", "DOCU_CHR_sub", "ITM_DOWN_ARROW", "DOCU_CHR_super", "ITM_UP_ARROW", "MNU_TAMALPHA", "ITM_alpha", "DOCU_CHR_caseFLIP", "ITM_NULL", "DOCU_CHR_numSET", "ITM_NULL", "DOCU_ITM_RADIX", "ITM_PERIOD", AS430), ".lo", ),"MNU_", "-MNU_")</f>
        <v>ITM_CLA</v>
      </c>
      <c r="BE430" s="157" t="str" cm="1">
        <f t="array" ref="BE430">SUBSTITUTE(SUBSTITUTE(_xlfn.SWITCH(AT430, "ITM_T_HOME", "ITM_UP1", "ITM_T_END", "ITM_DOWN1", "DOCU_CHR_sub", "ITM_DOWN_ARROW", "DOCU_CHR_super", "ITM_UP_ARROW", "MNU_TAMALPHA", "ITM_alpha", "DOCU_CHR_caseFLIP", "ITM_NULL", "DOCU_CHR_numSET", "ITM_NULL", "DOCU_ITM_RADIX", "ITM_PERIOD", AT430), ".lo", ),"MNU_", "-MNU_")</f>
        <v>ITM_BACKSPACE</v>
      </c>
      <c r="BG430" s="75"/>
      <c r="BI430" s="13" t="str">
        <f t="shared" si="152"/>
        <v xml:space="preserve">  {45,                  ITM_BACKSPACE,        ITM_UNDO,             -MNU_CLR,             ITM_BACKSPACE,        ITM_BACKSPACE,        ITM_CLA,              ITM_CLA,              ITM_BACKSPACE       },</v>
      </c>
    </row>
    <row r="431" spans="15:61" ht="21" x14ac:dyDescent="0.2">
      <c r="T431" s="148" t="s">
        <v>159</v>
      </c>
      <c r="U431" s="149" t="s">
        <v>160</v>
      </c>
      <c r="V431" s="150" t="s">
        <v>161</v>
      </c>
      <c r="X431" s="141" t="str">
        <f t="shared" si="143"/>
        <v>R47</v>
      </c>
      <c r="Y431" s="138">
        <v>5</v>
      </c>
      <c r="Z431" s="138">
        <v>1</v>
      </c>
      <c r="AA431" s="144" t="str">
        <f t="shared" si="142"/>
        <v>R47.51</v>
      </c>
      <c r="AB431" s="148" t="s">
        <v>82</v>
      </c>
      <c r="AC431" s="118" t="s">
        <v>83</v>
      </c>
      <c r="AD431" s="150" t="s">
        <v>84</v>
      </c>
      <c r="AE431" s="3"/>
      <c r="AF431" s="218" t="s">
        <v>239</v>
      </c>
      <c r="AG431" s="77" t="b">
        <f t="shared" si="153"/>
        <v>0</v>
      </c>
      <c r="AH431" s="83" t="str">
        <f t="shared" si="144"/>
        <v>alpha</v>
      </c>
      <c r="AI431" s="84" t="str">
        <f t="shared" si="145"/>
        <v>Sigma</v>
      </c>
      <c r="AJ431" s="85" t="str">
        <f t="shared" si="146"/>
        <v>[TAMALPHA]</v>
      </c>
      <c r="AK431" s="6"/>
      <c r="AL431" s="8" t="str">
        <f t="shared" si="147"/>
        <v>{51</v>
      </c>
      <c r="AM431" s="27" t="str">
        <f t="shared" si="148"/>
        <v>ITM_XEQ</v>
      </c>
      <c r="AN431" s="27" t="str">
        <f t="shared" si="149"/>
        <v>ITM_AIM</v>
      </c>
      <c r="AO431" s="27" t="str">
        <f t="shared" si="150"/>
        <v>ITM_GTO</v>
      </c>
      <c r="AP431" s="46" t="str">
        <f>IF(NOT(ISNA(MATCH(AM431,Lookups!E:E,))),VLOOKUP(AM431,Lookups!E:F,2,0),
IF(NOT(ISNA(MATCH(AN431,Lookups!E:E,))),VLOOKUP(AN431,Lookups!E:F,2,0),
IF(NOT(ISNA(MATCH(AO431,Lookups!E:E,))),VLOOKUP(AO431,Lookups!E:F,2,0),"ITM_NULL")))</f>
        <v>ITM_NULL</v>
      </c>
      <c r="AQ431" s="28" t="str">
        <f t="shared" si="151"/>
        <v>ITM_UNDERSCORE</v>
      </c>
      <c r="AR431" s="219" t="s">
        <v>87</v>
      </c>
      <c r="AS431" s="220" t="s">
        <v>52</v>
      </c>
      <c r="AT431" s="197" t="s">
        <v>622</v>
      </c>
      <c r="AW431" s="14" t="str">
        <f t="shared" si="154"/>
        <v>{51</v>
      </c>
      <c r="AX431" s="157" t="str" cm="1">
        <f t="array" ref="AX431">SUBSTITUTE(SUBSTITUTE(_xlfn.SWITCH(AM431, "ITM_T_HOME", "ITM_UP1", "ITM_T_END", "ITM_DOWN1", "DOCU_CHR_sub", "ITM_DOWN_ARROW", "DOCU_CHR_super", "ITM_UP_ARROW", "MNU_TAMALPHA", "ITM_alpha", "DOCU_CHR_caseFLIP", "ITM_NULL", "DOCU_CHR_numSET", "ITM_NULL", "DOCU_ITM_RADIX", "ITM_PERIOD", AM431), ".lo", ),"MNU_", "-MNU_")</f>
        <v>ITM_XEQ</v>
      </c>
      <c r="AY431" s="157" t="str" cm="1">
        <f t="array" ref="AY431">SUBSTITUTE(SUBSTITUTE(_xlfn.SWITCH(AN431, "ITM_T_HOME", "ITM_UP1", "ITM_T_END", "ITM_DOWN1", "DOCU_CHR_sub", "ITM_DOWN_ARROW", "DOCU_CHR_super", "ITM_UP_ARROW", "MNU_TAMALPHA", "ITM_alpha", "DOCU_CHR_caseFLIP", "ITM_NULL", "DOCU_CHR_numSET", "ITM_NULL", "DOCU_ITM_RADIX", "ITM_PERIOD", AN431), ".lo", ),"MNU_", "-MNU_")</f>
        <v>ITM_AIM</v>
      </c>
      <c r="AZ431" s="157" t="str" cm="1">
        <f t="array" ref="AZ431">SUBSTITUTE(SUBSTITUTE(_xlfn.SWITCH(AO431, "ITM_T_HOME", "ITM_UP1", "ITM_T_END", "ITM_DOWN1", "DOCU_CHR_sub", "ITM_DOWN_ARROW", "DOCU_CHR_super", "ITM_UP_ARROW", "MNU_TAMALPHA", "ITM_alpha", "DOCU_CHR_caseFLIP", "ITM_NULL", "DOCU_CHR_numSET", "ITM_NULL", "DOCU_ITM_RADIX", "ITM_PERIOD", AO431), ".lo", ),"MNU_", "-MNU_")</f>
        <v>ITM_GTO</v>
      </c>
      <c r="BA431" s="173" t="str" cm="1">
        <f t="array" ref="BA431">SUBSTITUTE(SUBSTITUTE(_xlfn.SWITCH(AP431, "ITM_T_HOME", "ITM_UP1", "ITM_T_END", "ITM_DOWN1", "DOCU_CHR_sub", "ITM_DOWN_ARROW", "DOCU_CHR_super", "ITM_UP_ARROW", "MNU_TAMALPHA", "ITM_alpha", "DOCU_CHR_caseFLIP", "ITM_NULL", "DOCU_CHR_numSET", "ITM_NULL", "DOCU_ITM_RADIX", "ITM_PERIOD", AP431), ".lo", ),"MNU_", "-MNU_")</f>
        <v>ITM_NULL</v>
      </c>
      <c r="BB431" s="157" t="str" cm="1">
        <f t="array" ref="BB431">SUBSTITUTE(SUBSTITUTE(_xlfn.SWITCH(AQ431, "ITM_T_HOME", "ITM_UP1", "ITM_T_END", "ITM_DOWN1", "DOCU_CHR_sub", "ITM_DOWN_ARROW", "DOCU_CHR_super", "ITM_UP_ARROW", "MNU_TAMALPHA", "ITM_alpha", "DOCU_CHR_caseFLIP", "ITM_NULL", "DOCU_CHR_numSET", "ITM_NULL", "DOCU_ITM_RADIX", "ITM_PERIOD", AQ431), ".lo", ),"MNU_", "-MNU_")</f>
        <v>ITM_UNDERSCORE</v>
      </c>
      <c r="BC431" s="157" t="str" cm="1">
        <f t="array" ref="BC431">SUBSTITUTE(SUBSTITUTE(_xlfn.SWITCH(AR431, "ITM_T_HOME", "ITM_UP1", "ITM_T_END", "ITM_DOWN1", "DOCU_CHR_sub", "ITM_DOWN_ARROW", "DOCU_CHR_super", "ITM_UP_ARROW", "MNU_TAMALPHA", "ITM_alpha", "DOCU_CHR_caseFLIP", "ITM_NULL", "DOCU_CHR_numSET", "ITM_NULL", "DOCU_ITM_RADIX", "ITM_PERIOD", AR431), ".lo", ),"MNU_", "-MNU_")</f>
        <v>ITM_alpha</v>
      </c>
      <c r="BD431" s="157" t="str" cm="1">
        <f t="array" ref="BD431">SUBSTITUTE(SUBSTITUTE(_xlfn.SWITCH(AS431, "ITM_T_HOME", "ITM_UP1", "ITM_T_END", "ITM_DOWN1", "DOCU_CHR_sub", "ITM_DOWN_ARROW", "DOCU_CHR_super", "ITM_UP_ARROW", "MNU_TAMALPHA", "ITM_alpha", "DOCU_CHR_caseFLIP", "ITM_NULL", "DOCU_CHR_numSET", "ITM_NULL", "DOCU_ITM_RADIX", "ITM_PERIOD", AS431), ".lo", ),"MNU_", "-MNU_")</f>
        <v>ITM_SIGMA</v>
      </c>
      <c r="BE431" s="157" t="str" cm="1">
        <f t="array" ref="BE431">SUBSTITUTE(SUBSTITUTE(_xlfn.SWITCH(AT431, "ITM_T_HOME", "ITM_UP1", "ITM_T_END", "ITM_DOWN1", "DOCU_CHR_sub", "ITM_DOWN_ARROW", "DOCU_CHR_super", "ITM_UP_ARROW", "MNU_TAMALPHA", "ITM_alpha", "DOCU_CHR_caseFLIP", "ITM_NULL", "DOCU_CHR_numSET", "ITM_NULL", "DOCU_ITM_RADIX", "ITM_PERIOD", AT431), ".lo", ),"MNU_", "-MNU_")</f>
        <v>ITM_alpha</v>
      </c>
      <c r="BG431" s="75"/>
      <c r="BI431" s="13" t="str">
        <f t="shared" si="152"/>
        <v xml:space="preserve">  {51,                  ITM_XEQ,              ITM_AIM,              ITM_GTO,              ITM_NULL,             ITM_UNDERSCORE,       ITM_alpha,            ITM_SIGMA,            ITM_alpha           },</v>
      </c>
    </row>
    <row r="432" spans="15:61" ht="21" x14ac:dyDescent="0.2">
      <c r="T432" s="148">
        <v>4</v>
      </c>
      <c r="U432" s="149" t="s">
        <v>195</v>
      </c>
      <c r="V432" s="150" t="s">
        <v>196</v>
      </c>
      <c r="X432" s="141" t="str">
        <f t="shared" si="143"/>
        <v>R47</v>
      </c>
      <c r="Y432" s="142">
        <v>5</v>
      </c>
      <c r="Z432" s="142">
        <v>2</v>
      </c>
      <c r="AA432" s="144" t="str">
        <f t="shared" si="142"/>
        <v>R47.52</v>
      </c>
      <c r="AB432" s="148">
        <v>7</v>
      </c>
      <c r="AC432" s="149" t="s">
        <v>108</v>
      </c>
      <c r="AD432" s="150" t="s">
        <v>109</v>
      </c>
      <c r="AE432" s="3"/>
      <c r="AF432" s="52" t="s">
        <v>144</v>
      </c>
      <c r="AG432" s="77" t="b">
        <f t="shared" si="153"/>
        <v>1</v>
      </c>
      <c r="AH432" s="83" t="str">
        <f t="shared" si="144"/>
        <v>n</v>
      </c>
      <c r="AI432" s="84">
        <f t="shared" si="145"/>
        <v>7</v>
      </c>
      <c r="AJ432" s="85">
        <f t="shared" si="146"/>
        <v>7</v>
      </c>
      <c r="AK432" s="6"/>
      <c r="AL432" s="8" t="str">
        <f t="shared" si="147"/>
        <v>{52</v>
      </c>
      <c r="AM432" s="27" t="str">
        <f t="shared" ref="AM432:AM450" si="155">VLOOKUP(AB432,labelitem,2,0)</f>
        <v>ITM_7</v>
      </c>
      <c r="AN432" s="27" t="str">
        <f t="shared" si="149"/>
        <v>ITM_sin</v>
      </c>
      <c r="AO432" s="27" t="str">
        <f t="shared" si="150"/>
        <v>ITM_arcsin</v>
      </c>
      <c r="AP432" s="46" t="str">
        <f>IF(NOT(ISNA(MATCH(AM432,Lookups!E:E,))),VLOOKUP(AM432,Lookups!E:F,2,0),
IF(NOT(ISNA(MATCH(AN432,Lookups!E:E,))),VLOOKUP(AN432,Lookups!E:F,2,0),
IF(NOT(ISNA(MATCH(AO432,Lookups!E:E,))),VLOOKUP(AO432,Lookups!E:F,2,0),"ITM_NULL")))</f>
        <v>ITM_7</v>
      </c>
      <c r="AQ432" s="28" t="str">
        <f t="shared" si="151"/>
        <v>ITM_N</v>
      </c>
      <c r="AR432" s="195" t="s">
        <v>145</v>
      </c>
      <c r="AS432" s="186" t="s">
        <v>170</v>
      </c>
      <c r="AT432" s="197" t="s">
        <v>170</v>
      </c>
      <c r="AW432" s="14" t="str">
        <f t="shared" si="154"/>
        <v>{52</v>
      </c>
      <c r="AX432" s="157" t="str" cm="1">
        <f t="array" ref="AX432">SUBSTITUTE(SUBSTITUTE(_xlfn.SWITCH(AM432, "ITM_T_HOME", "ITM_UP1", "ITM_T_END", "ITM_DOWN1", "DOCU_CHR_sub", "ITM_DOWN_ARROW", "DOCU_CHR_super", "ITM_UP_ARROW", "MNU_TAMALPHA", "ITM_alpha", "DOCU_CHR_caseFLIP", "ITM_NULL", "DOCU_CHR_numSET", "ITM_NULL", "DOCU_ITM_RADIX", "ITM_PERIOD", AM432), ".lo", ),"MNU_", "-MNU_")</f>
        <v>ITM_7</v>
      </c>
      <c r="AY432" s="157" t="str" cm="1">
        <f t="array" ref="AY432">SUBSTITUTE(SUBSTITUTE(_xlfn.SWITCH(AN432, "ITM_T_HOME", "ITM_UP1", "ITM_T_END", "ITM_DOWN1", "DOCU_CHR_sub", "ITM_DOWN_ARROW", "DOCU_CHR_super", "ITM_UP_ARROW", "MNU_TAMALPHA", "ITM_alpha", "DOCU_CHR_caseFLIP", "ITM_NULL", "DOCU_CHR_numSET", "ITM_NULL", "DOCU_ITM_RADIX", "ITM_PERIOD", AN432), ".lo", ),"MNU_", "-MNU_")</f>
        <v>ITM_sin</v>
      </c>
      <c r="AZ432" s="157" t="str" cm="1">
        <f t="array" ref="AZ432">SUBSTITUTE(SUBSTITUTE(_xlfn.SWITCH(AO432, "ITM_T_HOME", "ITM_UP1", "ITM_T_END", "ITM_DOWN1", "DOCU_CHR_sub", "ITM_DOWN_ARROW", "DOCU_CHR_super", "ITM_UP_ARROW", "MNU_TAMALPHA", "ITM_alpha", "DOCU_CHR_caseFLIP", "ITM_NULL", "DOCU_CHR_numSET", "ITM_NULL", "DOCU_ITM_RADIX", "ITM_PERIOD", AO432), ".lo", ),"MNU_", "-MNU_")</f>
        <v>ITM_arcsin</v>
      </c>
      <c r="BA432" s="173" t="str" cm="1">
        <f t="array" ref="BA432">SUBSTITUTE(SUBSTITUTE(_xlfn.SWITCH(AP432, "ITM_T_HOME", "ITM_UP1", "ITM_T_END", "ITM_DOWN1", "DOCU_CHR_sub", "ITM_DOWN_ARROW", "DOCU_CHR_super", "ITM_UP_ARROW", "MNU_TAMALPHA", "ITM_alpha", "DOCU_CHR_caseFLIP", "ITM_NULL", "DOCU_CHR_numSET", "ITM_NULL", "DOCU_ITM_RADIX", "ITM_PERIOD", AP432), ".lo", ),"MNU_", "-MNU_")</f>
        <v>ITM_7</v>
      </c>
      <c r="BB432" s="157" t="str" cm="1">
        <f t="array" ref="BB432">SUBSTITUTE(SUBSTITUTE(_xlfn.SWITCH(AQ432, "ITM_T_HOME", "ITM_UP1", "ITM_T_END", "ITM_DOWN1", "DOCU_CHR_sub", "ITM_DOWN_ARROW", "DOCU_CHR_super", "ITM_UP_ARROW", "MNU_TAMALPHA", "ITM_alpha", "DOCU_CHR_caseFLIP", "ITM_NULL", "DOCU_CHR_numSET", "ITM_NULL", "DOCU_ITM_RADIX", "ITM_PERIOD", AQ432), ".lo", ),"MNU_", "-MNU_")</f>
        <v>ITM_N</v>
      </c>
      <c r="BC432" s="157" t="str" cm="1">
        <f t="array" ref="BC432">SUBSTITUTE(SUBSTITUTE(_xlfn.SWITCH(AR432, "ITM_T_HOME", "ITM_UP1", "ITM_T_END", "ITM_DOWN1", "DOCU_CHR_sub", "ITM_DOWN_ARROW", "DOCU_CHR_super", "ITM_UP_ARROW", "MNU_TAMALPHA", "ITM_alpha", "DOCU_CHR_caseFLIP", "ITM_NULL", "DOCU_CHR_numSET", "ITM_NULL", "DOCU_ITM_RADIX", "ITM_PERIOD", AR432), ".lo", ),"MNU_", "-MNU_")</f>
        <v>ITM_n</v>
      </c>
      <c r="BD432" s="157" t="str" cm="1">
        <f t="array" ref="BD432">SUBSTITUTE(SUBSTITUTE(_xlfn.SWITCH(AS432, "ITM_T_HOME", "ITM_UP1", "ITM_T_END", "ITM_DOWN1", "DOCU_CHR_sub", "ITM_DOWN_ARROW", "DOCU_CHR_super", "ITM_UP_ARROW", "MNU_TAMALPHA", "ITM_alpha", "DOCU_CHR_caseFLIP", "ITM_NULL", "DOCU_CHR_numSET", "ITM_NULL", "DOCU_ITM_RADIX", "ITM_PERIOD", AS432), ".lo", ),"MNU_", "-MNU_")</f>
        <v>ITM_7</v>
      </c>
      <c r="BE432" s="157" t="str" cm="1">
        <f t="array" ref="BE432">SUBSTITUTE(SUBSTITUTE(_xlfn.SWITCH(AT432, "ITM_T_HOME", "ITM_UP1", "ITM_T_END", "ITM_DOWN1", "DOCU_CHR_sub", "ITM_DOWN_ARROW", "DOCU_CHR_super", "ITM_UP_ARROW", "MNU_TAMALPHA", "ITM_alpha", "DOCU_CHR_caseFLIP", "ITM_NULL", "DOCU_CHR_numSET", "ITM_NULL", "DOCU_ITM_RADIX", "ITM_PERIOD", AT432), ".lo", ),"MNU_", "-MNU_")</f>
        <v>ITM_7</v>
      </c>
      <c r="BG432" s="75"/>
      <c r="BI432" s="13" t="str">
        <f t="shared" si="152"/>
        <v xml:space="preserve">  {52,                  ITM_7,                ITM_sin,              ITM_arcsin,           ITM_7,                ITM_N,                ITM_n,                ITM_7,                ITM_7               },</v>
      </c>
    </row>
    <row r="433" spans="20:61" ht="21" x14ac:dyDescent="0.2">
      <c r="T433" s="148">
        <v>5</v>
      </c>
      <c r="U433" s="149" t="s">
        <v>212</v>
      </c>
      <c r="V433" s="150" t="s">
        <v>206</v>
      </c>
      <c r="X433" s="141" t="str">
        <f t="shared" si="143"/>
        <v>R47</v>
      </c>
      <c r="Y433" s="142">
        <v>5</v>
      </c>
      <c r="Z433" s="142">
        <v>3</v>
      </c>
      <c r="AA433" s="144" t="str">
        <f t="shared" si="142"/>
        <v>R47.53</v>
      </c>
      <c r="AB433" s="148">
        <v>8</v>
      </c>
      <c r="AC433" s="152" t="s">
        <v>115</v>
      </c>
      <c r="AD433" s="150" t="s">
        <v>116</v>
      </c>
      <c r="AE433" s="3"/>
      <c r="AF433" s="52" t="s">
        <v>150</v>
      </c>
      <c r="AG433" s="77" t="b">
        <f t="shared" si="153"/>
        <v>1</v>
      </c>
      <c r="AH433" s="83" t="str">
        <f t="shared" si="144"/>
        <v>o</v>
      </c>
      <c r="AI433" s="84">
        <f t="shared" si="145"/>
        <v>8</v>
      </c>
      <c r="AJ433" s="85">
        <f t="shared" si="146"/>
        <v>8</v>
      </c>
      <c r="AK433" s="6"/>
      <c r="AL433" s="8" t="str">
        <f t="shared" si="147"/>
        <v>{53</v>
      </c>
      <c r="AM433" s="27" t="str">
        <f t="shared" si="155"/>
        <v>ITM_8</v>
      </c>
      <c r="AN433" s="27" t="str">
        <f t="shared" si="149"/>
        <v>ITM_cos</v>
      </c>
      <c r="AO433" s="27" t="str">
        <f t="shared" si="150"/>
        <v>ITM_arccos</v>
      </c>
      <c r="AP433" s="46" t="str">
        <f>IF(NOT(ISNA(MATCH(AM433,Lookups!E:E,))),VLOOKUP(AM433,Lookups!E:F,2,0),
IF(NOT(ISNA(MATCH(AN433,Lookups!E:E,))),VLOOKUP(AN433,Lookups!E:F,2,0),
IF(NOT(ISNA(MATCH(AO433,Lookups!E:E,))),VLOOKUP(AO433,Lookups!E:F,2,0),"ITM_NULL")))</f>
        <v>ITM_8</v>
      </c>
      <c r="AQ433" s="28" t="str">
        <f t="shared" si="151"/>
        <v>ITM_O</v>
      </c>
      <c r="AR433" s="195" t="s">
        <v>151</v>
      </c>
      <c r="AS433" s="186" t="s">
        <v>175</v>
      </c>
      <c r="AT433" s="197" t="s">
        <v>175</v>
      </c>
      <c r="AW433" s="14" t="str">
        <f t="shared" si="154"/>
        <v>{53</v>
      </c>
      <c r="AX433" s="157" t="str" cm="1">
        <f t="array" ref="AX433">SUBSTITUTE(SUBSTITUTE(_xlfn.SWITCH(AM433, "ITM_T_HOME", "ITM_UP1", "ITM_T_END", "ITM_DOWN1", "DOCU_CHR_sub", "ITM_DOWN_ARROW", "DOCU_CHR_super", "ITM_UP_ARROW", "MNU_TAMALPHA", "ITM_alpha", "DOCU_CHR_caseFLIP", "ITM_NULL", "DOCU_CHR_numSET", "ITM_NULL", "DOCU_ITM_RADIX", "ITM_PERIOD", AM433), ".lo", ),"MNU_", "-MNU_")</f>
        <v>ITM_8</v>
      </c>
      <c r="AY433" s="157" t="str" cm="1">
        <f t="array" ref="AY433">SUBSTITUTE(SUBSTITUTE(_xlfn.SWITCH(AN433, "ITM_T_HOME", "ITM_UP1", "ITM_T_END", "ITM_DOWN1", "DOCU_CHR_sub", "ITM_DOWN_ARROW", "DOCU_CHR_super", "ITM_UP_ARROW", "MNU_TAMALPHA", "ITM_alpha", "DOCU_CHR_caseFLIP", "ITM_NULL", "DOCU_CHR_numSET", "ITM_NULL", "DOCU_ITM_RADIX", "ITM_PERIOD", AN433), ".lo", ),"MNU_", "-MNU_")</f>
        <v>ITM_cos</v>
      </c>
      <c r="AZ433" s="157" t="str" cm="1">
        <f t="array" ref="AZ433">SUBSTITUTE(SUBSTITUTE(_xlfn.SWITCH(AO433, "ITM_T_HOME", "ITM_UP1", "ITM_T_END", "ITM_DOWN1", "DOCU_CHR_sub", "ITM_DOWN_ARROW", "DOCU_CHR_super", "ITM_UP_ARROW", "MNU_TAMALPHA", "ITM_alpha", "DOCU_CHR_caseFLIP", "ITM_NULL", "DOCU_CHR_numSET", "ITM_NULL", "DOCU_ITM_RADIX", "ITM_PERIOD", AO433), ".lo", ),"MNU_", "-MNU_")</f>
        <v>ITM_arccos</v>
      </c>
      <c r="BA433" s="173" t="str" cm="1">
        <f t="array" ref="BA433">SUBSTITUTE(SUBSTITUTE(_xlfn.SWITCH(AP433, "ITM_T_HOME", "ITM_UP1", "ITM_T_END", "ITM_DOWN1", "DOCU_CHR_sub", "ITM_DOWN_ARROW", "DOCU_CHR_super", "ITM_UP_ARROW", "MNU_TAMALPHA", "ITM_alpha", "DOCU_CHR_caseFLIP", "ITM_NULL", "DOCU_CHR_numSET", "ITM_NULL", "DOCU_ITM_RADIX", "ITM_PERIOD", AP433), ".lo", ),"MNU_", "-MNU_")</f>
        <v>ITM_8</v>
      </c>
      <c r="BB433" s="157" t="str" cm="1">
        <f t="array" ref="BB433">SUBSTITUTE(SUBSTITUTE(_xlfn.SWITCH(AQ433, "ITM_T_HOME", "ITM_UP1", "ITM_T_END", "ITM_DOWN1", "DOCU_CHR_sub", "ITM_DOWN_ARROW", "DOCU_CHR_super", "ITM_UP_ARROW", "MNU_TAMALPHA", "ITM_alpha", "DOCU_CHR_caseFLIP", "ITM_NULL", "DOCU_CHR_numSET", "ITM_NULL", "DOCU_ITM_RADIX", "ITM_PERIOD", AQ433), ".lo", ),"MNU_", "-MNU_")</f>
        <v>ITM_O</v>
      </c>
      <c r="BC433" s="157" t="str" cm="1">
        <f t="array" ref="BC433">SUBSTITUTE(SUBSTITUTE(_xlfn.SWITCH(AR433, "ITM_T_HOME", "ITM_UP1", "ITM_T_END", "ITM_DOWN1", "DOCU_CHR_sub", "ITM_DOWN_ARROW", "DOCU_CHR_super", "ITM_UP_ARROW", "MNU_TAMALPHA", "ITM_alpha", "DOCU_CHR_caseFLIP", "ITM_NULL", "DOCU_CHR_numSET", "ITM_NULL", "DOCU_ITM_RADIX", "ITM_PERIOD", AR433), ".lo", ),"MNU_", "-MNU_")</f>
        <v>ITM_o</v>
      </c>
      <c r="BD433" s="157" t="str" cm="1">
        <f t="array" ref="BD433">SUBSTITUTE(SUBSTITUTE(_xlfn.SWITCH(AS433, "ITM_T_HOME", "ITM_UP1", "ITM_T_END", "ITM_DOWN1", "DOCU_CHR_sub", "ITM_DOWN_ARROW", "DOCU_CHR_super", "ITM_UP_ARROW", "MNU_TAMALPHA", "ITM_alpha", "DOCU_CHR_caseFLIP", "ITM_NULL", "DOCU_CHR_numSET", "ITM_NULL", "DOCU_ITM_RADIX", "ITM_PERIOD", AS433), ".lo", ),"MNU_", "-MNU_")</f>
        <v>ITM_8</v>
      </c>
      <c r="BE433" s="157" t="str" cm="1">
        <f t="array" ref="BE433">SUBSTITUTE(SUBSTITUTE(_xlfn.SWITCH(AT433, "ITM_T_HOME", "ITM_UP1", "ITM_T_END", "ITM_DOWN1", "DOCU_CHR_sub", "ITM_DOWN_ARROW", "DOCU_CHR_super", "ITM_UP_ARROW", "MNU_TAMALPHA", "ITM_alpha", "DOCU_CHR_caseFLIP", "ITM_NULL", "DOCU_CHR_numSET", "ITM_NULL", "DOCU_ITM_RADIX", "ITM_PERIOD", AT433), ".lo", ),"MNU_", "-MNU_")</f>
        <v>ITM_8</v>
      </c>
      <c r="BG433" s="75"/>
      <c r="BI433" s="13" t="str">
        <f t="shared" si="152"/>
        <v xml:space="preserve">  {53,                  ITM_8,                ITM_cos,              ITM_arccos,           ITM_8,                ITM_O,                ITM_o,                ITM_8,                ITM_8               },</v>
      </c>
    </row>
    <row r="434" spans="20:61" ht="21" x14ac:dyDescent="0.2">
      <c r="T434" s="148">
        <v>6</v>
      </c>
      <c r="U434" s="149" t="s">
        <v>171</v>
      </c>
      <c r="V434" s="150" t="s">
        <v>166</v>
      </c>
      <c r="X434" s="141" t="str">
        <f t="shared" si="143"/>
        <v>R47</v>
      </c>
      <c r="Y434" s="142">
        <v>5</v>
      </c>
      <c r="Z434" s="142">
        <v>4</v>
      </c>
      <c r="AA434" s="144" t="str">
        <f t="shared" si="142"/>
        <v>R47.54</v>
      </c>
      <c r="AB434" s="148">
        <v>9</v>
      </c>
      <c r="AC434" s="149" t="s">
        <v>122</v>
      </c>
      <c r="AD434" s="150" t="s">
        <v>123</v>
      </c>
      <c r="AE434" s="3"/>
      <c r="AF434" s="52" t="s">
        <v>168</v>
      </c>
      <c r="AG434" s="77" t="b">
        <f t="shared" si="153"/>
        <v>1</v>
      </c>
      <c r="AH434" s="83" t="str">
        <f t="shared" si="144"/>
        <v>p</v>
      </c>
      <c r="AI434" s="84">
        <f t="shared" si="145"/>
        <v>9</v>
      </c>
      <c r="AJ434" s="85">
        <f t="shared" si="146"/>
        <v>9</v>
      </c>
      <c r="AK434" s="6"/>
      <c r="AL434" s="8" t="str">
        <f t="shared" si="147"/>
        <v>{54</v>
      </c>
      <c r="AM434" s="27" t="str">
        <f t="shared" si="155"/>
        <v>ITM_9</v>
      </c>
      <c r="AN434" s="27" t="str">
        <f t="shared" si="149"/>
        <v>ITM_tan</v>
      </c>
      <c r="AO434" s="27" t="str">
        <f t="shared" si="150"/>
        <v>ITM_arctan</v>
      </c>
      <c r="AP434" s="46" t="str">
        <f>IF(NOT(ISNA(MATCH(AM434,Lookups!E:E,))),VLOOKUP(AM434,Lookups!E:F,2,0),
IF(NOT(ISNA(MATCH(AN434,Lookups!E:E,))),VLOOKUP(AN434,Lookups!E:F,2,0),
IF(NOT(ISNA(MATCH(AO434,Lookups!E:E,))),VLOOKUP(AO434,Lookups!E:F,2,0),"ITM_NULL")))</f>
        <v>ITM_9</v>
      </c>
      <c r="AQ434" s="28" t="str">
        <f t="shared" si="151"/>
        <v>ITM_P</v>
      </c>
      <c r="AR434" s="195" t="s">
        <v>169</v>
      </c>
      <c r="AS434" s="186" t="s">
        <v>180</v>
      </c>
      <c r="AT434" s="197" t="s">
        <v>180</v>
      </c>
      <c r="AW434" s="14" t="str">
        <f t="shared" si="154"/>
        <v>{54</v>
      </c>
      <c r="AX434" s="157" t="str" cm="1">
        <f t="array" ref="AX434">SUBSTITUTE(SUBSTITUTE(_xlfn.SWITCH(AM434, "ITM_T_HOME", "ITM_UP1", "ITM_T_END", "ITM_DOWN1", "DOCU_CHR_sub", "ITM_DOWN_ARROW", "DOCU_CHR_super", "ITM_UP_ARROW", "MNU_TAMALPHA", "ITM_alpha", "DOCU_CHR_caseFLIP", "ITM_NULL", "DOCU_CHR_numSET", "ITM_NULL", "DOCU_ITM_RADIX", "ITM_PERIOD", AM434), ".lo", ),"MNU_", "-MNU_")</f>
        <v>ITM_9</v>
      </c>
      <c r="AY434" s="157" t="str" cm="1">
        <f t="array" ref="AY434">SUBSTITUTE(SUBSTITUTE(_xlfn.SWITCH(AN434, "ITM_T_HOME", "ITM_UP1", "ITM_T_END", "ITM_DOWN1", "DOCU_CHR_sub", "ITM_DOWN_ARROW", "DOCU_CHR_super", "ITM_UP_ARROW", "MNU_TAMALPHA", "ITM_alpha", "DOCU_CHR_caseFLIP", "ITM_NULL", "DOCU_CHR_numSET", "ITM_NULL", "DOCU_ITM_RADIX", "ITM_PERIOD", AN434), ".lo", ),"MNU_", "-MNU_")</f>
        <v>ITM_tan</v>
      </c>
      <c r="AZ434" s="157" t="str" cm="1">
        <f t="array" ref="AZ434">SUBSTITUTE(SUBSTITUTE(_xlfn.SWITCH(AO434, "ITM_T_HOME", "ITM_UP1", "ITM_T_END", "ITM_DOWN1", "DOCU_CHR_sub", "ITM_DOWN_ARROW", "DOCU_CHR_super", "ITM_UP_ARROW", "MNU_TAMALPHA", "ITM_alpha", "DOCU_CHR_caseFLIP", "ITM_NULL", "DOCU_CHR_numSET", "ITM_NULL", "DOCU_ITM_RADIX", "ITM_PERIOD", AO434), ".lo", ),"MNU_", "-MNU_")</f>
        <v>ITM_arctan</v>
      </c>
      <c r="BA434" s="173" t="str" cm="1">
        <f t="array" ref="BA434">SUBSTITUTE(SUBSTITUTE(_xlfn.SWITCH(AP434, "ITM_T_HOME", "ITM_UP1", "ITM_T_END", "ITM_DOWN1", "DOCU_CHR_sub", "ITM_DOWN_ARROW", "DOCU_CHR_super", "ITM_UP_ARROW", "MNU_TAMALPHA", "ITM_alpha", "DOCU_CHR_caseFLIP", "ITM_NULL", "DOCU_CHR_numSET", "ITM_NULL", "DOCU_ITM_RADIX", "ITM_PERIOD", AP434), ".lo", ),"MNU_", "-MNU_")</f>
        <v>ITM_9</v>
      </c>
      <c r="BB434" s="157" t="str" cm="1">
        <f t="array" ref="BB434">SUBSTITUTE(SUBSTITUTE(_xlfn.SWITCH(AQ434, "ITM_T_HOME", "ITM_UP1", "ITM_T_END", "ITM_DOWN1", "DOCU_CHR_sub", "ITM_DOWN_ARROW", "DOCU_CHR_super", "ITM_UP_ARROW", "MNU_TAMALPHA", "ITM_alpha", "DOCU_CHR_caseFLIP", "ITM_NULL", "DOCU_CHR_numSET", "ITM_NULL", "DOCU_ITM_RADIX", "ITM_PERIOD", AQ434), ".lo", ),"MNU_", "-MNU_")</f>
        <v>ITM_P</v>
      </c>
      <c r="BC434" s="157" t="str" cm="1">
        <f t="array" ref="BC434">SUBSTITUTE(SUBSTITUTE(_xlfn.SWITCH(AR434, "ITM_T_HOME", "ITM_UP1", "ITM_T_END", "ITM_DOWN1", "DOCU_CHR_sub", "ITM_DOWN_ARROW", "DOCU_CHR_super", "ITM_UP_ARROW", "MNU_TAMALPHA", "ITM_alpha", "DOCU_CHR_caseFLIP", "ITM_NULL", "DOCU_CHR_numSET", "ITM_NULL", "DOCU_ITM_RADIX", "ITM_PERIOD", AR434), ".lo", ),"MNU_", "-MNU_")</f>
        <v>ITM_p</v>
      </c>
      <c r="BD434" s="157" t="str" cm="1">
        <f t="array" ref="BD434">SUBSTITUTE(SUBSTITUTE(_xlfn.SWITCH(AS434, "ITM_T_HOME", "ITM_UP1", "ITM_T_END", "ITM_DOWN1", "DOCU_CHR_sub", "ITM_DOWN_ARROW", "DOCU_CHR_super", "ITM_UP_ARROW", "MNU_TAMALPHA", "ITM_alpha", "DOCU_CHR_caseFLIP", "ITM_NULL", "DOCU_CHR_numSET", "ITM_NULL", "DOCU_ITM_RADIX", "ITM_PERIOD", AS434), ".lo", ),"MNU_", "-MNU_")</f>
        <v>ITM_9</v>
      </c>
      <c r="BE434" s="157" t="str" cm="1">
        <f t="array" ref="BE434">SUBSTITUTE(SUBSTITUTE(_xlfn.SWITCH(AT434, "ITM_T_HOME", "ITM_UP1", "ITM_T_END", "ITM_DOWN1", "DOCU_CHR_sub", "ITM_DOWN_ARROW", "DOCU_CHR_super", "ITM_UP_ARROW", "MNU_TAMALPHA", "ITM_alpha", "DOCU_CHR_caseFLIP", "ITM_NULL", "DOCU_CHR_numSET", "ITM_NULL", "DOCU_ITM_RADIX", "ITM_PERIOD", AT434), ".lo", ),"MNU_", "-MNU_")</f>
        <v>ITM_9</v>
      </c>
      <c r="BG434" s="75"/>
      <c r="BI434" s="13" t="str">
        <f t="shared" si="152"/>
        <v xml:space="preserve">  {54,                  ITM_9,                ITM_tan,              ITM_arctan,           ITM_9,                ITM_P,                ITM_p,                ITM_9,                ITM_9               },</v>
      </c>
    </row>
    <row r="435" spans="20:61" ht="21" x14ac:dyDescent="0.2">
      <c r="T435" s="153" t="s">
        <v>210</v>
      </c>
      <c r="U435" s="149" t="s">
        <v>211</v>
      </c>
      <c r="V435" s="150" t="s">
        <v>176</v>
      </c>
      <c r="X435" s="141" t="str">
        <f t="shared" si="143"/>
        <v>R47</v>
      </c>
      <c r="Y435" s="142">
        <v>5</v>
      </c>
      <c r="Z435" s="142">
        <v>5</v>
      </c>
      <c r="AA435" s="144" t="str">
        <f t="shared" si="142"/>
        <v>R47.55</v>
      </c>
      <c r="AB435" s="153" t="s">
        <v>181</v>
      </c>
      <c r="AC435" s="149" t="s">
        <v>182</v>
      </c>
      <c r="AD435" s="150" t="s">
        <v>183</v>
      </c>
      <c r="AE435" s="3"/>
      <c r="AF435" s="52" t="s">
        <v>173</v>
      </c>
      <c r="AG435" s="77" t="b">
        <f t="shared" si="153"/>
        <v>1</v>
      </c>
      <c r="AH435" s="83" t="str">
        <f t="shared" si="144"/>
        <v>q</v>
      </c>
      <c r="AI435" s="84" t="str">
        <f t="shared" si="145"/>
        <v>÷</v>
      </c>
      <c r="AJ435" s="85" t="str">
        <f t="shared" si="146"/>
        <v>÷</v>
      </c>
      <c r="AK435" s="6"/>
      <c r="AL435" s="8" t="str">
        <f t="shared" si="147"/>
        <v>{55</v>
      </c>
      <c r="AM435" s="27" t="str">
        <f t="shared" si="155"/>
        <v>ITM_DIV</v>
      </c>
      <c r="AN435" s="27" t="str">
        <f t="shared" si="149"/>
        <v>MNU_STAT</v>
      </c>
      <c r="AO435" s="27" t="str">
        <f t="shared" si="150"/>
        <v>MNU_PLOTTING</v>
      </c>
      <c r="AP435" s="46" t="str">
        <f>IF(NOT(ISNA(MATCH(AM435,Lookups!E:E,))),VLOOKUP(AM435,Lookups!E:F,2,0),
IF(NOT(ISNA(MATCH(AN435,Lookups!E:E,))),VLOOKUP(AN435,Lookups!E:F,2,0),
IF(NOT(ISNA(MATCH(AO435,Lookups!E:E,))),VLOOKUP(AO435,Lookups!E:F,2,0),"ITM_NULL")))</f>
        <v>ITM_OBELUS</v>
      </c>
      <c r="AQ435" s="28" t="str">
        <f t="shared" si="151"/>
        <v>ITM_Q</v>
      </c>
      <c r="AR435" s="195" t="s">
        <v>174</v>
      </c>
      <c r="AS435" s="186" t="s">
        <v>186</v>
      </c>
      <c r="AT435" s="197" t="s">
        <v>187</v>
      </c>
      <c r="AW435" s="14" t="str">
        <f t="shared" si="154"/>
        <v>{55</v>
      </c>
      <c r="AX435" s="157" t="str" cm="1">
        <f t="array" ref="AX435">SUBSTITUTE(SUBSTITUTE(_xlfn.SWITCH(AM435, "ITM_T_HOME", "ITM_UP1", "ITM_T_END", "ITM_DOWN1", "DOCU_CHR_sub", "ITM_DOWN_ARROW", "DOCU_CHR_super", "ITM_UP_ARROW", "MNU_TAMALPHA", "ITM_alpha", "DOCU_CHR_caseFLIP", "ITM_NULL", "DOCU_CHR_numSET", "ITM_NULL", "DOCU_ITM_RADIX", "ITM_PERIOD", AM435), ".lo", ),"MNU_", "-MNU_")</f>
        <v>ITM_DIV</v>
      </c>
      <c r="AY435" s="157" t="str" cm="1">
        <f t="array" ref="AY435">SUBSTITUTE(SUBSTITUTE(_xlfn.SWITCH(AN435, "ITM_T_HOME", "ITM_UP1", "ITM_T_END", "ITM_DOWN1", "DOCU_CHR_sub", "ITM_DOWN_ARROW", "DOCU_CHR_super", "ITM_UP_ARROW", "MNU_TAMALPHA", "ITM_alpha", "DOCU_CHR_caseFLIP", "ITM_NULL", "DOCU_CHR_numSET", "ITM_NULL", "DOCU_ITM_RADIX", "ITM_PERIOD", AN435), ".lo", ),"MNU_", "-MNU_")</f>
        <v>-MNU_STAT</v>
      </c>
      <c r="AZ435" s="157" t="str" cm="1">
        <f t="array" ref="AZ435">SUBSTITUTE(SUBSTITUTE(_xlfn.SWITCH(AO435, "ITM_T_HOME", "ITM_UP1", "ITM_T_END", "ITM_DOWN1", "DOCU_CHR_sub", "ITM_DOWN_ARROW", "DOCU_CHR_super", "ITM_UP_ARROW", "MNU_TAMALPHA", "ITM_alpha", "DOCU_CHR_caseFLIP", "ITM_NULL", "DOCU_CHR_numSET", "ITM_NULL", "DOCU_ITM_RADIX", "ITM_PERIOD", AO435), ".lo", ),"MNU_", "-MNU_")</f>
        <v>-MNU_PLOTTING</v>
      </c>
      <c r="BA435" s="173" t="str" cm="1">
        <f t="array" ref="BA435">SUBSTITUTE(SUBSTITUTE(_xlfn.SWITCH(AP435, "ITM_T_HOME", "ITM_UP1", "ITM_T_END", "ITM_DOWN1", "DOCU_CHR_sub", "ITM_DOWN_ARROW", "DOCU_CHR_super", "ITM_UP_ARROW", "MNU_TAMALPHA", "ITM_alpha", "DOCU_CHR_caseFLIP", "ITM_NULL", "DOCU_CHR_numSET", "ITM_NULL", "DOCU_ITM_RADIX", "ITM_PERIOD", AP435), ".lo", ),"MNU_", "-MNU_")</f>
        <v>ITM_OBELUS</v>
      </c>
      <c r="BB435" s="157" t="str" cm="1">
        <f t="array" ref="BB435">SUBSTITUTE(SUBSTITUTE(_xlfn.SWITCH(AQ435, "ITM_T_HOME", "ITM_UP1", "ITM_T_END", "ITM_DOWN1", "DOCU_CHR_sub", "ITM_DOWN_ARROW", "DOCU_CHR_super", "ITM_UP_ARROW", "MNU_TAMALPHA", "ITM_alpha", "DOCU_CHR_caseFLIP", "ITM_NULL", "DOCU_CHR_numSET", "ITM_NULL", "DOCU_ITM_RADIX", "ITM_PERIOD", AQ435), ".lo", ),"MNU_", "-MNU_")</f>
        <v>ITM_Q</v>
      </c>
      <c r="BC435" s="157" t="str" cm="1">
        <f t="array" ref="BC435">SUBSTITUTE(SUBSTITUTE(_xlfn.SWITCH(AR435, "ITM_T_HOME", "ITM_UP1", "ITM_T_END", "ITM_DOWN1", "DOCU_CHR_sub", "ITM_DOWN_ARROW", "DOCU_CHR_super", "ITM_UP_ARROW", "MNU_TAMALPHA", "ITM_alpha", "DOCU_CHR_caseFLIP", "ITM_NULL", "DOCU_CHR_numSET", "ITM_NULL", "DOCU_ITM_RADIX", "ITM_PERIOD", AR435), ".lo", ),"MNU_", "-MNU_")</f>
        <v>ITM_q</v>
      </c>
      <c r="BD435" s="157" t="str" cm="1">
        <f t="array" ref="BD435">SUBSTITUTE(SUBSTITUTE(_xlfn.SWITCH(AS435, "ITM_T_HOME", "ITM_UP1", "ITM_T_END", "ITM_DOWN1", "DOCU_CHR_sub", "ITM_DOWN_ARROW", "DOCU_CHR_super", "ITM_UP_ARROW", "MNU_TAMALPHA", "ITM_alpha", "DOCU_CHR_caseFLIP", "ITM_NULL", "DOCU_CHR_numSET", "ITM_NULL", "DOCU_ITM_RADIX", "ITM_PERIOD", AS435), ".lo", ),"MNU_", "-MNU_")</f>
        <v>ITM_OBELUS</v>
      </c>
      <c r="BE435" s="157" t="str" cm="1">
        <f t="array" ref="BE435">SUBSTITUTE(SUBSTITUTE(_xlfn.SWITCH(AT435, "ITM_T_HOME", "ITM_UP1", "ITM_T_END", "ITM_DOWN1", "DOCU_CHR_sub", "ITM_DOWN_ARROW", "DOCU_CHR_super", "ITM_UP_ARROW", "MNU_TAMALPHA", "ITM_alpha", "DOCU_CHR_caseFLIP", "ITM_NULL", "DOCU_CHR_numSET", "ITM_NULL", "DOCU_ITM_RADIX", "ITM_PERIOD", AT435), ".lo", ),"MNU_", "-MNU_")</f>
        <v>ITM_DIV</v>
      </c>
      <c r="BG435" s="75"/>
      <c r="BI435" s="13" t="str">
        <f t="shared" si="152"/>
        <v xml:space="preserve">  {55,                  ITM_DIV,              -MNU_STAT,            -MNU_PLOTTING,        ITM_OBELUS,           ITM_Q,                ITM_q,                ITM_OBELUS,           ITM_DIV             },</v>
      </c>
    </row>
    <row r="436" spans="20:61" ht="21" x14ac:dyDescent="0.2">
      <c r="T436" s="148" t="s">
        <v>188</v>
      </c>
      <c r="U436" s="149" t="s">
        <v>189</v>
      </c>
      <c r="V436" s="150" t="s">
        <v>190</v>
      </c>
      <c r="X436" s="141" t="str">
        <f t="shared" si="143"/>
        <v>R47</v>
      </c>
      <c r="Y436" s="138">
        <v>6</v>
      </c>
      <c r="Z436" s="138">
        <v>1</v>
      </c>
      <c r="AA436" s="144" t="str">
        <f t="shared" si="142"/>
        <v>R47.61</v>
      </c>
      <c r="AB436" s="148" t="s">
        <v>159</v>
      </c>
      <c r="AC436" s="149" t="s">
        <v>160</v>
      </c>
      <c r="AD436" s="150" t="s">
        <v>161</v>
      </c>
      <c r="AE436" s="3"/>
      <c r="AF436" s="52" t="s">
        <v>162</v>
      </c>
      <c r="AG436" s="77" t="b">
        <f t="shared" si="153"/>
        <v>0</v>
      </c>
      <c r="AH436" s="83" t="str">
        <f t="shared" si="144"/>
        <v>CASE UP</v>
      </c>
      <c r="AI436" s="84" t="str">
        <f t="shared" si="145"/>
        <v>Super</v>
      </c>
      <c r="AJ436" s="85" t="str">
        <f t="shared" si="146"/>
        <v>Up</v>
      </c>
      <c r="AK436" s="6"/>
      <c r="AL436" s="8" t="str">
        <f t="shared" si="147"/>
        <v>{61</v>
      </c>
      <c r="AM436" s="27" t="str">
        <f t="shared" si="155"/>
        <v>ITM_UP1</v>
      </c>
      <c r="AN436" s="27" t="str">
        <f t="shared" si="149"/>
        <v>ITM_BST</v>
      </c>
      <c r="AO436" s="27" t="str">
        <f t="shared" si="150"/>
        <v>ITM_RBR</v>
      </c>
      <c r="AP436" s="46" t="str">
        <f>IF(NOT(ISNA(MATCH(AM436,Lookups!E:E,))),VLOOKUP(AM436,Lookups!E:F,2,0),
IF(NOT(ISNA(MATCH(AN436,Lookups!E:E,))),VLOOKUP(AN436,Lookups!E:F,2,0),
IF(NOT(ISNA(MATCH(AO436,Lookups!E:E,))),VLOOKUP(AO436,Lookups!E:F,2,0),"ITM_NULL")))</f>
        <v>ITM_UP1</v>
      </c>
      <c r="AQ436" s="28" t="str">
        <f t="shared" si="151"/>
        <v>ITM_T_HOME</v>
      </c>
      <c r="AR436" s="198" t="s">
        <v>163</v>
      </c>
      <c r="AS436" s="186" t="s">
        <v>164</v>
      </c>
      <c r="AT436" s="197" t="s">
        <v>165</v>
      </c>
      <c r="AW436" s="14" t="str">
        <f t="shared" si="154"/>
        <v>{61</v>
      </c>
      <c r="AX436" s="157" t="str" cm="1">
        <f t="array" ref="AX436">SUBSTITUTE(SUBSTITUTE(_xlfn.SWITCH(AM436, "ITM_T_HOME", "ITM_UP1", "ITM_T_END", "ITM_DOWN1", "DOCU_CHR_sub", "ITM_DOWN_ARROW", "DOCU_CHR_super", "ITM_UP_ARROW", "MNU_TAMALPHA", "ITM_alpha", "DOCU_CHR_caseFLIP", "ITM_NULL", "DOCU_CHR_numSET", "ITM_NULL", "DOCU_ITM_RADIX", "ITM_PERIOD", AM436), ".lo", ),"MNU_", "-MNU_")</f>
        <v>ITM_UP1</v>
      </c>
      <c r="AY436" s="157" t="str" cm="1">
        <f t="array" ref="AY436">SUBSTITUTE(SUBSTITUTE(_xlfn.SWITCH(AN436, "ITM_T_HOME", "ITM_UP1", "ITM_T_END", "ITM_DOWN1", "DOCU_CHR_sub", "ITM_DOWN_ARROW", "DOCU_CHR_super", "ITM_UP_ARROW", "MNU_TAMALPHA", "ITM_alpha", "DOCU_CHR_caseFLIP", "ITM_NULL", "DOCU_CHR_numSET", "ITM_NULL", "DOCU_ITM_RADIX", "ITM_PERIOD", AN436), ".lo", ),"MNU_", "-MNU_")</f>
        <v>ITM_BST</v>
      </c>
      <c r="AZ436" s="157" t="str" cm="1">
        <f t="array" ref="AZ436">SUBSTITUTE(SUBSTITUTE(_xlfn.SWITCH(AO436, "ITM_T_HOME", "ITM_UP1", "ITM_T_END", "ITM_DOWN1", "DOCU_CHR_sub", "ITM_DOWN_ARROW", "DOCU_CHR_super", "ITM_UP_ARROW", "MNU_TAMALPHA", "ITM_alpha", "DOCU_CHR_caseFLIP", "ITM_NULL", "DOCU_CHR_numSET", "ITM_NULL", "DOCU_ITM_RADIX", "ITM_PERIOD", AO436), ".lo", ),"MNU_", "-MNU_")</f>
        <v>ITM_RBR</v>
      </c>
      <c r="BA436" s="173" t="str" cm="1">
        <f t="array" ref="BA436">SUBSTITUTE(SUBSTITUTE(_xlfn.SWITCH(AP436, "ITM_T_HOME", "ITM_UP1", "ITM_T_END", "ITM_DOWN1", "DOCU_CHR_sub", "ITM_DOWN_ARROW", "DOCU_CHR_super", "ITM_UP_ARROW", "MNU_TAMALPHA", "ITM_alpha", "DOCU_CHR_caseFLIP", "ITM_NULL", "DOCU_CHR_numSET", "ITM_NULL", "DOCU_ITM_RADIX", "ITM_PERIOD", AP436), ".lo", ),"MNU_", "-MNU_")</f>
        <v>ITM_UP1</v>
      </c>
      <c r="BB436" s="157" t="str" cm="1">
        <f t="array" ref="BB436">SUBSTITUTE(SUBSTITUTE(_xlfn.SWITCH(AQ436, "ITM_T_HOME", "ITM_UP1", "ITM_T_END", "ITM_DOWN1", "DOCU_CHR_sub", "ITM_DOWN_ARROW", "DOCU_CHR_super", "ITM_UP_ARROW", "MNU_TAMALPHA", "ITM_alpha", "DOCU_CHR_caseFLIP", "ITM_NULL", "DOCU_CHR_numSET", "ITM_NULL", "DOCU_ITM_RADIX", "ITM_PERIOD", AQ436), ".lo", ),"MNU_", "-MNU_")</f>
        <v>ITM_UP1</v>
      </c>
      <c r="BC436" s="157" t="str" cm="1">
        <f t="array" ref="BC436">SUBSTITUTE(SUBSTITUTE(_xlfn.SWITCH(AR436, "ITM_T_HOME", "ITM_UP1", "ITM_T_END", "ITM_DOWN1", "DOCU_CHR_sub", "ITM_DOWN_ARROW", "DOCU_CHR_super", "ITM_UP_ARROW", "MNU_TAMALPHA", "ITM_alpha", "DOCU_CHR_caseFLIP", "ITM_NULL", "DOCU_CHR_numSET", "ITM_NULL", "DOCU_ITM_RADIX", "ITM_PERIOD", AR436), ".lo", ),"MNU_", "-MNU_")</f>
        <v>CHR_caseUP</v>
      </c>
      <c r="BD436" s="157" t="str" cm="1">
        <f t="array" ref="BD436">SUBSTITUTE(SUBSTITUTE(_xlfn.SWITCH(AS436, "ITM_T_HOME", "ITM_UP1", "ITM_T_END", "ITM_DOWN1", "DOCU_CHR_sub", "ITM_DOWN_ARROW", "DOCU_CHR_super", "ITM_UP_ARROW", "MNU_TAMALPHA", "ITM_alpha", "DOCU_CHR_caseFLIP", "ITM_NULL", "DOCU_CHR_numSET", "ITM_NULL", "DOCU_ITM_RADIX", "ITM_PERIOD", AS436), ".lo", ),"MNU_", "-MNU_")</f>
        <v>ITM_UP_ARROW</v>
      </c>
      <c r="BE436" s="157" t="str" cm="1">
        <f t="array" ref="BE436">SUBSTITUTE(SUBSTITUTE(_xlfn.SWITCH(AT436, "ITM_T_HOME", "ITM_UP1", "ITM_T_END", "ITM_DOWN1", "DOCU_CHR_sub", "ITM_DOWN_ARROW", "DOCU_CHR_super", "ITM_UP_ARROW", "MNU_TAMALPHA", "ITM_alpha", "DOCU_CHR_caseFLIP", "ITM_NULL", "DOCU_CHR_numSET", "ITM_NULL", "DOCU_ITM_RADIX", "ITM_PERIOD", AT436), ".lo", ),"MNU_", "-MNU_")</f>
        <v>ITM_UP1</v>
      </c>
      <c r="BG436" s="75"/>
      <c r="BI436" s="13" t="str">
        <f t="shared" si="152"/>
        <v xml:space="preserve">  {61,                  ITM_UP1,              ITM_BST,              ITM_RBR,              ITM_UP1,              ITM_UP1,              CHR_caseUP,           ITM_UP_ARROW,         ITM_UP1             },</v>
      </c>
    </row>
    <row r="437" spans="20:61" ht="21" x14ac:dyDescent="0.2">
      <c r="T437" s="148">
        <v>1</v>
      </c>
      <c r="U437" s="149" t="s">
        <v>645</v>
      </c>
      <c r="V437" s="150" t="s">
        <v>223</v>
      </c>
      <c r="X437" s="141" t="str">
        <f t="shared" si="143"/>
        <v>R47</v>
      </c>
      <c r="Y437" s="142">
        <v>6</v>
      </c>
      <c r="Z437" s="142">
        <v>2</v>
      </c>
      <c r="AA437" s="144" t="str">
        <f t="shared" si="142"/>
        <v>R47.62</v>
      </c>
      <c r="AB437" s="148">
        <v>4</v>
      </c>
      <c r="AC437" s="149" t="s">
        <v>195</v>
      </c>
      <c r="AD437" s="150" t="s">
        <v>196</v>
      </c>
      <c r="AE437" s="3"/>
      <c r="AF437" s="52" t="s">
        <v>178</v>
      </c>
      <c r="AG437" s="77" t="b">
        <f t="shared" si="153"/>
        <v>1</v>
      </c>
      <c r="AH437" s="83" t="str">
        <f t="shared" si="144"/>
        <v>r</v>
      </c>
      <c r="AI437" s="84">
        <f t="shared" si="145"/>
        <v>4</v>
      </c>
      <c r="AJ437" s="85">
        <f t="shared" si="146"/>
        <v>4</v>
      </c>
      <c r="AK437" s="6"/>
      <c r="AL437" s="8" t="str">
        <f t="shared" si="147"/>
        <v>{62</v>
      </c>
      <c r="AM437" s="27" t="str">
        <f t="shared" si="155"/>
        <v>ITM_4</v>
      </c>
      <c r="AN437" s="27" t="str">
        <f t="shared" si="149"/>
        <v>MNU_BASE</v>
      </c>
      <c r="AO437" s="27" t="str">
        <f t="shared" si="150"/>
        <v>MNU_BITS</v>
      </c>
      <c r="AP437" s="46" t="str">
        <f>IF(NOT(ISNA(MATCH(AM437,Lookups!E:E,))),VLOOKUP(AM437,Lookups!E:F,2,0),
IF(NOT(ISNA(MATCH(AN437,Lookups!E:E,))),VLOOKUP(AN437,Lookups!E:F,2,0),
IF(NOT(ISNA(MATCH(AO437,Lookups!E:E,))),VLOOKUP(AO437,Lookups!E:F,2,0),"ITM_NULL")))</f>
        <v>ITM_4</v>
      </c>
      <c r="AQ437" s="28" t="str">
        <f t="shared" si="151"/>
        <v>ITM_R</v>
      </c>
      <c r="AR437" s="195" t="s">
        <v>179</v>
      </c>
      <c r="AS437" s="186" t="s">
        <v>199</v>
      </c>
      <c r="AT437" s="197" t="s">
        <v>199</v>
      </c>
      <c r="AW437" s="14" t="str">
        <f t="shared" si="154"/>
        <v>{62</v>
      </c>
      <c r="AX437" s="157" t="str" cm="1">
        <f t="array" ref="AX437">SUBSTITUTE(SUBSTITUTE(_xlfn.SWITCH(AM437, "ITM_T_HOME", "ITM_UP1", "ITM_T_END", "ITM_DOWN1", "DOCU_CHR_sub", "ITM_DOWN_ARROW", "DOCU_CHR_super", "ITM_UP_ARROW", "MNU_TAMALPHA", "ITM_alpha", "DOCU_CHR_caseFLIP", "ITM_NULL", "DOCU_CHR_numSET", "ITM_NULL", "DOCU_ITM_RADIX", "ITM_PERIOD", AM437), ".lo", ),"MNU_", "-MNU_")</f>
        <v>ITM_4</v>
      </c>
      <c r="AY437" s="157" t="str" cm="1">
        <f t="array" ref="AY437">SUBSTITUTE(SUBSTITUTE(_xlfn.SWITCH(AN437, "ITM_T_HOME", "ITM_UP1", "ITM_T_END", "ITM_DOWN1", "DOCU_CHR_sub", "ITM_DOWN_ARROW", "DOCU_CHR_super", "ITM_UP_ARROW", "MNU_TAMALPHA", "ITM_alpha", "DOCU_CHR_caseFLIP", "ITM_NULL", "DOCU_CHR_numSET", "ITM_NULL", "DOCU_ITM_RADIX", "ITM_PERIOD", AN437), ".lo", ),"MNU_", "-MNU_")</f>
        <v>-MNU_BASE</v>
      </c>
      <c r="AZ437" s="157" t="str" cm="1">
        <f t="array" ref="AZ437">SUBSTITUTE(SUBSTITUTE(_xlfn.SWITCH(AO437, "ITM_T_HOME", "ITM_UP1", "ITM_T_END", "ITM_DOWN1", "DOCU_CHR_sub", "ITM_DOWN_ARROW", "DOCU_CHR_super", "ITM_UP_ARROW", "MNU_TAMALPHA", "ITM_alpha", "DOCU_CHR_caseFLIP", "ITM_NULL", "DOCU_CHR_numSET", "ITM_NULL", "DOCU_ITM_RADIX", "ITM_PERIOD", AO437), ".lo", ),"MNU_", "-MNU_")</f>
        <v>-MNU_BITS</v>
      </c>
      <c r="BA437" s="173" t="str" cm="1">
        <f t="array" ref="BA437">SUBSTITUTE(SUBSTITUTE(_xlfn.SWITCH(AP437, "ITM_T_HOME", "ITM_UP1", "ITM_T_END", "ITM_DOWN1", "DOCU_CHR_sub", "ITM_DOWN_ARROW", "DOCU_CHR_super", "ITM_UP_ARROW", "MNU_TAMALPHA", "ITM_alpha", "DOCU_CHR_caseFLIP", "ITM_NULL", "DOCU_CHR_numSET", "ITM_NULL", "DOCU_ITM_RADIX", "ITM_PERIOD", AP437), ".lo", ),"MNU_", "-MNU_")</f>
        <v>ITM_4</v>
      </c>
      <c r="BB437" s="157" t="str" cm="1">
        <f t="array" ref="BB437">SUBSTITUTE(SUBSTITUTE(_xlfn.SWITCH(AQ437, "ITM_T_HOME", "ITM_UP1", "ITM_T_END", "ITM_DOWN1", "DOCU_CHR_sub", "ITM_DOWN_ARROW", "DOCU_CHR_super", "ITM_UP_ARROW", "MNU_TAMALPHA", "ITM_alpha", "DOCU_CHR_caseFLIP", "ITM_NULL", "DOCU_CHR_numSET", "ITM_NULL", "DOCU_ITM_RADIX", "ITM_PERIOD", AQ437), ".lo", ),"MNU_", "-MNU_")</f>
        <v>ITM_R</v>
      </c>
      <c r="BC437" s="157" t="str" cm="1">
        <f t="array" ref="BC437">SUBSTITUTE(SUBSTITUTE(_xlfn.SWITCH(AR437, "ITM_T_HOME", "ITM_UP1", "ITM_T_END", "ITM_DOWN1", "DOCU_CHR_sub", "ITM_DOWN_ARROW", "DOCU_CHR_super", "ITM_UP_ARROW", "MNU_TAMALPHA", "ITM_alpha", "DOCU_CHR_caseFLIP", "ITM_NULL", "DOCU_CHR_numSET", "ITM_NULL", "DOCU_ITM_RADIX", "ITM_PERIOD", AR437), ".lo", ),"MNU_", "-MNU_")</f>
        <v>ITM_r</v>
      </c>
      <c r="BD437" s="157" t="str" cm="1">
        <f t="array" ref="BD437">SUBSTITUTE(SUBSTITUTE(_xlfn.SWITCH(AS437, "ITM_T_HOME", "ITM_UP1", "ITM_T_END", "ITM_DOWN1", "DOCU_CHR_sub", "ITM_DOWN_ARROW", "DOCU_CHR_super", "ITM_UP_ARROW", "MNU_TAMALPHA", "ITM_alpha", "DOCU_CHR_caseFLIP", "ITM_NULL", "DOCU_CHR_numSET", "ITM_NULL", "DOCU_ITM_RADIX", "ITM_PERIOD", AS437), ".lo", ),"MNU_", "-MNU_")</f>
        <v>ITM_4</v>
      </c>
      <c r="BE437" s="157" t="str" cm="1">
        <f t="array" ref="BE437">SUBSTITUTE(SUBSTITUTE(_xlfn.SWITCH(AT437, "ITM_T_HOME", "ITM_UP1", "ITM_T_END", "ITM_DOWN1", "DOCU_CHR_sub", "ITM_DOWN_ARROW", "DOCU_CHR_super", "ITM_UP_ARROW", "MNU_TAMALPHA", "ITM_alpha", "DOCU_CHR_caseFLIP", "ITM_NULL", "DOCU_CHR_numSET", "ITM_NULL", "DOCU_ITM_RADIX", "ITM_PERIOD", AT437), ".lo", ),"MNU_", "-MNU_")</f>
        <v>ITM_4</v>
      </c>
      <c r="BG437" s="75"/>
      <c r="BI437" s="13" t="str">
        <f t="shared" si="152"/>
        <v xml:space="preserve">  {62,                  ITM_4,                -MNU_BASE,            -MNU_BITS,            ITM_4,                ITM_R,                ITM_r,                ITM_4,                ITM_4               },</v>
      </c>
    </row>
    <row r="438" spans="20:61" ht="21" x14ac:dyDescent="0.2">
      <c r="T438" s="148">
        <v>2</v>
      </c>
      <c r="U438" s="152" t="s">
        <v>200</v>
      </c>
      <c r="V438" s="119" t="s">
        <v>201</v>
      </c>
      <c r="X438" s="141" t="str">
        <f t="shared" si="143"/>
        <v>R47</v>
      </c>
      <c r="Y438" s="142">
        <v>6</v>
      </c>
      <c r="Z438" s="142">
        <v>3</v>
      </c>
      <c r="AA438" s="144" t="str">
        <f t="shared" si="142"/>
        <v>R47.63</v>
      </c>
      <c r="AB438" s="148">
        <v>5</v>
      </c>
      <c r="AC438" s="149" t="s">
        <v>212</v>
      </c>
      <c r="AD438" s="150" t="s">
        <v>206</v>
      </c>
      <c r="AE438" s="3"/>
      <c r="AF438" s="52" t="s">
        <v>184</v>
      </c>
      <c r="AG438" s="77" t="b">
        <f t="shared" si="153"/>
        <v>1</v>
      </c>
      <c r="AH438" s="83" t="str">
        <f t="shared" si="144"/>
        <v>s</v>
      </c>
      <c r="AI438" s="84">
        <f t="shared" si="145"/>
        <v>5</v>
      </c>
      <c r="AJ438" s="85">
        <f t="shared" si="146"/>
        <v>5</v>
      </c>
      <c r="AK438" s="6"/>
      <c r="AL438" s="8" t="str">
        <f t="shared" si="147"/>
        <v>{63</v>
      </c>
      <c r="AM438" s="27" t="str">
        <f t="shared" si="155"/>
        <v>ITM_5</v>
      </c>
      <c r="AN438" s="27" t="str">
        <f t="shared" si="149"/>
        <v>MNU_INTS</v>
      </c>
      <c r="AO438" s="27" t="str">
        <f t="shared" si="150"/>
        <v>MNU_PARTS</v>
      </c>
      <c r="AP438" s="46" t="str">
        <f>IF(NOT(ISNA(MATCH(AM438,Lookups!E:E,))),VLOOKUP(AM438,Lookups!E:F,2,0),
IF(NOT(ISNA(MATCH(AN438,Lookups!E:E,))),VLOOKUP(AN438,Lookups!E:F,2,0),
IF(NOT(ISNA(MATCH(AO438,Lookups!E:E,))),VLOOKUP(AO438,Lookups!E:F,2,0),"ITM_NULL")))</f>
        <v>ITM_5</v>
      </c>
      <c r="AQ438" s="28" t="str">
        <f t="shared" si="151"/>
        <v>ITM_S</v>
      </c>
      <c r="AR438" s="195" t="s">
        <v>185</v>
      </c>
      <c r="AS438" s="186" t="s">
        <v>204</v>
      </c>
      <c r="AT438" s="197" t="s">
        <v>204</v>
      </c>
      <c r="AW438" s="14" t="str">
        <f t="shared" si="154"/>
        <v>{63</v>
      </c>
      <c r="AX438" s="157" t="str" cm="1">
        <f t="array" ref="AX438">SUBSTITUTE(SUBSTITUTE(_xlfn.SWITCH(AM438, "ITM_T_HOME", "ITM_UP1", "ITM_T_END", "ITM_DOWN1", "DOCU_CHR_sub", "ITM_DOWN_ARROW", "DOCU_CHR_super", "ITM_UP_ARROW", "MNU_TAMALPHA", "ITM_alpha", "DOCU_CHR_caseFLIP", "ITM_NULL", "DOCU_CHR_numSET", "ITM_NULL", "DOCU_ITM_RADIX", "ITM_PERIOD", AM438), ".lo", ),"MNU_", "-MNU_")</f>
        <v>ITM_5</v>
      </c>
      <c r="AY438" s="157" t="str" cm="1">
        <f t="array" ref="AY438">SUBSTITUTE(SUBSTITUTE(_xlfn.SWITCH(AN438, "ITM_T_HOME", "ITM_UP1", "ITM_T_END", "ITM_DOWN1", "DOCU_CHR_sub", "ITM_DOWN_ARROW", "DOCU_CHR_super", "ITM_UP_ARROW", "MNU_TAMALPHA", "ITM_alpha", "DOCU_CHR_caseFLIP", "ITM_NULL", "DOCU_CHR_numSET", "ITM_NULL", "DOCU_ITM_RADIX", "ITM_PERIOD", AN438), ".lo", ),"MNU_", "-MNU_")</f>
        <v>-MNU_INTS</v>
      </c>
      <c r="AZ438" s="157" t="str" cm="1">
        <f t="array" ref="AZ438">SUBSTITUTE(SUBSTITUTE(_xlfn.SWITCH(AO438, "ITM_T_HOME", "ITM_UP1", "ITM_T_END", "ITM_DOWN1", "DOCU_CHR_sub", "ITM_DOWN_ARROW", "DOCU_CHR_super", "ITM_UP_ARROW", "MNU_TAMALPHA", "ITM_alpha", "DOCU_CHR_caseFLIP", "ITM_NULL", "DOCU_CHR_numSET", "ITM_NULL", "DOCU_ITM_RADIX", "ITM_PERIOD", AO438), ".lo", ),"MNU_", "-MNU_")</f>
        <v>-MNU_PARTS</v>
      </c>
      <c r="BA438" s="173" t="str" cm="1">
        <f t="array" ref="BA438">SUBSTITUTE(SUBSTITUTE(_xlfn.SWITCH(AP438, "ITM_T_HOME", "ITM_UP1", "ITM_T_END", "ITM_DOWN1", "DOCU_CHR_sub", "ITM_DOWN_ARROW", "DOCU_CHR_super", "ITM_UP_ARROW", "MNU_TAMALPHA", "ITM_alpha", "DOCU_CHR_caseFLIP", "ITM_NULL", "DOCU_CHR_numSET", "ITM_NULL", "DOCU_ITM_RADIX", "ITM_PERIOD", AP438), ".lo", ),"MNU_", "-MNU_")</f>
        <v>ITM_5</v>
      </c>
      <c r="BB438" s="157" t="str" cm="1">
        <f t="array" ref="BB438">SUBSTITUTE(SUBSTITUTE(_xlfn.SWITCH(AQ438, "ITM_T_HOME", "ITM_UP1", "ITM_T_END", "ITM_DOWN1", "DOCU_CHR_sub", "ITM_DOWN_ARROW", "DOCU_CHR_super", "ITM_UP_ARROW", "MNU_TAMALPHA", "ITM_alpha", "DOCU_CHR_caseFLIP", "ITM_NULL", "DOCU_CHR_numSET", "ITM_NULL", "DOCU_ITM_RADIX", "ITM_PERIOD", AQ438), ".lo", ),"MNU_", "-MNU_")</f>
        <v>ITM_S</v>
      </c>
      <c r="BC438" s="157" t="str" cm="1">
        <f t="array" ref="BC438">SUBSTITUTE(SUBSTITUTE(_xlfn.SWITCH(AR438, "ITM_T_HOME", "ITM_UP1", "ITM_T_END", "ITM_DOWN1", "DOCU_CHR_sub", "ITM_DOWN_ARROW", "DOCU_CHR_super", "ITM_UP_ARROW", "MNU_TAMALPHA", "ITM_alpha", "DOCU_CHR_caseFLIP", "ITM_NULL", "DOCU_CHR_numSET", "ITM_NULL", "DOCU_ITM_RADIX", "ITM_PERIOD", AR438), ".lo", ),"MNU_", "-MNU_")</f>
        <v>ITM_s</v>
      </c>
      <c r="BD438" s="157" t="str" cm="1">
        <f t="array" ref="BD438">SUBSTITUTE(SUBSTITUTE(_xlfn.SWITCH(AS438, "ITM_T_HOME", "ITM_UP1", "ITM_T_END", "ITM_DOWN1", "DOCU_CHR_sub", "ITM_DOWN_ARROW", "DOCU_CHR_super", "ITM_UP_ARROW", "MNU_TAMALPHA", "ITM_alpha", "DOCU_CHR_caseFLIP", "ITM_NULL", "DOCU_CHR_numSET", "ITM_NULL", "DOCU_ITM_RADIX", "ITM_PERIOD", AS438), ".lo", ),"MNU_", "-MNU_")</f>
        <v>ITM_5</v>
      </c>
      <c r="BE438" s="157" t="str" cm="1">
        <f t="array" ref="BE438">SUBSTITUTE(SUBSTITUTE(_xlfn.SWITCH(AT438, "ITM_T_HOME", "ITM_UP1", "ITM_T_END", "ITM_DOWN1", "DOCU_CHR_sub", "ITM_DOWN_ARROW", "DOCU_CHR_super", "ITM_UP_ARROW", "MNU_TAMALPHA", "ITM_alpha", "DOCU_CHR_caseFLIP", "ITM_NULL", "DOCU_CHR_numSET", "ITM_NULL", "DOCU_ITM_RADIX", "ITM_PERIOD", AT438), ".lo", ),"MNU_", "-MNU_")</f>
        <v>ITM_5</v>
      </c>
      <c r="BG438" s="75"/>
      <c r="BI438" s="13" t="str">
        <f t="shared" si="152"/>
        <v xml:space="preserve">  {63,                  ITM_5,                -MNU_INTS,            -MNU_PARTS,           ITM_5,                ITM_S,                ITM_s,                ITM_5,                ITM_5               },</v>
      </c>
    </row>
    <row r="439" spans="20:61" ht="21" x14ac:dyDescent="0.2">
      <c r="T439" s="148">
        <v>3</v>
      </c>
      <c r="U439" s="149" t="s">
        <v>205</v>
      </c>
      <c r="V439" s="150" t="s">
        <v>177</v>
      </c>
      <c r="X439" s="141" t="str">
        <f t="shared" si="143"/>
        <v>R47</v>
      </c>
      <c r="Y439" s="142">
        <v>6</v>
      </c>
      <c r="Z439" s="142">
        <v>4</v>
      </c>
      <c r="AA439" s="144" t="str">
        <f t="shared" si="142"/>
        <v>R47.64</v>
      </c>
      <c r="AB439" s="148">
        <v>6</v>
      </c>
      <c r="AC439" s="149" t="s">
        <v>176</v>
      </c>
      <c r="AD439" s="150" t="s">
        <v>177</v>
      </c>
      <c r="AE439" s="3"/>
      <c r="AF439" s="52" t="s">
        <v>197</v>
      </c>
      <c r="AG439" s="77" t="b">
        <f t="shared" si="153"/>
        <v>1</v>
      </c>
      <c r="AH439" s="83" t="str">
        <f t="shared" si="144"/>
        <v>t</v>
      </c>
      <c r="AI439" s="84">
        <f t="shared" si="145"/>
        <v>6</v>
      </c>
      <c r="AJ439" s="85">
        <f t="shared" si="146"/>
        <v>6</v>
      </c>
      <c r="AK439" s="6"/>
      <c r="AL439" s="8" t="str">
        <f t="shared" si="147"/>
        <v>{64</v>
      </c>
      <c r="AM439" s="27" t="str">
        <f t="shared" si="155"/>
        <v>ITM_6</v>
      </c>
      <c r="AN439" s="27" t="str">
        <f t="shared" si="149"/>
        <v>MNU_MATX</v>
      </c>
      <c r="AO439" s="27" t="str">
        <f t="shared" si="150"/>
        <v>MNU_XFN</v>
      </c>
      <c r="AP439" s="46" t="str">
        <f>IF(NOT(ISNA(MATCH(AM439,Lookups!E:E,))),VLOOKUP(AM439,Lookups!E:F,2,0),
IF(NOT(ISNA(MATCH(AN439,Lookups!E:E,))),VLOOKUP(AN439,Lookups!E:F,2,0),
IF(NOT(ISNA(MATCH(AO439,Lookups!E:E,))),VLOOKUP(AO439,Lookups!E:F,2,0),"ITM_NULL")))</f>
        <v>ITM_6</v>
      </c>
      <c r="AQ439" s="28" t="str">
        <f t="shared" si="151"/>
        <v>ITM_T</v>
      </c>
      <c r="AR439" s="195" t="s">
        <v>198</v>
      </c>
      <c r="AS439" s="186" t="s">
        <v>209</v>
      </c>
      <c r="AT439" s="197" t="s">
        <v>209</v>
      </c>
      <c r="AW439" s="14" t="str">
        <f t="shared" si="154"/>
        <v>{64</v>
      </c>
      <c r="AX439" s="157" t="str" cm="1">
        <f t="array" ref="AX439">SUBSTITUTE(SUBSTITUTE(_xlfn.SWITCH(AM439, "ITM_T_HOME", "ITM_UP1", "ITM_T_END", "ITM_DOWN1", "DOCU_CHR_sub", "ITM_DOWN_ARROW", "DOCU_CHR_super", "ITM_UP_ARROW", "MNU_TAMALPHA", "ITM_alpha", "DOCU_CHR_caseFLIP", "ITM_NULL", "DOCU_CHR_numSET", "ITM_NULL", "DOCU_ITM_RADIX", "ITM_PERIOD", AM439), ".lo", ),"MNU_", "-MNU_")</f>
        <v>ITM_6</v>
      </c>
      <c r="AY439" s="157" t="str" cm="1">
        <f t="array" ref="AY439">SUBSTITUTE(SUBSTITUTE(_xlfn.SWITCH(AN439, "ITM_T_HOME", "ITM_UP1", "ITM_T_END", "ITM_DOWN1", "DOCU_CHR_sub", "ITM_DOWN_ARROW", "DOCU_CHR_super", "ITM_UP_ARROW", "MNU_TAMALPHA", "ITM_alpha", "DOCU_CHR_caseFLIP", "ITM_NULL", "DOCU_CHR_numSET", "ITM_NULL", "DOCU_ITM_RADIX", "ITM_PERIOD", AN439), ".lo", ),"MNU_", "-MNU_")</f>
        <v>-MNU_MATX</v>
      </c>
      <c r="AZ439" s="157" t="str" cm="1">
        <f t="array" ref="AZ439">SUBSTITUTE(SUBSTITUTE(_xlfn.SWITCH(AO439, "ITM_T_HOME", "ITM_UP1", "ITM_T_END", "ITM_DOWN1", "DOCU_CHR_sub", "ITM_DOWN_ARROW", "DOCU_CHR_super", "ITM_UP_ARROW", "MNU_TAMALPHA", "ITM_alpha", "DOCU_CHR_caseFLIP", "ITM_NULL", "DOCU_CHR_numSET", "ITM_NULL", "DOCU_ITM_RADIX", "ITM_PERIOD", AO439), ".lo", ),"MNU_", "-MNU_")</f>
        <v>-MNU_XFN</v>
      </c>
      <c r="BA439" s="173" t="str" cm="1">
        <f t="array" ref="BA439">SUBSTITUTE(SUBSTITUTE(_xlfn.SWITCH(AP439, "ITM_T_HOME", "ITM_UP1", "ITM_T_END", "ITM_DOWN1", "DOCU_CHR_sub", "ITM_DOWN_ARROW", "DOCU_CHR_super", "ITM_UP_ARROW", "MNU_TAMALPHA", "ITM_alpha", "DOCU_CHR_caseFLIP", "ITM_NULL", "DOCU_CHR_numSET", "ITM_NULL", "DOCU_ITM_RADIX", "ITM_PERIOD", AP439), ".lo", ),"MNU_", "-MNU_")</f>
        <v>ITM_6</v>
      </c>
      <c r="BB439" s="157" t="str" cm="1">
        <f t="array" ref="BB439">SUBSTITUTE(SUBSTITUTE(_xlfn.SWITCH(AQ439, "ITM_T_HOME", "ITM_UP1", "ITM_T_END", "ITM_DOWN1", "DOCU_CHR_sub", "ITM_DOWN_ARROW", "DOCU_CHR_super", "ITM_UP_ARROW", "MNU_TAMALPHA", "ITM_alpha", "DOCU_CHR_caseFLIP", "ITM_NULL", "DOCU_CHR_numSET", "ITM_NULL", "DOCU_ITM_RADIX", "ITM_PERIOD", AQ439), ".lo", ),"MNU_", "-MNU_")</f>
        <v>ITM_T</v>
      </c>
      <c r="BC439" s="157" t="str" cm="1">
        <f t="array" ref="BC439">SUBSTITUTE(SUBSTITUTE(_xlfn.SWITCH(AR439, "ITM_T_HOME", "ITM_UP1", "ITM_T_END", "ITM_DOWN1", "DOCU_CHR_sub", "ITM_DOWN_ARROW", "DOCU_CHR_super", "ITM_UP_ARROW", "MNU_TAMALPHA", "ITM_alpha", "DOCU_CHR_caseFLIP", "ITM_NULL", "DOCU_CHR_numSET", "ITM_NULL", "DOCU_ITM_RADIX", "ITM_PERIOD", AR439), ".lo", ),"MNU_", "-MNU_")</f>
        <v>ITM_t</v>
      </c>
      <c r="BD439" s="157" t="str" cm="1">
        <f t="array" ref="BD439">SUBSTITUTE(SUBSTITUTE(_xlfn.SWITCH(AS439, "ITM_T_HOME", "ITM_UP1", "ITM_T_END", "ITM_DOWN1", "DOCU_CHR_sub", "ITM_DOWN_ARROW", "DOCU_CHR_super", "ITM_UP_ARROW", "MNU_TAMALPHA", "ITM_alpha", "DOCU_CHR_caseFLIP", "ITM_NULL", "DOCU_CHR_numSET", "ITM_NULL", "DOCU_ITM_RADIX", "ITM_PERIOD", AS439), ".lo", ),"MNU_", "-MNU_")</f>
        <v>ITM_6</v>
      </c>
      <c r="BE439" s="157" t="str" cm="1">
        <f t="array" ref="BE439">SUBSTITUTE(SUBSTITUTE(_xlfn.SWITCH(AT439, "ITM_T_HOME", "ITM_UP1", "ITM_T_END", "ITM_DOWN1", "DOCU_CHR_sub", "ITM_DOWN_ARROW", "DOCU_CHR_super", "ITM_UP_ARROW", "MNU_TAMALPHA", "ITM_alpha", "DOCU_CHR_caseFLIP", "ITM_NULL", "DOCU_CHR_numSET", "ITM_NULL", "DOCU_ITM_RADIX", "ITM_PERIOD", AT439), ".lo", ),"MNU_", "-MNU_")</f>
        <v>ITM_6</v>
      </c>
      <c r="BG439" s="75"/>
      <c r="BI439" s="13" t="str">
        <f t="shared" si="152"/>
        <v xml:space="preserve">  {64,                  ITM_6,                -MNU_MATX,            -MNU_XFN,             ITM_6,                ITM_T,                ITM_t,                ITM_6,                ITM_6               },</v>
      </c>
    </row>
    <row r="440" spans="20:61" ht="21" x14ac:dyDescent="0.2">
      <c r="T440" s="148" t="s">
        <v>236</v>
      </c>
      <c r="U440" s="149" t="s">
        <v>172</v>
      </c>
      <c r="V440" s="150" t="s">
        <v>238</v>
      </c>
      <c r="X440" s="141" t="str">
        <f t="shared" si="143"/>
        <v>R47</v>
      </c>
      <c r="Y440" s="142">
        <v>6</v>
      </c>
      <c r="Z440" s="142">
        <v>5</v>
      </c>
      <c r="AA440" s="144" t="str">
        <f t="shared" si="142"/>
        <v>R47.65</v>
      </c>
      <c r="AB440" s="153" t="s">
        <v>210</v>
      </c>
      <c r="AC440" s="149" t="s">
        <v>166</v>
      </c>
      <c r="AD440" s="150" t="s">
        <v>171</v>
      </c>
      <c r="AE440" s="3"/>
      <c r="AF440" s="52" t="s">
        <v>202</v>
      </c>
      <c r="AG440" s="77" t="b">
        <f t="shared" si="153"/>
        <v>1</v>
      </c>
      <c r="AH440" s="83" t="str">
        <f t="shared" si="144"/>
        <v>u</v>
      </c>
      <c r="AI440" s="84" t="str">
        <f t="shared" si="145"/>
        <v>✕</v>
      </c>
      <c r="AJ440" s="85" t="str">
        <f t="shared" si="146"/>
        <v>✕</v>
      </c>
      <c r="AK440" s="6"/>
      <c r="AL440" s="8" t="str">
        <f t="shared" si="147"/>
        <v>{65</v>
      </c>
      <c r="AM440" s="27" t="str">
        <f t="shared" si="155"/>
        <v>ITM_MULT</v>
      </c>
      <c r="AN440" s="27" t="str">
        <f t="shared" si="149"/>
        <v>MNU_EQN</v>
      </c>
      <c r="AO440" s="27" t="str">
        <f t="shared" si="150"/>
        <v>MNU_ADV</v>
      </c>
      <c r="AP440" s="46" t="str">
        <f>IF(NOT(ISNA(MATCH(AM440,Lookups!E:E,))),VLOOKUP(AM440,Lookups!E:F,2,0),
IF(NOT(ISNA(MATCH(AN440,Lookups!E:E,))),VLOOKUP(AN440,Lookups!E:F,2,0),
IF(NOT(ISNA(MATCH(AO440,Lookups!E:E,))),VLOOKUP(AO440,Lookups!E:F,2,0),"ITM_NULL")))</f>
        <v>ITM_CROSS</v>
      </c>
      <c r="AQ440" s="28" t="str">
        <f t="shared" si="151"/>
        <v>ITM_U</v>
      </c>
      <c r="AR440" s="195" t="s">
        <v>203</v>
      </c>
      <c r="AS440" s="186" t="s">
        <v>215</v>
      </c>
      <c r="AT440" s="197" t="s">
        <v>216</v>
      </c>
      <c r="AW440" s="14" t="str">
        <f t="shared" si="154"/>
        <v>{65</v>
      </c>
      <c r="AX440" s="157" t="str" cm="1">
        <f t="array" ref="AX440">SUBSTITUTE(SUBSTITUTE(_xlfn.SWITCH(AM440, "ITM_T_HOME", "ITM_UP1", "ITM_T_END", "ITM_DOWN1", "DOCU_CHR_sub", "ITM_DOWN_ARROW", "DOCU_CHR_super", "ITM_UP_ARROW", "MNU_TAMALPHA", "ITM_alpha", "DOCU_CHR_caseFLIP", "ITM_NULL", "DOCU_CHR_numSET", "ITM_NULL", "DOCU_ITM_RADIX", "ITM_PERIOD", AM440), ".lo", ),"MNU_", "-MNU_")</f>
        <v>ITM_MULT</v>
      </c>
      <c r="AY440" s="157" t="str" cm="1">
        <f t="array" ref="AY440">SUBSTITUTE(SUBSTITUTE(_xlfn.SWITCH(AN440, "ITM_T_HOME", "ITM_UP1", "ITM_T_END", "ITM_DOWN1", "DOCU_CHR_sub", "ITM_DOWN_ARROW", "DOCU_CHR_super", "ITM_UP_ARROW", "MNU_TAMALPHA", "ITM_alpha", "DOCU_CHR_caseFLIP", "ITM_NULL", "DOCU_CHR_numSET", "ITM_NULL", "DOCU_ITM_RADIX", "ITM_PERIOD", AN440), ".lo", ),"MNU_", "-MNU_")</f>
        <v>-MNU_EQN</v>
      </c>
      <c r="AZ440" s="157" t="str" cm="1">
        <f t="array" ref="AZ440">SUBSTITUTE(SUBSTITUTE(_xlfn.SWITCH(AO440, "ITM_T_HOME", "ITM_UP1", "ITM_T_END", "ITM_DOWN1", "DOCU_CHR_sub", "ITM_DOWN_ARROW", "DOCU_CHR_super", "ITM_UP_ARROW", "MNU_TAMALPHA", "ITM_alpha", "DOCU_CHR_caseFLIP", "ITM_NULL", "DOCU_CHR_numSET", "ITM_NULL", "DOCU_ITM_RADIX", "ITM_PERIOD", AO440), ".lo", ),"MNU_", "-MNU_")</f>
        <v>-MNU_ADV</v>
      </c>
      <c r="BA440" s="173" t="str" cm="1">
        <f t="array" ref="BA440">SUBSTITUTE(SUBSTITUTE(_xlfn.SWITCH(AP440, "ITM_T_HOME", "ITM_UP1", "ITM_T_END", "ITM_DOWN1", "DOCU_CHR_sub", "ITM_DOWN_ARROW", "DOCU_CHR_super", "ITM_UP_ARROW", "MNU_TAMALPHA", "ITM_alpha", "DOCU_CHR_caseFLIP", "ITM_NULL", "DOCU_CHR_numSET", "ITM_NULL", "DOCU_ITM_RADIX", "ITM_PERIOD", AP440), ".lo", ),"MNU_", "-MNU_")</f>
        <v>ITM_CROSS</v>
      </c>
      <c r="BB440" s="157" t="str" cm="1">
        <f t="array" ref="BB440">SUBSTITUTE(SUBSTITUTE(_xlfn.SWITCH(AQ440, "ITM_T_HOME", "ITM_UP1", "ITM_T_END", "ITM_DOWN1", "DOCU_CHR_sub", "ITM_DOWN_ARROW", "DOCU_CHR_super", "ITM_UP_ARROW", "MNU_TAMALPHA", "ITM_alpha", "DOCU_CHR_caseFLIP", "ITM_NULL", "DOCU_CHR_numSET", "ITM_NULL", "DOCU_ITM_RADIX", "ITM_PERIOD", AQ440), ".lo", ),"MNU_", "-MNU_")</f>
        <v>ITM_U</v>
      </c>
      <c r="BC440" s="157" t="str" cm="1">
        <f t="array" ref="BC440">SUBSTITUTE(SUBSTITUTE(_xlfn.SWITCH(AR440, "ITM_T_HOME", "ITM_UP1", "ITM_T_END", "ITM_DOWN1", "DOCU_CHR_sub", "ITM_DOWN_ARROW", "DOCU_CHR_super", "ITM_UP_ARROW", "MNU_TAMALPHA", "ITM_alpha", "DOCU_CHR_caseFLIP", "ITM_NULL", "DOCU_CHR_numSET", "ITM_NULL", "DOCU_ITM_RADIX", "ITM_PERIOD", AR440), ".lo", ),"MNU_", "-MNU_")</f>
        <v>ITM_u</v>
      </c>
      <c r="BD440" s="157" t="str" cm="1">
        <f t="array" ref="BD440">SUBSTITUTE(SUBSTITUTE(_xlfn.SWITCH(AS440, "ITM_T_HOME", "ITM_UP1", "ITM_T_END", "ITM_DOWN1", "DOCU_CHR_sub", "ITM_DOWN_ARROW", "DOCU_CHR_super", "ITM_UP_ARROW", "MNU_TAMALPHA", "ITM_alpha", "DOCU_CHR_caseFLIP", "ITM_NULL", "DOCU_CHR_numSET", "ITM_NULL", "DOCU_ITM_RADIX", "ITM_PERIOD", AS440), ".lo", ),"MNU_", "-MNU_")</f>
        <v>ITM_CROSS</v>
      </c>
      <c r="BE440" s="157" t="str" cm="1">
        <f t="array" ref="BE440">SUBSTITUTE(SUBSTITUTE(_xlfn.SWITCH(AT440, "ITM_T_HOME", "ITM_UP1", "ITM_T_END", "ITM_DOWN1", "DOCU_CHR_sub", "ITM_DOWN_ARROW", "DOCU_CHR_super", "ITM_UP_ARROW", "MNU_TAMALPHA", "ITM_alpha", "DOCU_CHR_caseFLIP", "ITM_NULL", "DOCU_CHR_numSET", "ITM_NULL", "DOCU_ITM_RADIX", "ITM_PERIOD", AT440), ".lo", ),"MNU_", "-MNU_")</f>
        <v>ITM_MULT</v>
      </c>
      <c r="BG440" s="75"/>
      <c r="BI440" s="13" t="str">
        <f t="shared" si="152"/>
        <v xml:space="preserve">  {65,                  ITM_MULT,             -MNU_EQN,             -MNU_ADV,             ITM_CROSS,            ITM_U,                ITM_u,                ITM_CROSS,            ITM_MULT            },</v>
      </c>
    </row>
    <row r="441" spans="20:61" ht="21" x14ac:dyDescent="0.2">
      <c r="T441" s="148" t="s">
        <v>242</v>
      </c>
      <c r="U441" s="149" t="s">
        <v>243</v>
      </c>
      <c r="V441" s="150" t="s">
        <v>244</v>
      </c>
      <c r="X441" s="141" t="str">
        <f t="shared" si="143"/>
        <v>R47</v>
      </c>
      <c r="Y441" s="138">
        <v>7</v>
      </c>
      <c r="Z441" s="138">
        <v>1</v>
      </c>
      <c r="AA441" s="144" t="str">
        <f t="shared" si="142"/>
        <v>R47.71</v>
      </c>
      <c r="AB441" s="148" t="s">
        <v>188</v>
      </c>
      <c r="AC441" s="149" t="s">
        <v>189</v>
      </c>
      <c r="AD441" s="150" t="s">
        <v>190</v>
      </c>
      <c r="AE441" s="3"/>
      <c r="AF441" s="52" t="s">
        <v>191</v>
      </c>
      <c r="AG441" s="77" t="b">
        <f t="shared" si="153"/>
        <v>0</v>
      </c>
      <c r="AH441" s="83" t="str">
        <f t="shared" si="144"/>
        <v>CASE DN</v>
      </c>
      <c r="AI441" s="84" t="str">
        <f t="shared" si="145"/>
        <v>Sub</v>
      </c>
      <c r="AJ441" s="85" t="str">
        <f t="shared" si="146"/>
        <v>Dn</v>
      </c>
      <c r="AK441" s="6"/>
      <c r="AL441" s="8" t="str">
        <f t="shared" si="147"/>
        <v>{71</v>
      </c>
      <c r="AM441" s="27" t="str">
        <f t="shared" si="155"/>
        <v>ITM_DOWN1</v>
      </c>
      <c r="AN441" s="27" t="str">
        <f t="shared" si="149"/>
        <v>ITM_SST</v>
      </c>
      <c r="AO441" s="27" t="str">
        <f t="shared" si="150"/>
        <v>ITM_FLGSV</v>
      </c>
      <c r="AP441" s="46" t="str">
        <f>IF(NOT(ISNA(MATCH(AM441,Lookups!E:E,))),VLOOKUP(AM441,Lookups!E:F,2,0),
IF(NOT(ISNA(MATCH(AN441,Lookups!E:E,))),VLOOKUP(AN441,Lookups!E:F,2,0),
IF(NOT(ISNA(MATCH(AO441,Lookups!E:E,))),VLOOKUP(AO441,Lookups!E:F,2,0),"ITM_NULL")))</f>
        <v>ITM_DOWN1</v>
      </c>
      <c r="AQ441" s="28" t="str">
        <f>VLOOKUP(AF441,labelitem,2,0)</f>
        <v>ITM_T_END</v>
      </c>
      <c r="AR441" s="198" t="s">
        <v>192</v>
      </c>
      <c r="AS441" s="186" t="s">
        <v>193</v>
      </c>
      <c r="AT441" s="197" t="s">
        <v>194</v>
      </c>
      <c r="AW441" s="14" t="str">
        <f t="shared" si="154"/>
        <v>{71</v>
      </c>
      <c r="AX441" s="157" t="str" cm="1">
        <f t="array" ref="AX441">SUBSTITUTE(SUBSTITUTE(_xlfn.SWITCH(AM441, "ITM_T_HOME", "ITM_UP1", "ITM_T_END", "ITM_DOWN1", "DOCU_CHR_sub", "ITM_DOWN_ARROW", "DOCU_CHR_super", "ITM_UP_ARROW", "MNU_TAMALPHA", "ITM_alpha", "DOCU_CHR_caseFLIP", "ITM_NULL", "DOCU_CHR_numSET", "ITM_NULL", "DOCU_ITM_RADIX", "ITM_PERIOD", AM441), ".lo", ),"MNU_", "-MNU_")</f>
        <v>ITM_DOWN1</v>
      </c>
      <c r="AY441" s="157" t="str" cm="1">
        <f t="array" ref="AY441">SUBSTITUTE(SUBSTITUTE(_xlfn.SWITCH(AN441, "ITM_T_HOME", "ITM_UP1", "ITM_T_END", "ITM_DOWN1", "DOCU_CHR_sub", "ITM_DOWN_ARROW", "DOCU_CHR_super", "ITM_UP_ARROW", "MNU_TAMALPHA", "ITM_alpha", "DOCU_CHR_caseFLIP", "ITM_NULL", "DOCU_CHR_numSET", "ITM_NULL", "DOCU_ITM_RADIX", "ITM_PERIOD", AN441), ".lo", ),"MNU_", "-MNU_")</f>
        <v>ITM_SST</v>
      </c>
      <c r="AZ441" s="157" t="str" cm="1">
        <f t="array" ref="AZ441">SUBSTITUTE(SUBSTITUTE(_xlfn.SWITCH(AO441, "ITM_T_HOME", "ITM_UP1", "ITM_T_END", "ITM_DOWN1", "DOCU_CHR_sub", "ITM_DOWN_ARROW", "DOCU_CHR_super", "ITM_UP_ARROW", "MNU_TAMALPHA", "ITM_alpha", "DOCU_CHR_caseFLIP", "ITM_NULL", "DOCU_CHR_numSET", "ITM_NULL", "DOCU_ITM_RADIX", "ITM_PERIOD", AO441), ".lo", ),"MNU_", "-MNU_")</f>
        <v>ITM_FLGSV</v>
      </c>
      <c r="BA441" s="173" t="str" cm="1">
        <f t="array" ref="BA441">SUBSTITUTE(SUBSTITUTE(_xlfn.SWITCH(AP441, "ITM_T_HOME", "ITM_UP1", "ITM_T_END", "ITM_DOWN1", "DOCU_CHR_sub", "ITM_DOWN_ARROW", "DOCU_CHR_super", "ITM_UP_ARROW", "MNU_TAMALPHA", "ITM_alpha", "DOCU_CHR_caseFLIP", "ITM_NULL", "DOCU_CHR_numSET", "ITM_NULL", "DOCU_ITM_RADIX", "ITM_PERIOD", AP441), ".lo", ),"MNU_", "-MNU_")</f>
        <v>ITM_DOWN1</v>
      </c>
      <c r="BB441" s="157" t="str" cm="1">
        <f t="array" ref="BB441">SUBSTITUTE(SUBSTITUTE(_xlfn.SWITCH(AQ441, "ITM_T_HOME", "ITM_UP1", "ITM_T_END", "ITM_DOWN1", "DOCU_CHR_sub", "ITM_DOWN_ARROW", "DOCU_CHR_super", "ITM_UP_ARROW", "MNU_TAMALPHA", "ITM_alpha", "DOCU_CHR_caseFLIP", "ITM_NULL", "DOCU_CHR_numSET", "ITM_NULL", "DOCU_ITM_RADIX", "ITM_PERIOD", AQ441), ".lo", ),"MNU_", "-MNU_")</f>
        <v>ITM_DOWN1</v>
      </c>
      <c r="BC441" s="157" t="str" cm="1">
        <f t="array" ref="BC441">SUBSTITUTE(SUBSTITUTE(_xlfn.SWITCH(AR441, "ITM_T_HOME", "ITM_UP1", "ITM_T_END", "ITM_DOWN1", "DOCU_CHR_sub", "ITM_DOWN_ARROW", "DOCU_CHR_super", "ITM_UP_ARROW", "MNU_TAMALPHA", "ITM_alpha", "DOCU_CHR_caseFLIP", "ITM_NULL", "DOCU_CHR_numSET", "ITM_NULL", "DOCU_ITM_RADIX", "ITM_PERIOD", AR441), ".lo", ),"MNU_", "-MNU_")</f>
        <v>CHR_caseDN</v>
      </c>
      <c r="BD441" s="157" t="str" cm="1">
        <f t="array" ref="BD441">SUBSTITUTE(SUBSTITUTE(_xlfn.SWITCH(AS441, "ITM_T_HOME", "ITM_UP1", "ITM_T_END", "ITM_DOWN1", "DOCU_CHR_sub", "ITM_DOWN_ARROW", "DOCU_CHR_super", "ITM_UP_ARROW", "MNU_TAMALPHA", "ITM_alpha", "DOCU_CHR_caseFLIP", "ITM_NULL", "DOCU_CHR_numSET", "ITM_NULL", "DOCU_ITM_RADIX", "ITM_PERIOD", AS441), ".lo", ),"MNU_", "-MNU_")</f>
        <v>ITM_DOWN_ARROW</v>
      </c>
      <c r="BE441" s="157" t="str" cm="1">
        <f t="array" ref="BE441">SUBSTITUTE(SUBSTITUTE(_xlfn.SWITCH(AT441, "ITM_T_HOME", "ITM_UP1", "ITM_T_END", "ITM_DOWN1", "DOCU_CHR_sub", "ITM_DOWN_ARROW", "DOCU_CHR_super", "ITM_UP_ARROW", "MNU_TAMALPHA", "ITM_alpha", "DOCU_CHR_caseFLIP", "ITM_NULL", "DOCU_CHR_numSET", "ITM_NULL", "DOCU_ITM_RADIX", "ITM_PERIOD", AT441), ".lo", ),"MNU_", "-MNU_")</f>
        <v>ITM_DOWN1</v>
      </c>
      <c r="BG441" s="75"/>
      <c r="BI441" s="13" t="str">
        <f t="shared" si="152"/>
        <v xml:space="preserve">  {71,                  ITM_DOWN1,            ITM_SST,              ITM_FLGSV,            ITM_DOWN1,            ITM_DOWN1,            CHR_caseDN,           ITM_DOWN_ARROW,       ITM_DOWN1           },</v>
      </c>
    </row>
    <row r="442" spans="20:61" ht="21" x14ac:dyDescent="0.2">
      <c r="T442" s="148">
        <v>0</v>
      </c>
      <c r="U442" s="149" t="s">
        <v>447</v>
      </c>
      <c r="V442" s="150" t="s">
        <v>248</v>
      </c>
      <c r="X442" s="141" t="str">
        <f t="shared" si="143"/>
        <v>R47</v>
      </c>
      <c r="Y442" s="142">
        <v>7</v>
      </c>
      <c r="Z442" s="142">
        <v>2</v>
      </c>
      <c r="AA442" s="144" t="str">
        <f t="shared" si="142"/>
        <v>R47.72</v>
      </c>
      <c r="AB442" s="148">
        <v>1</v>
      </c>
      <c r="AC442" s="149" t="s">
        <v>447</v>
      </c>
      <c r="AD442" s="150" t="s">
        <v>223</v>
      </c>
      <c r="AE442" s="3"/>
      <c r="AF442" s="52" t="s">
        <v>207</v>
      </c>
      <c r="AG442" s="77" t="b">
        <f t="shared" si="153"/>
        <v>1</v>
      </c>
      <c r="AH442" s="83" t="str">
        <f t="shared" si="144"/>
        <v>v</v>
      </c>
      <c r="AI442" s="84">
        <f t="shared" si="145"/>
        <v>1</v>
      </c>
      <c r="AJ442" s="85">
        <f t="shared" si="146"/>
        <v>1</v>
      </c>
      <c r="AK442" s="6"/>
      <c r="AL442" s="8" t="str">
        <f t="shared" si="147"/>
        <v>{72</v>
      </c>
      <c r="AM442" s="27" t="str">
        <f t="shared" si="155"/>
        <v>ITM_1</v>
      </c>
      <c r="AN442" s="27" t="str">
        <f t="shared" si="149"/>
        <v>MNU_SETUP</v>
      </c>
      <c r="AO442" s="27" t="str">
        <f t="shared" si="150"/>
        <v>MNU_KEYS</v>
      </c>
      <c r="AP442" s="46" t="str">
        <f>IF(NOT(ISNA(MATCH(AM442,Lookups!E:E,))),VLOOKUP(AM442,Lookups!E:F,2,0),
IF(NOT(ISNA(MATCH(AN442,Lookups!E:E,))),VLOOKUP(AN442,Lookups!E:F,2,0),
IF(NOT(ISNA(MATCH(AO442,Lookups!E:E,))),VLOOKUP(AO442,Lookups!E:F,2,0),"ITM_NULL")))</f>
        <v>ITM_1</v>
      </c>
      <c r="AQ442" s="28" t="str">
        <f t="shared" ref="AQ442:AQ450" si="156">VLOOKUP(AF442,labelitem,2,0)</f>
        <v>ITM_V</v>
      </c>
      <c r="AR442" s="195" t="s">
        <v>208</v>
      </c>
      <c r="AS442" s="186" t="s">
        <v>226</v>
      </c>
      <c r="AT442" s="197" t="s">
        <v>226</v>
      </c>
      <c r="AW442" s="14" t="str">
        <f t="shared" si="154"/>
        <v>{72</v>
      </c>
      <c r="AX442" s="157" t="str" cm="1">
        <f t="array" ref="AX442">SUBSTITUTE(SUBSTITUTE(_xlfn.SWITCH(AM442, "ITM_T_HOME", "ITM_UP1", "ITM_T_END", "ITM_DOWN1", "DOCU_CHR_sub", "ITM_DOWN_ARROW", "DOCU_CHR_super", "ITM_UP_ARROW", "MNU_TAMALPHA", "ITM_alpha", "DOCU_CHR_caseFLIP", "ITM_NULL", "DOCU_CHR_numSET", "ITM_NULL", "DOCU_ITM_RADIX", "ITM_PERIOD", AM442), ".lo", ),"MNU_", "-MNU_")</f>
        <v>ITM_1</v>
      </c>
      <c r="AY442" s="157" t="str" cm="1">
        <f t="array" ref="AY442">SUBSTITUTE(SUBSTITUTE(_xlfn.SWITCH(AN442, "ITM_T_HOME", "ITM_UP1", "ITM_T_END", "ITM_DOWN1", "DOCU_CHR_sub", "ITM_DOWN_ARROW", "DOCU_CHR_super", "ITM_UP_ARROW", "MNU_TAMALPHA", "ITM_alpha", "DOCU_CHR_caseFLIP", "ITM_NULL", "DOCU_CHR_numSET", "ITM_NULL", "DOCU_ITM_RADIX", "ITM_PERIOD", AN442), ".lo", ),"MNU_", "-MNU_")</f>
        <v>-MNU_SETUP</v>
      </c>
      <c r="AZ442" s="157" t="str" cm="1">
        <f t="array" ref="AZ442">SUBSTITUTE(SUBSTITUTE(_xlfn.SWITCH(AO442, "ITM_T_HOME", "ITM_UP1", "ITM_T_END", "ITM_DOWN1", "DOCU_CHR_sub", "ITM_DOWN_ARROW", "DOCU_CHR_super", "ITM_UP_ARROW", "MNU_TAMALPHA", "ITM_alpha", "DOCU_CHR_caseFLIP", "ITM_NULL", "DOCU_CHR_numSET", "ITM_NULL", "DOCU_ITM_RADIX", "ITM_PERIOD", AO442), ".lo", ),"MNU_", "-MNU_")</f>
        <v>-MNU_KEYS</v>
      </c>
      <c r="BA442" s="173" t="str" cm="1">
        <f t="array" ref="BA442">SUBSTITUTE(SUBSTITUTE(_xlfn.SWITCH(AP442, "ITM_T_HOME", "ITM_UP1", "ITM_T_END", "ITM_DOWN1", "DOCU_CHR_sub", "ITM_DOWN_ARROW", "DOCU_CHR_super", "ITM_UP_ARROW", "MNU_TAMALPHA", "ITM_alpha", "DOCU_CHR_caseFLIP", "ITM_NULL", "DOCU_CHR_numSET", "ITM_NULL", "DOCU_ITM_RADIX", "ITM_PERIOD", AP442), ".lo", ),"MNU_", "-MNU_")</f>
        <v>ITM_1</v>
      </c>
      <c r="BB442" s="157" t="str" cm="1">
        <f t="array" ref="BB442">SUBSTITUTE(SUBSTITUTE(_xlfn.SWITCH(AQ442, "ITM_T_HOME", "ITM_UP1", "ITM_T_END", "ITM_DOWN1", "DOCU_CHR_sub", "ITM_DOWN_ARROW", "DOCU_CHR_super", "ITM_UP_ARROW", "MNU_TAMALPHA", "ITM_alpha", "DOCU_CHR_caseFLIP", "ITM_NULL", "DOCU_CHR_numSET", "ITM_NULL", "DOCU_ITM_RADIX", "ITM_PERIOD", AQ442), ".lo", ),"MNU_", "-MNU_")</f>
        <v>ITM_V</v>
      </c>
      <c r="BC442" s="157" t="str" cm="1">
        <f t="array" ref="BC442">SUBSTITUTE(SUBSTITUTE(_xlfn.SWITCH(AR442, "ITM_T_HOME", "ITM_UP1", "ITM_T_END", "ITM_DOWN1", "DOCU_CHR_sub", "ITM_DOWN_ARROW", "DOCU_CHR_super", "ITM_UP_ARROW", "MNU_TAMALPHA", "ITM_alpha", "DOCU_CHR_caseFLIP", "ITM_NULL", "DOCU_CHR_numSET", "ITM_NULL", "DOCU_ITM_RADIX", "ITM_PERIOD", AR442), ".lo", ),"MNU_", "-MNU_")</f>
        <v>ITM_v</v>
      </c>
      <c r="BD442" s="157" t="str" cm="1">
        <f t="array" ref="BD442">SUBSTITUTE(SUBSTITUTE(_xlfn.SWITCH(AS442, "ITM_T_HOME", "ITM_UP1", "ITM_T_END", "ITM_DOWN1", "DOCU_CHR_sub", "ITM_DOWN_ARROW", "DOCU_CHR_super", "ITM_UP_ARROW", "MNU_TAMALPHA", "ITM_alpha", "DOCU_CHR_caseFLIP", "ITM_NULL", "DOCU_CHR_numSET", "ITM_NULL", "DOCU_ITM_RADIX", "ITM_PERIOD", AS442), ".lo", ),"MNU_", "-MNU_")</f>
        <v>ITM_1</v>
      </c>
      <c r="BE442" s="157" t="str" cm="1">
        <f t="array" ref="BE442">SUBSTITUTE(SUBSTITUTE(_xlfn.SWITCH(AT442, "ITM_T_HOME", "ITM_UP1", "ITM_T_END", "ITM_DOWN1", "DOCU_CHR_sub", "ITM_DOWN_ARROW", "DOCU_CHR_super", "ITM_UP_ARROW", "MNU_TAMALPHA", "ITM_alpha", "DOCU_CHR_caseFLIP", "ITM_NULL", "DOCU_CHR_numSET", "ITM_NULL", "DOCU_ITM_RADIX", "ITM_PERIOD", AT442), ".lo", ),"MNU_", "-MNU_")</f>
        <v>ITM_1</v>
      </c>
      <c r="BG442" s="75"/>
      <c r="BI442" s="13" t="str">
        <f t="shared" si="152"/>
        <v xml:space="preserve">  {72,                  ITM_1,                -MNU_SETUP,           -MNU_KEYS,            ITM_1,                ITM_V,                ITM_v,                ITM_1,                ITM_1               },</v>
      </c>
    </row>
    <row r="443" spans="20:61" ht="21" x14ac:dyDescent="0.2">
      <c r="T443" s="117" t="s">
        <v>253</v>
      </c>
      <c r="U443" s="149" t="s">
        <v>254</v>
      </c>
      <c r="V443" s="150" t="s">
        <v>49</v>
      </c>
      <c r="X443" s="141" t="str">
        <f t="shared" si="143"/>
        <v>R47</v>
      </c>
      <c r="Y443" s="142">
        <v>7</v>
      </c>
      <c r="Z443" s="142">
        <v>3</v>
      </c>
      <c r="AA443" s="144" t="str">
        <f t="shared" si="142"/>
        <v>R47.73</v>
      </c>
      <c r="AB443" s="148">
        <v>2</v>
      </c>
      <c r="AC443" s="152" t="s">
        <v>200</v>
      </c>
      <c r="AD443" s="119" t="s">
        <v>201</v>
      </c>
      <c r="AE443" s="3"/>
      <c r="AF443" s="52" t="s">
        <v>213</v>
      </c>
      <c r="AG443" s="77" t="b">
        <f t="shared" si="153"/>
        <v>1</v>
      </c>
      <c r="AH443" s="83" t="str">
        <f t="shared" si="144"/>
        <v>w</v>
      </c>
      <c r="AI443" s="84">
        <f t="shared" si="145"/>
        <v>2</v>
      </c>
      <c r="AJ443" s="85">
        <f t="shared" si="146"/>
        <v>2</v>
      </c>
      <c r="AK443" s="6"/>
      <c r="AL443" s="8" t="str">
        <f t="shared" si="147"/>
        <v>{73</v>
      </c>
      <c r="AM443" s="27" t="str">
        <f t="shared" si="155"/>
        <v>ITM_2</v>
      </c>
      <c r="AN443" s="27" t="str">
        <f t="shared" si="149"/>
        <v>MNU_UNITCONV</v>
      </c>
      <c r="AO443" s="27" t="str">
        <f t="shared" si="150"/>
        <v>MNU_CLK</v>
      </c>
      <c r="AP443" s="46" t="str">
        <f>IF(NOT(ISNA(MATCH(AM443,Lookups!E:E,))),VLOOKUP(AM443,Lookups!E:F,2,0),
IF(NOT(ISNA(MATCH(AN443,Lookups!E:E,))),VLOOKUP(AN443,Lookups!E:F,2,0),
IF(NOT(ISNA(MATCH(AO443,Lookups!E:E,))),VLOOKUP(AO443,Lookups!E:F,2,0),"ITM_NULL")))</f>
        <v>ITM_2</v>
      </c>
      <c r="AQ443" s="28" t="str">
        <f t="shared" si="156"/>
        <v>ITM_W</v>
      </c>
      <c r="AR443" s="195" t="s">
        <v>214</v>
      </c>
      <c r="AS443" s="186" t="s">
        <v>230</v>
      </c>
      <c r="AT443" s="197" t="s">
        <v>230</v>
      </c>
      <c r="AW443" s="14" t="str">
        <f t="shared" si="154"/>
        <v>{73</v>
      </c>
      <c r="AX443" s="157" t="str" cm="1">
        <f t="array" ref="AX443">SUBSTITUTE(SUBSTITUTE(_xlfn.SWITCH(AM443, "ITM_T_HOME", "ITM_UP1", "ITM_T_END", "ITM_DOWN1", "DOCU_CHR_sub", "ITM_DOWN_ARROW", "DOCU_CHR_super", "ITM_UP_ARROW", "MNU_TAMALPHA", "ITM_alpha", "DOCU_CHR_caseFLIP", "ITM_NULL", "DOCU_CHR_numSET", "ITM_NULL", "DOCU_ITM_RADIX", "ITM_PERIOD", AM443), ".lo", ),"MNU_", "-MNU_")</f>
        <v>ITM_2</v>
      </c>
      <c r="AY443" s="157" t="str" cm="1">
        <f t="array" ref="AY443">SUBSTITUTE(SUBSTITUTE(_xlfn.SWITCH(AN443, "ITM_T_HOME", "ITM_UP1", "ITM_T_END", "ITM_DOWN1", "DOCU_CHR_sub", "ITM_DOWN_ARROW", "DOCU_CHR_super", "ITM_UP_ARROW", "MNU_TAMALPHA", "ITM_alpha", "DOCU_CHR_caseFLIP", "ITM_NULL", "DOCU_CHR_numSET", "ITM_NULL", "DOCU_ITM_RADIX", "ITM_PERIOD", AN443), ".lo", ),"MNU_", "-MNU_")</f>
        <v>-MNU_UNITCONV</v>
      </c>
      <c r="AZ443" s="157" t="str" cm="1">
        <f t="array" ref="AZ443">SUBSTITUTE(SUBSTITUTE(_xlfn.SWITCH(AO443, "ITM_T_HOME", "ITM_UP1", "ITM_T_END", "ITM_DOWN1", "DOCU_CHR_sub", "ITM_DOWN_ARROW", "DOCU_CHR_super", "ITM_UP_ARROW", "MNU_TAMALPHA", "ITM_alpha", "DOCU_CHR_caseFLIP", "ITM_NULL", "DOCU_CHR_numSET", "ITM_NULL", "DOCU_ITM_RADIX", "ITM_PERIOD", AO443), ".lo", ),"MNU_", "-MNU_")</f>
        <v>-MNU_CLK</v>
      </c>
      <c r="BA443" s="173" t="str" cm="1">
        <f t="array" ref="BA443">SUBSTITUTE(SUBSTITUTE(_xlfn.SWITCH(AP443, "ITM_T_HOME", "ITM_UP1", "ITM_T_END", "ITM_DOWN1", "DOCU_CHR_sub", "ITM_DOWN_ARROW", "DOCU_CHR_super", "ITM_UP_ARROW", "MNU_TAMALPHA", "ITM_alpha", "DOCU_CHR_caseFLIP", "ITM_NULL", "DOCU_CHR_numSET", "ITM_NULL", "DOCU_ITM_RADIX", "ITM_PERIOD", AP443), ".lo", ),"MNU_", "-MNU_")</f>
        <v>ITM_2</v>
      </c>
      <c r="BB443" s="157" t="str" cm="1">
        <f t="array" ref="BB443">SUBSTITUTE(SUBSTITUTE(_xlfn.SWITCH(AQ443, "ITM_T_HOME", "ITM_UP1", "ITM_T_END", "ITM_DOWN1", "DOCU_CHR_sub", "ITM_DOWN_ARROW", "DOCU_CHR_super", "ITM_UP_ARROW", "MNU_TAMALPHA", "ITM_alpha", "DOCU_CHR_caseFLIP", "ITM_NULL", "DOCU_CHR_numSET", "ITM_NULL", "DOCU_ITM_RADIX", "ITM_PERIOD", AQ443), ".lo", ),"MNU_", "-MNU_")</f>
        <v>ITM_W</v>
      </c>
      <c r="BC443" s="157" t="str" cm="1">
        <f t="array" ref="BC443">SUBSTITUTE(SUBSTITUTE(_xlfn.SWITCH(AR443, "ITM_T_HOME", "ITM_UP1", "ITM_T_END", "ITM_DOWN1", "DOCU_CHR_sub", "ITM_DOWN_ARROW", "DOCU_CHR_super", "ITM_UP_ARROW", "MNU_TAMALPHA", "ITM_alpha", "DOCU_CHR_caseFLIP", "ITM_NULL", "DOCU_CHR_numSET", "ITM_NULL", "DOCU_ITM_RADIX", "ITM_PERIOD", AR443), ".lo", ),"MNU_", "-MNU_")</f>
        <v>ITM_w</v>
      </c>
      <c r="BD443" s="157" t="str" cm="1">
        <f t="array" ref="BD443">SUBSTITUTE(SUBSTITUTE(_xlfn.SWITCH(AS443, "ITM_T_HOME", "ITM_UP1", "ITM_T_END", "ITM_DOWN1", "DOCU_CHR_sub", "ITM_DOWN_ARROW", "DOCU_CHR_super", "ITM_UP_ARROW", "MNU_TAMALPHA", "ITM_alpha", "DOCU_CHR_caseFLIP", "ITM_NULL", "DOCU_CHR_numSET", "ITM_NULL", "DOCU_ITM_RADIX", "ITM_PERIOD", AS443), ".lo", ),"MNU_", "-MNU_")</f>
        <v>ITM_2</v>
      </c>
      <c r="BE443" s="157" t="str" cm="1">
        <f t="array" ref="BE443">SUBSTITUTE(SUBSTITUTE(_xlfn.SWITCH(AT443, "ITM_T_HOME", "ITM_UP1", "ITM_T_END", "ITM_DOWN1", "DOCU_CHR_sub", "ITM_DOWN_ARROW", "DOCU_CHR_super", "ITM_UP_ARROW", "MNU_TAMALPHA", "ITM_alpha", "DOCU_CHR_caseFLIP", "ITM_NULL", "DOCU_CHR_numSET", "ITM_NULL", "DOCU_ITM_RADIX", "ITM_PERIOD", AT443), ".lo", ),"MNU_", "-MNU_")</f>
        <v>ITM_2</v>
      </c>
      <c r="BG443" s="75"/>
      <c r="BI443" s="13" t="str">
        <f t="shared" si="152"/>
        <v xml:space="preserve">  {73,                  ITM_2,                -MNU_UNITCONV,        -MNU_CLK,             ITM_2,                ITM_W,                ITM_w,                ITM_2,                ITM_2               },</v>
      </c>
    </row>
    <row r="444" spans="20:61" ht="21" x14ac:dyDescent="0.2">
      <c r="T444" s="148" t="s">
        <v>258</v>
      </c>
      <c r="U444" s="149" t="s">
        <v>259</v>
      </c>
      <c r="V444" s="150" t="s">
        <v>231</v>
      </c>
      <c r="X444" s="141" t="str">
        <f t="shared" si="143"/>
        <v>R47</v>
      </c>
      <c r="Y444" s="142">
        <v>7</v>
      </c>
      <c r="Z444" s="142">
        <v>4</v>
      </c>
      <c r="AA444" s="144" t="str">
        <f t="shared" si="142"/>
        <v>R47.74</v>
      </c>
      <c r="AB444" s="148">
        <v>3</v>
      </c>
      <c r="AC444" s="149" t="s">
        <v>205</v>
      </c>
      <c r="AD444" s="150" t="s">
        <v>645</v>
      </c>
      <c r="AE444" s="3"/>
      <c r="AF444" s="52" t="s">
        <v>224</v>
      </c>
      <c r="AG444" s="77" t="b">
        <f t="shared" si="153"/>
        <v>1</v>
      </c>
      <c r="AH444" s="83" t="str">
        <f t="shared" si="144"/>
        <v>x</v>
      </c>
      <c r="AI444" s="84">
        <f t="shared" si="145"/>
        <v>3</v>
      </c>
      <c r="AJ444" s="85">
        <f t="shared" si="146"/>
        <v>3</v>
      </c>
      <c r="AK444" s="6"/>
      <c r="AL444" s="8" t="str">
        <f t="shared" si="147"/>
        <v>{74</v>
      </c>
      <c r="AM444" s="27" t="str">
        <f t="shared" si="155"/>
        <v>ITM_3</v>
      </c>
      <c r="AN444" s="27" t="str">
        <f t="shared" si="149"/>
        <v>MNU_FLAGS</v>
      </c>
      <c r="AO444" s="27" t="str">
        <f t="shared" si="150"/>
        <v>MNU_ALPHAFN</v>
      </c>
      <c r="AP444" s="46" t="str">
        <f>IF(NOT(ISNA(MATCH(AM444,Lookups!E:E,))),VLOOKUP(AM444,Lookups!E:F,2,0),
IF(NOT(ISNA(MATCH(AN444,Lookups!E:E,))),VLOOKUP(AN444,Lookups!E:F,2,0),
IF(NOT(ISNA(MATCH(AO444,Lookups!E:E,))),VLOOKUP(AO444,Lookups!E:F,2,0),"ITM_NULL")))</f>
        <v>ITM_3</v>
      </c>
      <c r="AQ444" s="28" t="str">
        <f t="shared" si="156"/>
        <v>ITM_X</v>
      </c>
      <c r="AR444" s="195" t="s">
        <v>225</v>
      </c>
      <c r="AS444" s="186" t="s">
        <v>235</v>
      </c>
      <c r="AT444" s="197" t="s">
        <v>235</v>
      </c>
      <c r="AW444" s="14" t="str">
        <f t="shared" si="154"/>
        <v>{74</v>
      </c>
      <c r="AX444" s="157" t="str" cm="1">
        <f t="array" ref="AX444">SUBSTITUTE(SUBSTITUTE(_xlfn.SWITCH(AM444, "ITM_T_HOME", "ITM_UP1", "ITM_T_END", "ITM_DOWN1", "DOCU_CHR_sub", "ITM_DOWN_ARROW", "DOCU_CHR_super", "ITM_UP_ARROW", "MNU_TAMALPHA", "ITM_alpha", "DOCU_CHR_caseFLIP", "ITM_NULL", "DOCU_CHR_numSET", "ITM_NULL", "DOCU_ITM_RADIX", "ITM_PERIOD", AM444), ".lo", ),"MNU_", "-MNU_")</f>
        <v>ITM_3</v>
      </c>
      <c r="AY444" s="157" t="str" cm="1">
        <f t="array" ref="AY444">SUBSTITUTE(SUBSTITUTE(_xlfn.SWITCH(AN444, "ITM_T_HOME", "ITM_UP1", "ITM_T_END", "ITM_DOWN1", "DOCU_CHR_sub", "ITM_DOWN_ARROW", "DOCU_CHR_super", "ITM_UP_ARROW", "MNU_TAMALPHA", "ITM_alpha", "DOCU_CHR_caseFLIP", "ITM_NULL", "DOCU_CHR_numSET", "ITM_NULL", "DOCU_ITM_RADIX", "ITM_PERIOD", AN444), ".lo", ),"MNU_", "-MNU_")</f>
        <v>-MNU_FLAGS</v>
      </c>
      <c r="AZ444" s="157" t="str" cm="1">
        <f t="array" ref="AZ444">SUBSTITUTE(SUBSTITUTE(_xlfn.SWITCH(AO444, "ITM_T_HOME", "ITM_UP1", "ITM_T_END", "ITM_DOWN1", "DOCU_CHR_sub", "ITM_DOWN_ARROW", "DOCU_CHR_super", "ITM_UP_ARROW", "MNU_TAMALPHA", "ITM_alpha", "DOCU_CHR_caseFLIP", "ITM_NULL", "DOCU_CHR_numSET", "ITM_NULL", "DOCU_ITM_RADIX", "ITM_PERIOD", AO444), ".lo", ),"MNU_", "-MNU_")</f>
        <v>-MNU_ALPHAFN</v>
      </c>
      <c r="BA444" s="173" t="str" cm="1">
        <f t="array" ref="BA444">SUBSTITUTE(SUBSTITUTE(_xlfn.SWITCH(AP444, "ITM_T_HOME", "ITM_UP1", "ITM_T_END", "ITM_DOWN1", "DOCU_CHR_sub", "ITM_DOWN_ARROW", "DOCU_CHR_super", "ITM_UP_ARROW", "MNU_TAMALPHA", "ITM_alpha", "DOCU_CHR_caseFLIP", "ITM_NULL", "DOCU_CHR_numSET", "ITM_NULL", "DOCU_ITM_RADIX", "ITM_PERIOD", AP444), ".lo", ),"MNU_", "-MNU_")</f>
        <v>ITM_3</v>
      </c>
      <c r="BB444" s="157" t="str" cm="1">
        <f t="array" ref="BB444">SUBSTITUTE(SUBSTITUTE(_xlfn.SWITCH(AQ444, "ITM_T_HOME", "ITM_UP1", "ITM_T_END", "ITM_DOWN1", "DOCU_CHR_sub", "ITM_DOWN_ARROW", "DOCU_CHR_super", "ITM_UP_ARROW", "MNU_TAMALPHA", "ITM_alpha", "DOCU_CHR_caseFLIP", "ITM_NULL", "DOCU_CHR_numSET", "ITM_NULL", "DOCU_ITM_RADIX", "ITM_PERIOD", AQ444), ".lo", ),"MNU_", "-MNU_")</f>
        <v>ITM_X</v>
      </c>
      <c r="BC444" s="157" t="str" cm="1">
        <f t="array" ref="BC444">SUBSTITUTE(SUBSTITUTE(_xlfn.SWITCH(AR444, "ITM_T_HOME", "ITM_UP1", "ITM_T_END", "ITM_DOWN1", "DOCU_CHR_sub", "ITM_DOWN_ARROW", "DOCU_CHR_super", "ITM_UP_ARROW", "MNU_TAMALPHA", "ITM_alpha", "DOCU_CHR_caseFLIP", "ITM_NULL", "DOCU_CHR_numSET", "ITM_NULL", "DOCU_ITM_RADIX", "ITM_PERIOD", AR444), ".lo", ),"MNU_", "-MNU_")</f>
        <v>ITM_x</v>
      </c>
      <c r="BD444" s="157" t="str" cm="1">
        <f t="array" ref="BD444">SUBSTITUTE(SUBSTITUTE(_xlfn.SWITCH(AS444, "ITM_T_HOME", "ITM_UP1", "ITM_T_END", "ITM_DOWN1", "DOCU_CHR_sub", "ITM_DOWN_ARROW", "DOCU_CHR_super", "ITM_UP_ARROW", "MNU_TAMALPHA", "ITM_alpha", "DOCU_CHR_caseFLIP", "ITM_NULL", "DOCU_CHR_numSET", "ITM_NULL", "DOCU_ITM_RADIX", "ITM_PERIOD", AS444), ".lo", ),"MNU_", "-MNU_")</f>
        <v>ITM_3</v>
      </c>
      <c r="BE444" s="157" t="str" cm="1">
        <f t="array" ref="BE444">SUBSTITUTE(SUBSTITUTE(_xlfn.SWITCH(AT444, "ITM_T_HOME", "ITM_UP1", "ITM_T_END", "ITM_DOWN1", "DOCU_CHR_sub", "ITM_DOWN_ARROW", "DOCU_CHR_super", "ITM_UP_ARROW", "MNU_TAMALPHA", "ITM_alpha", "DOCU_CHR_caseFLIP", "ITM_NULL", "DOCU_CHR_numSET", "ITM_NULL", "DOCU_ITM_RADIX", "ITM_PERIOD", AT444), ".lo", ),"MNU_", "-MNU_")</f>
        <v>ITM_3</v>
      </c>
      <c r="BG444" s="75"/>
      <c r="BI444" s="13" t="str">
        <f t="shared" si="152"/>
        <v xml:space="preserve">  {74,                  ITM_3,                -MNU_FLAGS,           -MNU_ALPHAFN,         ITM_3,                ITM_X,                ITM_x,                ITM_3,                ITM_3               },</v>
      </c>
    </row>
    <row r="445" spans="20:61" ht="22" thickBot="1" x14ac:dyDescent="0.25">
      <c r="T445" s="154" t="s">
        <v>263</v>
      </c>
      <c r="U445" s="155" t="s">
        <v>264</v>
      </c>
      <c r="V445" s="156" t="s">
        <v>265</v>
      </c>
      <c r="X445" s="141" t="str">
        <f t="shared" si="143"/>
        <v>R47</v>
      </c>
      <c r="Y445" s="142">
        <v>7</v>
      </c>
      <c r="Z445" s="142">
        <v>5</v>
      </c>
      <c r="AA445" s="144" t="str">
        <f t="shared" si="142"/>
        <v>R47.75</v>
      </c>
      <c r="AB445" s="148" t="s">
        <v>236</v>
      </c>
      <c r="AC445" s="149" t="s">
        <v>211</v>
      </c>
      <c r="AD445" s="150" t="s">
        <v>172</v>
      </c>
      <c r="AE445" s="3"/>
      <c r="AF445" s="52" t="s">
        <v>228</v>
      </c>
      <c r="AG445" s="77" t="b">
        <f t="shared" si="153"/>
        <v>1</v>
      </c>
      <c r="AH445" s="83" t="str">
        <f t="shared" si="144"/>
        <v>y</v>
      </c>
      <c r="AI445" s="84" t="str">
        <f t="shared" si="145"/>
        <v>-</v>
      </c>
      <c r="AJ445" s="85" t="str">
        <f t="shared" si="146"/>
        <v>-</v>
      </c>
      <c r="AK445" s="6"/>
      <c r="AL445" s="8" t="str">
        <f t="shared" si="147"/>
        <v>{75</v>
      </c>
      <c r="AM445" s="27" t="str">
        <f t="shared" si="155"/>
        <v>ITM_SUB</v>
      </c>
      <c r="AN445" s="27" t="str">
        <f t="shared" si="149"/>
        <v>MNU_PROB</v>
      </c>
      <c r="AO445" s="27" t="str">
        <f t="shared" si="150"/>
        <v>MNU_FIN</v>
      </c>
      <c r="AP445" s="46" t="str">
        <f>IF(NOT(ISNA(MATCH(AM445,Lookups!E:E,))),VLOOKUP(AM445,Lookups!E:F,2,0),
IF(NOT(ISNA(MATCH(AN445,Lookups!E:E,))),VLOOKUP(AN445,Lookups!E:F,2,0),
IF(NOT(ISNA(MATCH(AO445,Lookups!E:E,))),VLOOKUP(AO445,Lookups!E:F,2,0),"ITM_NULL")))</f>
        <v>ITM_MINUS</v>
      </c>
      <c r="AQ445" s="28" t="str">
        <f t="shared" si="156"/>
        <v>ITM_Y</v>
      </c>
      <c r="AR445" s="195" t="s">
        <v>229</v>
      </c>
      <c r="AS445" s="186" t="s">
        <v>240</v>
      </c>
      <c r="AT445" s="197" t="s">
        <v>241</v>
      </c>
      <c r="AW445" s="14" t="str">
        <f t="shared" si="154"/>
        <v>{75</v>
      </c>
      <c r="AX445" s="157" t="str" cm="1">
        <f t="array" ref="AX445">SUBSTITUTE(SUBSTITUTE(_xlfn.SWITCH(AM445, "ITM_T_HOME", "ITM_UP1", "ITM_T_END", "ITM_DOWN1", "DOCU_CHR_sub", "ITM_DOWN_ARROW", "DOCU_CHR_super", "ITM_UP_ARROW", "MNU_TAMALPHA", "ITM_alpha", "DOCU_CHR_caseFLIP", "ITM_NULL", "DOCU_CHR_numSET", "ITM_NULL", "DOCU_ITM_RADIX", "ITM_PERIOD", AM445), ".lo", ),"MNU_", "-MNU_")</f>
        <v>ITM_SUB</v>
      </c>
      <c r="AY445" s="157" t="str" cm="1">
        <f t="array" ref="AY445">SUBSTITUTE(SUBSTITUTE(_xlfn.SWITCH(AN445, "ITM_T_HOME", "ITM_UP1", "ITM_T_END", "ITM_DOWN1", "DOCU_CHR_sub", "ITM_DOWN_ARROW", "DOCU_CHR_super", "ITM_UP_ARROW", "MNU_TAMALPHA", "ITM_alpha", "DOCU_CHR_caseFLIP", "ITM_NULL", "DOCU_CHR_numSET", "ITM_NULL", "DOCU_ITM_RADIX", "ITM_PERIOD", AN445), ".lo", ),"MNU_", "-MNU_")</f>
        <v>-MNU_PROB</v>
      </c>
      <c r="AZ445" s="157" t="str" cm="1">
        <f t="array" ref="AZ445">SUBSTITUTE(SUBSTITUTE(_xlfn.SWITCH(AO445, "ITM_T_HOME", "ITM_UP1", "ITM_T_END", "ITM_DOWN1", "DOCU_CHR_sub", "ITM_DOWN_ARROW", "DOCU_CHR_super", "ITM_UP_ARROW", "MNU_TAMALPHA", "ITM_alpha", "DOCU_CHR_caseFLIP", "ITM_NULL", "DOCU_CHR_numSET", "ITM_NULL", "DOCU_ITM_RADIX", "ITM_PERIOD", AO445), ".lo", ),"MNU_", "-MNU_")</f>
        <v>-MNU_FIN</v>
      </c>
      <c r="BA445" s="173" t="str" cm="1">
        <f t="array" ref="BA445">SUBSTITUTE(SUBSTITUTE(_xlfn.SWITCH(AP445, "ITM_T_HOME", "ITM_UP1", "ITM_T_END", "ITM_DOWN1", "DOCU_CHR_sub", "ITM_DOWN_ARROW", "DOCU_CHR_super", "ITM_UP_ARROW", "MNU_TAMALPHA", "ITM_alpha", "DOCU_CHR_caseFLIP", "ITM_NULL", "DOCU_CHR_numSET", "ITM_NULL", "DOCU_ITM_RADIX", "ITM_PERIOD", AP445), ".lo", ),"MNU_", "-MNU_")</f>
        <v>ITM_MINUS</v>
      </c>
      <c r="BB445" s="157" t="str" cm="1">
        <f t="array" ref="BB445">SUBSTITUTE(SUBSTITUTE(_xlfn.SWITCH(AQ445, "ITM_T_HOME", "ITM_UP1", "ITM_T_END", "ITM_DOWN1", "DOCU_CHR_sub", "ITM_DOWN_ARROW", "DOCU_CHR_super", "ITM_UP_ARROW", "MNU_TAMALPHA", "ITM_alpha", "DOCU_CHR_caseFLIP", "ITM_NULL", "DOCU_CHR_numSET", "ITM_NULL", "DOCU_ITM_RADIX", "ITM_PERIOD", AQ445), ".lo", ),"MNU_", "-MNU_")</f>
        <v>ITM_Y</v>
      </c>
      <c r="BC445" s="157" t="str" cm="1">
        <f t="array" ref="BC445">SUBSTITUTE(SUBSTITUTE(_xlfn.SWITCH(AR445, "ITM_T_HOME", "ITM_UP1", "ITM_T_END", "ITM_DOWN1", "DOCU_CHR_sub", "ITM_DOWN_ARROW", "DOCU_CHR_super", "ITM_UP_ARROW", "MNU_TAMALPHA", "ITM_alpha", "DOCU_CHR_caseFLIP", "ITM_NULL", "DOCU_CHR_numSET", "ITM_NULL", "DOCU_ITM_RADIX", "ITM_PERIOD", AR445), ".lo", ),"MNU_", "-MNU_")</f>
        <v>ITM_y</v>
      </c>
      <c r="BD445" s="157" t="str" cm="1">
        <f t="array" ref="BD445">SUBSTITUTE(SUBSTITUTE(_xlfn.SWITCH(AS445, "ITM_T_HOME", "ITM_UP1", "ITM_T_END", "ITM_DOWN1", "DOCU_CHR_sub", "ITM_DOWN_ARROW", "DOCU_CHR_super", "ITM_UP_ARROW", "MNU_TAMALPHA", "ITM_alpha", "DOCU_CHR_caseFLIP", "ITM_NULL", "DOCU_CHR_numSET", "ITM_NULL", "DOCU_ITM_RADIX", "ITM_PERIOD", AS445), ".lo", ),"MNU_", "-MNU_")</f>
        <v>ITM_MINUS</v>
      </c>
      <c r="BE445" s="157" t="str" cm="1">
        <f t="array" ref="BE445">SUBSTITUTE(SUBSTITUTE(_xlfn.SWITCH(AT445, "ITM_T_HOME", "ITM_UP1", "ITM_T_END", "ITM_DOWN1", "DOCU_CHR_sub", "ITM_DOWN_ARROW", "DOCU_CHR_super", "ITM_UP_ARROW", "MNU_TAMALPHA", "ITM_alpha", "DOCU_CHR_caseFLIP", "ITM_NULL", "DOCU_CHR_numSET", "ITM_NULL", "DOCU_ITM_RADIX", "ITM_PERIOD", AT445), ".lo", ),"MNU_", "-MNU_")</f>
        <v>ITM_SUB</v>
      </c>
      <c r="BG445" s="75"/>
      <c r="BI445" s="13" t="str">
        <f t="shared" si="152"/>
        <v xml:space="preserve">  {75,                  ITM_SUB,              -MNU_PROB,            -MNU_FIN,             ITM_MINUS,            ITM_Y,                ITM_y,                ITM_MINUS,            ITM_SUB             },</v>
      </c>
    </row>
    <row r="446" spans="20:61" ht="21" x14ac:dyDescent="0.2">
      <c r="X446" s="141" t="str">
        <f t="shared" si="143"/>
        <v>R47</v>
      </c>
      <c r="Y446" s="138">
        <v>8</v>
      </c>
      <c r="Z446" s="138">
        <v>1</v>
      </c>
      <c r="AA446" s="144" t="str">
        <f t="shared" si="142"/>
        <v>R47.81</v>
      </c>
      <c r="AB446" s="148" t="s">
        <v>242</v>
      </c>
      <c r="AC446" s="149" t="s">
        <v>243</v>
      </c>
      <c r="AD446" s="150" t="s">
        <v>244</v>
      </c>
      <c r="AE446" s="3"/>
      <c r="AF446" s="52" t="s">
        <v>242</v>
      </c>
      <c r="AG446" s="77" t="b">
        <f t="shared" si="153"/>
        <v>0</v>
      </c>
      <c r="AH446" s="83" t="str">
        <f t="shared" si="144"/>
        <v>OFF</v>
      </c>
      <c r="AI446" s="84" t="str">
        <f t="shared" si="145"/>
        <v>SNAP</v>
      </c>
      <c r="AJ446" s="85" t="str">
        <f t="shared" si="146"/>
        <v>EXIT</v>
      </c>
      <c r="AK446" s="6"/>
      <c r="AL446" s="8" t="str">
        <f t="shared" si="147"/>
        <v>{81</v>
      </c>
      <c r="AM446" s="27" t="str">
        <f t="shared" si="155"/>
        <v>ITM_EXIT1</v>
      </c>
      <c r="AN446" s="27" t="str">
        <f t="shared" si="149"/>
        <v>ITM_OFF</v>
      </c>
      <c r="AO446" s="27" t="str">
        <f t="shared" si="150"/>
        <v>ITM_SNAP</v>
      </c>
      <c r="AP446" s="46" t="str">
        <f>IF(NOT(ISNA(MATCH(AM446,Lookups!E:E,))),VLOOKUP(AM446,Lookups!E:F,2,0),
IF(NOT(ISNA(MATCH(AN446,Lookups!E:E,))),VLOOKUP(AN446,Lookups!E:F,2,0),
IF(NOT(ISNA(MATCH(AO446,Lookups!E:E,))),VLOOKUP(AO446,Lookups!E:F,2,0),"ITM_NULL")))</f>
        <v>ITM_EXIT1</v>
      </c>
      <c r="AQ446" s="28" t="str">
        <f t="shared" si="156"/>
        <v>ITM_EXIT1</v>
      </c>
      <c r="AR446" s="198" t="s">
        <v>245</v>
      </c>
      <c r="AS446" s="186" t="s">
        <v>246</v>
      </c>
      <c r="AT446" s="197" t="s">
        <v>247</v>
      </c>
      <c r="AW446" s="14" t="str">
        <f t="shared" si="154"/>
        <v>{81</v>
      </c>
      <c r="AX446" s="157" t="str" cm="1">
        <f t="array" ref="AX446">SUBSTITUTE(SUBSTITUTE(_xlfn.SWITCH(AM446, "ITM_T_HOME", "ITM_UP1", "ITM_T_END", "ITM_DOWN1", "DOCU_CHR_sub", "ITM_DOWN_ARROW", "DOCU_CHR_super", "ITM_UP_ARROW", "MNU_TAMALPHA", "ITM_alpha", "DOCU_CHR_caseFLIP", "ITM_NULL", "DOCU_CHR_numSET", "ITM_NULL", "DOCU_ITM_RADIX", "ITM_PERIOD", AM446), ".lo", ),"MNU_", "-MNU_")</f>
        <v>ITM_EXIT1</v>
      </c>
      <c r="AY446" s="157" t="str" cm="1">
        <f t="array" ref="AY446">SUBSTITUTE(SUBSTITUTE(_xlfn.SWITCH(AN446, "ITM_T_HOME", "ITM_UP1", "ITM_T_END", "ITM_DOWN1", "DOCU_CHR_sub", "ITM_DOWN_ARROW", "DOCU_CHR_super", "ITM_UP_ARROW", "MNU_TAMALPHA", "ITM_alpha", "DOCU_CHR_caseFLIP", "ITM_NULL", "DOCU_CHR_numSET", "ITM_NULL", "DOCU_ITM_RADIX", "ITM_PERIOD", AN446), ".lo", ),"MNU_", "-MNU_")</f>
        <v>ITM_OFF</v>
      </c>
      <c r="AZ446" s="157" t="str" cm="1">
        <f t="array" ref="AZ446">SUBSTITUTE(SUBSTITUTE(_xlfn.SWITCH(AO446, "ITM_T_HOME", "ITM_UP1", "ITM_T_END", "ITM_DOWN1", "DOCU_CHR_sub", "ITM_DOWN_ARROW", "DOCU_CHR_super", "ITM_UP_ARROW", "MNU_TAMALPHA", "ITM_alpha", "DOCU_CHR_caseFLIP", "ITM_NULL", "DOCU_CHR_numSET", "ITM_NULL", "DOCU_ITM_RADIX", "ITM_PERIOD", AO446), ".lo", ),"MNU_", "-MNU_")</f>
        <v>ITM_SNAP</v>
      </c>
      <c r="BA446" s="173" t="str" cm="1">
        <f t="array" ref="BA446">SUBSTITUTE(SUBSTITUTE(_xlfn.SWITCH(AP446, "ITM_T_HOME", "ITM_UP1", "ITM_T_END", "ITM_DOWN1", "DOCU_CHR_sub", "ITM_DOWN_ARROW", "DOCU_CHR_super", "ITM_UP_ARROW", "MNU_TAMALPHA", "ITM_alpha", "DOCU_CHR_caseFLIP", "ITM_NULL", "DOCU_CHR_numSET", "ITM_NULL", "DOCU_ITM_RADIX", "ITM_PERIOD", AP446), ".lo", ),"MNU_", "-MNU_")</f>
        <v>ITM_EXIT1</v>
      </c>
      <c r="BB446" s="157" t="str" cm="1">
        <f t="array" ref="BB446">SUBSTITUTE(SUBSTITUTE(_xlfn.SWITCH(AQ446, "ITM_T_HOME", "ITM_UP1", "ITM_T_END", "ITM_DOWN1", "DOCU_CHR_sub", "ITM_DOWN_ARROW", "DOCU_CHR_super", "ITM_UP_ARROW", "MNU_TAMALPHA", "ITM_alpha", "DOCU_CHR_caseFLIP", "ITM_NULL", "DOCU_CHR_numSET", "ITM_NULL", "DOCU_ITM_RADIX", "ITM_PERIOD", AQ446), ".lo", ),"MNU_", "-MNU_")</f>
        <v>ITM_EXIT1</v>
      </c>
      <c r="BC446" s="157" t="str" cm="1">
        <f t="array" ref="BC446">SUBSTITUTE(SUBSTITUTE(_xlfn.SWITCH(AR446, "ITM_T_HOME", "ITM_UP1", "ITM_T_END", "ITM_DOWN1", "DOCU_CHR_sub", "ITM_DOWN_ARROW", "DOCU_CHR_super", "ITM_UP_ARROW", "MNU_TAMALPHA", "ITM_alpha", "DOCU_CHR_caseFLIP", "ITM_NULL", "DOCU_CHR_numSET", "ITM_NULL", "DOCU_ITM_RADIX", "ITM_PERIOD", AR446), ".lo", ),"MNU_", "-MNU_")</f>
        <v>ITM_OFF</v>
      </c>
      <c r="BD446" s="157" t="str" cm="1">
        <f t="array" ref="BD446">SUBSTITUTE(SUBSTITUTE(_xlfn.SWITCH(AS446, "ITM_T_HOME", "ITM_UP1", "ITM_T_END", "ITM_DOWN1", "DOCU_CHR_sub", "ITM_DOWN_ARROW", "DOCU_CHR_super", "ITM_UP_ARROW", "MNU_TAMALPHA", "ITM_alpha", "DOCU_CHR_caseFLIP", "ITM_NULL", "DOCU_CHR_numSET", "ITM_NULL", "DOCU_ITM_RADIX", "ITM_PERIOD", AS446), ".lo", ),"MNU_", "-MNU_")</f>
        <v>ITM_SNAP</v>
      </c>
      <c r="BE446" s="157" t="str" cm="1">
        <f t="array" ref="BE446">SUBSTITUTE(SUBSTITUTE(_xlfn.SWITCH(AT446, "ITM_T_HOME", "ITM_UP1", "ITM_T_END", "ITM_DOWN1", "DOCU_CHR_sub", "ITM_DOWN_ARROW", "DOCU_CHR_super", "ITM_UP_ARROW", "MNU_TAMALPHA", "ITM_alpha", "DOCU_CHR_caseFLIP", "ITM_NULL", "DOCU_CHR_numSET", "ITM_NULL", "DOCU_ITM_RADIX", "ITM_PERIOD", AT446), ".lo", ),"MNU_", "-MNU_")</f>
        <v>ITM_EXIT1</v>
      </c>
      <c r="BG446" s="75"/>
      <c r="BI446" s="13" t="str">
        <f t="shared" si="152"/>
        <v xml:space="preserve">  {81,                  ITM_EXIT1,            ITM_OFF,              ITM_SNAP,             ITM_EXIT1,            ITM_EXIT1,            ITM_OFF,              ITM_SNAP,             ITM_EXIT1           },</v>
      </c>
    </row>
    <row r="447" spans="20:61" ht="21" x14ac:dyDescent="0.2">
      <c r="X447" s="141" t="str">
        <f t="shared" si="143"/>
        <v>R47</v>
      </c>
      <c r="Y447" s="142">
        <v>8</v>
      </c>
      <c r="Z447" s="142">
        <v>2</v>
      </c>
      <c r="AA447" s="144" t="str">
        <f t="shared" si="142"/>
        <v>R47.82</v>
      </c>
      <c r="AB447" s="148">
        <v>0</v>
      </c>
      <c r="AC447" s="149" t="s">
        <v>248</v>
      </c>
      <c r="AD447" s="150" t="s">
        <v>238</v>
      </c>
      <c r="AE447" s="3"/>
      <c r="AF447" s="52" t="s">
        <v>233</v>
      </c>
      <c r="AG447" s="77" t="b">
        <f t="shared" si="153"/>
        <v>1</v>
      </c>
      <c r="AH447" s="83" t="str">
        <f t="shared" si="144"/>
        <v>z</v>
      </c>
      <c r="AI447" s="84">
        <f t="shared" si="145"/>
        <v>0</v>
      </c>
      <c r="AJ447" s="85">
        <f t="shared" si="146"/>
        <v>0</v>
      </c>
      <c r="AK447" s="6"/>
      <c r="AL447" s="8" t="str">
        <f t="shared" si="147"/>
        <v>{82</v>
      </c>
      <c r="AM447" s="27" t="str">
        <f t="shared" si="155"/>
        <v>ITM_0</v>
      </c>
      <c r="AN447" s="27" t="str">
        <f t="shared" si="149"/>
        <v>ITM_VIEW</v>
      </c>
      <c r="AO447" s="27" t="str">
        <f t="shared" si="150"/>
        <v>MNU_IO</v>
      </c>
      <c r="AP447" s="46" t="str">
        <f>IF(NOT(ISNA(MATCH(AM447,Lookups!E:E,))),VLOOKUP(AM447,Lookups!E:F,2,0),
IF(NOT(ISNA(MATCH(AN447,Lookups!E:E,))),VLOOKUP(AN447,Lookups!E:F,2,0),
IF(NOT(ISNA(MATCH(AO447,Lookups!E:E,))),VLOOKUP(AO447,Lookups!E:F,2,0),"ITM_NULL")))</f>
        <v>ITM_0</v>
      </c>
      <c r="AQ447" s="28" t="str">
        <f t="shared" si="156"/>
        <v>ITM_Z</v>
      </c>
      <c r="AR447" s="195" t="s">
        <v>234</v>
      </c>
      <c r="AS447" s="186" t="s">
        <v>252</v>
      </c>
      <c r="AT447" s="197" t="s">
        <v>252</v>
      </c>
      <c r="AW447" s="14" t="str">
        <f t="shared" si="154"/>
        <v>{82</v>
      </c>
      <c r="AX447" s="157" t="str" cm="1">
        <f t="array" ref="AX447">SUBSTITUTE(SUBSTITUTE(_xlfn.SWITCH(AM447, "ITM_T_HOME", "ITM_UP1", "ITM_T_END", "ITM_DOWN1", "DOCU_CHR_sub", "ITM_DOWN_ARROW", "DOCU_CHR_super", "ITM_UP_ARROW", "MNU_TAMALPHA", "ITM_alpha", "DOCU_CHR_caseFLIP", "ITM_NULL", "DOCU_CHR_numSET", "ITM_NULL", "DOCU_ITM_RADIX", "ITM_PERIOD", AM447), ".lo", ),"MNU_", "-MNU_")</f>
        <v>ITM_0</v>
      </c>
      <c r="AY447" s="157" t="str" cm="1">
        <f t="array" ref="AY447">SUBSTITUTE(SUBSTITUTE(_xlfn.SWITCH(AN447, "ITM_T_HOME", "ITM_UP1", "ITM_T_END", "ITM_DOWN1", "DOCU_CHR_sub", "ITM_DOWN_ARROW", "DOCU_CHR_super", "ITM_UP_ARROW", "MNU_TAMALPHA", "ITM_alpha", "DOCU_CHR_caseFLIP", "ITM_NULL", "DOCU_CHR_numSET", "ITM_NULL", "DOCU_ITM_RADIX", "ITM_PERIOD", AN447), ".lo", ),"MNU_", "-MNU_")</f>
        <v>ITM_VIEW</v>
      </c>
      <c r="AZ447" s="157" t="str" cm="1">
        <f t="array" ref="AZ447">SUBSTITUTE(SUBSTITUTE(_xlfn.SWITCH(AO447, "ITM_T_HOME", "ITM_UP1", "ITM_T_END", "ITM_DOWN1", "DOCU_CHR_sub", "ITM_DOWN_ARROW", "DOCU_CHR_super", "ITM_UP_ARROW", "MNU_TAMALPHA", "ITM_alpha", "DOCU_CHR_caseFLIP", "ITM_NULL", "DOCU_CHR_numSET", "ITM_NULL", "DOCU_ITM_RADIX", "ITM_PERIOD", AO447), ".lo", ),"MNU_", "-MNU_")</f>
        <v>-MNU_IO</v>
      </c>
      <c r="BA447" s="173" t="str" cm="1">
        <f t="array" ref="BA447">SUBSTITUTE(SUBSTITUTE(_xlfn.SWITCH(AP447, "ITM_T_HOME", "ITM_UP1", "ITM_T_END", "ITM_DOWN1", "DOCU_CHR_sub", "ITM_DOWN_ARROW", "DOCU_CHR_super", "ITM_UP_ARROW", "MNU_TAMALPHA", "ITM_alpha", "DOCU_CHR_caseFLIP", "ITM_NULL", "DOCU_CHR_numSET", "ITM_NULL", "DOCU_ITM_RADIX", "ITM_PERIOD", AP447), ".lo", ),"MNU_", "-MNU_")</f>
        <v>ITM_0</v>
      </c>
      <c r="BB447" s="157" t="str" cm="1">
        <f t="array" ref="BB447">SUBSTITUTE(SUBSTITUTE(_xlfn.SWITCH(AQ447, "ITM_T_HOME", "ITM_UP1", "ITM_T_END", "ITM_DOWN1", "DOCU_CHR_sub", "ITM_DOWN_ARROW", "DOCU_CHR_super", "ITM_UP_ARROW", "MNU_TAMALPHA", "ITM_alpha", "DOCU_CHR_caseFLIP", "ITM_NULL", "DOCU_CHR_numSET", "ITM_NULL", "DOCU_ITM_RADIX", "ITM_PERIOD", AQ447), ".lo", ),"MNU_", "-MNU_")</f>
        <v>ITM_Z</v>
      </c>
      <c r="BC447" s="157" t="str" cm="1">
        <f t="array" ref="BC447">SUBSTITUTE(SUBSTITUTE(_xlfn.SWITCH(AR447, "ITM_T_HOME", "ITM_UP1", "ITM_T_END", "ITM_DOWN1", "DOCU_CHR_sub", "ITM_DOWN_ARROW", "DOCU_CHR_super", "ITM_UP_ARROW", "MNU_TAMALPHA", "ITM_alpha", "DOCU_CHR_caseFLIP", "ITM_NULL", "DOCU_CHR_numSET", "ITM_NULL", "DOCU_ITM_RADIX", "ITM_PERIOD", AR447), ".lo", ),"MNU_", "-MNU_")</f>
        <v>ITM_z</v>
      </c>
      <c r="BD447" s="157" t="str" cm="1">
        <f t="array" ref="BD447">SUBSTITUTE(SUBSTITUTE(_xlfn.SWITCH(AS447, "ITM_T_HOME", "ITM_UP1", "ITM_T_END", "ITM_DOWN1", "DOCU_CHR_sub", "ITM_DOWN_ARROW", "DOCU_CHR_super", "ITM_UP_ARROW", "MNU_TAMALPHA", "ITM_alpha", "DOCU_CHR_caseFLIP", "ITM_NULL", "DOCU_CHR_numSET", "ITM_NULL", "DOCU_ITM_RADIX", "ITM_PERIOD", AS447), ".lo", ),"MNU_", "-MNU_")</f>
        <v>ITM_0</v>
      </c>
      <c r="BE447" s="157" t="str" cm="1">
        <f t="array" ref="BE447">SUBSTITUTE(SUBSTITUTE(_xlfn.SWITCH(AT447, "ITM_T_HOME", "ITM_UP1", "ITM_T_END", "ITM_DOWN1", "DOCU_CHR_sub", "ITM_DOWN_ARROW", "DOCU_CHR_super", "ITM_UP_ARROW", "MNU_TAMALPHA", "ITM_alpha", "DOCU_CHR_caseFLIP", "ITM_NULL", "DOCU_CHR_numSET", "ITM_NULL", "DOCU_ITM_RADIX", "ITM_PERIOD", AT447), ".lo", ),"MNU_", "-MNU_")</f>
        <v>ITM_0</v>
      </c>
      <c r="BG447" s="75"/>
      <c r="BI447" s="13" t="str">
        <f t="shared" si="152"/>
        <v xml:space="preserve">  {82,                  ITM_0,                ITM_VIEW,             -MNU_IO,              ITM_0,                ITM_Z,                ITM_z,                ITM_0,                ITM_0               },</v>
      </c>
    </row>
    <row r="448" spans="20:61" ht="21" x14ac:dyDescent="0.2">
      <c r="X448" s="141" t="str">
        <f t="shared" si="143"/>
        <v>R47</v>
      </c>
      <c r="Y448" s="142">
        <v>8</v>
      </c>
      <c r="Z448" s="142">
        <v>3</v>
      </c>
      <c r="AA448" s="144" t="str">
        <f t="shared" si="142"/>
        <v>R47.83</v>
      </c>
      <c r="AB448" s="117" t="s">
        <v>253</v>
      </c>
      <c r="AC448" s="149" t="s">
        <v>254</v>
      </c>
      <c r="AD448" s="150" t="s">
        <v>49</v>
      </c>
      <c r="AE448" s="3"/>
      <c r="AF448" s="52" t="s">
        <v>256</v>
      </c>
      <c r="AG448" s="77" t="b">
        <f t="shared" si="153"/>
        <v>0</v>
      </c>
      <c r="AH448" s="83" t="str">
        <f t="shared" si="144"/>
        <v>;</v>
      </c>
      <c r="AI448" s="84" t="str">
        <f t="shared" si="145"/>
        <v>.</v>
      </c>
      <c r="AJ448" s="85" t="str">
        <f t="shared" si="146"/>
        <v>.</v>
      </c>
      <c r="AK448" s="6"/>
      <c r="AL448" s="8" t="str">
        <f t="shared" si="147"/>
        <v>{83</v>
      </c>
      <c r="AM448" s="27" t="str">
        <f t="shared" si="155"/>
        <v>DOCU_ITM_RADIX</v>
      </c>
      <c r="AN448" s="27" t="str">
        <f t="shared" si="149"/>
        <v>ITM_SHOW</v>
      </c>
      <c r="AO448" s="27" t="str">
        <f t="shared" si="150"/>
        <v>ITM_TGLFRT</v>
      </c>
      <c r="AP448" s="46" t="str">
        <f>IF(NOT(ISNA(MATCH(AM448,Lookups!E:E,))),VLOOKUP(AM448,Lookups!E:F,2,0),
IF(NOT(ISNA(MATCH(AN448,Lookups!E:E,))),VLOOKUP(AN448,Lookups!E:F,2,0),
IF(NOT(ISNA(MATCH(AO448,Lookups!E:E,))),VLOOKUP(AO448,Lookups!E:F,2,0),"ITM_NULL")))</f>
        <v>ITM_PERIOD</v>
      </c>
      <c r="AQ448" s="28" t="str">
        <f t="shared" si="156"/>
        <v>ITM_COMMA</v>
      </c>
      <c r="AR448" s="213" t="s">
        <v>251</v>
      </c>
      <c r="AS448" s="207" t="s">
        <v>257</v>
      </c>
      <c r="AT448" s="197" t="s">
        <v>257</v>
      </c>
      <c r="AW448" s="14" t="str">
        <f t="shared" si="154"/>
        <v>{83</v>
      </c>
      <c r="AX448" s="157" t="str" cm="1">
        <f t="array" ref="AX448">SUBSTITUTE(SUBSTITUTE(_xlfn.SWITCH(AM448, "ITM_T_HOME", "ITM_UP1", "ITM_T_END", "ITM_DOWN1", "DOCU_CHR_sub", "ITM_DOWN_ARROW", "DOCU_CHR_super", "ITM_UP_ARROW", "MNU_TAMALPHA", "ITM_alpha", "DOCU_CHR_caseFLIP", "ITM_NULL", "DOCU_CHR_numSET", "ITM_NULL", "DOCU_ITM_RADIX", "ITM_PERIOD", AM448), ".lo", ),"MNU_", "-MNU_")</f>
        <v>ITM_PERIOD</v>
      </c>
      <c r="AY448" s="157" t="str" cm="1">
        <f t="array" ref="AY448">SUBSTITUTE(SUBSTITUTE(_xlfn.SWITCH(AN448, "ITM_T_HOME", "ITM_UP1", "ITM_T_END", "ITM_DOWN1", "DOCU_CHR_sub", "ITM_DOWN_ARROW", "DOCU_CHR_super", "ITM_UP_ARROW", "MNU_TAMALPHA", "ITM_alpha", "DOCU_CHR_caseFLIP", "ITM_NULL", "DOCU_CHR_numSET", "ITM_NULL", "DOCU_ITM_RADIX", "ITM_PERIOD", AN448), ".lo", ),"MNU_", "-MNU_")</f>
        <v>ITM_SHOW</v>
      </c>
      <c r="AZ448" s="157" t="str" cm="1">
        <f t="array" ref="AZ448">SUBSTITUTE(SUBSTITUTE(_xlfn.SWITCH(AO448, "ITM_T_HOME", "ITM_UP1", "ITM_T_END", "ITM_DOWN1", "DOCU_CHR_sub", "ITM_DOWN_ARROW", "DOCU_CHR_super", "ITM_UP_ARROW", "MNU_TAMALPHA", "ITM_alpha", "DOCU_CHR_caseFLIP", "ITM_NULL", "DOCU_CHR_numSET", "ITM_NULL", "DOCU_ITM_RADIX", "ITM_PERIOD", AO448), ".lo", ),"MNU_", "-MNU_")</f>
        <v>ITM_TGLFRT</v>
      </c>
      <c r="BA448" s="173" t="str" cm="1">
        <f t="array" ref="BA448">SUBSTITUTE(SUBSTITUTE(_xlfn.SWITCH(AP448, "ITM_T_HOME", "ITM_UP1", "ITM_T_END", "ITM_DOWN1", "DOCU_CHR_sub", "ITM_DOWN_ARROW", "DOCU_CHR_super", "ITM_UP_ARROW", "MNU_TAMALPHA", "ITM_alpha", "DOCU_CHR_caseFLIP", "ITM_NULL", "DOCU_CHR_numSET", "ITM_NULL", "DOCU_ITM_RADIX", "ITM_PERIOD", AP448), ".lo", ),"MNU_", "-MNU_")</f>
        <v>ITM_PERIOD</v>
      </c>
      <c r="BB448" s="157" t="str" cm="1">
        <f t="array" ref="BB448">SUBSTITUTE(SUBSTITUTE(_xlfn.SWITCH(AQ448, "ITM_T_HOME", "ITM_UP1", "ITM_T_END", "ITM_DOWN1", "DOCU_CHR_sub", "ITM_DOWN_ARROW", "DOCU_CHR_super", "ITM_UP_ARROW", "MNU_TAMALPHA", "ITM_alpha", "DOCU_CHR_caseFLIP", "ITM_NULL", "DOCU_CHR_numSET", "ITM_NULL", "DOCU_ITM_RADIX", "ITM_PERIOD", AQ448), ".lo", ),"MNU_", "-MNU_")</f>
        <v>ITM_COMMA</v>
      </c>
      <c r="BC448" s="216" t="str" cm="1">
        <f t="array" ref="BC448">SUBSTITUTE(SUBSTITUTE(_xlfn.SWITCH(AR448, "ITM_T_HOME", "ITM_UP1", "ITM_T_END", "ITM_DOWN1", "DOCU_CHR_sub", "ITM_DOWN_ARROW", "DOCU_CHR_super", "ITM_UP_ARROW", "MNU_TAMALPHA", "ITM_alpha", "DOCU_CHR_caseFLIP", "ITM_NULL", "DOCU_CHR_numSET", "ITM_NULL", "DOCU_ITM_RADIX", "ITM_PERIOD", AR448), ".lo", ),"MNU_", "-MNU_")</f>
        <v>ITM_SEMICOLON</v>
      </c>
      <c r="BD448" s="157" t="str" cm="1">
        <f t="array" ref="BD448">SUBSTITUTE(SUBSTITUTE(_xlfn.SWITCH(AS448, "ITM_T_HOME", "ITM_UP1", "ITM_T_END", "ITM_DOWN1", "DOCU_CHR_sub", "ITM_DOWN_ARROW", "DOCU_CHR_super", "ITM_UP_ARROW", "MNU_TAMALPHA", "ITM_alpha", "DOCU_CHR_caseFLIP", "ITM_NULL", "DOCU_CHR_numSET", "ITM_NULL", "DOCU_ITM_RADIX", "ITM_PERIOD", AS448), ".lo", ),"MNU_", "-MNU_")</f>
        <v>ITM_PERIOD</v>
      </c>
      <c r="BE448" s="157" t="str" cm="1">
        <f t="array" ref="BE448">SUBSTITUTE(SUBSTITUTE(_xlfn.SWITCH(AT448, "ITM_T_HOME", "ITM_UP1", "ITM_T_END", "ITM_DOWN1", "DOCU_CHR_sub", "ITM_DOWN_ARROW", "DOCU_CHR_super", "ITM_UP_ARROW", "MNU_TAMALPHA", "ITM_alpha", "DOCU_CHR_caseFLIP", "ITM_NULL", "DOCU_CHR_numSET", "ITM_NULL", "DOCU_ITM_RADIX", "ITM_PERIOD", AT448), ".lo", ),"MNU_", "-MNU_")</f>
        <v>ITM_PERIOD</v>
      </c>
      <c r="BG448" s="75"/>
      <c r="BI448" s="13" t="str">
        <f t="shared" si="152"/>
        <v xml:space="preserve">  {83,                  ITM_PERIOD,           ITM_SHOW,             ITM_TGLFRT,           ITM_PERIOD,           ITM_COMMA,            ITM_SEMICOLON,        ITM_PERIOD,           ITM_PERIOD          },</v>
      </c>
    </row>
    <row r="449" spans="24:61" ht="21" x14ac:dyDescent="0.2">
      <c r="X449" s="141" t="str">
        <f t="shared" si="143"/>
        <v>R47</v>
      </c>
      <c r="Y449" s="142">
        <v>8</v>
      </c>
      <c r="Z449" s="142">
        <v>4</v>
      </c>
      <c r="AA449" s="144" t="str">
        <f t="shared" si="142"/>
        <v>R47.84</v>
      </c>
      <c r="AB449" s="148" t="s">
        <v>258</v>
      </c>
      <c r="AC449" s="149" t="s">
        <v>259</v>
      </c>
      <c r="AD449" s="150" t="s">
        <v>231</v>
      </c>
      <c r="AE449" s="3"/>
      <c r="AF449" s="53" t="s">
        <v>261</v>
      </c>
      <c r="AG449" s="77" t="b">
        <f t="shared" si="153"/>
        <v>0</v>
      </c>
      <c r="AH449" s="83" t="str">
        <f t="shared" si="144"/>
        <v>:</v>
      </c>
      <c r="AI449" s="84" t="str">
        <f t="shared" si="145"/>
        <v>/</v>
      </c>
      <c r="AJ449" s="85" t="str">
        <f t="shared" si="146"/>
        <v xml:space="preserve"> </v>
      </c>
      <c r="AK449" s="6"/>
      <c r="AL449" s="8" t="str">
        <f t="shared" si="147"/>
        <v>{84</v>
      </c>
      <c r="AM449" s="27" t="str">
        <f t="shared" si="155"/>
        <v>ITM_RS</v>
      </c>
      <c r="AN449" s="27" t="str">
        <f t="shared" si="149"/>
        <v>ITM_PR</v>
      </c>
      <c r="AO449" s="27" t="str">
        <f t="shared" si="150"/>
        <v>MNU_PFN</v>
      </c>
      <c r="AP449" s="46" t="str">
        <f>IF(NOT(ISNA(MATCH(AM449,Lookups!E:E,))),VLOOKUP(AM449,Lookups!E:F,2,0),
IF(NOT(ISNA(MATCH(AN449,Lookups!E:E,))),VLOOKUP(AN449,Lookups!E:F,2,0),
IF(NOT(ISNA(MATCH(AO449,Lookups!E:E,))),VLOOKUP(AO449,Lookups!E:F,2,0),"ITM_NULL")))</f>
        <v>ITM_NULL</v>
      </c>
      <c r="AQ449" s="28" t="str">
        <f t="shared" si="156"/>
        <v>ITM_QUESTION_MARK</v>
      </c>
      <c r="AR449" s="211" t="s">
        <v>484</v>
      </c>
      <c r="AS449" s="207" t="s">
        <v>262</v>
      </c>
      <c r="AT449" s="197" t="s">
        <v>81</v>
      </c>
      <c r="AW449" s="14" t="str">
        <f t="shared" si="154"/>
        <v>{84</v>
      </c>
      <c r="AX449" s="157" t="str" cm="1">
        <f t="array" ref="AX449">SUBSTITUTE(SUBSTITUTE(_xlfn.SWITCH(AM449, "ITM_T_HOME", "ITM_UP1", "ITM_T_END", "ITM_DOWN1", "DOCU_CHR_sub", "ITM_DOWN_ARROW", "DOCU_CHR_super", "ITM_UP_ARROW", "MNU_TAMALPHA", "ITM_alpha", "DOCU_CHR_caseFLIP", "ITM_NULL", "DOCU_CHR_numSET", "ITM_NULL", "DOCU_ITM_RADIX", "ITM_PERIOD", AM449), ".lo", ),"MNU_", "-MNU_")</f>
        <v>ITM_RS</v>
      </c>
      <c r="AY449" s="157" t="str" cm="1">
        <f t="array" ref="AY449">SUBSTITUTE(SUBSTITUTE(_xlfn.SWITCH(AN449, "ITM_T_HOME", "ITM_UP1", "ITM_T_END", "ITM_DOWN1", "DOCU_CHR_sub", "ITM_DOWN_ARROW", "DOCU_CHR_super", "ITM_UP_ARROW", "MNU_TAMALPHA", "ITM_alpha", "DOCU_CHR_caseFLIP", "ITM_NULL", "DOCU_CHR_numSET", "ITM_NULL", "DOCU_ITM_RADIX", "ITM_PERIOD", AN449), ".lo", ),"MNU_", "-MNU_")</f>
        <v>ITM_PR</v>
      </c>
      <c r="AZ449" s="157" t="str" cm="1">
        <f t="array" ref="AZ449">SUBSTITUTE(SUBSTITUTE(_xlfn.SWITCH(AO449, "ITM_T_HOME", "ITM_UP1", "ITM_T_END", "ITM_DOWN1", "DOCU_CHR_sub", "ITM_DOWN_ARROW", "DOCU_CHR_super", "ITM_UP_ARROW", "MNU_TAMALPHA", "ITM_alpha", "DOCU_CHR_caseFLIP", "ITM_NULL", "DOCU_CHR_numSET", "ITM_NULL", "DOCU_ITM_RADIX", "ITM_PERIOD", AO449), ".lo", ),"MNU_", "-MNU_")</f>
        <v>-MNU_PFN</v>
      </c>
      <c r="BA449" s="173" t="str" cm="1">
        <f t="array" ref="BA449">SUBSTITUTE(SUBSTITUTE(_xlfn.SWITCH(AP449, "ITM_T_HOME", "ITM_UP1", "ITM_T_END", "ITM_DOWN1", "DOCU_CHR_sub", "ITM_DOWN_ARROW", "DOCU_CHR_super", "ITM_UP_ARROW", "MNU_TAMALPHA", "ITM_alpha", "DOCU_CHR_caseFLIP", "ITM_NULL", "DOCU_CHR_numSET", "ITM_NULL", "DOCU_ITM_RADIX", "ITM_PERIOD", AP449), ".lo", ),"MNU_", "-MNU_")</f>
        <v>ITM_NULL</v>
      </c>
      <c r="BB449" s="157" t="str" cm="1">
        <f t="array" ref="BB449">SUBSTITUTE(SUBSTITUTE(_xlfn.SWITCH(AQ449, "ITM_T_HOME", "ITM_UP1", "ITM_T_END", "ITM_DOWN1", "DOCU_CHR_sub", "ITM_DOWN_ARROW", "DOCU_CHR_super", "ITM_UP_ARROW", "MNU_TAMALPHA", "ITM_alpha", "DOCU_CHR_caseFLIP", "ITM_NULL", "DOCU_CHR_numSET", "ITM_NULL", "DOCU_ITM_RADIX", "ITM_PERIOD", AQ449), ".lo", ),"MNU_", "-MNU_")</f>
        <v>ITM_QUESTION_MARK</v>
      </c>
      <c r="BC449" s="157" t="str" cm="1">
        <f t="array" ref="BC449">SUBSTITUTE(SUBSTITUTE(_xlfn.SWITCH(AR449, "ITM_T_HOME", "ITM_UP1", "ITM_T_END", "ITM_DOWN1", "DOCU_CHR_sub", "ITM_DOWN_ARROW", "DOCU_CHR_super", "ITM_UP_ARROW", "MNU_TAMALPHA", "ITM_alpha", "DOCU_CHR_caseFLIP", "ITM_NULL", "DOCU_CHR_numSET", "ITM_NULL", "DOCU_ITM_RADIX", "ITM_PERIOD", AR449), ".lo", ),"MNU_", "-MNU_")</f>
        <v>ITM_COLON</v>
      </c>
      <c r="BD449" s="157" t="str" cm="1">
        <f t="array" ref="BD449">SUBSTITUTE(SUBSTITUTE(_xlfn.SWITCH(AS449, "ITM_T_HOME", "ITM_UP1", "ITM_T_END", "ITM_DOWN1", "DOCU_CHR_sub", "ITM_DOWN_ARROW", "DOCU_CHR_super", "ITM_UP_ARROW", "MNU_TAMALPHA", "ITM_alpha", "DOCU_CHR_caseFLIP", "ITM_NULL", "DOCU_CHR_numSET", "ITM_NULL", "DOCU_ITM_RADIX", "ITM_PERIOD", AS449), ".lo", ),"MNU_", "-MNU_")</f>
        <v>ITM_SLASH</v>
      </c>
      <c r="BE449" s="157" t="str" cm="1">
        <f t="array" ref="BE449">SUBSTITUTE(SUBSTITUTE(_xlfn.SWITCH(AT449, "ITM_T_HOME", "ITM_UP1", "ITM_T_END", "ITM_DOWN1", "DOCU_CHR_sub", "ITM_DOWN_ARROW", "DOCU_CHR_super", "ITM_UP_ARROW", "MNU_TAMALPHA", "ITM_alpha", "DOCU_CHR_caseFLIP", "ITM_NULL", "DOCU_CHR_numSET", "ITM_NULL", "DOCU_ITM_RADIX", "ITM_PERIOD", AT449), ".lo", ),"MNU_", "-MNU_")</f>
        <v>ITM_NULL</v>
      </c>
      <c r="BG449" s="75"/>
      <c r="BI449" s="13" t="str">
        <f t="shared" si="152"/>
        <v xml:space="preserve">  {84,                  ITM_RS,               ITM_PR,               -MNU_PFN,             ITM_NULL,             ITM_QUESTION_MARK,    ITM_COLON,            ITM_SLASH,            ITM_NULL            },</v>
      </c>
    </row>
    <row r="450" spans="24:61" ht="22" thickBot="1" x14ac:dyDescent="0.25">
      <c r="X450" s="141" t="str">
        <f t="shared" si="143"/>
        <v>R47</v>
      </c>
      <c r="Y450" s="142">
        <v>8</v>
      </c>
      <c r="Z450" s="142">
        <v>5</v>
      </c>
      <c r="AA450" s="144" t="str">
        <f t="shared" si="142"/>
        <v>R47.85</v>
      </c>
      <c r="AB450" s="154" t="s">
        <v>263</v>
      </c>
      <c r="AC450" s="155" t="s">
        <v>264</v>
      </c>
      <c r="AD450" s="156" t="s">
        <v>265</v>
      </c>
      <c r="AE450" s="125"/>
      <c r="AF450" s="54" t="s">
        <v>266</v>
      </c>
      <c r="AG450" s="77" t="b">
        <f t="shared" si="153"/>
        <v>0</v>
      </c>
      <c r="AH450" s="86" t="str">
        <f t="shared" si="144"/>
        <v>=</v>
      </c>
      <c r="AI450" s="87" t="str">
        <f t="shared" si="145"/>
        <v>+</v>
      </c>
      <c r="AJ450" s="88" t="str">
        <f t="shared" si="146"/>
        <v>+</v>
      </c>
      <c r="AK450" s="6"/>
      <c r="AL450" s="8" t="str">
        <f t="shared" si="147"/>
        <v>{85</v>
      </c>
      <c r="AM450" s="27" t="str">
        <f t="shared" si="155"/>
        <v>ITM_ADD</v>
      </c>
      <c r="AN450" s="27" t="str">
        <f t="shared" si="149"/>
        <v>MNU_CATALOG</v>
      </c>
      <c r="AO450" s="27" t="str">
        <f t="shared" si="150"/>
        <v>MNU_CONST</v>
      </c>
      <c r="AP450" s="46" t="str">
        <f>IF(NOT(ISNA(MATCH(AM450,Lookups!E:E,))),VLOOKUP(AM450,Lookups!E:F,2,0),
IF(NOT(ISNA(MATCH(AN450,Lookups!E:E,))),VLOOKUP(AN450,Lookups!E:F,2,0),
IF(NOT(ISNA(MATCH(AO450,Lookups!E:E,))),VLOOKUP(AO450,Lookups!E:F,2,0),"ITM_NULL")))</f>
        <v>ITM_PLUS</v>
      </c>
      <c r="AQ450" s="28" t="str">
        <f t="shared" si="156"/>
        <v>ITM_SPACE</v>
      </c>
      <c r="AR450" s="212" t="s">
        <v>650</v>
      </c>
      <c r="AS450" s="208" t="s">
        <v>267</v>
      </c>
      <c r="AT450" s="201" t="s">
        <v>268</v>
      </c>
      <c r="AW450" s="14" t="str">
        <f t="shared" si="154"/>
        <v>{85</v>
      </c>
      <c r="AX450" s="157" t="str" cm="1">
        <f t="array" ref="AX450">SUBSTITUTE(SUBSTITUTE(_xlfn.SWITCH(AM450, "ITM_T_HOME", "ITM_UP1", "ITM_T_END", "ITM_DOWN1", "DOCU_CHR_sub", "ITM_DOWN_ARROW", "DOCU_CHR_super", "ITM_UP_ARROW", "MNU_TAMALPHA", "ITM_alpha", "DOCU_CHR_caseFLIP", "ITM_NULL", "DOCU_CHR_numSET", "ITM_NULL", "DOCU_ITM_RADIX", "ITM_PERIOD", AM450), ".lo", ),"MNU_", "-MNU_")</f>
        <v>ITM_ADD</v>
      </c>
      <c r="AY450" s="157" t="str" cm="1">
        <f t="array" ref="AY450">SUBSTITUTE(SUBSTITUTE(_xlfn.SWITCH(AN450, "ITM_T_HOME", "ITM_UP1", "ITM_T_END", "ITM_DOWN1", "DOCU_CHR_sub", "ITM_DOWN_ARROW", "DOCU_CHR_super", "ITM_UP_ARROW", "MNU_TAMALPHA", "ITM_alpha", "DOCU_CHR_caseFLIP", "ITM_NULL", "DOCU_CHR_numSET", "ITM_NULL", "DOCU_ITM_RADIX", "ITM_PERIOD", AN450), ".lo", ),"MNU_", "-MNU_")</f>
        <v>-MNU_CATALOG</v>
      </c>
      <c r="AZ450" s="157" t="str" cm="1">
        <f t="array" ref="AZ450">SUBSTITUTE(SUBSTITUTE(_xlfn.SWITCH(AO450, "ITM_T_HOME", "ITM_UP1", "ITM_T_END", "ITM_DOWN1", "DOCU_CHR_sub", "ITM_DOWN_ARROW", "DOCU_CHR_super", "ITM_UP_ARROW", "MNU_TAMALPHA", "ITM_alpha", "DOCU_CHR_caseFLIP", "ITM_NULL", "DOCU_CHR_numSET", "ITM_NULL", "DOCU_ITM_RADIX", "ITM_PERIOD", AO450), ".lo", ),"MNU_", "-MNU_")</f>
        <v>-MNU_CONST</v>
      </c>
      <c r="BA450" s="173" t="str" cm="1">
        <f t="array" ref="BA450">SUBSTITUTE(SUBSTITUTE(_xlfn.SWITCH(AP450, "ITM_T_HOME", "ITM_UP1", "ITM_T_END", "ITM_DOWN1", "DOCU_CHR_sub", "ITM_DOWN_ARROW", "DOCU_CHR_super", "ITM_UP_ARROW", "MNU_TAMALPHA", "ITM_alpha", "DOCU_CHR_caseFLIP", "ITM_NULL", "DOCU_CHR_numSET", "ITM_NULL", "DOCU_ITM_RADIX", "ITM_PERIOD", AP450), ".lo", ),"MNU_", "-MNU_")</f>
        <v>ITM_PLUS</v>
      </c>
      <c r="BB450" s="157" t="str" cm="1">
        <f t="array" ref="BB450">SUBSTITUTE(SUBSTITUTE(_xlfn.SWITCH(AQ450, "ITM_T_HOME", "ITM_UP1", "ITM_T_END", "ITM_DOWN1", "DOCU_CHR_sub", "ITM_DOWN_ARROW", "DOCU_CHR_super", "ITM_UP_ARROW", "MNU_TAMALPHA", "ITM_alpha", "DOCU_CHR_caseFLIP", "ITM_NULL", "DOCU_CHR_numSET", "ITM_NULL", "DOCU_ITM_RADIX", "ITM_PERIOD", AQ450), ".lo", ),"MNU_", "-MNU_")</f>
        <v>ITM_SPACE</v>
      </c>
      <c r="BC450" s="157" t="str" cm="1">
        <f t="array" ref="BC450">SUBSTITUTE(SUBSTITUTE(_xlfn.SWITCH(AR450, "ITM_T_HOME", "ITM_UP1", "ITM_T_END", "ITM_DOWN1", "DOCU_CHR_sub", "ITM_DOWN_ARROW", "DOCU_CHR_super", "ITM_UP_ARROW", "MNU_TAMALPHA", "ITM_alpha", "DOCU_CHR_caseFLIP", "ITM_NULL", "DOCU_CHR_numSET", "ITM_NULL", "DOCU_ITM_RADIX", "ITM_PERIOD", AR450), ".lo", ),"MNU_", "-MNU_")</f>
        <v>ITM_EQUAL</v>
      </c>
      <c r="BD450" s="157" t="str" cm="1">
        <f t="array" ref="BD450">SUBSTITUTE(SUBSTITUTE(_xlfn.SWITCH(AS450, "ITM_T_HOME", "ITM_UP1", "ITM_T_END", "ITM_DOWN1", "DOCU_CHR_sub", "ITM_DOWN_ARROW", "DOCU_CHR_super", "ITM_UP_ARROW", "MNU_TAMALPHA", "ITM_alpha", "DOCU_CHR_caseFLIP", "ITM_NULL", "DOCU_CHR_numSET", "ITM_NULL", "DOCU_ITM_RADIX", "ITM_PERIOD", AS450), ".lo", ),"MNU_", "-MNU_")</f>
        <v>ITM_PLUS</v>
      </c>
      <c r="BE450" s="157" t="str" cm="1">
        <f t="array" ref="BE450">SUBSTITUTE(SUBSTITUTE(_xlfn.SWITCH(AT450, "ITM_T_HOME", "ITM_UP1", "ITM_T_END", "ITM_DOWN1", "DOCU_CHR_sub", "ITM_DOWN_ARROW", "DOCU_CHR_super", "ITM_UP_ARROW", "MNU_TAMALPHA", "ITM_alpha", "DOCU_CHR_caseFLIP", "ITM_NULL", "DOCU_CHR_numSET", "ITM_NULL", "DOCU_ITM_RADIX", "ITM_PERIOD", AT450), ".lo", ),"MNU_", "-MNU_")</f>
        <v>ITM_ADD</v>
      </c>
      <c r="BG450" s="75"/>
      <c r="BI450" s="73" t="str">
        <f>"  "&amp;AW450&amp;", "&amp;REPT(" ",$BH$54-LEN(AW450))&amp;
AX450&amp;", "&amp;REPT(" ",$BH$54-LEN(AX450))&amp;
AY450&amp;", "&amp;REPT(" ",$BH$54-LEN(AY450))&amp;
AZ450&amp;", "&amp;REPT(" ",$BH$54-LEN(AZ450))&amp;
BA450&amp;", "&amp;REPT(" ",$BH$54-LEN(BA450))&amp;
BB450&amp;", "&amp;REPT(" ",$BH$54-LEN(BB450))&amp;
BC450&amp;", "&amp;REPT(" ",$BH$54-LEN(BC450))&amp;
BD450&amp;", "&amp;REPT(" ",$BH$54-LEN(BD450))&amp;
BE450&amp;REPT(" ",$BH$54-LEN(BE450))&amp;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451" spans="24:61" ht="21" x14ac:dyDescent="0.2">
      <c r="AK451" s="6"/>
      <c r="AL451" s="111"/>
      <c r="AM451" s="29"/>
      <c r="AN451" s="29"/>
      <c r="AO451" s="29"/>
      <c r="AP451" s="47"/>
      <c r="AQ451" s="29"/>
      <c r="AR451" s="202"/>
      <c r="AS451" s="202"/>
      <c r="AT451" s="202"/>
      <c r="BG451" s="75"/>
      <c r="BI451" s="16" t="s">
        <v>269</v>
      </c>
    </row>
    <row r="452" spans="24:61" x14ac:dyDescent="0.2">
      <c r="BG452" s="75"/>
      <c r="BI452" s="13" t="s">
        <v>270</v>
      </c>
    </row>
    <row r="453" spans="24:61" ht="21" x14ac:dyDescent="0.2">
      <c r="X453" s="137" t="s">
        <v>646</v>
      </c>
      <c r="Y453" s="138">
        <v>1</v>
      </c>
      <c r="Z453" s="138">
        <v>1</v>
      </c>
      <c r="AA453" s="139" t="str">
        <f t="shared" ref="AA453:AA495" si="157">X453&amp;"."&amp;Y453&amp;Z453</f>
        <v>R47bkfg.11</v>
      </c>
      <c r="AB453" s="140" t="str">
        <f>AB408</f>
        <v>F1</v>
      </c>
      <c r="AC453" s="18"/>
      <c r="AD453" s="18"/>
      <c r="AF453" s="18"/>
      <c r="AH453" s="95"/>
      <c r="AI453" s="95"/>
      <c r="AJ453" s="95"/>
      <c r="AK453" s="6"/>
      <c r="AQ453" s="29"/>
      <c r="AR453" s="202"/>
    </row>
    <row r="454" spans="24:61" ht="21" x14ac:dyDescent="0.2">
      <c r="X454" s="141" t="str">
        <f>X453</f>
        <v>R47bkfg</v>
      </c>
      <c r="Y454" s="142">
        <v>1</v>
      </c>
      <c r="Z454" s="142">
        <v>2</v>
      </c>
      <c r="AA454" s="139" t="str">
        <f t="shared" si="157"/>
        <v>R47bkfg.12</v>
      </c>
      <c r="AB454" s="140" t="str">
        <f t="shared" ref="AB454" si="158">AB409</f>
        <v>F2</v>
      </c>
      <c r="AC454" s="18"/>
      <c r="AD454" s="18"/>
      <c r="AF454" s="18"/>
      <c r="AH454" s="95"/>
      <c r="AI454" s="95"/>
      <c r="AJ454" s="95"/>
      <c r="AK454" s="6"/>
    </row>
    <row r="455" spans="24:61" ht="21" x14ac:dyDescent="0.2">
      <c r="X455" s="141" t="str">
        <f t="shared" ref="X455:X495" si="159">X454</f>
        <v>R47bkfg</v>
      </c>
      <c r="Y455" s="142">
        <v>1</v>
      </c>
      <c r="Z455" s="142">
        <v>3</v>
      </c>
      <c r="AA455" s="139" t="str">
        <f t="shared" si="157"/>
        <v>R47bkfg.13</v>
      </c>
      <c r="AB455" s="140" t="str">
        <f t="shared" ref="AB455" si="160">AB410</f>
        <v>F3</v>
      </c>
      <c r="AC455" s="18"/>
      <c r="AD455" s="18"/>
      <c r="AF455" s="18"/>
      <c r="AH455" s="95"/>
      <c r="AI455" s="95"/>
      <c r="AJ455" s="95"/>
      <c r="AK455" s="6"/>
      <c r="AM455" s="72" t="s">
        <v>34</v>
      </c>
      <c r="AX455" s="72" t="s">
        <v>35</v>
      </c>
      <c r="AY455" s="27" t="s">
        <v>36</v>
      </c>
      <c r="BG455" s="75"/>
      <c r="BI455" s="17" t="str">
        <f>"// "&amp;X455&amp;" Layout from Layout_template_automation template: Do not change manually"</f>
        <v>// R47bkfg Layout from Layout_template_automation template: Do not change manually</v>
      </c>
    </row>
    <row r="456" spans="24:61" ht="22" thickBot="1" x14ac:dyDescent="0.25">
      <c r="X456" s="141" t="str">
        <f t="shared" si="159"/>
        <v>R47bkfg</v>
      </c>
      <c r="Y456" s="142">
        <v>1</v>
      </c>
      <c r="Z456" s="142">
        <v>4</v>
      </c>
      <c r="AA456" s="139" t="str">
        <f t="shared" si="157"/>
        <v>R47bkfg.14</v>
      </c>
      <c r="AB456" s="140" t="str">
        <f t="shared" ref="AB456" si="161">AB411</f>
        <v>F4</v>
      </c>
      <c r="AC456" s="18"/>
      <c r="AD456" s="18"/>
      <c r="AF456" s="18"/>
      <c r="AH456" s="95"/>
      <c r="AI456" s="95"/>
      <c r="AJ456" s="95"/>
      <c r="AK456" s="6"/>
      <c r="BG456" s="75"/>
      <c r="BI456" s="16" t="s">
        <v>38</v>
      </c>
    </row>
    <row r="457" spans="24:61" ht="22" thickBot="1" x14ac:dyDescent="0.25">
      <c r="X457" s="141" t="str">
        <f t="shared" si="159"/>
        <v>R47bkfg</v>
      </c>
      <c r="Y457" s="142">
        <v>1</v>
      </c>
      <c r="Z457" s="142">
        <v>5</v>
      </c>
      <c r="AA457" s="139" t="str">
        <f t="shared" si="157"/>
        <v>R47bkfg.15</v>
      </c>
      <c r="AB457" s="140" t="str">
        <f t="shared" ref="AB457" si="162">AB412</f>
        <v>F4</v>
      </c>
      <c r="AC457" s="18"/>
      <c r="AD457" s="18"/>
      <c r="AF457" s="18"/>
      <c r="AH457" s="95"/>
      <c r="AI457" s="95"/>
      <c r="AJ457" s="95"/>
      <c r="AK457" s="6"/>
      <c r="AL457" s="185" t="str">
        <f>X457</f>
        <v>R47bkfg</v>
      </c>
      <c r="AM457" s="224" t="s">
        <v>39</v>
      </c>
      <c r="AN457" s="224"/>
      <c r="AO457" s="224"/>
      <c r="AP457" s="71" t="s">
        <v>40</v>
      </c>
      <c r="AQ457" s="31" t="s">
        <v>41</v>
      </c>
      <c r="AR457" s="189" t="s">
        <v>42</v>
      </c>
      <c r="AS457" s="190" t="s">
        <v>42</v>
      </c>
      <c r="AT457" s="191" t="s">
        <v>42</v>
      </c>
      <c r="BG457" s="75"/>
      <c r="BI457" s="16" t="str">
        <f>"TO_QSPI const calcKey_t kbd_std_"&amp;X458&amp;"[37] = {"</f>
        <v>TO_QSPI const calcKey_t kbd_std_R47bkfg[37] = {</v>
      </c>
    </row>
    <row r="458" spans="24:61" ht="22" thickBot="1" x14ac:dyDescent="0.25">
      <c r="X458" s="141" t="str">
        <f t="shared" si="159"/>
        <v>R47bkfg</v>
      </c>
      <c r="Y458" s="142">
        <v>1</v>
      </c>
      <c r="Z458" s="142">
        <v>6</v>
      </c>
      <c r="AA458" s="139" t="str">
        <f t="shared" si="157"/>
        <v>R47bkfg.16</v>
      </c>
      <c r="AB458" s="143" t="str">
        <f t="shared" ref="AB458" si="163">AB413</f>
        <v>F6</v>
      </c>
      <c r="AC458" s="44"/>
      <c r="AD458" s="44"/>
      <c r="AF458" s="44"/>
      <c r="AH458" s="96"/>
      <c r="AI458" s="96"/>
      <c r="AJ458" s="96"/>
      <c r="AK458" s="6"/>
      <c r="BG458" s="75"/>
      <c r="BI458" s="16" t="s">
        <v>44</v>
      </c>
    </row>
    <row r="459" spans="24:61" ht="21" x14ac:dyDescent="0.2">
      <c r="X459" s="141" t="str">
        <f t="shared" si="159"/>
        <v>R47bkfg</v>
      </c>
      <c r="Y459" s="138">
        <v>2</v>
      </c>
      <c r="Z459" s="138">
        <v>1</v>
      </c>
      <c r="AA459" s="144" t="str">
        <f t="shared" si="157"/>
        <v>R47bkfg.21</v>
      </c>
      <c r="AB459" s="179" t="str">
        <f t="shared" ref="AB459:AF459" si="164">AB414</f>
        <v>x^2</v>
      </c>
      <c r="AC459" s="146" t="str">
        <f t="shared" si="164"/>
        <v>op_i</v>
      </c>
      <c r="AD459" s="147" t="str">
        <f t="shared" si="164"/>
        <v>-&gt;R</v>
      </c>
      <c r="AE459" s="116"/>
      <c r="AF459" s="51" t="str">
        <f t="shared" si="164"/>
        <v>A</v>
      </c>
      <c r="AG459" s="77" t="b">
        <f>AF459=AH459</f>
        <v>1</v>
      </c>
      <c r="AH459" s="80" t="str">
        <f t="shared" ref="AH459:AH495" si="165">INDEX(labelitem,MATCH(AR459,items,0),1)</f>
        <v>a</v>
      </c>
      <c r="AI459" s="81" t="str">
        <f t="shared" ref="AI459:AI495" si="166">INDEX(labelitem,MATCH(AS459,items,0),1)</f>
        <v>&lt;i&gt;</v>
      </c>
      <c r="AJ459" s="82" t="str">
        <f t="shared" ref="AJ459:AJ495" si="167">INDEX(labelitem,MATCH(AT459,items,0),1)</f>
        <v>Reg A</v>
      </c>
      <c r="AK459" s="6"/>
      <c r="AL459" s="8" t="str">
        <f t="shared" ref="AL459:AL495" si="168">"{"&amp;Y459*10+Z459</f>
        <v>{21</v>
      </c>
      <c r="AM459" s="27" t="str">
        <f t="shared" ref="AM459:AM495" si="169">VLOOKUP(AB459,labelitem,2,0)</f>
        <v>ITM_SQUARE</v>
      </c>
      <c r="AN459" s="27" t="str">
        <f t="shared" ref="AN459:AN495" si="170">VLOOKUP(AC459,labelitem,2,0)</f>
        <v>ITM_op_j</v>
      </c>
      <c r="AO459" s="27" t="str">
        <f t="shared" ref="AO459:AO495" si="171">VLOOKUP(AD459,labelitem,2,0)</f>
        <v>ITM_toREC2</v>
      </c>
      <c r="AP459" s="46" t="str">
        <f>IF(NOT(ISNA(MATCH(AM459,Lookups!E:E,))),VLOOKUP(AM459,Lookups!E:F,2,0),
IF(NOT(ISNA(MATCH(AN459,Lookups!E:E,))),VLOOKUP(AN459,Lookups!E:F,2,0),
IF(NOT(ISNA(MATCH(AO459,Lookups!E:E,))),VLOOKUP(AO459,Lookups!E:F,2,0),"ITM_NULL")))</f>
        <v>ITM_NULL</v>
      </c>
      <c r="AQ459" s="28" t="str">
        <f t="shared" ref="AQ459:AQ485" si="172">VLOOKUP(AF459,labelitem,2,0)</f>
        <v>ITM_A</v>
      </c>
      <c r="AR459" s="192" t="s">
        <v>51</v>
      </c>
      <c r="AS459" s="193" t="s">
        <v>638</v>
      </c>
      <c r="AT459" s="257" t="s">
        <v>53</v>
      </c>
      <c r="AW459" s="14" t="str">
        <f>AL459</f>
        <v>{21</v>
      </c>
      <c r="AX459" s="157" t="str" cm="1">
        <f t="array" ref="AX459">SUBSTITUTE(SUBSTITUTE(_xlfn.SWITCH(AM459, "ITM_T_HOME", "ITM_UP1", "ITM_T_END", "ITM_DOWN1", "DOCU_CHR_sub", "ITM_DOWN_ARROW", "DOCU_CHR_super", "ITM_UP_ARROW", "MNU_TAMALPHA", "ITM_alpha", "DOCU_CHR_caseFLIP", "ITM_NULL", "DOCU_CHR_numSET", "ITM_NULL", "DOCU_ITM_RADIX", "ITM_PERIOD", AM459), ".lo", ),"MNU_", "-MNU_")</f>
        <v>ITM_SQUARE</v>
      </c>
      <c r="AY459" s="157" t="str" cm="1">
        <f t="array" ref="AY459">SUBSTITUTE(SUBSTITUTE(_xlfn.SWITCH(AN459, "ITM_T_HOME", "ITM_UP1", "ITM_T_END", "ITM_DOWN1", "DOCU_CHR_sub", "ITM_DOWN_ARROW", "DOCU_CHR_super", "ITM_UP_ARROW", "MNU_TAMALPHA", "ITM_alpha", "DOCU_CHR_caseFLIP", "ITM_NULL", "DOCU_CHR_numSET", "ITM_NULL", "DOCU_ITM_RADIX", "ITM_PERIOD", AN459), ".lo", ),"MNU_", "-MNU_")</f>
        <v>ITM_op_j</v>
      </c>
      <c r="AZ459" s="157" t="str" cm="1">
        <f t="array" ref="AZ459">SUBSTITUTE(SUBSTITUTE(_xlfn.SWITCH(AO459, "ITM_T_HOME", "ITM_UP1", "ITM_T_END", "ITM_DOWN1", "DOCU_CHR_sub", "ITM_DOWN_ARROW", "DOCU_CHR_super", "ITM_UP_ARROW", "MNU_TAMALPHA", "ITM_alpha", "DOCU_CHR_caseFLIP", "ITM_NULL", "DOCU_CHR_numSET", "ITM_NULL", "DOCU_ITM_RADIX", "ITM_PERIOD", AO459), ".lo", ),"MNU_", "-MNU_")</f>
        <v>ITM_toREC2</v>
      </c>
      <c r="BA459" s="173" t="str" cm="1">
        <f t="array" ref="BA459">SUBSTITUTE(SUBSTITUTE(_xlfn.SWITCH(AP459, "ITM_T_HOME", "ITM_UP1", "ITM_T_END", "ITM_DOWN1", "DOCU_CHR_sub", "ITM_DOWN_ARROW", "DOCU_CHR_super", "ITM_UP_ARROW", "MNU_TAMALPHA", "ITM_alpha", "DOCU_CHR_caseFLIP", "ITM_NULL", "DOCU_CHR_numSET", "ITM_NULL", "DOCU_ITM_RADIX", "ITM_PERIOD", AP459), ".lo", ),"MNU_", "-MNU_")</f>
        <v>ITM_NULL</v>
      </c>
      <c r="BB459" s="157" t="str" cm="1">
        <f t="array" ref="BB459">SUBSTITUTE(SUBSTITUTE(_xlfn.SWITCH(AQ459, "ITM_T_HOME", "ITM_UP1", "ITM_T_END", "ITM_DOWN1", "DOCU_CHR_sub", "ITM_DOWN_ARROW", "DOCU_CHR_super", "ITM_UP_ARROW", "MNU_TAMALPHA", "ITM_alpha", "DOCU_CHR_caseFLIP", "ITM_NULL", "DOCU_CHR_numSET", "ITM_NULL", "DOCU_ITM_RADIX", "ITM_PERIOD", AQ459), ".lo", ),"MNU_", "-MNU_")</f>
        <v>ITM_A</v>
      </c>
      <c r="BC459" s="157" t="str" cm="1">
        <f t="array" ref="BC459">SUBSTITUTE(SUBSTITUTE(_xlfn.SWITCH(AR459, "ITM_T_HOME", "ITM_UP1", "ITM_T_END", "ITM_DOWN1", "DOCU_CHR_sub", "ITM_DOWN_ARROW", "DOCU_CHR_super", "ITM_UP_ARROW", "MNU_TAMALPHA", "ITM_alpha", "DOCU_CHR_caseFLIP", "ITM_NULL", "DOCU_CHR_numSET", "ITM_NULL", "DOCU_ITM_RADIX", "ITM_PERIOD", AR459), ".lo", ),"MNU_", "-MNU_")</f>
        <v>ITM_a</v>
      </c>
      <c r="BD459" s="157" t="str" cm="1">
        <f t="array" ref="BD459">SUBSTITUTE(SUBSTITUTE(_xlfn.SWITCH(AS459, "ITM_T_HOME", "ITM_UP1", "ITM_T_END", "ITM_DOWN1", "DOCU_CHR_sub", "ITM_DOWN_ARROW", "DOCU_CHR_super", "ITM_UP_ARROW", "MNU_TAMALPHA", "ITM_alpha", "DOCU_CHR_caseFLIP", "ITM_NULL", "DOCU_CHR_numSET", "ITM_NULL", "DOCU_ITM_RADIX", "ITM_PERIOD", AS459), ".lo", ),"MNU_", "-MNU_")</f>
        <v>ITM_op_i_char</v>
      </c>
      <c r="BE459" s="157" t="str" cm="1">
        <f t="array" ref="BE459">SUBSTITUTE(SUBSTITUTE(_xlfn.SWITCH(AT459, "ITM_T_HOME", "ITM_UP1", "ITM_T_END", "ITM_DOWN1", "DOCU_CHR_sub", "ITM_DOWN_ARROW", "DOCU_CHR_super", "ITM_UP_ARROW", "MNU_TAMALPHA", "ITM_alpha", "DOCU_CHR_caseFLIP", "ITM_NULL", "DOCU_CHR_numSET", "ITM_NULL", "DOCU_ITM_RADIX", "ITM_PERIOD", AT459), ".lo", ),"MNU_", "-MNU_")</f>
        <v>ITM_REG_A</v>
      </c>
      <c r="BG459" s="75"/>
      <c r="BI459" s="13" t="str">
        <f t="shared" ref="BI459:BI494" si="173">"  "&amp;AW459&amp;", "&amp;REPT(" ",$BH$54-LEN(AW459))&amp;
AX459&amp;", "&amp;REPT(" ",$BH$54-LEN(AX459))&amp;
AY459&amp;", "&amp;REPT(" ",$BH$54-LEN(AY459))&amp;
AZ459&amp;", "&amp;REPT(" ",$BH$54-LEN(AZ459))&amp;
BA459&amp;", "&amp;REPT(" ",$BH$54-LEN(BA459))&amp;
BB459&amp;", "&amp;REPT(" ",$BH$54-LEN(BB459))&amp;
BC459&amp;", "&amp;REPT(" ",$BH$54-LEN(BC459))&amp;
BD459&amp;", "&amp;REPT(" ",$BH$54-LEN(BD459))&amp;
BE459&amp;REPT(" ",$BH$54-LEN(BE459))&amp;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460" spans="24:61" ht="21" x14ac:dyDescent="0.2">
      <c r="X460" s="141" t="str">
        <f t="shared" si="159"/>
        <v>R47bkfg</v>
      </c>
      <c r="Y460" s="142">
        <v>2</v>
      </c>
      <c r="Z460" s="142">
        <v>2</v>
      </c>
      <c r="AA460" s="144" t="str">
        <f t="shared" si="157"/>
        <v>R47bkfg.22</v>
      </c>
      <c r="AB460" s="176" t="str">
        <f t="shared" ref="AB460:AF460" si="174">AB415</f>
        <v>√x</v>
      </c>
      <c r="AC460" s="149" t="str">
        <f t="shared" si="174"/>
        <v>i_pol</v>
      </c>
      <c r="AD460" s="150" t="str">
        <f t="shared" si="174"/>
        <v>-&gt;P</v>
      </c>
      <c r="AE460" s="3"/>
      <c r="AF460" s="52" t="str">
        <f t="shared" si="174"/>
        <v>B</v>
      </c>
      <c r="AG460" s="77" t="b">
        <f t="shared" ref="AG460:AG495" si="175">AF460=AH460</f>
        <v>1</v>
      </c>
      <c r="AH460" s="83" t="str">
        <f t="shared" si="165"/>
        <v>b</v>
      </c>
      <c r="AI460" s="84" t="str">
        <f t="shared" si="166"/>
        <v>√</v>
      </c>
      <c r="AJ460" s="85" t="str">
        <f t="shared" si="167"/>
        <v>Reg B</v>
      </c>
      <c r="AK460" s="6"/>
      <c r="AL460" s="8" t="str">
        <f t="shared" si="168"/>
        <v>{22</v>
      </c>
      <c r="AM460" s="27" t="str">
        <f t="shared" si="169"/>
        <v>ITM_SQUAREROOTX</v>
      </c>
      <c r="AN460" s="27" t="str">
        <f t="shared" si="170"/>
        <v>ITM_op_j_pol</v>
      </c>
      <c r="AO460" s="27" t="str">
        <f t="shared" si="171"/>
        <v>ITM_toPOL2</v>
      </c>
      <c r="AP460" s="46" t="str">
        <f>IF(NOT(ISNA(MATCH(AM460,Lookups!E:E,))),VLOOKUP(AM460,Lookups!E:F,2,0),
IF(NOT(ISNA(MATCH(AN460,Lookups!E:E,))),VLOOKUP(AN460,Lookups!E:F,2,0),
IF(NOT(ISNA(MATCH(AO460,Lookups!E:E,))),VLOOKUP(AO460,Lookups!E:F,2,0),"ITM_NULL")))</f>
        <v>ITM_ROOT_SIGN</v>
      </c>
      <c r="AQ460" s="28" t="str">
        <f t="shared" si="172"/>
        <v>ITM_B</v>
      </c>
      <c r="AR460" s="195" t="s">
        <v>58</v>
      </c>
      <c r="AS460" s="186" t="s">
        <v>66</v>
      </c>
      <c r="AT460" s="255" t="s">
        <v>60</v>
      </c>
      <c r="AW460" s="14" t="str">
        <f t="shared" ref="AW460:AW495" si="176">AL460</f>
        <v>{22</v>
      </c>
      <c r="AX460" s="157" t="str" cm="1">
        <f t="array" ref="AX460">SUBSTITUTE(SUBSTITUTE(_xlfn.SWITCH(AM460, "ITM_T_HOME", "ITM_UP1", "ITM_T_END", "ITM_DOWN1", "DOCU_CHR_sub", "ITM_DOWN_ARROW", "DOCU_CHR_super", "ITM_UP_ARROW", "MNU_TAMALPHA", "ITM_alpha", "DOCU_CHR_caseFLIP", "ITM_NULL", "DOCU_CHR_numSET", "ITM_NULL", "DOCU_ITM_RADIX", "ITM_PERIOD", AM460), ".lo", ),"MNU_", "-MNU_")</f>
        <v>ITM_SQUAREROOTX</v>
      </c>
      <c r="AY460" s="157" t="str" cm="1">
        <f t="array" ref="AY460">SUBSTITUTE(SUBSTITUTE(_xlfn.SWITCH(AN460, "ITM_T_HOME", "ITM_UP1", "ITM_T_END", "ITM_DOWN1", "DOCU_CHR_sub", "ITM_DOWN_ARROW", "DOCU_CHR_super", "ITM_UP_ARROW", "MNU_TAMALPHA", "ITM_alpha", "DOCU_CHR_caseFLIP", "ITM_NULL", "DOCU_CHR_numSET", "ITM_NULL", "DOCU_ITM_RADIX", "ITM_PERIOD", AN460), ".lo", ),"MNU_", "-MNU_")</f>
        <v>ITM_op_j_pol</v>
      </c>
      <c r="AZ460" s="157" t="str" cm="1">
        <f t="array" ref="AZ460">SUBSTITUTE(SUBSTITUTE(_xlfn.SWITCH(AO460, "ITM_T_HOME", "ITM_UP1", "ITM_T_END", "ITM_DOWN1", "DOCU_CHR_sub", "ITM_DOWN_ARROW", "DOCU_CHR_super", "ITM_UP_ARROW", "MNU_TAMALPHA", "ITM_alpha", "DOCU_CHR_caseFLIP", "ITM_NULL", "DOCU_CHR_numSET", "ITM_NULL", "DOCU_ITM_RADIX", "ITM_PERIOD", AO460), ".lo", ),"MNU_", "-MNU_")</f>
        <v>ITM_toPOL2</v>
      </c>
      <c r="BA460" s="173" t="str" cm="1">
        <f t="array" ref="BA460">SUBSTITUTE(SUBSTITUTE(_xlfn.SWITCH(AP460, "ITM_T_HOME", "ITM_UP1", "ITM_T_END", "ITM_DOWN1", "DOCU_CHR_sub", "ITM_DOWN_ARROW", "DOCU_CHR_super", "ITM_UP_ARROW", "MNU_TAMALPHA", "ITM_alpha", "DOCU_CHR_caseFLIP", "ITM_NULL", "DOCU_CHR_numSET", "ITM_NULL", "DOCU_ITM_RADIX", "ITM_PERIOD", AP460), ".lo", ),"MNU_", "-MNU_")</f>
        <v>ITM_ROOT_SIGN</v>
      </c>
      <c r="BB460" s="157" t="str" cm="1">
        <f t="array" ref="BB460">SUBSTITUTE(SUBSTITUTE(_xlfn.SWITCH(AQ460, "ITM_T_HOME", "ITM_UP1", "ITM_T_END", "ITM_DOWN1", "DOCU_CHR_sub", "ITM_DOWN_ARROW", "DOCU_CHR_super", "ITM_UP_ARROW", "MNU_TAMALPHA", "ITM_alpha", "DOCU_CHR_caseFLIP", "ITM_NULL", "DOCU_CHR_numSET", "ITM_NULL", "DOCU_ITM_RADIX", "ITM_PERIOD", AQ460), ".lo", ),"MNU_", "-MNU_")</f>
        <v>ITM_B</v>
      </c>
      <c r="BC460" s="157" t="str" cm="1">
        <f t="array" ref="BC460">SUBSTITUTE(SUBSTITUTE(_xlfn.SWITCH(AR460, "ITM_T_HOME", "ITM_UP1", "ITM_T_END", "ITM_DOWN1", "DOCU_CHR_sub", "ITM_DOWN_ARROW", "DOCU_CHR_super", "ITM_UP_ARROW", "MNU_TAMALPHA", "ITM_alpha", "DOCU_CHR_caseFLIP", "ITM_NULL", "DOCU_CHR_numSET", "ITM_NULL", "DOCU_ITM_RADIX", "ITM_PERIOD", AR460), ".lo", ),"MNU_", "-MNU_")</f>
        <v>ITM_b</v>
      </c>
      <c r="BD460" s="157" t="str" cm="1">
        <f t="array" ref="BD460">SUBSTITUTE(SUBSTITUTE(_xlfn.SWITCH(AS460, "ITM_T_HOME", "ITM_UP1", "ITM_T_END", "ITM_DOWN1", "DOCU_CHR_sub", "ITM_DOWN_ARROW", "DOCU_CHR_super", "ITM_UP_ARROW", "MNU_TAMALPHA", "ITM_alpha", "DOCU_CHR_caseFLIP", "ITM_NULL", "DOCU_CHR_numSET", "ITM_NULL", "DOCU_ITM_RADIX", "ITM_PERIOD", AS460), ".lo", ),"MNU_", "-MNU_")</f>
        <v>ITM_ROOT_SIGN</v>
      </c>
      <c r="BE460" s="157" t="str" cm="1">
        <f t="array" ref="BE460">SUBSTITUTE(SUBSTITUTE(_xlfn.SWITCH(AT460, "ITM_T_HOME", "ITM_UP1", "ITM_T_END", "ITM_DOWN1", "DOCU_CHR_sub", "ITM_DOWN_ARROW", "DOCU_CHR_super", "ITM_UP_ARROW", "MNU_TAMALPHA", "ITM_alpha", "DOCU_CHR_caseFLIP", "ITM_NULL", "DOCU_CHR_numSET", "ITM_NULL", "DOCU_ITM_RADIX", "ITM_PERIOD", AT460), ".lo", ),"MNU_", "-MNU_")</f>
        <v>ITM_REG_B</v>
      </c>
      <c r="BG460" s="75"/>
      <c r="BI460" s="13" t="str">
        <f t="shared" si="173"/>
        <v xml:space="preserve">  {22,                  ITM_SQUAREROOTX,      ITM_op_j_pol,         ITM_toPOL2,           ITM_ROOT_SIGN,        ITM_B,                ITM_b,                ITM_ROOT_SIGN,        ITM_REG_B           },</v>
      </c>
    </row>
    <row r="461" spans="24:61" ht="21" x14ac:dyDescent="0.2">
      <c r="X461" s="141" t="str">
        <f t="shared" si="159"/>
        <v>R47bkfg</v>
      </c>
      <c r="Y461" s="142">
        <v>2</v>
      </c>
      <c r="Z461" s="142">
        <v>3</v>
      </c>
      <c r="AA461" s="144" t="str">
        <f t="shared" si="157"/>
        <v>R47bkfg.23</v>
      </c>
      <c r="AB461" s="176" t="str">
        <f t="shared" ref="AB461:AF461" si="177">AB416</f>
        <v>1/x</v>
      </c>
      <c r="AC461" s="149" t="str">
        <f t="shared" si="177"/>
        <v>x!</v>
      </c>
      <c r="AD461" s="150" t="str">
        <f t="shared" si="177"/>
        <v>.ms</v>
      </c>
      <c r="AE461" s="3"/>
      <c r="AF461" s="52" t="str">
        <f t="shared" si="177"/>
        <v>C</v>
      </c>
      <c r="AG461" s="77" t="b">
        <f t="shared" si="175"/>
        <v>1</v>
      </c>
      <c r="AH461" s="83" t="str">
        <f t="shared" si="165"/>
        <v>c</v>
      </c>
      <c r="AI461" s="84" t="str">
        <f t="shared" si="166"/>
        <v>!</v>
      </c>
      <c r="AJ461" s="85" t="str">
        <f t="shared" si="167"/>
        <v>Reg C</v>
      </c>
      <c r="AK461" s="6"/>
      <c r="AL461" s="8" t="str">
        <f t="shared" si="168"/>
        <v>{23</v>
      </c>
      <c r="AM461" s="27" t="str">
        <f t="shared" si="169"/>
        <v>ITM_1ONX</v>
      </c>
      <c r="AN461" s="27" t="str">
        <f t="shared" si="170"/>
        <v>ITM_XFACT</v>
      </c>
      <c r="AO461" s="27" t="str">
        <f t="shared" si="171"/>
        <v>ITM_ms</v>
      </c>
      <c r="AP461" s="46" t="str">
        <f>IF(NOT(ISNA(MATCH(AM461,Lookups!E:E,))),VLOOKUP(AM461,Lookups!E:F,2,0),
IF(NOT(ISNA(MATCH(AN461,Lookups!E:E,))),VLOOKUP(AN461,Lookups!E:F,2,0),
IF(NOT(ISNA(MATCH(AO461,Lookups!E:E,))),VLOOKUP(AO461,Lookups!E:F,2,0),"ITM_NULL")))</f>
        <v>ITM_NULL</v>
      </c>
      <c r="AQ461" s="28" t="str">
        <f t="shared" si="172"/>
        <v>ITM_C</v>
      </c>
      <c r="AR461" s="195" t="s">
        <v>65</v>
      </c>
      <c r="AS461" s="186" t="s">
        <v>635</v>
      </c>
      <c r="AT461" s="255" t="s">
        <v>67</v>
      </c>
      <c r="AW461" s="14" t="str">
        <f t="shared" si="176"/>
        <v>{23</v>
      </c>
      <c r="AX461" s="157" t="str" cm="1">
        <f t="array" ref="AX461">SUBSTITUTE(SUBSTITUTE(_xlfn.SWITCH(AM461, "ITM_T_HOME", "ITM_UP1", "ITM_T_END", "ITM_DOWN1", "DOCU_CHR_sub", "ITM_DOWN_ARROW", "DOCU_CHR_super", "ITM_UP_ARROW", "MNU_TAMALPHA", "ITM_alpha", "DOCU_CHR_caseFLIP", "ITM_NULL", "DOCU_CHR_numSET", "ITM_NULL", "DOCU_ITM_RADIX", "ITM_PERIOD", AM461), ".lo", ),"MNU_", "-MNU_")</f>
        <v>ITM_1ONX</v>
      </c>
      <c r="AY461" s="157" t="str" cm="1">
        <f t="array" ref="AY461">SUBSTITUTE(SUBSTITUTE(_xlfn.SWITCH(AN461, "ITM_T_HOME", "ITM_UP1", "ITM_T_END", "ITM_DOWN1", "DOCU_CHR_sub", "ITM_DOWN_ARROW", "DOCU_CHR_super", "ITM_UP_ARROW", "MNU_TAMALPHA", "ITM_alpha", "DOCU_CHR_caseFLIP", "ITM_NULL", "DOCU_CHR_numSET", "ITM_NULL", "DOCU_ITM_RADIX", "ITM_PERIOD", AN461), ".lo", ),"MNU_", "-MNU_")</f>
        <v>ITM_XFACT</v>
      </c>
      <c r="AZ461" s="157" t="str" cm="1">
        <f t="array" ref="AZ461">SUBSTITUTE(SUBSTITUTE(_xlfn.SWITCH(AO461, "ITM_T_HOME", "ITM_UP1", "ITM_T_END", "ITM_DOWN1", "DOCU_CHR_sub", "ITM_DOWN_ARROW", "DOCU_CHR_super", "ITM_UP_ARROW", "MNU_TAMALPHA", "ITM_alpha", "DOCU_CHR_caseFLIP", "ITM_NULL", "DOCU_CHR_numSET", "ITM_NULL", "DOCU_ITM_RADIX", "ITM_PERIOD", AO461), ".lo", ),"MNU_", "-MNU_")</f>
        <v>ITM_ms</v>
      </c>
      <c r="BA461" s="173" t="str" cm="1">
        <f t="array" ref="BA461">SUBSTITUTE(SUBSTITUTE(_xlfn.SWITCH(AP461, "ITM_T_HOME", "ITM_UP1", "ITM_T_END", "ITM_DOWN1", "DOCU_CHR_sub", "ITM_DOWN_ARROW", "DOCU_CHR_super", "ITM_UP_ARROW", "MNU_TAMALPHA", "ITM_alpha", "DOCU_CHR_caseFLIP", "ITM_NULL", "DOCU_CHR_numSET", "ITM_NULL", "DOCU_ITM_RADIX", "ITM_PERIOD", AP461), ".lo", ),"MNU_", "-MNU_")</f>
        <v>ITM_NULL</v>
      </c>
      <c r="BB461" s="157" t="str" cm="1">
        <f t="array" ref="BB461">SUBSTITUTE(SUBSTITUTE(_xlfn.SWITCH(AQ461, "ITM_T_HOME", "ITM_UP1", "ITM_T_END", "ITM_DOWN1", "DOCU_CHR_sub", "ITM_DOWN_ARROW", "DOCU_CHR_super", "ITM_UP_ARROW", "MNU_TAMALPHA", "ITM_alpha", "DOCU_CHR_caseFLIP", "ITM_NULL", "DOCU_CHR_numSET", "ITM_NULL", "DOCU_ITM_RADIX", "ITM_PERIOD", AQ461), ".lo", ),"MNU_", "-MNU_")</f>
        <v>ITM_C</v>
      </c>
      <c r="BC461" s="157" t="str" cm="1">
        <f t="array" ref="BC461">SUBSTITUTE(SUBSTITUTE(_xlfn.SWITCH(AR461, "ITM_T_HOME", "ITM_UP1", "ITM_T_END", "ITM_DOWN1", "DOCU_CHR_sub", "ITM_DOWN_ARROW", "DOCU_CHR_super", "ITM_UP_ARROW", "MNU_TAMALPHA", "ITM_alpha", "DOCU_CHR_caseFLIP", "ITM_NULL", "DOCU_CHR_numSET", "ITM_NULL", "DOCU_ITM_RADIX", "ITM_PERIOD", AR461), ".lo", ),"MNU_", "-MNU_")</f>
        <v>ITM_c</v>
      </c>
      <c r="BD461" s="157" t="str" cm="1">
        <f t="array" ref="BD461">SUBSTITUTE(SUBSTITUTE(_xlfn.SWITCH(AS461, "ITM_T_HOME", "ITM_UP1", "ITM_T_END", "ITM_DOWN1", "DOCU_CHR_sub", "ITM_DOWN_ARROW", "DOCU_CHR_super", "ITM_UP_ARROW", "MNU_TAMALPHA", "ITM_alpha", "DOCU_CHR_caseFLIP", "ITM_NULL", "DOCU_CHR_numSET", "ITM_NULL", "DOCU_ITM_RADIX", "ITM_PERIOD", AS461), ".lo", ),"MNU_", "-MNU_")</f>
        <v>ITM_EXCLAMATION_MARK</v>
      </c>
      <c r="BE461" s="157" t="str" cm="1">
        <f t="array" ref="BE461">SUBSTITUTE(SUBSTITUTE(_xlfn.SWITCH(AT461, "ITM_T_HOME", "ITM_UP1", "ITM_T_END", "ITM_DOWN1", "DOCU_CHR_sub", "ITM_DOWN_ARROW", "DOCU_CHR_super", "ITM_UP_ARROW", "MNU_TAMALPHA", "ITM_alpha", "DOCU_CHR_caseFLIP", "ITM_NULL", "DOCU_CHR_numSET", "ITM_NULL", "DOCU_ITM_RADIX", "ITM_PERIOD", AT461), ".lo", ),"MNU_", "-MNU_")</f>
        <v>ITM_REG_C</v>
      </c>
      <c r="BG461" s="75"/>
      <c r="BI461" s="13" t="str">
        <f t="shared" si="173"/>
        <v xml:space="preserve">  {23,                  ITM_1ONX,             ITM_XFACT,            ITM_ms,               ITM_NULL,             ITM_C,                ITM_c,                ITM_EXCLAMATION_MARK, ITM_REG_C           },</v>
      </c>
    </row>
    <row r="462" spans="24:61" ht="21" x14ac:dyDescent="0.2">
      <c r="X462" s="141" t="str">
        <f t="shared" si="159"/>
        <v>R47bkfg</v>
      </c>
      <c r="Y462" s="142">
        <v>2</v>
      </c>
      <c r="Z462" s="142">
        <v>4</v>
      </c>
      <c r="AA462" s="144" t="str">
        <f t="shared" si="157"/>
        <v>R47bkfg.24</v>
      </c>
      <c r="AB462" s="176" t="str">
        <f t="shared" ref="AB462:AF462" si="178">AB417</f>
        <v>y^x</v>
      </c>
      <c r="AC462" s="149" t="str">
        <f t="shared" si="178"/>
        <v>x√y</v>
      </c>
      <c r="AD462" s="150" t="str">
        <f t="shared" si="178"/>
        <v>.d</v>
      </c>
      <c r="AE462" s="3"/>
      <c r="AF462" s="52" t="str">
        <f t="shared" si="178"/>
        <v>D</v>
      </c>
      <c r="AG462" s="77" t="b">
        <f t="shared" si="175"/>
        <v>1</v>
      </c>
      <c r="AH462" s="83" t="str">
        <f t="shared" si="165"/>
        <v>d</v>
      </c>
      <c r="AI462" s="84" t="str">
        <f t="shared" si="166"/>
        <v>^</v>
      </c>
      <c r="AJ462" s="85" t="str">
        <f t="shared" si="167"/>
        <v>Reg D</v>
      </c>
      <c r="AK462" s="6"/>
      <c r="AL462" s="8" t="str">
        <f t="shared" si="168"/>
        <v>{24</v>
      </c>
      <c r="AM462" s="27" t="str">
        <f t="shared" si="169"/>
        <v>ITM_YX</v>
      </c>
      <c r="AN462" s="27" t="str">
        <f t="shared" si="170"/>
        <v>ITM_XTHROOT</v>
      </c>
      <c r="AO462" s="27" t="str">
        <f t="shared" si="171"/>
        <v>ITM_dotD</v>
      </c>
      <c r="AP462" s="46" t="str">
        <f>IF(NOT(ISNA(MATCH(AM462,Lookups!E:E,))),VLOOKUP(AM462,Lookups!E:F,2,0),
IF(NOT(ISNA(MATCH(AN462,Lookups!E:E,))),VLOOKUP(AN462,Lookups!E:F,2,0),
IF(NOT(ISNA(MATCH(AO462,Lookups!E:E,))),VLOOKUP(AO462,Lookups!E:F,2,0),"ITM_NULL")))</f>
        <v>ITM_NULL</v>
      </c>
      <c r="AQ462" s="28" t="str">
        <f t="shared" si="172"/>
        <v>ITM_D</v>
      </c>
      <c r="AR462" s="195" t="s">
        <v>72</v>
      </c>
      <c r="AS462" s="186" t="s">
        <v>59</v>
      </c>
      <c r="AT462" s="255" t="s">
        <v>74</v>
      </c>
      <c r="AW462" s="14" t="str">
        <f t="shared" si="176"/>
        <v>{24</v>
      </c>
      <c r="AX462" s="157" t="str" cm="1">
        <f t="array" ref="AX462">SUBSTITUTE(SUBSTITUTE(_xlfn.SWITCH(AM462, "ITM_T_HOME", "ITM_UP1", "ITM_T_END", "ITM_DOWN1", "DOCU_CHR_sub", "ITM_DOWN_ARROW", "DOCU_CHR_super", "ITM_UP_ARROW", "MNU_TAMALPHA", "ITM_alpha", "DOCU_CHR_caseFLIP", "ITM_NULL", "DOCU_CHR_numSET", "ITM_NULL", "DOCU_ITM_RADIX", "ITM_PERIOD", AM462), ".lo", ),"MNU_", "-MNU_")</f>
        <v>ITM_YX</v>
      </c>
      <c r="AY462" s="157" t="str" cm="1">
        <f t="array" ref="AY462">SUBSTITUTE(SUBSTITUTE(_xlfn.SWITCH(AN462, "ITM_T_HOME", "ITM_UP1", "ITM_T_END", "ITM_DOWN1", "DOCU_CHR_sub", "ITM_DOWN_ARROW", "DOCU_CHR_super", "ITM_UP_ARROW", "MNU_TAMALPHA", "ITM_alpha", "DOCU_CHR_caseFLIP", "ITM_NULL", "DOCU_CHR_numSET", "ITM_NULL", "DOCU_ITM_RADIX", "ITM_PERIOD", AN462), ".lo", ),"MNU_", "-MNU_")</f>
        <v>ITM_XTHROOT</v>
      </c>
      <c r="AZ462" s="157" t="str" cm="1">
        <f t="array" ref="AZ462">SUBSTITUTE(SUBSTITUTE(_xlfn.SWITCH(AO462, "ITM_T_HOME", "ITM_UP1", "ITM_T_END", "ITM_DOWN1", "DOCU_CHR_sub", "ITM_DOWN_ARROW", "DOCU_CHR_super", "ITM_UP_ARROW", "MNU_TAMALPHA", "ITM_alpha", "DOCU_CHR_caseFLIP", "ITM_NULL", "DOCU_CHR_numSET", "ITM_NULL", "DOCU_ITM_RADIX", "ITM_PERIOD", AO462), ".lo", ),"MNU_", "-MNU_")</f>
        <v>ITM_dotD</v>
      </c>
      <c r="BA462" s="173" t="str" cm="1">
        <f t="array" ref="BA462">SUBSTITUTE(SUBSTITUTE(_xlfn.SWITCH(AP462, "ITM_T_HOME", "ITM_UP1", "ITM_T_END", "ITM_DOWN1", "DOCU_CHR_sub", "ITM_DOWN_ARROW", "DOCU_CHR_super", "ITM_UP_ARROW", "MNU_TAMALPHA", "ITM_alpha", "DOCU_CHR_caseFLIP", "ITM_NULL", "DOCU_CHR_numSET", "ITM_NULL", "DOCU_ITM_RADIX", "ITM_PERIOD", AP462), ".lo", ),"MNU_", "-MNU_")</f>
        <v>ITM_NULL</v>
      </c>
      <c r="BB462" s="157" t="str" cm="1">
        <f t="array" ref="BB462">SUBSTITUTE(SUBSTITUTE(_xlfn.SWITCH(AQ462, "ITM_T_HOME", "ITM_UP1", "ITM_T_END", "ITM_DOWN1", "DOCU_CHR_sub", "ITM_DOWN_ARROW", "DOCU_CHR_super", "ITM_UP_ARROW", "MNU_TAMALPHA", "ITM_alpha", "DOCU_CHR_caseFLIP", "ITM_NULL", "DOCU_CHR_numSET", "ITM_NULL", "DOCU_ITM_RADIX", "ITM_PERIOD", AQ462), ".lo", ),"MNU_", "-MNU_")</f>
        <v>ITM_D</v>
      </c>
      <c r="BC462" s="157" t="str" cm="1">
        <f t="array" ref="BC462">SUBSTITUTE(SUBSTITUTE(_xlfn.SWITCH(AR462, "ITM_T_HOME", "ITM_UP1", "ITM_T_END", "ITM_DOWN1", "DOCU_CHR_sub", "ITM_DOWN_ARROW", "DOCU_CHR_super", "ITM_UP_ARROW", "MNU_TAMALPHA", "ITM_alpha", "DOCU_CHR_caseFLIP", "ITM_NULL", "DOCU_CHR_numSET", "ITM_NULL", "DOCU_ITM_RADIX", "ITM_PERIOD", AR462), ".lo", ),"MNU_", "-MNU_")</f>
        <v>ITM_d</v>
      </c>
      <c r="BD462" s="157" t="str" cm="1">
        <f t="array" ref="BD462">SUBSTITUTE(SUBSTITUTE(_xlfn.SWITCH(AS462, "ITM_T_HOME", "ITM_UP1", "ITM_T_END", "ITM_DOWN1", "DOCU_CHR_sub", "ITM_DOWN_ARROW", "DOCU_CHR_super", "ITM_UP_ARROW", "MNU_TAMALPHA", "ITM_alpha", "DOCU_CHR_caseFLIP", "ITM_NULL", "DOCU_CHR_numSET", "ITM_NULL", "DOCU_ITM_RADIX", "ITM_PERIOD", AS462), ".lo", ),"MNU_", "-MNU_")</f>
        <v>ITM_CIRCUMFLEX</v>
      </c>
      <c r="BE462" s="157" t="str" cm="1">
        <f t="array" ref="BE462">SUBSTITUTE(SUBSTITUTE(_xlfn.SWITCH(AT462, "ITM_T_HOME", "ITM_UP1", "ITM_T_END", "ITM_DOWN1", "DOCU_CHR_sub", "ITM_DOWN_ARROW", "DOCU_CHR_super", "ITM_UP_ARROW", "MNU_TAMALPHA", "ITM_alpha", "DOCU_CHR_caseFLIP", "ITM_NULL", "DOCU_CHR_numSET", "ITM_NULL", "DOCU_ITM_RADIX", "ITM_PERIOD", AT462), ".lo", ),"MNU_", "-MNU_")</f>
        <v>ITM_REG_D</v>
      </c>
      <c r="BG462" s="75"/>
      <c r="BI462" s="13" t="str">
        <f t="shared" si="173"/>
        <v xml:space="preserve">  {24,                  ITM_YX,               ITM_XTHROOT,          ITM_dotD,             ITM_NULL,             ITM_D,                ITM_d,                ITM_CIRCUMFLEX,       ITM_REG_D           },</v>
      </c>
    </row>
    <row r="463" spans="24:61" ht="21" x14ac:dyDescent="0.2">
      <c r="X463" s="141" t="str">
        <f t="shared" si="159"/>
        <v>R47bkfg</v>
      </c>
      <c r="Y463" s="142">
        <v>2</v>
      </c>
      <c r="Z463" s="142">
        <v>5</v>
      </c>
      <c r="AA463" s="144" t="str">
        <f t="shared" si="157"/>
        <v>R47bkfg.25</v>
      </c>
      <c r="AB463" s="176" t="str">
        <f t="shared" ref="AB463:AF463" si="179">AB418</f>
        <v>LOG</v>
      </c>
      <c r="AC463" s="149" t="str">
        <f t="shared" si="179"/>
        <v>10^x</v>
      </c>
      <c r="AD463" s="150" t="str">
        <f t="shared" si="179"/>
        <v>-&gt;I</v>
      </c>
      <c r="AE463" s="3"/>
      <c r="AF463" s="52" t="str">
        <f t="shared" si="179"/>
        <v>E</v>
      </c>
      <c r="AG463" s="77" t="b">
        <f t="shared" si="175"/>
        <v>1</v>
      </c>
      <c r="AH463" s="83" t="str">
        <f t="shared" si="165"/>
        <v>e</v>
      </c>
      <c r="AI463" s="84" t="str">
        <f t="shared" si="166"/>
        <v>&lt;e&gt;</v>
      </c>
      <c r="AJ463" s="85" t="str">
        <f t="shared" si="167"/>
        <v>Reg E</v>
      </c>
      <c r="AK463" s="6"/>
      <c r="AL463" s="8" t="str">
        <f t="shared" si="168"/>
        <v>{25</v>
      </c>
      <c r="AM463" s="27" t="str">
        <f t="shared" si="169"/>
        <v>ITM_LOG10</v>
      </c>
      <c r="AN463" s="27" t="str">
        <f t="shared" si="170"/>
        <v>ITM_10x</v>
      </c>
      <c r="AO463" s="27" t="str">
        <f t="shared" si="171"/>
        <v>ITM_RI</v>
      </c>
      <c r="AP463" s="46" t="str">
        <f>IF(NOT(ISNA(MATCH(AM463,Lookups!E:E,))),VLOOKUP(AM463,Lookups!E:F,2,0),
IF(NOT(ISNA(MATCH(AN463,Lookups!E:E,))),VLOOKUP(AN463,Lookups!E:F,2,0),
IF(NOT(ISNA(MATCH(AO463,Lookups!E:E,))),VLOOKUP(AO463,Lookups!E:F,2,0),"ITM_NULL")))</f>
        <v>ITM_NULL</v>
      </c>
      <c r="AQ463" s="28" t="str">
        <f t="shared" si="172"/>
        <v>ITM_E</v>
      </c>
      <c r="AR463" s="195" t="s">
        <v>79</v>
      </c>
      <c r="AS463" s="186" t="s">
        <v>637</v>
      </c>
      <c r="AT463" s="255" t="s">
        <v>672</v>
      </c>
      <c r="AW463" s="14" t="str">
        <f t="shared" si="176"/>
        <v>{25</v>
      </c>
      <c r="AX463" s="157" t="str" cm="1">
        <f t="array" ref="AX463">SUBSTITUTE(SUBSTITUTE(_xlfn.SWITCH(AM463, "ITM_T_HOME", "ITM_UP1", "ITM_T_END", "ITM_DOWN1", "DOCU_CHR_sub", "ITM_DOWN_ARROW", "DOCU_CHR_super", "ITM_UP_ARROW", "MNU_TAMALPHA", "ITM_alpha", "DOCU_CHR_caseFLIP", "ITM_NULL", "DOCU_CHR_numSET", "ITM_NULL", "DOCU_ITM_RADIX", "ITM_PERIOD", AM463), ".lo", ),"MNU_", "-MNU_")</f>
        <v>ITM_LOG10</v>
      </c>
      <c r="AY463" s="157" t="str" cm="1">
        <f t="array" ref="AY463">SUBSTITUTE(SUBSTITUTE(_xlfn.SWITCH(AN463, "ITM_T_HOME", "ITM_UP1", "ITM_T_END", "ITM_DOWN1", "DOCU_CHR_sub", "ITM_DOWN_ARROW", "DOCU_CHR_super", "ITM_UP_ARROW", "MNU_TAMALPHA", "ITM_alpha", "DOCU_CHR_caseFLIP", "ITM_NULL", "DOCU_CHR_numSET", "ITM_NULL", "DOCU_ITM_RADIX", "ITM_PERIOD", AN463), ".lo", ),"MNU_", "-MNU_")</f>
        <v>ITM_10x</v>
      </c>
      <c r="AZ463" s="157" t="str" cm="1">
        <f t="array" ref="AZ463">SUBSTITUTE(SUBSTITUTE(_xlfn.SWITCH(AO463, "ITM_T_HOME", "ITM_UP1", "ITM_T_END", "ITM_DOWN1", "DOCU_CHR_sub", "ITM_DOWN_ARROW", "DOCU_CHR_super", "ITM_UP_ARROW", "MNU_TAMALPHA", "ITM_alpha", "DOCU_CHR_caseFLIP", "ITM_NULL", "DOCU_CHR_numSET", "ITM_NULL", "DOCU_ITM_RADIX", "ITM_PERIOD", AO463), ".lo", ),"MNU_", "-MNU_")</f>
        <v>ITM_RI</v>
      </c>
      <c r="BA463" s="173" t="str" cm="1">
        <f t="array" ref="BA463">SUBSTITUTE(SUBSTITUTE(_xlfn.SWITCH(AP463, "ITM_T_HOME", "ITM_UP1", "ITM_T_END", "ITM_DOWN1", "DOCU_CHR_sub", "ITM_DOWN_ARROW", "DOCU_CHR_super", "ITM_UP_ARROW", "MNU_TAMALPHA", "ITM_alpha", "DOCU_CHR_caseFLIP", "ITM_NULL", "DOCU_CHR_numSET", "ITM_NULL", "DOCU_ITM_RADIX", "ITM_PERIOD", AP463), ".lo", ),"MNU_", "-MNU_")</f>
        <v>ITM_NULL</v>
      </c>
      <c r="BB463" s="157" t="str" cm="1">
        <f t="array" ref="BB463">SUBSTITUTE(SUBSTITUTE(_xlfn.SWITCH(AQ463, "ITM_T_HOME", "ITM_UP1", "ITM_T_END", "ITM_DOWN1", "DOCU_CHR_sub", "ITM_DOWN_ARROW", "DOCU_CHR_super", "ITM_UP_ARROW", "MNU_TAMALPHA", "ITM_alpha", "DOCU_CHR_caseFLIP", "ITM_NULL", "DOCU_CHR_numSET", "ITM_NULL", "DOCU_ITM_RADIX", "ITM_PERIOD", AQ463), ".lo", ),"MNU_", "-MNU_")</f>
        <v>ITM_E</v>
      </c>
      <c r="BC463" s="157" t="str" cm="1">
        <f t="array" ref="BC463">SUBSTITUTE(SUBSTITUTE(_xlfn.SWITCH(AR463, "ITM_T_HOME", "ITM_UP1", "ITM_T_END", "ITM_DOWN1", "DOCU_CHR_sub", "ITM_DOWN_ARROW", "DOCU_CHR_super", "ITM_UP_ARROW", "MNU_TAMALPHA", "ITM_alpha", "DOCU_CHR_caseFLIP", "ITM_NULL", "DOCU_CHR_numSET", "ITM_NULL", "DOCU_ITM_RADIX", "ITM_PERIOD", AR463), ".lo", ),"MNU_", "-MNU_")</f>
        <v>ITM_e</v>
      </c>
      <c r="BD463" s="157" t="str" cm="1">
        <f t="array" ref="BD463">SUBSTITUTE(SUBSTITUTE(_xlfn.SWITCH(AS463, "ITM_T_HOME", "ITM_UP1", "ITM_T_END", "ITM_DOWN1", "DOCU_CHR_sub", "ITM_DOWN_ARROW", "DOCU_CHR_super", "ITM_UP_ARROW", "MNU_TAMALPHA", "ITM_alpha", "DOCU_CHR_caseFLIP", "ITM_NULL", "DOCU_CHR_numSET", "ITM_NULL", "DOCU_ITM_RADIX", "ITM_PERIOD", AS463), ".lo", ),"MNU_", "-MNU_")</f>
        <v>ITM_EulerE</v>
      </c>
      <c r="BE463" s="157" t="str" cm="1">
        <f t="array" ref="BE463">SUBSTITUTE(SUBSTITUTE(_xlfn.SWITCH(AT463, "ITM_T_HOME", "ITM_UP1", "ITM_T_END", "ITM_DOWN1", "DOCU_CHR_sub", "ITM_DOWN_ARROW", "DOCU_CHR_super", "ITM_UP_ARROW", "MNU_TAMALPHA", "ITM_alpha", "DOCU_CHR_caseFLIP", "ITM_NULL", "DOCU_CHR_numSET", "ITM_NULL", "DOCU_ITM_RADIX", "ITM_PERIOD", AT463), ".lo", ),"MNU_", "-MNU_")</f>
        <v>ITM_REG_E</v>
      </c>
      <c r="BG463" s="75"/>
      <c r="BI463" s="13" t="str">
        <f t="shared" si="173"/>
        <v xml:space="preserve">  {25,                  ITM_LOG10,            ITM_10x,              ITM_RI,               ITM_NULL,             ITM_E,                ITM_e,                ITM_EulerE,           ITM_REG_E           },</v>
      </c>
    </row>
    <row r="464" spans="24:61" ht="21" x14ac:dyDescent="0.2">
      <c r="X464" s="141" t="str">
        <f t="shared" si="159"/>
        <v>R47bkfg</v>
      </c>
      <c r="Y464" s="142">
        <v>2</v>
      </c>
      <c r="Z464" s="142">
        <v>6</v>
      </c>
      <c r="AA464" s="144" t="str">
        <f t="shared" si="157"/>
        <v>R47bkfg.26</v>
      </c>
      <c r="AB464" s="176" t="str">
        <f t="shared" ref="AB464:AF464" si="180">AB419</f>
        <v>LN</v>
      </c>
      <c r="AC464" s="149" t="str">
        <f t="shared" si="180"/>
        <v>e^x</v>
      </c>
      <c r="AD464" s="150" t="str">
        <f t="shared" si="180"/>
        <v>#</v>
      </c>
      <c r="AE464" s="3"/>
      <c r="AF464" s="52" t="str">
        <f t="shared" si="180"/>
        <v>F</v>
      </c>
      <c r="AG464" s="77" t="b">
        <f t="shared" si="175"/>
        <v>1</v>
      </c>
      <c r="AH464" s="83" t="str">
        <f t="shared" si="165"/>
        <v>f</v>
      </c>
      <c r="AI464" s="84" t="str">
        <f t="shared" si="166"/>
        <v>#</v>
      </c>
      <c r="AJ464" s="85" t="str">
        <f t="shared" si="167"/>
        <v>Reg F</v>
      </c>
      <c r="AK464" s="6"/>
      <c r="AL464" s="8" t="str">
        <f t="shared" si="168"/>
        <v>{26</v>
      </c>
      <c r="AM464" s="27" t="str">
        <f t="shared" si="169"/>
        <v>ITM_LN</v>
      </c>
      <c r="AN464" s="27" t="str">
        <f t="shared" si="170"/>
        <v>ITM_EXP</v>
      </c>
      <c r="AO464" s="27" t="str">
        <f t="shared" si="171"/>
        <v>ITM_HASH_JM</v>
      </c>
      <c r="AP464" s="46" t="str">
        <f>IF(NOT(ISNA(MATCH(AM464,Lookups!E:E,))),VLOOKUP(AM464,Lookups!E:F,2,0),
IF(NOT(ISNA(MATCH(AN464,Lookups!E:E,))),VLOOKUP(AN464,Lookups!E:F,2,0),
IF(NOT(ISNA(MATCH(AO464,Lookups!E:E,))),VLOOKUP(AO464,Lookups!E:F,2,0),"ITM_NULL")))</f>
        <v>ITM_NUMBER_SIGN</v>
      </c>
      <c r="AQ464" s="28" t="str">
        <f t="shared" si="172"/>
        <v>ITM_F</v>
      </c>
      <c r="AR464" s="195" t="s">
        <v>86</v>
      </c>
      <c r="AS464" s="186" t="s">
        <v>283</v>
      </c>
      <c r="AT464" s="255" t="s">
        <v>676</v>
      </c>
      <c r="AW464" s="14" t="str">
        <f t="shared" si="176"/>
        <v>{26</v>
      </c>
      <c r="AX464" s="157" t="str" cm="1">
        <f t="array" ref="AX464">SUBSTITUTE(SUBSTITUTE(_xlfn.SWITCH(AM464, "ITM_T_HOME", "ITM_UP1", "ITM_T_END", "ITM_DOWN1", "DOCU_CHR_sub", "ITM_DOWN_ARROW", "DOCU_CHR_super", "ITM_UP_ARROW", "MNU_TAMALPHA", "ITM_alpha", "DOCU_CHR_caseFLIP", "ITM_NULL", "DOCU_CHR_numSET", "ITM_NULL", "DOCU_ITM_RADIX", "ITM_PERIOD", AM464), ".lo", ),"MNU_", "-MNU_")</f>
        <v>ITM_LN</v>
      </c>
      <c r="AY464" s="157" t="str" cm="1">
        <f t="array" ref="AY464">SUBSTITUTE(SUBSTITUTE(_xlfn.SWITCH(AN464, "ITM_T_HOME", "ITM_UP1", "ITM_T_END", "ITM_DOWN1", "DOCU_CHR_sub", "ITM_DOWN_ARROW", "DOCU_CHR_super", "ITM_UP_ARROW", "MNU_TAMALPHA", "ITM_alpha", "DOCU_CHR_caseFLIP", "ITM_NULL", "DOCU_CHR_numSET", "ITM_NULL", "DOCU_ITM_RADIX", "ITM_PERIOD", AN464), ".lo", ),"MNU_", "-MNU_")</f>
        <v>ITM_EXP</v>
      </c>
      <c r="AZ464" s="157" t="str" cm="1">
        <f t="array" ref="AZ464">SUBSTITUTE(SUBSTITUTE(_xlfn.SWITCH(AO464, "ITM_T_HOME", "ITM_UP1", "ITM_T_END", "ITM_DOWN1", "DOCU_CHR_sub", "ITM_DOWN_ARROW", "DOCU_CHR_super", "ITM_UP_ARROW", "MNU_TAMALPHA", "ITM_alpha", "DOCU_CHR_caseFLIP", "ITM_NULL", "DOCU_CHR_numSET", "ITM_NULL", "DOCU_ITM_RADIX", "ITM_PERIOD", AO464), ".lo", ),"MNU_", "-MNU_")</f>
        <v>ITM_HASH_JM</v>
      </c>
      <c r="BA464" s="173" t="str" cm="1">
        <f t="array" ref="BA464">SUBSTITUTE(SUBSTITUTE(_xlfn.SWITCH(AP464, "ITM_T_HOME", "ITM_UP1", "ITM_T_END", "ITM_DOWN1", "DOCU_CHR_sub", "ITM_DOWN_ARROW", "DOCU_CHR_super", "ITM_UP_ARROW", "MNU_TAMALPHA", "ITM_alpha", "DOCU_CHR_caseFLIP", "ITM_NULL", "DOCU_CHR_numSET", "ITM_NULL", "DOCU_ITM_RADIX", "ITM_PERIOD", AP464), ".lo", ),"MNU_", "-MNU_")</f>
        <v>ITM_NUMBER_SIGN</v>
      </c>
      <c r="BB464" s="157" t="str" cm="1">
        <f t="array" ref="BB464">SUBSTITUTE(SUBSTITUTE(_xlfn.SWITCH(AQ464, "ITM_T_HOME", "ITM_UP1", "ITM_T_END", "ITM_DOWN1", "DOCU_CHR_sub", "ITM_DOWN_ARROW", "DOCU_CHR_super", "ITM_UP_ARROW", "MNU_TAMALPHA", "ITM_alpha", "DOCU_CHR_caseFLIP", "ITM_NULL", "DOCU_CHR_numSET", "ITM_NULL", "DOCU_ITM_RADIX", "ITM_PERIOD", AQ464), ".lo", ),"MNU_", "-MNU_")</f>
        <v>ITM_F</v>
      </c>
      <c r="BC464" s="157" t="str" cm="1">
        <f t="array" ref="BC464">SUBSTITUTE(SUBSTITUTE(_xlfn.SWITCH(AR464, "ITM_T_HOME", "ITM_UP1", "ITM_T_END", "ITM_DOWN1", "DOCU_CHR_sub", "ITM_DOWN_ARROW", "DOCU_CHR_super", "ITM_UP_ARROW", "MNU_TAMALPHA", "ITM_alpha", "DOCU_CHR_caseFLIP", "ITM_NULL", "DOCU_CHR_numSET", "ITM_NULL", "DOCU_ITM_RADIX", "ITM_PERIOD", AR464), ".lo", ),"MNU_", "-MNU_")</f>
        <v>ITM_f</v>
      </c>
      <c r="BD464" s="157" t="str" cm="1">
        <f t="array" ref="BD464">SUBSTITUTE(SUBSTITUTE(_xlfn.SWITCH(AS464, "ITM_T_HOME", "ITM_UP1", "ITM_T_END", "ITM_DOWN1", "DOCU_CHR_sub", "ITM_DOWN_ARROW", "DOCU_CHR_super", "ITM_UP_ARROW", "MNU_TAMALPHA", "ITM_alpha", "DOCU_CHR_caseFLIP", "ITM_NULL", "DOCU_CHR_numSET", "ITM_NULL", "DOCU_ITM_RADIX", "ITM_PERIOD", AS464), ".lo", ),"MNU_", "-MNU_")</f>
        <v>ITM_NUMBER_SIGN</v>
      </c>
      <c r="BE464" s="157" t="str" cm="1">
        <f t="array" ref="BE464">SUBSTITUTE(SUBSTITUTE(_xlfn.SWITCH(AT464, "ITM_T_HOME", "ITM_UP1", "ITM_T_END", "ITM_DOWN1", "DOCU_CHR_sub", "ITM_DOWN_ARROW", "DOCU_CHR_super", "ITM_UP_ARROW", "MNU_TAMALPHA", "ITM_alpha", "DOCU_CHR_caseFLIP", "ITM_NULL", "DOCU_CHR_numSET", "ITM_NULL", "DOCU_ITM_RADIX", "ITM_PERIOD", AT464), ".lo", ),"MNU_", "-MNU_")</f>
        <v>ITM_REG_F</v>
      </c>
      <c r="BG464" s="75"/>
      <c r="BI464" s="13" t="str">
        <f t="shared" si="173"/>
        <v xml:space="preserve">  {26,                  ITM_LN,               ITM_EXP,              ITM_HASH_JM,          ITM_NUMBER_SIGN,      ITM_F,                ITM_f,                ITM_NUMBER_SIGN,      ITM_REG_F           },</v>
      </c>
    </row>
    <row r="465" spans="24:61" ht="21" x14ac:dyDescent="0.2">
      <c r="X465" s="141" t="str">
        <f t="shared" si="159"/>
        <v>R47bkfg</v>
      </c>
      <c r="Y465" s="138">
        <v>3</v>
      </c>
      <c r="Z465" s="138">
        <v>1</v>
      </c>
      <c r="AA465" s="144" t="str">
        <f t="shared" si="157"/>
        <v>R47bkfg.31</v>
      </c>
      <c r="AB465" s="148" t="str">
        <f t="shared" ref="AB465:AF465" si="181">AB420</f>
        <v>STO</v>
      </c>
      <c r="AC465" s="149" t="str">
        <f t="shared" si="181"/>
        <v>|x|</v>
      </c>
      <c r="AD465" s="150" t="str">
        <f t="shared" si="181"/>
        <v>angle</v>
      </c>
      <c r="AE465" s="3"/>
      <c r="AF465" s="52" t="str">
        <f t="shared" si="181"/>
        <v>G</v>
      </c>
      <c r="AG465" s="77" t="b">
        <f t="shared" si="175"/>
        <v>1</v>
      </c>
      <c r="AH465" s="83" t="str">
        <f t="shared" si="165"/>
        <v>g</v>
      </c>
      <c r="AI465" s="84" t="str">
        <f t="shared" si="166"/>
        <v>|</v>
      </c>
      <c r="AJ465" s="85" t="str">
        <f t="shared" si="167"/>
        <v>Reg G</v>
      </c>
      <c r="AK465" s="6"/>
      <c r="AL465" s="8" t="str">
        <f t="shared" si="168"/>
        <v>{31</v>
      </c>
      <c r="AM465" s="27" t="str">
        <f t="shared" si="169"/>
        <v>ITM_STO</v>
      </c>
      <c r="AN465" s="27" t="str">
        <f t="shared" si="170"/>
        <v>ITM_MAGNITUDE</v>
      </c>
      <c r="AO465" s="27" t="str">
        <f t="shared" si="171"/>
        <v>ITM_ARG</v>
      </c>
      <c r="AP465" s="46" t="str">
        <f>IF(NOT(ISNA(MATCH(AM465,Lookups!E:E,))),VLOOKUP(AM465,Lookups!E:F,2,0),
IF(NOT(ISNA(MATCH(AN465,Lookups!E:E,))),VLOOKUP(AN465,Lookups!E:F,2,0),
IF(NOT(ISNA(MATCH(AO465,Lookups!E:E,))),VLOOKUP(AO465,Lookups!E:F,2,0),"ITM_NULL")))</f>
        <v>ITM_NULL</v>
      </c>
      <c r="AQ465" s="28" t="str">
        <f t="shared" si="172"/>
        <v>ITM_G</v>
      </c>
      <c r="AR465" s="195" t="s">
        <v>92</v>
      </c>
      <c r="AS465" s="186" t="s">
        <v>93</v>
      </c>
      <c r="AT465" s="255" t="s">
        <v>673</v>
      </c>
      <c r="AW465" s="14" t="str">
        <f t="shared" si="176"/>
        <v>{31</v>
      </c>
      <c r="AX465" s="157" t="str" cm="1">
        <f t="array" ref="AX465">SUBSTITUTE(SUBSTITUTE(_xlfn.SWITCH(AM465, "ITM_T_HOME", "ITM_UP1", "ITM_T_END", "ITM_DOWN1", "DOCU_CHR_sub", "ITM_DOWN_ARROW", "DOCU_CHR_super", "ITM_UP_ARROW", "MNU_TAMALPHA", "ITM_alpha", "DOCU_CHR_caseFLIP", "ITM_NULL", "DOCU_CHR_numSET", "ITM_NULL", "DOCU_ITM_RADIX", "ITM_PERIOD", AM465), ".lo", ),"MNU_", "-MNU_")</f>
        <v>ITM_STO</v>
      </c>
      <c r="AY465" s="157" t="str" cm="1">
        <f t="array" ref="AY465">SUBSTITUTE(SUBSTITUTE(_xlfn.SWITCH(AN465, "ITM_T_HOME", "ITM_UP1", "ITM_T_END", "ITM_DOWN1", "DOCU_CHR_sub", "ITM_DOWN_ARROW", "DOCU_CHR_super", "ITM_UP_ARROW", "MNU_TAMALPHA", "ITM_alpha", "DOCU_CHR_caseFLIP", "ITM_NULL", "DOCU_CHR_numSET", "ITM_NULL", "DOCU_ITM_RADIX", "ITM_PERIOD", AN465), ".lo", ),"MNU_", "-MNU_")</f>
        <v>ITM_MAGNITUDE</v>
      </c>
      <c r="AZ465" s="157" t="str" cm="1">
        <f t="array" ref="AZ465">SUBSTITUTE(SUBSTITUTE(_xlfn.SWITCH(AO465, "ITM_T_HOME", "ITM_UP1", "ITM_T_END", "ITM_DOWN1", "DOCU_CHR_sub", "ITM_DOWN_ARROW", "DOCU_CHR_super", "ITM_UP_ARROW", "MNU_TAMALPHA", "ITM_alpha", "DOCU_CHR_caseFLIP", "ITM_NULL", "DOCU_CHR_numSET", "ITM_NULL", "DOCU_ITM_RADIX", "ITM_PERIOD", AO465), ".lo", ),"MNU_", "-MNU_")</f>
        <v>ITM_ARG</v>
      </c>
      <c r="BA465" s="173" t="str" cm="1">
        <f t="array" ref="BA465">SUBSTITUTE(SUBSTITUTE(_xlfn.SWITCH(AP465, "ITM_T_HOME", "ITM_UP1", "ITM_T_END", "ITM_DOWN1", "DOCU_CHR_sub", "ITM_DOWN_ARROW", "DOCU_CHR_super", "ITM_UP_ARROW", "MNU_TAMALPHA", "ITM_alpha", "DOCU_CHR_caseFLIP", "ITM_NULL", "DOCU_CHR_numSET", "ITM_NULL", "DOCU_ITM_RADIX", "ITM_PERIOD", AP465), ".lo", ),"MNU_", "-MNU_")</f>
        <v>ITM_NULL</v>
      </c>
      <c r="BB465" s="157" t="str" cm="1">
        <f t="array" ref="BB465">SUBSTITUTE(SUBSTITUTE(_xlfn.SWITCH(AQ465, "ITM_T_HOME", "ITM_UP1", "ITM_T_END", "ITM_DOWN1", "DOCU_CHR_sub", "ITM_DOWN_ARROW", "DOCU_CHR_super", "ITM_UP_ARROW", "MNU_TAMALPHA", "ITM_alpha", "DOCU_CHR_caseFLIP", "ITM_NULL", "DOCU_CHR_numSET", "ITM_NULL", "DOCU_ITM_RADIX", "ITM_PERIOD", AQ465), ".lo", ),"MNU_", "-MNU_")</f>
        <v>ITM_G</v>
      </c>
      <c r="BC465" s="157" t="str" cm="1">
        <f t="array" ref="BC465">SUBSTITUTE(SUBSTITUTE(_xlfn.SWITCH(AR465, "ITM_T_HOME", "ITM_UP1", "ITM_T_END", "ITM_DOWN1", "DOCU_CHR_sub", "ITM_DOWN_ARROW", "DOCU_CHR_super", "ITM_UP_ARROW", "MNU_TAMALPHA", "ITM_alpha", "DOCU_CHR_caseFLIP", "ITM_NULL", "DOCU_CHR_numSET", "ITM_NULL", "DOCU_ITM_RADIX", "ITM_PERIOD", AR465), ".lo", ),"MNU_", "-MNU_")</f>
        <v>ITM_g</v>
      </c>
      <c r="BD465" s="157" t="str" cm="1">
        <f t="array" ref="BD465">SUBSTITUTE(SUBSTITUTE(_xlfn.SWITCH(AS465, "ITM_T_HOME", "ITM_UP1", "ITM_T_END", "ITM_DOWN1", "DOCU_CHR_sub", "ITM_DOWN_ARROW", "DOCU_CHR_super", "ITM_UP_ARROW", "MNU_TAMALPHA", "ITM_alpha", "DOCU_CHR_caseFLIP", "ITM_NULL", "DOCU_CHR_numSET", "ITM_NULL", "DOCU_ITM_RADIX", "ITM_PERIOD", AS465), ".lo", ),"MNU_", "-MNU_")</f>
        <v>ITM_VERTICAL_BAR</v>
      </c>
      <c r="BE465" s="157" t="str" cm="1">
        <f t="array" ref="BE465">SUBSTITUTE(SUBSTITUTE(_xlfn.SWITCH(AT465, "ITM_T_HOME", "ITM_UP1", "ITM_T_END", "ITM_DOWN1", "DOCU_CHR_sub", "ITM_DOWN_ARROW", "DOCU_CHR_super", "ITM_UP_ARROW", "MNU_TAMALPHA", "ITM_alpha", "DOCU_CHR_caseFLIP", "ITM_NULL", "DOCU_CHR_numSET", "ITM_NULL", "DOCU_ITM_RADIX", "ITM_PERIOD", AT465), ".lo", ),"MNU_", "-MNU_")</f>
        <v>ITM_REG_G</v>
      </c>
      <c r="BG465" s="75"/>
      <c r="BI465" s="13" t="str">
        <f t="shared" si="173"/>
        <v xml:space="preserve">  {31,                  ITM_STO,              ITM_MAGNITUDE,        ITM_ARG,              ITM_NULL,             ITM_G,                ITM_g,                ITM_VERTICAL_BAR,     ITM_REG_G           },</v>
      </c>
    </row>
    <row r="466" spans="24:61" ht="21" x14ac:dyDescent="0.2">
      <c r="X466" s="141" t="str">
        <f t="shared" si="159"/>
        <v>R47bkfg</v>
      </c>
      <c r="Y466" s="142">
        <v>3</v>
      </c>
      <c r="Z466" s="142">
        <v>2</v>
      </c>
      <c r="AA466" s="144" t="str">
        <f t="shared" si="157"/>
        <v>R47bkfg.32</v>
      </c>
      <c r="AB466" s="148" t="str">
        <f t="shared" ref="AB466:AF466" si="182">AB421</f>
        <v>RCL</v>
      </c>
      <c r="AC466" s="149" t="str">
        <f t="shared" si="182"/>
        <v>%</v>
      </c>
      <c r="AD466" s="150" t="str">
        <f t="shared" si="182"/>
        <v>Delta %</v>
      </c>
      <c r="AE466" s="3"/>
      <c r="AF466" s="52" t="str">
        <f t="shared" si="182"/>
        <v>H</v>
      </c>
      <c r="AG466" s="77" t="b">
        <f t="shared" si="175"/>
        <v>1</v>
      </c>
      <c r="AH466" s="83" t="str">
        <f t="shared" si="165"/>
        <v>h</v>
      </c>
      <c r="AI466" s="84" t="str">
        <f t="shared" si="166"/>
        <v>Delta</v>
      </c>
      <c r="AJ466" s="85" t="str">
        <f t="shared" si="167"/>
        <v>Reg H</v>
      </c>
      <c r="AK466" s="6"/>
      <c r="AL466" s="8" t="str">
        <f t="shared" si="168"/>
        <v>{32</v>
      </c>
      <c r="AM466" s="27" t="str">
        <f t="shared" si="169"/>
        <v>ITM_RCL</v>
      </c>
      <c r="AN466" s="27" t="str">
        <f t="shared" si="170"/>
        <v>ITM_PC</v>
      </c>
      <c r="AO466" s="64" t="str">
        <f t="shared" si="171"/>
        <v>ITM_DELTAPC</v>
      </c>
      <c r="AP466" s="46" t="str">
        <f>IF(NOT(ISNA(MATCH(AM466,Lookups!E:E,))),VLOOKUP(AM466,Lookups!E:F,2,0),
IF(NOT(ISNA(MATCH(AN466,Lookups!E:E,))),VLOOKUP(AN466,Lookups!E:F,2,0),
IF(NOT(ISNA(MATCH(AO466,Lookups!E:E,))),VLOOKUP(AO466,Lookups!E:F,2,0),"ITM_NULL")))</f>
        <v>ITM_NULL</v>
      </c>
      <c r="AQ466" s="28" t="str">
        <f t="shared" si="172"/>
        <v>ITM_H</v>
      </c>
      <c r="AR466" s="195" t="s">
        <v>98</v>
      </c>
      <c r="AS466" s="186" t="s">
        <v>99</v>
      </c>
      <c r="AT466" s="255" t="s">
        <v>674</v>
      </c>
      <c r="AW466" s="14" t="str">
        <f t="shared" si="176"/>
        <v>{32</v>
      </c>
      <c r="AX466" s="157" t="str" cm="1">
        <f t="array" ref="AX466">SUBSTITUTE(SUBSTITUTE(_xlfn.SWITCH(AM466, "ITM_T_HOME", "ITM_UP1", "ITM_T_END", "ITM_DOWN1", "DOCU_CHR_sub", "ITM_DOWN_ARROW", "DOCU_CHR_super", "ITM_UP_ARROW", "MNU_TAMALPHA", "ITM_alpha", "DOCU_CHR_caseFLIP", "ITM_NULL", "DOCU_CHR_numSET", "ITM_NULL", "DOCU_ITM_RADIX", "ITM_PERIOD", AM466), ".lo", ),"MNU_", "-MNU_")</f>
        <v>ITM_RCL</v>
      </c>
      <c r="AY466" s="157" t="str" cm="1">
        <f t="array" ref="AY466">SUBSTITUTE(SUBSTITUTE(_xlfn.SWITCH(AN466, "ITM_T_HOME", "ITM_UP1", "ITM_T_END", "ITM_DOWN1", "DOCU_CHR_sub", "ITM_DOWN_ARROW", "DOCU_CHR_super", "ITM_UP_ARROW", "MNU_TAMALPHA", "ITM_alpha", "DOCU_CHR_caseFLIP", "ITM_NULL", "DOCU_CHR_numSET", "ITM_NULL", "DOCU_ITM_RADIX", "ITM_PERIOD", AN466), ".lo", ),"MNU_", "-MNU_")</f>
        <v>ITM_PC</v>
      </c>
      <c r="AZ466" s="157" t="str" cm="1">
        <f t="array" ref="AZ466">SUBSTITUTE(SUBSTITUTE(_xlfn.SWITCH(AO466, "ITM_T_HOME", "ITM_UP1", "ITM_T_END", "ITM_DOWN1", "DOCU_CHR_sub", "ITM_DOWN_ARROW", "DOCU_CHR_super", "ITM_UP_ARROW", "MNU_TAMALPHA", "ITM_alpha", "DOCU_CHR_caseFLIP", "ITM_NULL", "DOCU_CHR_numSET", "ITM_NULL", "DOCU_ITM_RADIX", "ITM_PERIOD", AO466), ".lo", ),"MNU_", "-MNU_")</f>
        <v>ITM_DELTAPC</v>
      </c>
      <c r="BA466" s="173" t="str" cm="1">
        <f t="array" ref="BA466">SUBSTITUTE(SUBSTITUTE(_xlfn.SWITCH(AP466, "ITM_T_HOME", "ITM_UP1", "ITM_T_END", "ITM_DOWN1", "DOCU_CHR_sub", "ITM_DOWN_ARROW", "DOCU_CHR_super", "ITM_UP_ARROW", "MNU_TAMALPHA", "ITM_alpha", "DOCU_CHR_caseFLIP", "ITM_NULL", "DOCU_CHR_numSET", "ITM_NULL", "DOCU_ITM_RADIX", "ITM_PERIOD", AP466), ".lo", ),"MNU_", "-MNU_")</f>
        <v>ITM_NULL</v>
      </c>
      <c r="BB466" s="157" t="str" cm="1">
        <f t="array" ref="BB466">SUBSTITUTE(SUBSTITUTE(_xlfn.SWITCH(AQ466, "ITM_T_HOME", "ITM_UP1", "ITM_T_END", "ITM_DOWN1", "DOCU_CHR_sub", "ITM_DOWN_ARROW", "DOCU_CHR_super", "ITM_UP_ARROW", "MNU_TAMALPHA", "ITM_alpha", "DOCU_CHR_caseFLIP", "ITM_NULL", "DOCU_CHR_numSET", "ITM_NULL", "DOCU_ITM_RADIX", "ITM_PERIOD", AQ466), ".lo", ),"MNU_", "-MNU_")</f>
        <v>ITM_H</v>
      </c>
      <c r="BC466" s="157" t="str" cm="1">
        <f t="array" ref="BC466">SUBSTITUTE(SUBSTITUTE(_xlfn.SWITCH(AR466, "ITM_T_HOME", "ITM_UP1", "ITM_T_END", "ITM_DOWN1", "DOCU_CHR_sub", "ITM_DOWN_ARROW", "DOCU_CHR_super", "ITM_UP_ARROW", "MNU_TAMALPHA", "ITM_alpha", "DOCU_CHR_caseFLIP", "ITM_NULL", "DOCU_CHR_numSET", "ITM_NULL", "DOCU_ITM_RADIX", "ITM_PERIOD", AR466), ".lo", ),"MNU_", "-MNU_")</f>
        <v>ITM_h</v>
      </c>
      <c r="BD466" s="157" t="str" cm="1">
        <f t="array" ref="BD466">SUBSTITUTE(SUBSTITUTE(_xlfn.SWITCH(AS466, "ITM_T_HOME", "ITM_UP1", "ITM_T_END", "ITM_DOWN1", "DOCU_CHR_sub", "ITM_DOWN_ARROW", "DOCU_CHR_super", "ITM_UP_ARROW", "MNU_TAMALPHA", "ITM_alpha", "DOCU_CHR_caseFLIP", "ITM_NULL", "DOCU_CHR_numSET", "ITM_NULL", "DOCU_ITM_RADIX", "ITM_PERIOD", AS466), ".lo", ),"MNU_", "-MNU_")</f>
        <v>ITM_DELTA</v>
      </c>
      <c r="BE466" s="157" t="str" cm="1">
        <f t="array" ref="BE466">SUBSTITUTE(SUBSTITUTE(_xlfn.SWITCH(AT466, "ITM_T_HOME", "ITM_UP1", "ITM_T_END", "ITM_DOWN1", "DOCU_CHR_sub", "ITM_DOWN_ARROW", "DOCU_CHR_super", "ITM_UP_ARROW", "MNU_TAMALPHA", "ITM_alpha", "DOCU_CHR_caseFLIP", "ITM_NULL", "DOCU_CHR_numSET", "ITM_NULL", "DOCU_ITM_RADIX", "ITM_PERIOD", AT466), ".lo", ),"MNU_", "-MNU_")</f>
        <v>ITM_REG_H</v>
      </c>
      <c r="BG466" s="75"/>
      <c r="BI466" s="13" t="str">
        <f t="shared" si="173"/>
        <v xml:space="preserve">  {32,                  ITM_RCL,              ITM_PC,               ITM_DELTAPC,          ITM_NULL,             ITM_H,                ITM_h,                ITM_DELTA,            ITM_REG_H           },</v>
      </c>
    </row>
    <row r="467" spans="24:61" ht="21" x14ac:dyDescent="0.2">
      <c r="X467" s="141" t="str">
        <f t="shared" si="159"/>
        <v>R47bkfg</v>
      </c>
      <c r="Y467" s="142">
        <v>3</v>
      </c>
      <c r="Z467" s="142">
        <v>3</v>
      </c>
      <c r="AA467" s="144" t="str">
        <f t="shared" si="157"/>
        <v>R47bkfg.33</v>
      </c>
      <c r="AB467" s="148" t="str">
        <f t="shared" ref="AB467:AF467" si="183">AB422</f>
        <v>RDN</v>
      </c>
      <c r="AC467" s="149" t="str">
        <f t="shared" si="183"/>
        <v>pi</v>
      </c>
      <c r="AD467" s="150" t="str">
        <f t="shared" si="183"/>
        <v>R Up</v>
      </c>
      <c r="AE467" s="3"/>
      <c r="AF467" s="52" t="str">
        <f t="shared" si="183"/>
        <v>I</v>
      </c>
      <c r="AG467" s="77" t="b">
        <f t="shared" si="175"/>
        <v>1</v>
      </c>
      <c r="AH467" s="83" t="str">
        <f t="shared" si="165"/>
        <v>i</v>
      </c>
      <c r="AI467" s="84" t="str">
        <f t="shared" si="166"/>
        <v>pi</v>
      </c>
      <c r="AJ467" s="85" t="str">
        <f t="shared" si="167"/>
        <v>Reg I</v>
      </c>
      <c r="AK467" s="6"/>
      <c r="AL467" s="8" t="str">
        <f t="shared" si="168"/>
        <v>{33</v>
      </c>
      <c r="AM467" s="27" t="str">
        <f t="shared" si="169"/>
        <v>ITM_Rdown</v>
      </c>
      <c r="AN467" s="27" t="str">
        <f t="shared" si="170"/>
        <v>ITM_CONSTpi</v>
      </c>
      <c r="AO467" s="27" t="str">
        <f t="shared" si="171"/>
        <v>ITM_Rup</v>
      </c>
      <c r="AP467" s="46" t="str">
        <f>IF(NOT(ISNA(MATCH(AM467,Lookups!E:E,))),VLOOKUP(AM467,Lookups!E:F,2,0),
IF(NOT(ISNA(MATCH(AN467,Lookups!E:E,))),VLOOKUP(AN467,Lookups!E:F,2,0),
IF(NOT(ISNA(MATCH(AO467,Lookups!E:E,))),VLOOKUP(AO467,Lookups!E:F,2,0),"ITM_NULL")))</f>
        <v>ITM_NULL</v>
      </c>
      <c r="AQ467" s="28" t="str">
        <f t="shared" si="172"/>
        <v>ITM_I</v>
      </c>
      <c r="AR467" s="195" t="s">
        <v>105</v>
      </c>
      <c r="AS467" s="186" t="s">
        <v>106</v>
      </c>
      <c r="AT467" s="255" t="s">
        <v>107</v>
      </c>
      <c r="AW467" s="14" t="str">
        <f t="shared" si="176"/>
        <v>{33</v>
      </c>
      <c r="AX467" s="157" t="str" cm="1">
        <f t="array" ref="AX467">SUBSTITUTE(SUBSTITUTE(_xlfn.SWITCH(AM467, "ITM_T_HOME", "ITM_UP1", "ITM_T_END", "ITM_DOWN1", "DOCU_CHR_sub", "ITM_DOWN_ARROW", "DOCU_CHR_super", "ITM_UP_ARROW", "MNU_TAMALPHA", "ITM_alpha", "DOCU_CHR_caseFLIP", "ITM_NULL", "DOCU_CHR_numSET", "ITM_NULL", "DOCU_ITM_RADIX", "ITM_PERIOD", AM467), ".lo", ),"MNU_", "-MNU_")</f>
        <v>ITM_Rdown</v>
      </c>
      <c r="AY467" s="157" t="str" cm="1">
        <f t="array" ref="AY467">SUBSTITUTE(SUBSTITUTE(_xlfn.SWITCH(AN467, "ITM_T_HOME", "ITM_UP1", "ITM_T_END", "ITM_DOWN1", "DOCU_CHR_sub", "ITM_DOWN_ARROW", "DOCU_CHR_super", "ITM_UP_ARROW", "MNU_TAMALPHA", "ITM_alpha", "DOCU_CHR_caseFLIP", "ITM_NULL", "DOCU_CHR_numSET", "ITM_NULL", "DOCU_ITM_RADIX", "ITM_PERIOD", AN467), ".lo", ),"MNU_", "-MNU_")</f>
        <v>ITM_CONSTpi</v>
      </c>
      <c r="AZ467" s="157" t="str" cm="1">
        <f t="array" ref="AZ467">SUBSTITUTE(SUBSTITUTE(_xlfn.SWITCH(AO467, "ITM_T_HOME", "ITM_UP1", "ITM_T_END", "ITM_DOWN1", "DOCU_CHR_sub", "ITM_DOWN_ARROW", "DOCU_CHR_super", "ITM_UP_ARROW", "MNU_TAMALPHA", "ITM_alpha", "DOCU_CHR_caseFLIP", "ITM_NULL", "DOCU_CHR_numSET", "ITM_NULL", "DOCU_ITM_RADIX", "ITM_PERIOD", AO467), ".lo", ),"MNU_", "-MNU_")</f>
        <v>ITM_Rup</v>
      </c>
      <c r="BA467" s="173" t="str" cm="1">
        <f t="array" ref="BA467">SUBSTITUTE(SUBSTITUTE(_xlfn.SWITCH(AP467, "ITM_T_HOME", "ITM_UP1", "ITM_T_END", "ITM_DOWN1", "DOCU_CHR_sub", "ITM_DOWN_ARROW", "DOCU_CHR_super", "ITM_UP_ARROW", "MNU_TAMALPHA", "ITM_alpha", "DOCU_CHR_caseFLIP", "ITM_NULL", "DOCU_CHR_numSET", "ITM_NULL", "DOCU_ITM_RADIX", "ITM_PERIOD", AP467), ".lo", ),"MNU_", "-MNU_")</f>
        <v>ITM_NULL</v>
      </c>
      <c r="BB467" s="157" t="str" cm="1">
        <f t="array" ref="BB467">SUBSTITUTE(SUBSTITUTE(_xlfn.SWITCH(AQ467, "ITM_T_HOME", "ITM_UP1", "ITM_T_END", "ITM_DOWN1", "DOCU_CHR_sub", "ITM_DOWN_ARROW", "DOCU_CHR_super", "ITM_UP_ARROW", "MNU_TAMALPHA", "ITM_alpha", "DOCU_CHR_caseFLIP", "ITM_NULL", "DOCU_CHR_numSET", "ITM_NULL", "DOCU_ITM_RADIX", "ITM_PERIOD", AQ467), ".lo", ),"MNU_", "-MNU_")</f>
        <v>ITM_I</v>
      </c>
      <c r="BC467" s="157" t="str" cm="1">
        <f t="array" ref="BC467">SUBSTITUTE(SUBSTITUTE(_xlfn.SWITCH(AR467, "ITM_T_HOME", "ITM_UP1", "ITM_T_END", "ITM_DOWN1", "DOCU_CHR_sub", "ITM_DOWN_ARROW", "DOCU_CHR_super", "ITM_UP_ARROW", "MNU_TAMALPHA", "ITM_alpha", "DOCU_CHR_caseFLIP", "ITM_NULL", "DOCU_CHR_numSET", "ITM_NULL", "DOCU_ITM_RADIX", "ITM_PERIOD", AR467), ".lo", ),"MNU_", "-MNU_")</f>
        <v>ITM_i</v>
      </c>
      <c r="BD467" s="157" t="str" cm="1">
        <f t="array" ref="BD467">SUBSTITUTE(SUBSTITUTE(_xlfn.SWITCH(AS467, "ITM_T_HOME", "ITM_UP1", "ITM_T_END", "ITM_DOWN1", "DOCU_CHR_sub", "ITM_DOWN_ARROW", "DOCU_CHR_super", "ITM_UP_ARROW", "MNU_TAMALPHA", "ITM_alpha", "DOCU_CHR_caseFLIP", "ITM_NULL", "DOCU_CHR_numSET", "ITM_NULL", "DOCU_ITM_RADIX", "ITM_PERIOD", AS467), ".lo", ),"MNU_", "-MNU_")</f>
        <v>ITM_pi</v>
      </c>
      <c r="BE467" s="157" t="str" cm="1">
        <f t="array" ref="BE467">SUBSTITUTE(SUBSTITUTE(_xlfn.SWITCH(AT467, "ITM_T_HOME", "ITM_UP1", "ITM_T_END", "ITM_DOWN1", "DOCU_CHR_sub", "ITM_DOWN_ARROW", "DOCU_CHR_super", "ITM_UP_ARROW", "MNU_TAMALPHA", "ITM_alpha", "DOCU_CHR_caseFLIP", "ITM_NULL", "DOCU_CHR_numSET", "ITM_NULL", "DOCU_ITM_RADIX", "ITM_PERIOD", AT467), ".lo", ),"MNU_", "-MNU_")</f>
        <v>ITM_REG_I</v>
      </c>
      <c r="BG467" s="75"/>
      <c r="BI467" s="13" t="str">
        <f t="shared" si="173"/>
        <v xml:space="preserve">  {33,                  ITM_Rdown,            ITM_CONSTpi,          ITM_Rup,              ITM_NULL,             ITM_I,                ITM_i,                ITM_pi,               ITM_REG_I           },</v>
      </c>
    </row>
    <row r="468" spans="24:61" ht="21" x14ac:dyDescent="0.2">
      <c r="X468" s="141" t="str">
        <f t="shared" si="159"/>
        <v>R47bkfg</v>
      </c>
      <c r="Y468" s="142">
        <v>3</v>
      </c>
      <c r="Z468" s="142">
        <v>4</v>
      </c>
      <c r="AA468" s="144" t="str">
        <f t="shared" si="157"/>
        <v>R47bkfg.34</v>
      </c>
      <c r="AB468" s="148" t="str">
        <f t="shared" ref="AB468:AF468" si="184">AB423</f>
        <v>DRG</v>
      </c>
      <c r="AC468" s="149" t="str">
        <f t="shared" si="184"/>
        <v>USER</v>
      </c>
      <c r="AD468" s="150" t="str">
        <f t="shared" si="184"/>
        <v>ASN</v>
      </c>
      <c r="AE468" s="3"/>
      <c r="AF468" s="52" t="str">
        <f t="shared" si="184"/>
        <v>J</v>
      </c>
      <c r="AG468" s="77" t="b">
        <f t="shared" si="175"/>
        <v>1</v>
      </c>
      <c r="AH468" s="83" t="str">
        <f t="shared" si="165"/>
        <v>j</v>
      </c>
      <c r="AI468" s="84" t="str">
        <f t="shared" si="166"/>
        <v>&lt;j&gt;</v>
      </c>
      <c r="AJ468" s="85" t="str">
        <f t="shared" si="167"/>
        <v>Reg J</v>
      </c>
      <c r="AK468" s="6"/>
      <c r="AL468" s="8" t="str">
        <f t="shared" si="168"/>
        <v>{34</v>
      </c>
      <c r="AM468" s="27" t="str">
        <f t="shared" si="169"/>
        <v>ITM_DRG</v>
      </c>
      <c r="AN468" s="27" t="str">
        <f t="shared" si="170"/>
        <v>ITM_USERMODE</v>
      </c>
      <c r="AO468" s="27" t="str">
        <f t="shared" si="171"/>
        <v>ITM_ASSIGN</v>
      </c>
      <c r="AP468" s="46" t="str">
        <f>IF(NOT(ISNA(MATCH(AM468,Lookups!E:E,))),VLOOKUP(AM468,Lookups!E:F,2,0),
IF(NOT(ISNA(MATCH(AN468,Lookups!E:E,))),VLOOKUP(AN468,Lookups!E:F,2,0),
IF(NOT(ISNA(MATCH(AO468,Lookups!E:E,))),VLOOKUP(AO468,Lookups!E:F,2,0),"ITM_NULL")))</f>
        <v>ITM_NULL</v>
      </c>
      <c r="AQ468" s="28" t="str">
        <f t="shared" si="172"/>
        <v>ITM_J</v>
      </c>
      <c r="AR468" s="195" t="s">
        <v>112</v>
      </c>
      <c r="AS468" s="186" t="s">
        <v>642</v>
      </c>
      <c r="AT468" s="255" t="s">
        <v>114</v>
      </c>
      <c r="AW468" s="14" t="str">
        <f t="shared" si="176"/>
        <v>{34</v>
      </c>
      <c r="AX468" s="157" t="str" cm="1">
        <f t="array" ref="AX468">SUBSTITUTE(SUBSTITUTE(_xlfn.SWITCH(AM468, "ITM_T_HOME", "ITM_UP1", "ITM_T_END", "ITM_DOWN1", "DOCU_CHR_sub", "ITM_DOWN_ARROW", "DOCU_CHR_super", "ITM_UP_ARROW", "MNU_TAMALPHA", "ITM_alpha", "DOCU_CHR_caseFLIP", "ITM_NULL", "DOCU_CHR_numSET", "ITM_NULL", "DOCU_ITM_RADIX", "ITM_PERIOD", AM468), ".lo", ),"MNU_", "-MNU_")</f>
        <v>ITM_DRG</v>
      </c>
      <c r="AY468" s="157" t="str" cm="1">
        <f t="array" ref="AY468">SUBSTITUTE(SUBSTITUTE(_xlfn.SWITCH(AN468, "ITM_T_HOME", "ITM_UP1", "ITM_T_END", "ITM_DOWN1", "DOCU_CHR_sub", "ITM_DOWN_ARROW", "DOCU_CHR_super", "ITM_UP_ARROW", "MNU_TAMALPHA", "ITM_alpha", "DOCU_CHR_caseFLIP", "ITM_NULL", "DOCU_CHR_numSET", "ITM_NULL", "DOCU_ITM_RADIX", "ITM_PERIOD", AN468), ".lo", ),"MNU_", "-MNU_")</f>
        <v>ITM_USERMODE</v>
      </c>
      <c r="AZ468" s="157" t="str" cm="1">
        <f t="array" ref="AZ468">SUBSTITUTE(SUBSTITUTE(_xlfn.SWITCH(AO468, "ITM_T_HOME", "ITM_UP1", "ITM_T_END", "ITM_DOWN1", "DOCU_CHR_sub", "ITM_DOWN_ARROW", "DOCU_CHR_super", "ITM_UP_ARROW", "MNU_TAMALPHA", "ITM_alpha", "DOCU_CHR_caseFLIP", "ITM_NULL", "DOCU_CHR_numSET", "ITM_NULL", "DOCU_ITM_RADIX", "ITM_PERIOD", AO468), ".lo", ),"MNU_", "-MNU_")</f>
        <v>ITM_ASSIGN</v>
      </c>
      <c r="BA468" s="173" t="str" cm="1">
        <f t="array" ref="BA468">SUBSTITUTE(SUBSTITUTE(_xlfn.SWITCH(AP468, "ITM_T_HOME", "ITM_UP1", "ITM_T_END", "ITM_DOWN1", "DOCU_CHR_sub", "ITM_DOWN_ARROW", "DOCU_CHR_super", "ITM_UP_ARROW", "MNU_TAMALPHA", "ITM_alpha", "DOCU_CHR_caseFLIP", "ITM_NULL", "DOCU_CHR_numSET", "ITM_NULL", "DOCU_ITM_RADIX", "ITM_PERIOD", AP468), ".lo", ),"MNU_", "-MNU_")</f>
        <v>ITM_NULL</v>
      </c>
      <c r="BB468" s="157" t="str" cm="1">
        <f t="array" ref="BB468">SUBSTITUTE(SUBSTITUTE(_xlfn.SWITCH(AQ468, "ITM_T_HOME", "ITM_UP1", "ITM_T_END", "ITM_DOWN1", "DOCU_CHR_sub", "ITM_DOWN_ARROW", "DOCU_CHR_super", "ITM_UP_ARROW", "MNU_TAMALPHA", "ITM_alpha", "DOCU_CHR_caseFLIP", "ITM_NULL", "DOCU_CHR_numSET", "ITM_NULL", "DOCU_ITM_RADIX", "ITM_PERIOD", AQ468), ".lo", ),"MNU_", "-MNU_")</f>
        <v>ITM_J</v>
      </c>
      <c r="BC468" s="157" t="str" cm="1">
        <f t="array" ref="BC468">SUBSTITUTE(SUBSTITUTE(_xlfn.SWITCH(AR468, "ITM_T_HOME", "ITM_UP1", "ITM_T_END", "ITM_DOWN1", "DOCU_CHR_sub", "ITM_DOWN_ARROW", "DOCU_CHR_super", "ITM_UP_ARROW", "MNU_TAMALPHA", "ITM_alpha", "DOCU_CHR_caseFLIP", "ITM_NULL", "DOCU_CHR_numSET", "ITM_NULL", "DOCU_ITM_RADIX", "ITM_PERIOD", AR468), ".lo", ),"MNU_", "-MNU_")</f>
        <v>ITM_j</v>
      </c>
      <c r="BD468" s="157" t="str" cm="1">
        <f t="array" ref="BD468">SUBSTITUTE(SUBSTITUTE(_xlfn.SWITCH(AS468, "ITM_T_HOME", "ITM_UP1", "ITM_T_END", "ITM_DOWN1", "DOCU_CHR_sub", "ITM_DOWN_ARROW", "DOCU_CHR_super", "ITM_UP_ARROW", "MNU_TAMALPHA", "ITM_alpha", "DOCU_CHR_caseFLIP", "ITM_NULL", "DOCU_CHR_numSET", "ITM_NULL", "DOCU_ITM_RADIX", "ITM_PERIOD", AS468), ".lo", ),"MNU_", "-MNU_")</f>
        <v>ITM_op_j_char</v>
      </c>
      <c r="BE468" s="157" t="str" cm="1">
        <f t="array" ref="BE468">SUBSTITUTE(SUBSTITUTE(_xlfn.SWITCH(AT468, "ITM_T_HOME", "ITM_UP1", "ITM_T_END", "ITM_DOWN1", "DOCU_CHR_sub", "ITM_DOWN_ARROW", "DOCU_CHR_super", "ITM_UP_ARROW", "MNU_TAMALPHA", "ITM_alpha", "DOCU_CHR_caseFLIP", "ITM_NULL", "DOCU_CHR_numSET", "ITM_NULL", "DOCU_ITM_RADIX", "ITM_PERIOD", AT468), ".lo", ),"MNU_", "-MNU_")</f>
        <v>ITM_REG_J</v>
      </c>
      <c r="BG468" s="75"/>
      <c r="BI468" s="13" t="str">
        <f t="shared" si="173"/>
        <v xml:space="preserve">  {34,                  ITM_DRG,              ITM_USERMODE,         ITM_ASSIGN,           ITM_NULL,             ITM_J,                ITM_j,                ITM_op_j_char,        ITM_REG_J           },</v>
      </c>
    </row>
    <row r="469" spans="24:61" ht="21" x14ac:dyDescent="0.2">
      <c r="X469" s="141" t="str">
        <f t="shared" si="159"/>
        <v>R47bkfg</v>
      </c>
      <c r="Y469" s="142">
        <v>3</v>
      </c>
      <c r="Z469" s="142">
        <v>5</v>
      </c>
      <c r="AA469" s="144" t="str">
        <f t="shared" si="157"/>
        <v>R47bkfg.35</v>
      </c>
      <c r="AB469" s="180" t="s">
        <v>218</v>
      </c>
      <c r="AC469" s="181" t="s">
        <v>218</v>
      </c>
      <c r="AD469" s="181" t="s">
        <v>218</v>
      </c>
      <c r="AE469" s="3"/>
      <c r="AF469" s="180" t="s">
        <v>218</v>
      </c>
      <c r="AG469" s="77" t="b">
        <f t="shared" si="175"/>
        <v>1</v>
      </c>
      <c r="AH469" s="83" t="str">
        <f t="shared" si="165"/>
        <v xml:space="preserve"> </v>
      </c>
      <c r="AI469" s="84" t="str">
        <f t="shared" si="166"/>
        <v xml:space="preserve"> </v>
      </c>
      <c r="AJ469" s="85" t="str">
        <f t="shared" si="167"/>
        <v xml:space="preserve"> </v>
      </c>
      <c r="AK469" s="6"/>
      <c r="AL469" s="8" t="str">
        <f t="shared" si="168"/>
        <v>{35</v>
      </c>
      <c r="AM469" s="27" t="str">
        <f t="shared" si="169"/>
        <v>ITM_NULL</v>
      </c>
      <c r="AN469" s="27" t="str">
        <f t="shared" si="170"/>
        <v>ITM_NULL</v>
      </c>
      <c r="AO469" s="27" t="str">
        <f t="shared" si="171"/>
        <v>ITM_NULL</v>
      </c>
      <c r="AP469" s="46" t="str">
        <f>IF(NOT(ISNA(MATCH(AM469,Lookups!E:E,))),VLOOKUP(AM469,Lookups!E:F,2,0),
IF(NOT(ISNA(MATCH(AN469,Lookups!E:E,))),VLOOKUP(AN469,Lookups!E:F,2,0),
IF(NOT(ISNA(MATCH(AO469,Lookups!E:E,))),VLOOKUP(AO469,Lookups!E:F,2,0),"ITM_NULL")))</f>
        <v>ITM_NULL</v>
      </c>
      <c r="AQ469" s="28" t="str">
        <f t="shared" si="172"/>
        <v>ITM_NULL</v>
      </c>
      <c r="AR469" s="219" t="s">
        <v>81</v>
      </c>
      <c r="AS469" s="220" t="s">
        <v>81</v>
      </c>
      <c r="AT469" s="256" t="s">
        <v>81</v>
      </c>
      <c r="AW469" s="14" t="str">
        <f t="shared" si="176"/>
        <v>{35</v>
      </c>
      <c r="AX469" s="157" t="str" cm="1">
        <f t="array" ref="AX469">SUBSTITUTE(SUBSTITUTE(_xlfn.SWITCH(AM469, "ITM_T_HOME", "ITM_UP1", "ITM_T_END", "ITM_DOWN1", "DOCU_CHR_sub", "ITM_DOWN_ARROW", "DOCU_CHR_super", "ITM_UP_ARROW", "MNU_TAMALPHA", "ITM_alpha", "DOCU_CHR_caseFLIP", "ITM_NULL", "DOCU_CHR_numSET", "ITM_NULL", "DOCU_ITM_RADIX", "ITM_PERIOD", AM469), ".lo", ),"MNU_", "-MNU_")</f>
        <v>ITM_NULL</v>
      </c>
      <c r="AY469" s="157" t="str" cm="1">
        <f t="array" ref="AY469">SUBSTITUTE(SUBSTITUTE(_xlfn.SWITCH(AN469, "ITM_T_HOME", "ITM_UP1", "ITM_T_END", "ITM_DOWN1", "DOCU_CHR_sub", "ITM_DOWN_ARROW", "DOCU_CHR_super", "ITM_UP_ARROW", "MNU_TAMALPHA", "ITM_alpha", "DOCU_CHR_caseFLIP", "ITM_NULL", "DOCU_CHR_numSET", "ITM_NULL", "DOCU_ITM_RADIX", "ITM_PERIOD", AN469), ".lo", ),"MNU_", "-MNU_")</f>
        <v>ITM_NULL</v>
      </c>
      <c r="AZ469" s="157" t="str" cm="1">
        <f t="array" ref="AZ469">SUBSTITUTE(SUBSTITUTE(_xlfn.SWITCH(AO469, "ITM_T_HOME", "ITM_UP1", "ITM_T_END", "ITM_DOWN1", "DOCU_CHR_sub", "ITM_DOWN_ARROW", "DOCU_CHR_super", "ITM_UP_ARROW", "MNU_TAMALPHA", "ITM_alpha", "DOCU_CHR_caseFLIP", "ITM_NULL", "DOCU_CHR_numSET", "ITM_NULL", "DOCU_ITM_RADIX", "ITM_PERIOD", AO469), ".lo", ),"MNU_", "-MNU_")</f>
        <v>ITM_NULL</v>
      </c>
      <c r="BA469" s="173" t="str" cm="1">
        <f t="array" ref="BA469">SUBSTITUTE(SUBSTITUTE(_xlfn.SWITCH(AP469, "ITM_T_HOME", "ITM_UP1", "ITM_T_END", "ITM_DOWN1", "DOCU_CHR_sub", "ITM_DOWN_ARROW", "DOCU_CHR_super", "ITM_UP_ARROW", "MNU_TAMALPHA", "ITM_alpha", "DOCU_CHR_caseFLIP", "ITM_NULL", "DOCU_CHR_numSET", "ITM_NULL", "DOCU_ITM_RADIX", "ITM_PERIOD", AP469), ".lo", ),"MNU_", "-MNU_")</f>
        <v>ITM_NULL</v>
      </c>
      <c r="BB469" s="157" t="str" cm="1">
        <f t="array" ref="BB469">SUBSTITUTE(SUBSTITUTE(_xlfn.SWITCH(AQ469, "ITM_T_HOME", "ITM_UP1", "ITM_T_END", "ITM_DOWN1", "DOCU_CHR_sub", "ITM_DOWN_ARROW", "DOCU_CHR_super", "ITM_UP_ARROW", "MNU_TAMALPHA", "ITM_alpha", "DOCU_CHR_caseFLIP", "ITM_NULL", "DOCU_CHR_numSET", "ITM_NULL", "DOCU_ITM_RADIX", "ITM_PERIOD", AQ469), ".lo", ),"MNU_", "-MNU_")</f>
        <v>ITM_NULL</v>
      </c>
      <c r="BC469" s="157" t="str" cm="1">
        <f t="array" ref="BC469">SUBSTITUTE(SUBSTITUTE(_xlfn.SWITCH(AR469, "ITM_T_HOME", "ITM_UP1", "ITM_T_END", "ITM_DOWN1", "DOCU_CHR_sub", "ITM_DOWN_ARROW", "DOCU_CHR_super", "ITM_UP_ARROW", "MNU_TAMALPHA", "ITM_alpha", "DOCU_CHR_caseFLIP", "ITM_NULL", "DOCU_CHR_numSET", "ITM_NULL", "DOCU_ITM_RADIX", "ITM_PERIOD", AR469), ".lo", ),"MNU_", "-MNU_")</f>
        <v>ITM_NULL</v>
      </c>
      <c r="BD469" s="157" t="str" cm="1">
        <f t="array" ref="BD469">SUBSTITUTE(SUBSTITUTE(_xlfn.SWITCH(AS469, "ITM_T_HOME", "ITM_UP1", "ITM_T_END", "ITM_DOWN1", "DOCU_CHR_sub", "ITM_DOWN_ARROW", "DOCU_CHR_super", "ITM_UP_ARROW", "MNU_TAMALPHA", "ITM_alpha", "DOCU_CHR_caseFLIP", "ITM_NULL", "DOCU_CHR_numSET", "ITM_NULL", "DOCU_ITM_RADIX", "ITM_PERIOD", AS469), ".lo", ),"MNU_", "-MNU_")</f>
        <v>ITM_NULL</v>
      </c>
      <c r="BE469" s="157" t="str" cm="1">
        <f t="array" ref="BE469">SUBSTITUTE(SUBSTITUTE(_xlfn.SWITCH(AT469, "ITM_T_HOME", "ITM_UP1", "ITM_T_END", "ITM_DOWN1", "DOCU_CHR_sub", "ITM_DOWN_ARROW", "DOCU_CHR_super", "ITM_UP_ARROW", "MNU_TAMALPHA", "ITM_alpha", "DOCU_CHR_caseFLIP", "ITM_NULL", "DOCU_CHR_numSET", "ITM_NULL", "DOCU_ITM_RADIX", "ITM_PERIOD", AT469), ".lo", ),"MNU_", "-MNU_")</f>
        <v>ITM_NULL</v>
      </c>
      <c r="BG469" s="75"/>
      <c r="BI469" s="13" t="str">
        <f t="shared" si="173"/>
        <v xml:space="preserve">  {35,                  ITM_NULL,             ITM_NULL,             ITM_NULL,             ITM_NULL,             ITM_NULL,             ITM_NULL,             ITM_NULL,             ITM_NULL            },</v>
      </c>
    </row>
    <row r="470" spans="24:61" ht="21" x14ac:dyDescent="0.2">
      <c r="X470" s="141" t="str">
        <f t="shared" si="159"/>
        <v>R47bkfg</v>
      </c>
      <c r="Y470" s="142">
        <v>3</v>
      </c>
      <c r="Z470" s="142">
        <v>6</v>
      </c>
      <c r="AA470" s="144" t="str">
        <f t="shared" si="157"/>
        <v>R47bkfg.36</v>
      </c>
      <c r="AB470" s="121" t="s">
        <v>217</v>
      </c>
      <c r="AC470" s="182" t="s">
        <v>218</v>
      </c>
      <c r="AD470" s="182" t="s">
        <v>218</v>
      </c>
      <c r="AE470" s="3"/>
      <c r="AF470" s="121" t="s">
        <v>217</v>
      </c>
      <c r="AG470" s="77" t="b">
        <f t="shared" si="175"/>
        <v>0</v>
      </c>
      <c r="AH470" s="83" t="str">
        <f t="shared" si="165"/>
        <v>(FlipChar)</v>
      </c>
      <c r="AI470" s="84" t="str">
        <f t="shared" si="166"/>
        <v xml:space="preserve"> </v>
      </c>
      <c r="AJ470" s="85" t="str">
        <f t="shared" si="167"/>
        <v>f/g</v>
      </c>
      <c r="AK470" s="6"/>
      <c r="AL470" s="8" t="str">
        <f t="shared" si="168"/>
        <v>{36</v>
      </c>
      <c r="AM470" s="27" t="str">
        <f t="shared" si="169"/>
        <v>KEY_fg</v>
      </c>
      <c r="AN470" s="27" t="str">
        <f t="shared" si="170"/>
        <v>ITM_NULL</v>
      </c>
      <c r="AO470" s="27" t="str">
        <f t="shared" si="171"/>
        <v>ITM_NULL</v>
      </c>
      <c r="AP470" s="46" t="str">
        <f>IF(NOT(ISNA(MATCH(AM470,Lookups!E:E,))),VLOOKUP(AM470,Lookups!E:F,2,0),
IF(NOT(ISNA(MATCH(AN470,Lookups!E:E,))),VLOOKUP(AN470,Lookups!E:F,2,0),
IF(NOT(ISNA(MATCH(AO470,Lookups!E:E,))),VLOOKUP(AO470,Lookups!E:F,2,0),"ITM_NULL")))</f>
        <v>KEY_fg</v>
      </c>
      <c r="AQ470" s="28" t="str">
        <f t="shared" si="172"/>
        <v>KEY_fg</v>
      </c>
      <c r="AR470" s="219" t="s">
        <v>219</v>
      </c>
      <c r="AS470" s="220" t="s">
        <v>81</v>
      </c>
      <c r="AT470" s="256" t="s">
        <v>221</v>
      </c>
      <c r="AW470" s="14" t="str">
        <f t="shared" si="176"/>
        <v>{36</v>
      </c>
      <c r="AX470" s="157" t="str" cm="1">
        <f t="array" ref="AX470">SUBSTITUTE(SUBSTITUTE(_xlfn.SWITCH(AM470, "ITM_T_HOME", "ITM_UP1", "ITM_T_END", "ITM_DOWN1", "DOCU_CHR_sub", "ITM_DOWN_ARROW", "DOCU_CHR_super", "ITM_UP_ARROW", "MNU_TAMALPHA", "ITM_alpha", "DOCU_CHR_caseFLIP", "ITM_NULL", "DOCU_CHR_numSET", "ITM_NULL", "DOCU_ITM_RADIX", "ITM_PERIOD", AM470), ".lo", ),"MNU_", "-MNU_")</f>
        <v>KEY_fg</v>
      </c>
      <c r="AY470" s="157" t="str" cm="1">
        <f t="array" ref="AY470">SUBSTITUTE(SUBSTITUTE(_xlfn.SWITCH(AN470, "ITM_T_HOME", "ITM_UP1", "ITM_T_END", "ITM_DOWN1", "DOCU_CHR_sub", "ITM_DOWN_ARROW", "DOCU_CHR_super", "ITM_UP_ARROW", "MNU_TAMALPHA", "ITM_alpha", "DOCU_CHR_caseFLIP", "ITM_NULL", "DOCU_CHR_numSET", "ITM_NULL", "DOCU_ITM_RADIX", "ITM_PERIOD", AN470), ".lo", ),"MNU_", "-MNU_")</f>
        <v>ITM_NULL</v>
      </c>
      <c r="AZ470" s="157" t="str" cm="1">
        <f t="array" ref="AZ470">SUBSTITUTE(SUBSTITUTE(_xlfn.SWITCH(AO470, "ITM_T_HOME", "ITM_UP1", "ITM_T_END", "ITM_DOWN1", "DOCU_CHR_sub", "ITM_DOWN_ARROW", "DOCU_CHR_super", "ITM_UP_ARROW", "MNU_TAMALPHA", "ITM_alpha", "DOCU_CHR_caseFLIP", "ITM_NULL", "DOCU_CHR_numSET", "ITM_NULL", "DOCU_ITM_RADIX", "ITM_PERIOD", AO470), ".lo", ),"MNU_", "-MNU_")</f>
        <v>ITM_NULL</v>
      </c>
      <c r="BA470" s="173" t="str" cm="1">
        <f t="array" ref="BA470">SUBSTITUTE(SUBSTITUTE(_xlfn.SWITCH(AP470, "ITM_T_HOME", "ITM_UP1", "ITM_T_END", "ITM_DOWN1", "DOCU_CHR_sub", "ITM_DOWN_ARROW", "DOCU_CHR_super", "ITM_UP_ARROW", "MNU_TAMALPHA", "ITM_alpha", "DOCU_CHR_caseFLIP", "ITM_NULL", "DOCU_CHR_numSET", "ITM_NULL", "DOCU_ITM_RADIX", "ITM_PERIOD", AP470), ".lo", ),"MNU_", "-MNU_")</f>
        <v>KEY_fg</v>
      </c>
      <c r="BB470" s="157" t="str" cm="1">
        <f t="array" ref="BB470">SUBSTITUTE(SUBSTITUTE(_xlfn.SWITCH(AQ470, "ITM_T_HOME", "ITM_UP1", "ITM_T_END", "ITM_DOWN1", "DOCU_CHR_sub", "ITM_DOWN_ARROW", "DOCU_CHR_super", "ITM_UP_ARROW", "MNU_TAMALPHA", "ITM_alpha", "DOCU_CHR_caseFLIP", "ITM_NULL", "DOCU_CHR_numSET", "ITM_NULL", "DOCU_ITM_RADIX", "ITM_PERIOD", AQ470), ".lo", ),"MNU_", "-MNU_")</f>
        <v>KEY_fg</v>
      </c>
      <c r="BC470" s="157" t="str" cm="1">
        <f t="array" ref="BC470">SUBSTITUTE(SUBSTITUTE(_xlfn.SWITCH(AR470, "ITM_T_HOME", "ITM_UP1", "ITM_T_END", "ITM_DOWN1", "DOCU_CHR_sub", "ITM_DOWN_ARROW", "DOCU_CHR_super", "ITM_UP_ARROW", "MNU_TAMALPHA", "ITM_alpha", "DOCU_CHR_caseFLIP", "ITM_NULL", "DOCU_CHR_numSET", "ITM_NULL", "DOCU_ITM_RADIX", "ITM_PERIOD", AR470), ".lo", ),"MNU_", "-MNU_")</f>
        <v>ITM_NULL</v>
      </c>
      <c r="BD470" s="157" t="str" cm="1">
        <f t="array" ref="BD470">SUBSTITUTE(SUBSTITUTE(_xlfn.SWITCH(AS470, "ITM_T_HOME", "ITM_UP1", "ITM_T_END", "ITM_DOWN1", "DOCU_CHR_sub", "ITM_DOWN_ARROW", "DOCU_CHR_super", "ITM_UP_ARROW", "MNU_TAMALPHA", "ITM_alpha", "DOCU_CHR_caseFLIP", "ITM_NULL", "DOCU_CHR_numSET", "ITM_NULL", "DOCU_ITM_RADIX", "ITM_PERIOD", AS470), ".lo", ),"MNU_", "-MNU_")</f>
        <v>ITM_NULL</v>
      </c>
      <c r="BE470" s="157" t="str" cm="1">
        <f t="array" ref="BE470">SUBSTITUTE(SUBSTITUTE(_xlfn.SWITCH(AT470, "ITM_T_HOME", "ITM_UP1", "ITM_T_END", "ITM_DOWN1", "DOCU_CHR_sub", "ITM_DOWN_ARROW", "DOCU_CHR_super", "ITM_UP_ARROW", "MNU_TAMALPHA", "ITM_alpha", "DOCU_CHR_caseFLIP", "ITM_NULL", "DOCU_CHR_numSET", "ITM_NULL", "DOCU_ITM_RADIX", "ITM_PERIOD", AT470), ".lo", ),"MNU_", "-MNU_")</f>
        <v>KEY_fg</v>
      </c>
      <c r="BG470" s="75"/>
      <c r="BI470" s="13" t="str">
        <f t="shared" si="173"/>
        <v xml:space="preserve">  {36,                  KEY_fg,               ITM_NULL,             ITM_NULL,             KEY_fg,               KEY_fg,               ITM_NULL,             ITM_NULL,             KEY_fg              },</v>
      </c>
    </row>
    <row r="471" spans="24:61" ht="21" x14ac:dyDescent="0.2">
      <c r="X471" s="141" t="str">
        <f t="shared" si="159"/>
        <v>R47bkfg</v>
      </c>
      <c r="Y471" s="138">
        <v>4</v>
      </c>
      <c r="Z471" s="138">
        <v>1</v>
      </c>
      <c r="AA471" s="144" t="str">
        <f t="shared" si="157"/>
        <v>R47bkfg.41</v>
      </c>
      <c r="AB471" s="148" t="str">
        <f t="shared" ref="AB471:AF471" si="185">AB426</f>
        <v>ENTER</v>
      </c>
      <c r="AC471" s="149" t="str">
        <f t="shared" si="185"/>
        <v>COMPLEX</v>
      </c>
      <c r="AD471" s="150" t="str">
        <f t="shared" si="185"/>
        <v>[ CPX ]</v>
      </c>
      <c r="AE471" s="3"/>
      <c r="AF471" s="52" t="str">
        <f t="shared" si="185"/>
        <v>ENTER</v>
      </c>
      <c r="AG471" s="77" t="b">
        <f t="shared" si="175"/>
        <v>0</v>
      </c>
      <c r="AH471" s="83" t="str">
        <f t="shared" si="165"/>
        <v>X.SWAP</v>
      </c>
      <c r="AI471" s="84" t="str">
        <f t="shared" si="166"/>
        <v>a.PARSE</v>
      </c>
      <c r="AJ471" s="85" t="str">
        <f t="shared" si="167"/>
        <v>ENTER</v>
      </c>
      <c r="AK471" s="6"/>
      <c r="AL471" s="8" t="str">
        <f t="shared" si="168"/>
        <v>{41</v>
      </c>
      <c r="AM471" s="27" t="str">
        <f t="shared" si="169"/>
        <v>ITM_ENTER</v>
      </c>
      <c r="AN471" s="27" t="str">
        <f t="shared" si="170"/>
        <v>KEY_COMPLEX</v>
      </c>
      <c r="AO471" s="27" t="str">
        <f t="shared" si="171"/>
        <v>MNU_CPX</v>
      </c>
      <c r="AP471" s="46" t="str">
        <f>IF(NOT(ISNA(MATCH(AM471,Lookups!E:E,))),VLOOKUP(AM471,Lookups!E:F,2,0),
IF(NOT(ISNA(MATCH(AN471,Lookups!E:E,))),VLOOKUP(AN471,Lookups!E:F,2,0),
IF(NOT(ISNA(MATCH(AO471,Lookups!E:E,))),VLOOKUP(AO471,Lookups!E:F,2,0),"ITM_NULL")))</f>
        <v>ITM_ENTER</v>
      </c>
      <c r="AQ471" s="28" t="str">
        <f t="shared" si="172"/>
        <v>ITM_ENTER</v>
      </c>
      <c r="AR471" s="198" t="s">
        <v>132</v>
      </c>
      <c r="AS471" s="186" t="s">
        <v>133</v>
      </c>
      <c r="AT471" s="255" t="s">
        <v>134</v>
      </c>
      <c r="AW471" s="14" t="str">
        <f t="shared" si="176"/>
        <v>{41</v>
      </c>
      <c r="AX471" s="157" t="str" cm="1">
        <f t="array" ref="AX471">SUBSTITUTE(SUBSTITUTE(_xlfn.SWITCH(AM471, "ITM_T_HOME", "ITM_UP1", "ITM_T_END", "ITM_DOWN1", "DOCU_CHR_sub", "ITM_DOWN_ARROW", "DOCU_CHR_super", "ITM_UP_ARROW", "MNU_TAMALPHA", "ITM_alpha", "DOCU_CHR_caseFLIP", "ITM_NULL", "DOCU_CHR_numSET", "ITM_NULL", "DOCU_ITM_RADIX", "ITM_PERIOD", AM471), ".lo", ),"MNU_", "-MNU_")</f>
        <v>ITM_ENTER</v>
      </c>
      <c r="AY471" s="157" t="str" cm="1">
        <f t="array" ref="AY471">SUBSTITUTE(SUBSTITUTE(_xlfn.SWITCH(AN471, "ITM_T_HOME", "ITM_UP1", "ITM_T_END", "ITM_DOWN1", "DOCU_CHR_sub", "ITM_DOWN_ARROW", "DOCU_CHR_super", "ITM_UP_ARROW", "MNU_TAMALPHA", "ITM_alpha", "DOCU_CHR_caseFLIP", "ITM_NULL", "DOCU_CHR_numSET", "ITM_NULL", "DOCU_ITM_RADIX", "ITM_PERIOD", AN471), ".lo", ),"MNU_", "-MNU_")</f>
        <v>KEY_COMPLEX</v>
      </c>
      <c r="AZ471" s="157" t="str" cm="1">
        <f t="array" ref="AZ471">SUBSTITUTE(SUBSTITUTE(_xlfn.SWITCH(AO471, "ITM_T_HOME", "ITM_UP1", "ITM_T_END", "ITM_DOWN1", "DOCU_CHR_sub", "ITM_DOWN_ARROW", "DOCU_CHR_super", "ITM_UP_ARROW", "MNU_TAMALPHA", "ITM_alpha", "DOCU_CHR_caseFLIP", "ITM_NULL", "DOCU_CHR_numSET", "ITM_NULL", "DOCU_ITM_RADIX", "ITM_PERIOD", AO471), ".lo", ),"MNU_", "-MNU_")</f>
        <v>-MNU_CPX</v>
      </c>
      <c r="BA471" s="173" t="str" cm="1">
        <f t="array" ref="BA471">SUBSTITUTE(SUBSTITUTE(_xlfn.SWITCH(AP471, "ITM_T_HOME", "ITM_UP1", "ITM_T_END", "ITM_DOWN1", "DOCU_CHR_sub", "ITM_DOWN_ARROW", "DOCU_CHR_super", "ITM_UP_ARROW", "MNU_TAMALPHA", "ITM_alpha", "DOCU_CHR_caseFLIP", "ITM_NULL", "DOCU_CHR_numSET", "ITM_NULL", "DOCU_ITM_RADIX", "ITM_PERIOD", AP471), ".lo", ),"MNU_", "-MNU_")</f>
        <v>ITM_ENTER</v>
      </c>
      <c r="BB471" s="157" t="str" cm="1">
        <f t="array" ref="BB471">SUBSTITUTE(SUBSTITUTE(_xlfn.SWITCH(AQ471, "ITM_T_HOME", "ITM_UP1", "ITM_T_END", "ITM_DOWN1", "DOCU_CHR_sub", "ITM_DOWN_ARROW", "DOCU_CHR_super", "ITM_UP_ARROW", "MNU_TAMALPHA", "ITM_alpha", "DOCU_CHR_caseFLIP", "ITM_NULL", "DOCU_CHR_numSET", "ITM_NULL", "DOCU_ITM_RADIX", "ITM_PERIOD", AQ471), ".lo", ),"MNU_", "-MNU_")</f>
        <v>ITM_ENTER</v>
      </c>
      <c r="BC471" s="157" t="str" cm="1">
        <f t="array" ref="BC471">SUBSTITUTE(SUBSTITUTE(_xlfn.SWITCH(AR471, "ITM_T_HOME", "ITM_UP1", "ITM_T_END", "ITM_DOWN1", "DOCU_CHR_sub", "ITM_DOWN_ARROW", "DOCU_CHR_super", "ITM_UP_ARROW", "MNU_TAMALPHA", "ITM_alpha", "DOCU_CHR_caseFLIP", "ITM_NULL", "DOCU_CHR_numSET", "ITM_NULL", "DOCU_ITM_RADIX", "ITM_PERIOD", AR471), ".lo", ),"MNU_", "-MNU_")</f>
        <v>ITM_XSWAP</v>
      </c>
      <c r="BD471" s="157" t="str" cm="1">
        <f t="array" ref="BD471">SUBSTITUTE(SUBSTITUTE(_xlfn.SWITCH(AS471, "ITM_T_HOME", "ITM_UP1", "ITM_T_END", "ITM_DOWN1", "DOCU_CHR_sub", "ITM_DOWN_ARROW", "DOCU_CHR_super", "ITM_UP_ARROW", "MNU_TAMALPHA", "ITM_alpha", "DOCU_CHR_caseFLIP", "ITM_NULL", "DOCU_CHR_numSET", "ITM_NULL", "DOCU_ITM_RADIX", "ITM_PERIOD", AS471), ".lo", ),"MNU_", "-MNU_")</f>
        <v>ITM_XPARSE</v>
      </c>
      <c r="BE471" s="157" t="str" cm="1">
        <f t="array" ref="BE471">SUBSTITUTE(SUBSTITUTE(_xlfn.SWITCH(AT471, "ITM_T_HOME", "ITM_UP1", "ITM_T_END", "ITM_DOWN1", "DOCU_CHR_sub", "ITM_DOWN_ARROW", "DOCU_CHR_super", "ITM_UP_ARROW", "MNU_TAMALPHA", "ITM_alpha", "DOCU_CHR_caseFLIP", "ITM_NULL", "DOCU_CHR_numSET", "ITM_NULL", "DOCU_ITM_RADIX", "ITM_PERIOD", AT471), ".lo", ),"MNU_", "-MNU_")</f>
        <v>ITM_ENTER</v>
      </c>
      <c r="BG471" s="75"/>
      <c r="BI471" s="13" t="str">
        <f t="shared" si="173"/>
        <v xml:space="preserve">  {41,                  ITM_ENTER,            KEY_COMPLEX,          -MNU_CPX,             ITM_ENTER,            ITM_ENTER,            ITM_XSWAP,            ITM_XPARSE,           ITM_ENTER           },</v>
      </c>
    </row>
    <row r="472" spans="24:61" ht="21" x14ac:dyDescent="0.2">
      <c r="X472" s="141" t="str">
        <f t="shared" si="159"/>
        <v>R47bkfg</v>
      </c>
      <c r="Y472" s="142">
        <v>4</v>
      </c>
      <c r="Z472" s="142">
        <v>2</v>
      </c>
      <c r="AA472" s="144" t="str">
        <f t="shared" si="157"/>
        <v>R47bkfg.42</v>
      </c>
      <c r="AB472" s="148" t="str">
        <f t="shared" ref="AB472:AF472" si="186">AB427</f>
        <v>x &lt;&gt; y</v>
      </c>
      <c r="AC472" s="149" t="str">
        <f t="shared" si="186"/>
        <v>LASTx</v>
      </c>
      <c r="AD472" s="150" t="str">
        <f t="shared" si="186"/>
        <v>[ STK ]</v>
      </c>
      <c r="AE472" s="3"/>
      <c r="AF472" s="52" t="str">
        <f t="shared" si="186"/>
        <v>K</v>
      </c>
      <c r="AG472" s="77" t="b">
        <f t="shared" si="175"/>
        <v>1</v>
      </c>
      <c r="AH472" s="83" t="str">
        <f t="shared" si="165"/>
        <v>k</v>
      </c>
      <c r="AI472" s="84" t="str">
        <f t="shared" si="166"/>
        <v>&lt;&gt;</v>
      </c>
      <c r="AJ472" s="85" t="str">
        <f t="shared" si="167"/>
        <v>Reg K</v>
      </c>
      <c r="AK472" s="6"/>
      <c r="AL472" s="8" t="str">
        <f t="shared" si="168"/>
        <v>{42</v>
      </c>
      <c r="AM472" s="27" t="str">
        <f t="shared" si="169"/>
        <v>ITM_XexY</v>
      </c>
      <c r="AN472" s="27" t="str">
        <f t="shared" si="170"/>
        <v>ITM_LASTX</v>
      </c>
      <c r="AO472" s="27" t="str">
        <f t="shared" si="171"/>
        <v>MNU_STK</v>
      </c>
      <c r="AP472" s="46" t="str">
        <f>IF(NOT(ISNA(MATCH(AM472,Lookups!E:E,))),VLOOKUP(AM472,Lookups!E:F,2,0),
IF(NOT(ISNA(MATCH(AN472,Lookups!E:E,))),VLOOKUP(AN472,Lookups!E:F,2,0),
IF(NOT(ISNA(MATCH(AO472,Lookups!E:E,))),VLOOKUP(AO472,Lookups!E:F,2,0),"ITM_NULL")))</f>
        <v>ITM_ex</v>
      </c>
      <c r="AQ472" s="28" t="str">
        <f t="shared" si="172"/>
        <v>ITM_K</v>
      </c>
      <c r="AR472" s="195" t="s">
        <v>119</v>
      </c>
      <c r="AS472" s="186" t="s">
        <v>140</v>
      </c>
      <c r="AT472" s="255" t="s">
        <v>121</v>
      </c>
      <c r="AW472" s="14" t="str">
        <f t="shared" si="176"/>
        <v>{42</v>
      </c>
      <c r="AX472" s="157" t="str" cm="1">
        <f t="array" ref="AX472">SUBSTITUTE(SUBSTITUTE(_xlfn.SWITCH(AM472, "ITM_T_HOME", "ITM_UP1", "ITM_T_END", "ITM_DOWN1", "DOCU_CHR_sub", "ITM_DOWN_ARROW", "DOCU_CHR_super", "ITM_UP_ARROW", "MNU_TAMALPHA", "ITM_alpha", "DOCU_CHR_caseFLIP", "ITM_NULL", "DOCU_CHR_numSET", "ITM_NULL", "DOCU_ITM_RADIX", "ITM_PERIOD", AM472), ".lo", ),"MNU_", "-MNU_")</f>
        <v>ITM_XexY</v>
      </c>
      <c r="AY472" s="157" t="str" cm="1">
        <f t="array" ref="AY472">SUBSTITUTE(SUBSTITUTE(_xlfn.SWITCH(AN472, "ITM_T_HOME", "ITM_UP1", "ITM_T_END", "ITM_DOWN1", "DOCU_CHR_sub", "ITM_DOWN_ARROW", "DOCU_CHR_super", "ITM_UP_ARROW", "MNU_TAMALPHA", "ITM_alpha", "DOCU_CHR_caseFLIP", "ITM_NULL", "DOCU_CHR_numSET", "ITM_NULL", "DOCU_ITM_RADIX", "ITM_PERIOD", AN472), ".lo", ),"MNU_", "-MNU_")</f>
        <v>ITM_LASTX</v>
      </c>
      <c r="AZ472" s="157" t="str" cm="1">
        <f t="array" ref="AZ472">SUBSTITUTE(SUBSTITUTE(_xlfn.SWITCH(AO472, "ITM_T_HOME", "ITM_UP1", "ITM_T_END", "ITM_DOWN1", "DOCU_CHR_sub", "ITM_DOWN_ARROW", "DOCU_CHR_super", "ITM_UP_ARROW", "MNU_TAMALPHA", "ITM_alpha", "DOCU_CHR_caseFLIP", "ITM_NULL", "DOCU_CHR_numSET", "ITM_NULL", "DOCU_ITM_RADIX", "ITM_PERIOD", AO472), ".lo", ),"MNU_", "-MNU_")</f>
        <v>-MNU_STK</v>
      </c>
      <c r="BA472" s="173" t="str" cm="1">
        <f t="array" ref="BA472">SUBSTITUTE(SUBSTITUTE(_xlfn.SWITCH(AP472, "ITM_T_HOME", "ITM_UP1", "ITM_T_END", "ITM_DOWN1", "DOCU_CHR_sub", "ITM_DOWN_ARROW", "DOCU_CHR_super", "ITM_UP_ARROW", "MNU_TAMALPHA", "ITM_alpha", "DOCU_CHR_caseFLIP", "ITM_NULL", "DOCU_CHR_numSET", "ITM_NULL", "DOCU_ITM_RADIX", "ITM_PERIOD", AP472), ".lo", ),"MNU_", "-MNU_")</f>
        <v>ITM_ex</v>
      </c>
      <c r="BB472" s="157" t="str" cm="1">
        <f t="array" ref="BB472">SUBSTITUTE(SUBSTITUTE(_xlfn.SWITCH(AQ472, "ITM_T_HOME", "ITM_UP1", "ITM_T_END", "ITM_DOWN1", "DOCU_CHR_sub", "ITM_DOWN_ARROW", "DOCU_CHR_super", "ITM_UP_ARROW", "MNU_TAMALPHA", "ITM_alpha", "DOCU_CHR_caseFLIP", "ITM_NULL", "DOCU_CHR_numSET", "ITM_NULL", "DOCU_ITM_RADIX", "ITM_PERIOD", AQ472), ".lo", ),"MNU_", "-MNU_")</f>
        <v>ITM_K</v>
      </c>
      <c r="BC472" s="157" t="str" cm="1">
        <f t="array" ref="BC472">SUBSTITUTE(SUBSTITUTE(_xlfn.SWITCH(AR472, "ITM_T_HOME", "ITM_UP1", "ITM_T_END", "ITM_DOWN1", "DOCU_CHR_sub", "ITM_DOWN_ARROW", "DOCU_CHR_super", "ITM_UP_ARROW", "MNU_TAMALPHA", "ITM_alpha", "DOCU_CHR_caseFLIP", "ITM_NULL", "DOCU_CHR_numSET", "ITM_NULL", "DOCU_ITM_RADIX", "ITM_PERIOD", AR472), ".lo", ),"MNU_", "-MNU_")</f>
        <v>ITM_k</v>
      </c>
      <c r="BD472" s="157" t="str" cm="1">
        <f t="array" ref="BD472">SUBSTITUTE(SUBSTITUTE(_xlfn.SWITCH(AS472, "ITM_T_HOME", "ITM_UP1", "ITM_T_END", "ITM_DOWN1", "DOCU_CHR_sub", "ITM_DOWN_ARROW", "DOCU_CHR_super", "ITM_UP_ARROW", "MNU_TAMALPHA", "ITM_alpha", "DOCU_CHR_caseFLIP", "ITM_NULL", "DOCU_CHR_numSET", "ITM_NULL", "DOCU_ITM_RADIX", "ITM_PERIOD", AS472), ".lo", ),"MNU_", "-MNU_")</f>
        <v>ITM_ex</v>
      </c>
      <c r="BE472" s="157" t="str" cm="1">
        <f t="array" ref="BE472">SUBSTITUTE(SUBSTITUTE(_xlfn.SWITCH(AT472, "ITM_T_HOME", "ITM_UP1", "ITM_T_END", "ITM_DOWN1", "DOCU_CHR_sub", "ITM_DOWN_ARROW", "DOCU_CHR_super", "ITM_UP_ARROW", "MNU_TAMALPHA", "ITM_alpha", "DOCU_CHR_caseFLIP", "ITM_NULL", "DOCU_CHR_numSET", "ITM_NULL", "DOCU_ITM_RADIX", "ITM_PERIOD", AT472), ".lo", ),"MNU_", "-MNU_")</f>
        <v>ITM_REG_K</v>
      </c>
      <c r="BG472" s="75"/>
      <c r="BI472" s="13" t="str">
        <f t="shared" si="173"/>
        <v xml:space="preserve">  {42,                  ITM_XexY,             ITM_LASTX,            -MNU_STK,             ITM_ex,               ITM_K,                ITM_k,                ITM_ex,               ITM_REG_K           },</v>
      </c>
    </row>
    <row r="473" spans="24:61" ht="21" x14ac:dyDescent="0.2">
      <c r="X473" s="141" t="str">
        <f t="shared" si="159"/>
        <v>R47bkfg</v>
      </c>
      <c r="Y473" s="142">
        <v>4</v>
      </c>
      <c r="Z473" s="142">
        <v>3</v>
      </c>
      <c r="AA473" s="144" t="str">
        <f t="shared" si="157"/>
        <v>R47bkfg.43</v>
      </c>
      <c r="AB473" s="148" t="str">
        <f t="shared" ref="AB473:AF473" si="187">AB428</f>
        <v>CHS</v>
      </c>
      <c r="AC473" s="149" t="str">
        <f t="shared" si="187"/>
        <v>[ DISP ]</v>
      </c>
      <c r="AD473" s="150" t="str">
        <f t="shared" si="187"/>
        <v>[ TRG_D47 ]</v>
      </c>
      <c r="AE473" s="3"/>
      <c r="AF473" s="52" t="str">
        <f t="shared" si="187"/>
        <v>L</v>
      </c>
      <c r="AG473" s="77" t="b">
        <f t="shared" si="175"/>
        <v>1</v>
      </c>
      <c r="AH473" s="83" t="str">
        <f t="shared" si="165"/>
        <v>l</v>
      </c>
      <c r="AI473" s="84" t="str">
        <f t="shared" si="166"/>
        <v>+/-</v>
      </c>
      <c r="AJ473" s="85" t="str">
        <f t="shared" si="167"/>
        <v>Reg L</v>
      </c>
      <c r="AK473" s="6"/>
      <c r="AL473" s="8" t="str">
        <f t="shared" si="168"/>
        <v>{43</v>
      </c>
      <c r="AM473" s="27" t="str">
        <f t="shared" si="169"/>
        <v>ITM_CHS</v>
      </c>
      <c r="AN473" s="27" t="str">
        <f t="shared" si="170"/>
        <v>MNU_DISP</v>
      </c>
      <c r="AO473" s="27" t="str">
        <f t="shared" si="171"/>
        <v>MNU_TRG</v>
      </c>
      <c r="AP473" s="46" t="str">
        <f>IF(NOT(ISNA(MATCH(AM473,Lookups!E:E,))),VLOOKUP(AM473,Lookups!E:F,2,0),
IF(NOT(ISNA(MATCH(AN473,Lookups!E:E,))),VLOOKUP(AN473,Lookups!E:F,2,0),
IF(NOT(ISNA(MATCH(AO473,Lookups!E:E,))),VLOOKUP(AO473,Lookups!E:F,2,0),"ITM_NULL")))</f>
        <v>ITM_PLUS_MINUS</v>
      </c>
      <c r="AQ473" s="28" t="str">
        <f t="shared" si="172"/>
        <v>ITM_L</v>
      </c>
      <c r="AR473" s="195" t="s">
        <v>126</v>
      </c>
      <c r="AS473" s="186" t="s">
        <v>146</v>
      </c>
      <c r="AT473" s="255" t="s">
        <v>128</v>
      </c>
      <c r="AW473" s="14" t="str">
        <f t="shared" si="176"/>
        <v>{43</v>
      </c>
      <c r="AX473" s="157" t="str" cm="1">
        <f t="array" ref="AX473">SUBSTITUTE(SUBSTITUTE(_xlfn.SWITCH(AM473, "ITM_T_HOME", "ITM_UP1", "ITM_T_END", "ITM_DOWN1", "DOCU_CHR_sub", "ITM_DOWN_ARROW", "DOCU_CHR_super", "ITM_UP_ARROW", "MNU_TAMALPHA", "ITM_alpha", "DOCU_CHR_caseFLIP", "ITM_NULL", "DOCU_CHR_numSET", "ITM_NULL", "DOCU_ITM_RADIX", "ITM_PERIOD", AM473), ".lo", ),"MNU_", "-MNU_")</f>
        <v>ITM_CHS</v>
      </c>
      <c r="AY473" s="157" t="str" cm="1">
        <f t="array" ref="AY473">SUBSTITUTE(SUBSTITUTE(_xlfn.SWITCH(AN473, "ITM_T_HOME", "ITM_UP1", "ITM_T_END", "ITM_DOWN1", "DOCU_CHR_sub", "ITM_DOWN_ARROW", "DOCU_CHR_super", "ITM_UP_ARROW", "MNU_TAMALPHA", "ITM_alpha", "DOCU_CHR_caseFLIP", "ITM_NULL", "DOCU_CHR_numSET", "ITM_NULL", "DOCU_ITM_RADIX", "ITM_PERIOD", AN473), ".lo", ),"MNU_", "-MNU_")</f>
        <v>-MNU_DISP</v>
      </c>
      <c r="AZ473" s="157" t="str" cm="1">
        <f t="array" ref="AZ473">SUBSTITUTE(SUBSTITUTE(_xlfn.SWITCH(AO473, "ITM_T_HOME", "ITM_UP1", "ITM_T_END", "ITM_DOWN1", "DOCU_CHR_sub", "ITM_DOWN_ARROW", "DOCU_CHR_super", "ITM_UP_ARROW", "MNU_TAMALPHA", "ITM_alpha", "DOCU_CHR_caseFLIP", "ITM_NULL", "DOCU_CHR_numSET", "ITM_NULL", "DOCU_ITM_RADIX", "ITM_PERIOD", AO473), ".lo", ),"MNU_", "-MNU_")</f>
        <v>-MNU_TRG</v>
      </c>
      <c r="BA473" s="173" t="str" cm="1">
        <f t="array" ref="BA473">SUBSTITUTE(SUBSTITUTE(_xlfn.SWITCH(AP473, "ITM_T_HOME", "ITM_UP1", "ITM_T_END", "ITM_DOWN1", "DOCU_CHR_sub", "ITM_DOWN_ARROW", "DOCU_CHR_super", "ITM_UP_ARROW", "MNU_TAMALPHA", "ITM_alpha", "DOCU_CHR_caseFLIP", "ITM_NULL", "DOCU_CHR_numSET", "ITM_NULL", "DOCU_ITM_RADIX", "ITM_PERIOD", AP473), ".lo", ),"MNU_", "-MNU_")</f>
        <v>ITM_PLUS_MINUS</v>
      </c>
      <c r="BB473" s="157" t="str" cm="1">
        <f t="array" ref="BB473">SUBSTITUTE(SUBSTITUTE(_xlfn.SWITCH(AQ473, "ITM_T_HOME", "ITM_UP1", "ITM_T_END", "ITM_DOWN1", "DOCU_CHR_sub", "ITM_DOWN_ARROW", "DOCU_CHR_super", "ITM_UP_ARROW", "MNU_TAMALPHA", "ITM_alpha", "DOCU_CHR_caseFLIP", "ITM_NULL", "DOCU_CHR_numSET", "ITM_NULL", "DOCU_ITM_RADIX", "ITM_PERIOD", AQ473), ".lo", ),"MNU_", "-MNU_")</f>
        <v>ITM_L</v>
      </c>
      <c r="BC473" s="157" t="str" cm="1">
        <f t="array" ref="BC473">SUBSTITUTE(SUBSTITUTE(_xlfn.SWITCH(AR473, "ITM_T_HOME", "ITM_UP1", "ITM_T_END", "ITM_DOWN1", "DOCU_CHR_sub", "ITM_DOWN_ARROW", "DOCU_CHR_super", "ITM_UP_ARROW", "MNU_TAMALPHA", "ITM_alpha", "DOCU_CHR_caseFLIP", "ITM_NULL", "DOCU_CHR_numSET", "ITM_NULL", "DOCU_ITM_RADIX", "ITM_PERIOD", AR473), ".lo", ),"MNU_", "-MNU_")</f>
        <v>ITM_l</v>
      </c>
      <c r="BD473" s="157" t="str" cm="1">
        <f t="array" ref="BD473">SUBSTITUTE(SUBSTITUTE(_xlfn.SWITCH(AS473, "ITM_T_HOME", "ITM_UP1", "ITM_T_END", "ITM_DOWN1", "DOCU_CHR_sub", "ITM_DOWN_ARROW", "DOCU_CHR_super", "ITM_UP_ARROW", "MNU_TAMALPHA", "ITM_alpha", "DOCU_CHR_caseFLIP", "ITM_NULL", "DOCU_CHR_numSET", "ITM_NULL", "DOCU_ITM_RADIX", "ITM_PERIOD", AS473), ".lo", ),"MNU_", "-MNU_")</f>
        <v>ITM_PLUS_MINUS</v>
      </c>
      <c r="BE473" s="157" t="str" cm="1">
        <f t="array" ref="BE473">SUBSTITUTE(SUBSTITUTE(_xlfn.SWITCH(AT473, "ITM_T_HOME", "ITM_UP1", "ITM_T_END", "ITM_DOWN1", "DOCU_CHR_sub", "ITM_DOWN_ARROW", "DOCU_CHR_super", "ITM_UP_ARROW", "MNU_TAMALPHA", "ITM_alpha", "DOCU_CHR_caseFLIP", "ITM_NULL", "DOCU_CHR_numSET", "ITM_NULL", "DOCU_ITM_RADIX", "ITM_PERIOD", AT473), ".lo", ),"MNU_", "-MNU_")</f>
        <v>ITM_REG_L</v>
      </c>
      <c r="BG473" s="75"/>
      <c r="BI473" s="13" t="str">
        <f t="shared" si="173"/>
        <v xml:space="preserve">  {43,                  ITM_CHS,              -MNU_DISP,            -MNU_TRG,             ITM_PLUS_MINUS,       ITM_L,                ITM_l,                ITM_PLUS_MINUS,       ITM_REG_L           },</v>
      </c>
    </row>
    <row r="474" spans="24:61" ht="21" x14ac:dyDescent="0.2">
      <c r="X474" s="141" t="str">
        <f t="shared" si="159"/>
        <v>R47bkfg</v>
      </c>
      <c r="Y474" s="142">
        <v>4</v>
      </c>
      <c r="Z474" s="142">
        <v>4</v>
      </c>
      <c r="AA474" s="144" t="str">
        <f t="shared" si="157"/>
        <v>R47bkfg.44</v>
      </c>
      <c r="AB474" s="148" t="str">
        <f t="shared" ref="AB474:AF474" si="188">AB429</f>
        <v>EEX</v>
      </c>
      <c r="AC474" s="149" t="str">
        <f t="shared" si="188"/>
        <v>[ PFX ]</v>
      </c>
      <c r="AD474" s="150" t="str">
        <f t="shared" si="188"/>
        <v>[ EXP ]</v>
      </c>
      <c r="AE474" s="3"/>
      <c r="AF474" s="52" t="str">
        <f t="shared" si="188"/>
        <v>M</v>
      </c>
      <c r="AG474" s="77" t="b">
        <f t="shared" si="175"/>
        <v>1</v>
      </c>
      <c r="AH474" s="83" t="str">
        <f t="shared" si="165"/>
        <v>m</v>
      </c>
      <c r="AI474" s="84" t="str">
        <f t="shared" si="166"/>
        <v>&lt;E&gt;</v>
      </c>
      <c r="AJ474" s="85" t="str">
        <f t="shared" si="167"/>
        <v>Reg M</v>
      </c>
      <c r="AK474" s="6"/>
      <c r="AL474" s="8" t="str">
        <f t="shared" si="168"/>
        <v>{44</v>
      </c>
      <c r="AM474" s="27" t="str">
        <f t="shared" si="169"/>
        <v>ITM_EXPONENT</v>
      </c>
      <c r="AN474" s="27" t="str">
        <f t="shared" si="170"/>
        <v>MNU_PREFIX</v>
      </c>
      <c r="AO474" s="27" t="str">
        <f t="shared" si="171"/>
        <v>MNU_EXP</v>
      </c>
      <c r="AP474" s="46" t="str">
        <f>IF(NOT(ISNA(MATCH(AM474,Lookups!E:E,))),VLOOKUP(AM474,Lookups!E:F,2,0),
IF(NOT(ISNA(MATCH(AN474,Lookups!E:E,))),VLOOKUP(AN474,Lookups!E:F,2,0),
IF(NOT(ISNA(MATCH(AO474,Lookups!E:E,))),VLOOKUP(AO474,Lookups!E:F,2,0),"ITM_NULL")))</f>
        <v>ITM_NULL</v>
      </c>
      <c r="AQ474" s="28" t="str">
        <f t="shared" si="172"/>
        <v>ITM_M</v>
      </c>
      <c r="AR474" s="195" t="s">
        <v>139</v>
      </c>
      <c r="AS474" s="186" t="s">
        <v>152</v>
      </c>
      <c r="AT474" s="255" t="s">
        <v>654</v>
      </c>
      <c r="AW474" s="14" t="str">
        <f t="shared" si="176"/>
        <v>{44</v>
      </c>
      <c r="AX474" s="157" t="str" cm="1">
        <f t="array" ref="AX474">SUBSTITUTE(SUBSTITUTE(_xlfn.SWITCH(AM474, "ITM_T_HOME", "ITM_UP1", "ITM_T_END", "ITM_DOWN1", "DOCU_CHR_sub", "ITM_DOWN_ARROW", "DOCU_CHR_super", "ITM_UP_ARROW", "MNU_TAMALPHA", "ITM_alpha", "DOCU_CHR_caseFLIP", "ITM_NULL", "DOCU_CHR_numSET", "ITM_NULL", "DOCU_ITM_RADIX", "ITM_PERIOD", AM474), ".lo", ),"MNU_", "-MNU_")</f>
        <v>ITM_EXPONENT</v>
      </c>
      <c r="AY474" s="157" t="str" cm="1">
        <f t="array" ref="AY474">SUBSTITUTE(SUBSTITUTE(_xlfn.SWITCH(AN474, "ITM_T_HOME", "ITM_UP1", "ITM_T_END", "ITM_DOWN1", "DOCU_CHR_sub", "ITM_DOWN_ARROW", "DOCU_CHR_super", "ITM_UP_ARROW", "MNU_TAMALPHA", "ITM_alpha", "DOCU_CHR_caseFLIP", "ITM_NULL", "DOCU_CHR_numSET", "ITM_NULL", "DOCU_ITM_RADIX", "ITM_PERIOD", AN474), ".lo", ),"MNU_", "-MNU_")</f>
        <v>-MNU_PREFIX</v>
      </c>
      <c r="AZ474" s="157" t="str" cm="1">
        <f t="array" ref="AZ474">SUBSTITUTE(SUBSTITUTE(_xlfn.SWITCH(AO474, "ITM_T_HOME", "ITM_UP1", "ITM_T_END", "ITM_DOWN1", "DOCU_CHR_sub", "ITM_DOWN_ARROW", "DOCU_CHR_super", "ITM_UP_ARROW", "MNU_TAMALPHA", "ITM_alpha", "DOCU_CHR_caseFLIP", "ITM_NULL", "DOCU_CHR_numSET", "ITM_NULL", "DOCU_ITM_RADIX", "ITM_PERIOD", AO474), ".lo", ),"MNU_", "-MNU_")</f>
        <v>-MNU_EXP</v>
      </c>
      <c r="BA474" s="173" t="str" cm="1">
        <f t="array" ref="BA474">SUBSTITUTE(SUBSTITUTE(_xlfn.SWITCH(AP474, "ITM_T_HOME", "ITM_UP1", "ITM_T_END", "ITM_DOWN1", "DOCU_CHR_sub", "ITM_DOWN_ARROW", "DOCU_CHR_super", "ITM_UP_ARROW", "MNU_TAMALPHA", "ITM_alpha", "DOCU_CHR_caseFLIP", "ITM_NULL", "DOCU_CHR_numSET", "ITM_NULL", "DOCU_ITM_RADIX", "ITM_PERIOD", AP474), ".lo", ),"MNU_", "-MNU_")</f>
        <v>ITM_NULL</v>
      </c>
      <c r="BB474" s="157" t="str" cm="1">
        <f t="array" ref="BB474">SUBSTITUTE(SUBSTITUTE(_xlfn.SWITCH(AQ474, "ITM_T_HOME", "ITM_UP1", "ITM_T_END", "ITM_DOWN1", "DOCU_CHR_sub", "ITM_DOWN_ARROW", "DOCU_CHR_super", "ITM_UP_ARROW", "MNU_TAMALPHA", "ITM_alpha", "DOCU_CHR_caseFLIP", "ITM_NULL", "DOCU_CHR_numSET", "ITM_NULL", "DOCU_ITM_RADIX", "ITM_PERIOD", AQ474), ".lo", ),"MNU_", "-MNU_")</f>
        <v>ITM_M</v>
      </c>
      <c r="BC474" s="157" t="str" cm="1">
        <f t="array" ref="BC474">SUBSTITUTE(SUBSTITUTE(_xlfn.SWITCH(AR474, "ITM_T_HOME", "ITM_UP1", "ITM_T_END", "ITM_DOWN1", "DOCU_CHR_sub", "ITM_DOWN_ARROW", "DOCU_CHR_super", "ITM_UP_ARROW", "MNU_TAMALPHA", "ITM_alpha", "DOCU_CHR_caseFLIP", "ITM_NULL", "DOCU_CHR_numSET", "ITM_NULL", "DOCU_ITM_RADIX", "ITM_PERIOD", AR474), ".lo", ),"MNU_", "-MNU_")</f>
        <v>ITM_m</v>
      </c>
      <c r="BD474" s="157" t="str" cm="1">
        <f t="array" ref="BD474">SUBSTITUTE(SUBSTITUTE(_xlfn.SWITCH(AS474, "ITM_T_HOME", "ITM_UP1", "ITM_T_END", "ITM_DOWN1", "DOCU_CHR_sub", "ITM_DOWN_ARROW", "DOCU_CHR_super", "ITM_UP_ARROW", "MNU_TAMALPHA", "ITM_alpha", "DOCU_CHR_caseFLIP", "ITM_NULL", "DOCU_CHR_numSET", "ITM_NULL", "DOCU_ITM_RADIX", "ITM_PERIOD", AS474), ".lo", ),"MNU_", "-MNU_")</f>
        <v>ITM_EEXCHR</v>
      </c>
      <c r="BE474" s="157" t="str" cm="1">
        <f t="array" ref="BE474">SUBSTITUTE(SUBSTITUTE(_xlfn.SWITCH(AT474, "ITM_T_HOME", "ITM_UP1", "ITM_T_END", "ITM_DOWN1", "DOCU_CHR_sub", "ITM_DOWN_ARROW", "DOCU_CHR_super", "ITM_UP_ARROW", "MNU_TAMALPHA", "ITM_alpha", "DOCU_CHR_caseFLIP", "ITM_NULL", "DOCU_CHR_numSET", "ITM_NULL", "DOCU_ITM_RADIX", "ITM_PERIOD", AT474), ".lo", ),"MNU_", "-MNU_")</f>
        <v>ITM_REG_M</v>
      </c>
      <c r="BG474" s="75"/>
      <c r="BI474" s="13" t="str">
        <f t="shared" si="173"/>
        <v xml:space="preserve">  {44,                  ITM_EXPONENT,         -MNU_PREFIX,          -MNU_EXP,             ITM_NULL,             ITM_M,                ITM_m,                ITM_EEXCHR,           ITM_REG_M           },</v>
      </c>
    </row>
    <row r="475" spans="24:61" ht="21" x14ac:dyDescent="0.2">
      <c r="X475" s="141" t="str">
        <f t="shared" si="159"/>
        <v>R47bkfg</v>
      </c>
      <c r="Y475" s="142">
        <v>4</v>
      </c>
      <c r="Z475" s="142">
        <v>5</v>
      </c>
      <c r="AA475" s="144" t="str">
        <f t="shared" si="157"/>
        <v>R47bkfg.45</v>
      </c>
      <c r="AB475" s="148" t="str">
        <f t="shared" ref="AB475:AF475" si="189">AB430</f>
        <v>&lt;=</v>
      </c>
      <c r="AC475" s="149" t="str">
        <f t="shared" si="189"/>
        <v>Undo</v>
      </c>
      <c r="AD475" s="150" t="str">
        <f t="shared" si="189"/>
        <v>[ CLR ]</v>
      </c>
      <c r="AE475" s="3"/>
      <c r="AF475" s="52" t="str">
        <f t="shared" si="189"/>
        <v>&lt;=</v>
      </c>
      <c r="AG475" s="77" t="b">
        <f t="shared" si="175"/>
        <v>0</v>
      </c>
      <c r="AH475" s="83" t="str">
        <f t="shared" si="165"/>
        <v>CLA</v>
      </c>
      <c r="AI475" s="84" t="str">
        <f t="shared" si="166"/>
        <v>CLA</v>
      </c>
      <c r="AJ475" s="85" t="str">
        <f t="shared" si="167"/>
        <v>&lt;=</v>
      </c>
      <c r="AK475" s="6"/>
      <c r="AL475" s="8" t="str">
        <f t="shared" si="168"/>
        <v>{45</v>
      </c>
      <c r="AM475" s="27" t="str">
        <f t="shared" si="169"/>
        <v>ITM_BACKSPACE</v>
      </c>
      <c r="AN475" s="27" t="str">
        <f t="shared" si="170"/>
        <v>ITM_UNDO</v>
      </c>
      <c r="AO475" s="27" t="str">
        <f t="shared" si="171"/>
        <v>MNU_CLR</v>
      </c>
      <c r="AP475" s="46" t="str">
        <f>IF(NOT(ISNA(MATCH(AM475,Lookups!E:E,))),VLOOKUP(AM475,Lookups!E:F,2,0),
IF(NOT(ISNA(MATCH(AN475,Lookups!E:E,))),VLOOKUP(AN475,Lookups!E:F,2,0),
IF(NOT(ISNA(MATCH(AO475,Lookups!E:E,))),VLOOKUP(AO475,Lookups!E:F,2,0),"ITM_NULL")))</f>
        <v>ITM_BACKSPACE</v>
      </c>
      <c r="AQ475" s="28" t="str">
        <f t="shared" si="172"/>
        <v>ITM_BACKSPACE</v>
      </c>
      <c r="AR475" s="198" t="s">
        <v>157</v>
      </c>
      <c r="AS475" s="186" t="s">
        <v>157</v>
      </c>
      <c r="AT475" s="255" t="s">
        <v>158</v>
      </c>
      <c r="AW475" s="14" t="str">
        <f t="shared" si="176"/>
        <v>{45</v>
      </c>
      <c r="AX475" s="157" t="str" cm="1">
        <f t="array" ref="AX475">SUBSTITUTE(SUBSTITUTE(_xlfn.SWITCH(AM475, "ITM_T_HOME", "ITM_UP1", "ITM_T_END", "ITM_DOWN1", "DOCU_CHR_sub", "ITM_DOWN_ARROW", "DOCU_CHR_super", "ITM_UP_ARROW", "MNU_TAMALPHA", "ITM_alpha", "DOCU_CHR_caseFLIP", "ITM_NULL", "DOCU_CHR_numSET", "ITM_NULL", "DOCU_ITM_RADIX", "ITM_PERIOD", AM475), ".lo", ),"MNU_", "-MNU_")</f>
        <v>ITM_BACKSPACE</v>
      </c>
      <c r="AY475" s="157" t="str" cm="1">
        <f t="array" ref="AY475">SUBSTITUTE(SUBSTITUTE(_xlfn.SWITCH(AN475, "ITM_T_HOME", "ITM_UP1", "ITM_T_END", "ITM_DOWN1", "DOCU_CHR_sub", "ITM_DOWN_ARROW", "DOCU_CHR_super", "ITM_UP_ARROW", "MNU_TAMALPHA", "ITM_alpha", "DOCU_CHR_caseFLIP", "ITM_NULL", "DOCU_CHR_numSET", "ITM_NULL", "DOCU_ITM_RADIX", "ITM_PERIOD", AN475), ".lo", ),"MNU_", "-MNU_")</f>
        <v>ITM_UNDO</v>
      </c>
      <c r="AZ475" s="157" t="str" cm="1">
        <f t="array" ref="AZ475">SUBSTITUTE(SUBSTITUTE(_xlfn.SWITCH(AO475, "ITM_T_HOME", "ITM_UP1", "ITM_T_END", "ITM_DOWN1", "DOCU_CHR_sub", "ITM_DOWN_ARROW", "DOCU_CHR_super", "ITM_UP_ARROW", "MNU_TAMALPHA", "ITM_alpha", "DOCU_CHR_caseFLIP", "ITM_NULL", "DOCU_CHR_numSET", "ITM_NULL", "DOCU_ITM_RADIX", "ITM_PERIOD", AO475), ".lo", ),"MNU_", "-MNU_")</f>
        <v>-MNU_CLR</v>
      </c>
      <c r="BA475" s="173" t="str" cm="1">
        <f t="array" ref="BA475">SUBSTITUTE(SUBSTITUTE(_xlfn.SWITCH(AP475, "ITM_T_HOME", "ITM_UP1", "ITM_T_END", "ITM_DOWN1", "DOCU_CHR_sub", "ITM_DOWN_ARROW", "DOCU_CHR_super", "ITM_UP_ARROW", "MNU_TAMALPHA", "ITM_alpha", "DOCU_CHR_caseFLIP", "ITM_NULL", "DOCU_CHR_numSET", "ITM_NULL", "DOCU_ITM_RADIX", "ITM_PERIOD", AP475), ".lo", ),"MNU_", "-MNU_")</f>
        <v>ITM_BACKSPACE</v>
      </c>
      <c r="BB475" s="157" t="str" cm="1">
        <f t="array" ref="BB475">SUBSTITUTE(SUBSTITUTE(_xlfn.SWITCH(AQ475, "ITM_T_HOME", "ITM_UP1", "ITM_T_END", "ITM_DOWN1", "DOCU_CHR_sub", "ITM_DOWN_ARROW", "DOCU_CHR_super", "ITM_UP_ARROW", "MNU_TAMALPHA", "ITM_alpha", "DOCU_CHR_caseFLIP", "ITM_NULL", "DOCU_CHR_numSET", "ITM_NULL", "DOCU_ITM_RADIX", "ITM_PERIOD", AQ475), ".lo", ),"MNU_", "-MNU_")</f>
        <v>ITM_BACKSPACE</v>
      </c>
      <c r="BC475" s="157" t="str" cm="1">
        <f t="array" ref="BC475">SUBSTITUTE(SUBSTITUTE(_xlfn.SWITCH(AR475, "ITM_T_HOME", "ITM_UP1", "ITM_T_END", "ITM_DOWN1", "DOCU_CHR_sub", "ITM_DOWN_ARROW", "DOCU_CHR_super", "ITM_UP_ARROW", "MNU_TAMALPHA", "ITM_alpha", "DOCU_CHR_caseFLIP", "ITM_NULL", "DOCU_CHR_numSET", "ITM_NULL", "DOCU_ITM_RADIX", "ITM_PERIOD", AR475), ".lo", ),"MNU_", "-MNU_")</f>
        <v>ITM_CLA</v>
      </c>
      <c r="BD475" s="157" t="str" cm="1">
        <f t="array" ref="BD475">SUBSTITUTE(SUBSTITUTE(_xlfn.SWITCH(AS475, "ITM_T_HOME", "ITM_UP1", "ITM_T_END", "ITM_DOWN1", "DOCU_CHR_sub", "ITM_DOWN_ARROW", "DOCU_CHR_super", "ITM_UP_ARROW", "MNU_TAMALPHA", "ITM_alpha", "DOCU_CHR_caseFLIP", "ITM_NULL", "DOCU_CHR_numSET", "ITM_NULL", "DOCU_ITM_RADIX", "ITM_PERIOD", AS475), ".lo", ),"MNU_", "-MNU_")</f>
        <v>ITM_CLA</v>
      </c>
      <c r="BE475" s="157" t="str" cm="1">
        <f t="array" ref="BE475">SUBSTITUTE(SUBSTITUTE(_xlfn.SWITCH(AT475, "ITM_T_HOME", "ITM_UP1", "ITM_T_END", "ITM_DOWN1", "DOCU_CHR_sub", "ITM_DOWN_ARROW", "DOCU_CHR_super", "ITM_UP_ARROW", "MNU_TAMALPHA", "ITM_alpha", "DOCU_CHR_caseFLIP", "ITM_NULL", "DOCU_CHR_numSET", "ITM_NULL", "DOCU_ITM_RADIX", "ITM_PERIOD", AT475), ".lo", ),"MNU_", "-MNU_")</f>
        <v>ITM_BACKSPACE</v>
      </c>
      <c r="BG475" s="75"/>
      <c r="BI475" s="13" t="str">
        <f t="shared" si="173"/>
        <v xml:space="preserve">  {45,                  ITM_BACKSPACE,        ITM_UNDO,             -MNU_CLR,             ITM_BACKSPACE,        ITM_BACKSPACE,        ITM_CLA,              ITM_CLA,              ITM_BACKSPACE       },</v>
      </c>
    </row>
    <row r="476" spans="24:61" ht="21" x14ac:dyDescent="0.2">
      <c r="X476" s="141" t="str">
        <f t="shared" si="159"/>
        <v>R47bkfg</v>
      </c>
      <c r="Y476" s="138">
        <v>5</v>
      </c>
      <c r="Z476" s="138">
        <v>1</v>
      </c>
      <c r="AA476" s="144" t="str">
        <f t="shared" si="157"/>
        <v>R47bkfg.51</v>
      </c>
      <c r="AB476" s="148" t="str">
        <f t="shared" ref="AB476:AF476" si="190">AB431</f>
        <v>XEQ</v>
      </c>
      <c r="AC476" s="118" t="str">
        <f t="shared" si="190"/>
        <v>[ alpha ]</v>
      </c>
      <c r="AD476" s="150" t="str">
        <f t="shared" si="190"/>
        <v>GTO</v>
      </c>
      <c r="AE476" s="3"/>
      <c r="AF476" s="49" t="str">
        <f t="shared" si="190"/>
        <v>_</v>
      </c>
      <c r="AG476" s="77" t="b">
        <f t="shared" si="175"/>
        <v>0</v>
      </c>
      <c r="AH476" s="83" t="str">
        <f t="shared" si="165"/>
        <v>alpha</v>
      </c>
      <c r="AI476" s="84" t="str">
        <f t="shared" si="166"/>
        <v>Sigma</v>
      </c>
      <c r="AJ476" s="85" t="str">
        <f t="shared" si="167"/>
        <v>[TAMALPHA]</v>
      </c>
      <c r="AK476" s="6"/>
      <c r="AL476" s="8" t="str">
        <f t="shared" si="168"/>
        <v>{51</v>
      </c>
      <c r="AM476" s="27" t="str">
        <f t="shared" si="169"/>
        <v>ITM_XEQ</v>
      </c>
      <c r="AN476" s="27" t="str">
        <f t="shared" si="170"/>
        <v>ITM_AIM</v>
      </c>
      <c r="AO476" s="27" t="str">
        <f t="shared" si="171"/>
        <v>ITM_GTO</v>
      </c>
      <c r="AP476" s="46" t="str">
        <f>IF(NOT(ISNA(MATCH(AM476,Lookups!E:E,))),VLOOKUP(AM476,Lookups!E:F,2,0),
IF(NOT(ISNA(MATCH(AN476,Lookups!E:E,))),VLOOKUP(AN476,Lookups!E:F,2,0),
IF(NOT(ISNA(MATCH(AO476,Lookups!E:E,))),VLOOKUP(AO476,Lookups!E:F,2,0),"ITM_NULL")))</f>
        <v>ITM_NULL</v>
      </c>
      <c r="AQ476" s="28" t="str">
        <f t="shared" si="172"/>
        <v>ITM_UNDERSCORE</v>
      </c>
      <c r="AR476" s="219" t="s">
        <v>87</v>
      </c>
      <c r="AS476" s="220" t="s">
        <v>52</v>
      </c>
      <c r="AT476" s="255" t="s">
        <v>622</v>
      </c>
      <c r="AW476" s="14" t="str">
        <f t="shared" si="176"/>
        <v>{51</v>
      </c>
      <c r="AX476" s="157" t="str" cm="1">
        <f t="array" ref="AX476">SUBSTITUTE(SUBSTITUTE(_xlfn.SWITCH(AM476, "ITM_T_HOME", "ITM_UP1", "ITM_T_END", "ITM_DOWN1", "DOCU_CHR_sub", "ITM_DOWN_ARROW", "DOCU_CHR_super", "ITM_UP_ARROW", "MNU_TAMALPHA", "ITM_alpha", "DOCU_CHR_caseFLIP", "ITM_NULL", "DOCU_CHR_numSET", "ITM_NULL", "DOCU_ITM_RADIX", "ITM_PERIOD", AM476), ".lo", ),"MNU_", "-MNU_")</f>
        <v>ITM_XEQ</v>
      </c>
      <c r="AY476" s="157" t="str" cm="1">
        <f t="array" ref="AY476">SUBSTITUTE(SUBSTITUTE(_xlfn.SWITCH(AN476, "ITM_T_HOME", "ITM_UP1", "ITM_T_END", "ITM_DOWN1", "DOCU_CHR_sub", "ITM_DOWN_ARROW", "DOCU_CHR_super", "ITM_UP_ARROW", "MNU_TAMALPHA", "ITM_alpha", "DOCU_CHR_caseFLIP", "ITM_NULL", "DOCU_CHR_numSET", "ITM_NULL", "DOCU_ITM_RADIX", "ITM_PERIOD", AN476), ".lo", ),"MNU_", "-MNU_")</f>
        <v>ITM_AIM</v>
      </c>
      <c r="AZ476" s="157" t="str" cm="1">
        <f t="array" ref="AZ476">SUBSTITUTE(SUBSTITUTE(_xlfn.SWITCH(AO476, "ITM_T_HOME", "ITM_UP1", "ITM_T_END", "ITM_DOWN1", "DOCU_CHR_sub", "ITM_DOWN_ARROW", "DOCU_CHR_super", "ITM_UP_ARROW", "MNU_TAMALPHA", "ITM_alpha", "DOCU_CHR_caseFLIP", "ITM_NULL", "DOCU_CHR_numSET", "ITM_NULL", "DOCU_ITM_RADIX", "ITM_PERIOD", AO476), ".lo", ),"MNU_", "-MNU_")</f>
        <v>ITM_GTO</v>
      </c>
      <c r="BA476" s="173" t="str" cm="1">
        <f t="array" ref="BA476">SUBSTITUTE(SUBSTITUTE(_xlfn.SWITCH(AP476, "ITM_T_HOME", "ITM_UP1", "ITM_T_END", "ITM_DOWN1", "DOCU_CHR_sub", "ITM_DOWN_ARROW", "DOCU_CHR_super", "ITM_UP_ARROW", "MNU_TAMALPHA", "ITM_alpha", "DOCU_CHR_caseFLIP", "ITM_NULL", "DOCU_CHR_numSET", "ITM_NULL", "DOCU_ITM_RADIX", "ITM_PERIOD", AP476), ".lo", ),"MNU_", "-MNU_")</f>
        <v>ITM_NULL</v>
      </c>
      <c r="BB476" s="157" t="str" cm="1">
        <f t="array" ref="BB476">SUBSTITUTE(SUBSTITUTE(_xlfn.SWITCH(AQ476, "ITM_T_HOME", "ITM_UP1", "ITM_T_END", "ITM_DOWN1", "DOCU_CHR_sub", "ITM_DOWN_ARROW", "DOCU_CHR_super", "ITM_UP_ARROW", "MNU_TAMALPHA", "ITM_alpha", "DOCU_CHR_caseFLIP", "ITM_NULL", "DOCU_CHR_numSET", "ITM_NULL", "DOCU_ITM_RADIX", "ITM_PERIOD", AQ476), ".lo", ),"MNU_", "-MNU_")</f>
        <v>ITM_UNDERSCORE</v>
      </c>
      <c r="BC476" s="157" t="str" cm="1">
        <f t="array" ref="BC476">SUBSTITUTE(SUBSTITUTE(_xlfn.SWITCH(AR476, "ITM_T_HOME", "ITM_UP1", "ITM_T_END", "ITM_DOWN1", "DOCU_CHR_sub", "ITM_DOWN_ARROW", "DOCU_CHR_super", "ITM_UP_ARROW", "MNU_TAMALPHA", "ITM_alpha", "DOCU_CHR_caseFLIP", "ITM_NULL", "DOCU_CHR_numSET", "ITM_NULL", "DOCU_ITM_RADIX", "ITM_PERIOD", AR476), ".lo", ),"MNU_", "-MNU_")</f>
        <v>ITM_alpha</v>
      </c>
      <c r="BD476" s="157" t="str" cm="1">
        <f t="array" ref="BD476">SUBSTITUTE(SUBSTITUTE(_xlfn.SWITCH(AS476, "ITM_T_HOME", "ITM_UP1", "ITM_T_END", "ITM_DOWN1", "DOCU_CHR_sub", "ITM_DOWN_ARROW", "DOCU_CHR_super", "ITM_UP_ARROW", "MNU_TAMALPHA", "ITM_alpha", "DOCU_CHR_caseFLIP", "ITM_NULL", "DOCU_CHR_numSET", "ITM_NULL", "DOCU_ITM_RADIX", "ITM_PERIOD", AS476), ".lo", ),"MNU_", "-MNU_")</f>
        <v>ITM_SIGMA</v>
      </c>
      <c r="BE476" s="157" t="str" cm="1">
        <f t="array" ref="BE476">SUBSTITUTE(SUBSTITUTE(_xlfn.SWITCH(AT476, "ITM_T_HOME", "ITM_UP1", "ITM_T_END", "ITM_DOWN1", "DOCU_CHR_sub", "ITM_DOWN_ARROW", "DOCU_CHR_super", "ITM_UP_ARROW", "MNU_TAMALPHA", "ITM_alpha", "DOCU_CHR_caseFLIP", "ITM_NULL", "DOCU_CHR_numSET", "ITM_NULL", "DOCU_ITM_RADIX", "ITM_PERIOD", AT476), ".lo", ),"MNU_", "-MNU_")</f>
        <v>ITM_alpha</v>
      </c>
      <c r="BG476" s="75"/>
      <c r="BI476" s="13" t="str">
        <f t="shared" si="173"/>
        <v xml:space="preserve">  {51,                  ITM_XEQ,              ITM_AIM,              ITM_GTO,              ITM_NULL,             ITM_UNDERSCORE,       ITM_alpha,            ITM_SIGMA,            ITM_alpha           },</v>
      </c>
    </row>
    <row r="477" spans="24:61" ht="21" x14ac:dyDescent="0.2">
      <c r="X477" s="141" t="str">
        <f t="shared" si="159"/>
        <v>R47bkfg</v>
      </c>
      <c r="Y477" s="142">
        <v>5</v>
      </c>
      <c r="Z477" s="142">
        <v>2</v>
      </c>
      <c r="AA477" s="144" t="str">
        <f t="shared" si="157"/>
        <v>R47bkfg.52</v>
      </c>
      <c r="AB477" s="148">
        <f t="shared" ref="AB477:AF477" si="191">AB432</f>
        <v>7</v>
      </c>
      <c r="AC477" s="149" t="str">
        <f t="shared" si="191"/>
        <v>SIN</v>
      </c>
      <c r="AD477" s="150" t="str">
        <f t="shared" si="191"/>
        <v>ASIN</v>
      </c>
      <c r="AE477" s="3"/>
      <c r="AF477" s="52" t="str">
        <f t="shared" si="191"/>
        <v>N</v>
      </c>
      <c r="AG477" s="77" t="b">
        <f t="shared" si="175"/>
        <v>1</v>
      </c>
      <c r="AH477" s="83" t="str">
        <f t="shared" si="165"/>
        <v>n</v>
      </c>
      <c r="AI477" s="84">
        <f t="shared" si="166"/>
        <v>7</v>
      </c>
      <c r="AJ477" s="85">
        <f t="shared" si="167"/>
        <v>7</v>
      </c>
      <c r="AK477" s="6"/>
      <c r="AL477" s="8" t="str">
        <f t="shared" si="168"/>
        <v>{52</v>
      </c>
      <c r="AM477" s="27" t="str">
        <f t="shared" si="169"/>
        <v>ITM_7</v>
      </c>
      <c r="AN477" s="27" t="str">
        <f t="shared" si="170"/>
        <v>ITM_sin</v>
      </c>
      <c r="AO477" s="27" t="str">
        <f t="shared" si="171"/>
        <v>ITM_arcsin</v>
      </c>
      <c r="AP477" s="46" t="str">
        <f>IF(NOT(ISNA(MATCH(AM477,Lookups!E:E,))),VLOOKUP(AM477,Lookups!E:F,2,0),
IF(NOT(ISNA(MATCH(AN477,Lookups!E:E,))),VLOOKUP(AN477,Lookups!E:F,2,0),
IF(NOT(ISNA(MATCH(AO477,Lookups!E:E,))),VLOOKUP(AO477,Lookups!E:F,2,0),"ITM_NULL")))</f>
        <v>ITM_7</v>
      </c>
      <c r="AQ477" s="28" t="str">
        <f t="shared" si="172"/>
        <v>ITM_N</v>
      </c>
      <c r="AR477" s="195" t="s">
        <v>145</v>
      </c>
      <c r="AS477" s="186" t="s">
        <v>170</v>
      </c>
      <c r="AT477" s="197" t="s">
        <v>170</v>
      </c>
      <c r="AW477" s="14" t="str">
        <f t="shared" si="176"/>
        <v>{52</v>
      </c>
      <c r="AX477" s="157" t="str" cm="1">
        <f t="array" ref="AX477">SUBSTITUTE(SUBSTITUTE(_xlfn.SWITCH(AM477, "ITM_T_HOME", "ITM_UP1", "ITM_T_END", "ITM_DOWN1", "DOCU_CHR_sub", "ITM_DOWN_ARROW", "DOCU_CHR_super", "ITM_UP_ARROW", "MNU_TAMALPHA", "ITM_alpha", "DOCU_CHR_caseFLIP", "ITM_NULL", "DOCU_CHR_numSET", "ITM_NULL", "DOCU_ITM_RADIX", "ITM_PERIOD", AM477), ".lo", ),"MNU_", "-MNU_")</f>
        <v>ITM_7</v>
      </c>
      <c r="AY477" s="157" t="str" cm="1">
        <f t="array" ref="AY477">SUBSTITUTE(SUBSTITUTE(_xlfn.SWITCH(AN477, "ITM_T_HOME", "ITM_UP1", "ITM_T_END", "ITM_DOWN1", "DOCU_CHR_sub", "ITM_DOWN_ARROW", "DOCU_CHR_super", "ITM_UP_ARROW", "MNU_TAMALPHA", "ITM_alpha", "DOCU_CHR_caseFLIP", "ITM_NULL", "DOCU_CHR_numSET", "ITM_NULL", "DOCU_ITM_RADIX", "ITM_PERIOD", AN477), ".lo", ),"MNU_", "-MNU_")</f>
        <v>ITM_sin</v>
      </c>
      <c r="AZ477" s="157" t="str" cm="1">
        <f t="array" ref="AZ477">SUBSTITUTE(SUBSTITUTE(_xlfn.SWITCH(AO477, "ITM_T_HOME", "ITM_UP1", "ITM_T_END", "ITM_DOWN1", "DOCU_CHR_sub", "ITM_DOWN_ARROW", "DOCU_CHR_super", "ITM_UP_ARROW", "MNU_TAMALPHA", "ITM_alpha", "DOCU_CHR_caseFLIP", "ITM_NULL", "DOCU_CHR_numSET", "ITM_NULL", "DOCU_ITM_RADIX", "ITM_PERIOD", AO477), ".lo", ),"MNU_", "-MNU_")</f>
        <v>ITM_arcsin</v>
      </c>
      <c r="BA477" s="173" t="str" cm="1">
        <f t="array" ref="BA477">SUBSTITUTE(SUBSTITUTE(_xlfn.SWITCH(AP477, "ITM_T_HOME", "ITM_UP1", "ITM_T_END", "ITM_DOWN1", "DOCU_CHR_sub", "ITM_DOWN_ARROW", "DOCU_CHR_super", "ITM_UP_ARROW", "MNU_TAMALPHA", "ITM_alpha", "DOCU_CHR_caseFLIP", "ITM_NULL", "DOCU_CHR_numSET", "ITM_NULL", "DOCU_ITM_RADIX", "ITM_PERIOD", AP477), ".lo", ),"MNU_", "-MNU_")</f>
        <v>ITM_7</v>
      </c>
      <c r="BB477" s="157" t="str" cm="1">
        <f t="array" ref="BB477">SUBSTITUTE(SUBSTITUTE(_xlfn.SWITCH(AQ477, "ITM_T_HOME", "ITM_UP1", "ITM_T_END", "ITM_DOWN1", "DOCU_CHR_sub", "ITM_DOWN_ARROW", "DOCU_CHR_super", "ITM_UP_ARROW", "MNU_TAMALPHA", "ITM_alpha", "DOCU_CHR_caseFLIP", "ITM_NULL", "DOCU_CHR_numSET", "ITM_NULL", "DOCU_ITM_RADIX", "ITM_PERIOD", AQ477), ".lo", ),"MNU_", "-MNU_")</f>
        <v>ITM_N</v>
      </c>
      <c r="BC477" s="157" t="str" cm="1">
        <f t="array" ref="BC477">SUBSTITUTE(SUBSTITUTE(_xlfn.SWITCH(AR477, "ITM_T_HOME", "ITM_UP1", "ITM_T_END", "ITM_DOWN1", "DOCU_CHR_sub", "ITM_DOWN_ARROW", "DOCU_CHR_super", "ITM_UP_ARROW", "MNU_TAMALPHA", "ITM_alpha", "DOCU_CHR_caseFLIP", "ITM_NULL", "DOCU_CHR_numSET", "ITM_NULL", "DOCU_ITM_RADIX", "ITM_PERIOD", AR477), ".lo", ),"MNU_", "-MNU_")</f>
        <v>ITM_n</v>
      </c>
      <c r="BD477" s="157" t="str" cm="1">
        <f t="array" ref="BD477">SUBSTITUTE(SUBSTITUTE(_xlfn.SWITCH(AS477, "ITM_T_HOME", "ITM_UP1", "ITM_T_END", "ITM_DOWN1", "DOCU_CHR_sub", "ITM_DOWN_ARROW", "DOCU_CHR_super", "ITM_UP_ARROW", "MNU_TAMALPHA", "ITM_alpha", "DOCU_CHR_caseFLIP", "ITM_NULL", "DOCU_CHR_numSET", "ITM_NULL", "DOCU_ITM_RADIX", "ITM_PERIOD", AS477), ".lo", ),"MNU_", "-MNU_")</f>
        <v>ITM_7</v>
      </c>
      <c r="BE477" s="157" t="str" cm="1">
        <f t="array" ref="BE477">SUBSTITUTE(SUBSTITUTE(_xlfn.SWITCH(AT477, "ITM_T_HOME", "ITM_UP1", "ITM_T_END", "ITM_DOWN1", "DOCU_CHR_sub", "ITM_DOWN_ARROW", "DOCU_CHR_super", "ITM_UP_ARROW", "MNU_TAMALPHA", "ITM_alpha", "DOCU_CHR_caseFLIP", "ITM_NULL", "DOCU_CHR_numSET", "ITM_NULL", "DOCU_ITM_RADIX", "ITM_PERIOD", AT477), ".lo", ),"MNU_", "-MNU_")</f>
        <v>ITM_7</v>
      </c>
      <c r="BG477" s="75"/>
      <c r="BI477" s="13" t="str">
        <f t="shared" si="173"/>
        <v xml:space="preserve">  {52,                  ITM_7,                ITM_sin,              ITM_arcsin,           ITM_7,                ITM_N,                ITM_n,                ITM_7,                ITM_7               },</v>
      </c>
    </row>
    <row r="478" spans="24:61" ht="21" x14ac:dyDescent="0.2">
      <c r="X478" s="141" t="str">
        <f t="shared" si="159"/>
        <v>R47bkfg</v>
      </c>
      <c r="Y478" s="142">
        <v>5</v>
      </c>
      <c r="Z478" s="142">
        <v>3</v>
      </c>
      <c r="AA478" s="144" t="str">
        <f t="shared" si="157"/>
        <v>R47bkfg.53</v>
      </c>
      <c r="AB478" s="148">
        <f t="shared" ref="AB478:AF478" si="192">AB433</f>
        <v>8</v>
      </c>
      <c r="AC478" s="152" t="str">
        <f t="shared" si="192"/>
        <v>COS</v>
      </c>
      <c r="AD478" s="150" t="str">
        <f t="shared" si="192"/>
        <v>ACOS</v>
      </c>
      <c r="AE478" s="3"/>
      <c r="AF478" s="52" t="str">
        <f t="shared" si="192"/>
        <v>O</v>
      </c>
      <c r="AG478" s="77" t="b">
        <f t="shared" si="175"/>
        <v>1</v>
      </c>
      <c r="AH478" s="83" t="str">
        <f t="shared" si="165"/>
        <v>o</v>
      </c>
      <c r="AI478" s="84">
        <f t="shared" si="166"/>
        <v>8</v>
      </c>
      <c r="AJ478" s="85">
        <f t="shared" si="167"/>
        <v>8</v>
      </c>
      <c r="AK478" s="6"/>
      <c r="AL478" s="8" t="str">
        <f t="shared" si="168"/>
        <v>{53</v>
      </c>
      <c r="AM478" s="27" t="str">
        <f t="shared" si="169"/>
        <v>ITM_8</v>
      </c>
      <c r="AN478" s="27" t="str">
        <f t="shared" si="170"/>
        <v>ITM_cos</v>
      </c>
      <c r="AO478" s="27" t="str">
        <f t="shared" si="171"/>
        <v>ITM_arccos</v>
      </c>
      <c r="AP478" s="46" t="str">
        <f>IF(NOT(ISNA(MATCH(AM478,Lookups!E:E,))),VLOOKUP(AM478,Lookups!E:F,2,0),
IF(NOT(ISNA(MATCH(AN478,Lookups!E:E,))),VLOOKUP(AN478,Lookups!E:F,2,0),
IF(NOT(ISNA(MATCH(AO478,Lookups!E:E,))),VLOOKUP(AO478,Lookups!E:F,2,0),"ITM_NULL")))</f>
        <v>ITM_8</v>
      </c>
      <c r="AQ478" s="28" t="str">
        <f t="shared" si="172"/>
        <v>ITM_O</v>
      </c>
      <c r="AR478" s="195" t="s">
        <v>151</v>
      </c>
      <c r="AS478" s="186" t="s">
        <v>175</v>
      </c>
      <c r="AT478" s="197" t="s">
        <v>175</v>
      </c>
      <c r="AW478" s="14" t="str">
        <f t="shared" si="176"/>
        <v>{53</v>
      </c>
      <c r="AX478" s="157" t="str" cm="1">
        <f t="array" ref="AX478">SUBSTITUTE(SUBSTITUTE(_xlfn.SWITCH(AM478, "ITM_T_HOME", "ITM_UP1", "ITM_T_END", "ITM_DOWN1", "DOCU_CHR_sub", "ITM_DOWN_ARROW", "DOCU_CHR_super", "ITM_UP_ARROW", "MNU_TAMALPHA", "ITM_alpha", "DOCU_CHR_caseFLIP", "ITM_NULL", "DOCU_CHR_numSET", "ITM_NULL", "DOCU_ITM_RADIX", "ITM_PERIOD", AM478), ".lo", ),"MNU_", "-MNU_")</f>
        <v>ITM_8</v>
      </c>
      <c r="AY478" s="157" t="str" cm="1">
        <f t="array" ref="AY478">SUBSTITUTE(SUBSTITUTE(_xlfn.SWITCH(AN478, "ITM_T_HOME", "ITM_UP1", "ITM_T_END", "ITM_DOWN1", "DOCU_CHR_sub", "ITM_DOWN_ARROW", "DOCU_CHR_super", "ITM_UP_ARROW", "MNU_TAMALPHA", "ITM_alpha", "DOCU_CHR_caseFLIP", "ITM_NULL", "DOCU_CHR_numSET", "ITM_NULL", "DOCU_ITM_RADIX", "ITM_PERIOD", AN478), ".lo", ),"MNU_", "-MNU_")</f>
        <v>ITM_cos</v>
      </c>
      <c r="AZ478" s="157" t="str" cm="1">
        <f t="array" ref="AZ478">SUBSTITUTE(SUBSTITUTE(_xlfn.SWITCH(AO478, "ITM_T_HOME", "ITM_UP1", "ITM_T_END", "ITM_DOWN1", "DOCU_CHR_sub", "ITM_DOWN_ARROW", "DOCU_CHR_super", "ITM_UP_ARROW", "MNU_TAMALPHA", "ITM_alpha", "DOCU_CHR_caseFLIP", "ITM_NULL", "DOCU_CHR_numSET", "ITM_NULL", "DOCU_ITM_RADIX", "ITM_PERIOD", AO478), ".lo", ),"MNU_", "-MNU_")</f>
        <v>ITM_arccos</v>
      </c>
      <c r="BA478" s="173" t="str" cm="1">
        <f t="array" ref="BA478">SUBSTITUTE(SUBSTITUTE(_xlfn.SWITCH(AP478, "ITM_T_HOME", "ITM_UP1", "ITM_T_END", "ITM_DOWN1", "DOCU_CHR_sub", "ITM_DOWN_ARROW", "DOCU_CHR_super", "ITM_UP_ARROW", "MNU_TAMALPHA", "ITM_alpha", "DOCU_CHR_caseFLIP", "ITM_NULL", "DOCU_CHR_numSET", "ITM_NULL", "DOCU_ITM_RADIX", "ITM_PERIOD", AP478), ".lo", ),"MNU_", "-MNU_")</f>
        <v>ITM_8</v>
      </c>
      <c r="BB478" s="157" t="str" cm="1">
        <f t="array" ref="BB478">SUBSTITUTE(SUBSTITUTE(_xlfn.SWITCH(AQ478, "ITM_T_HOME", "ITM_UP1", "ITM_T_END", "ITM_DOWN1", "DOCU_CHR_sub", "ITM_DOWN_ARROW", "DOCU_CHR_super", "ITM_UP_ARROW", "MNU_TAMALPHA", "ITM_alpha", "DOCU_CHR_caseFLIP", "ITM_NULL", "DOCU_CHR_numSET", "ITM_NULL", "DOCU_ITM_RADIX", "ITM_PERIOD", AQ478), ".lo", ),"MNU_", "-MNU_")</f>
        <v>ITM_O</v>
      </c>
      <c r="BC478" s="157" t="str" cm="1">
        <f t="array" ref="BC478">SUBSTITUTE(SUBSTITUTE(_xlfn.SWITCH(AR478, "ITM_T_HOME", "ITM_UP1", "ITM_T_END", "ITM_DOWN1", "DOCU_CHR_sub", "ITM_DOWN_ARROW", "DOCU_CHR_super", "ITM_UP_ARROW", "MNU_TAMALPHA", "ITM_alpha", "DOCU_CHR_caseFLIP", "ITM_NULL", "DOCU_CHR_numSET", "ITM_NULL", "DOCU_ITM_RADIX", "ITM_PERIOD", AR478), ".lo", ),"MNU_", "-MNU_")</f>
        <v>ITM_o</v>
      </c>
      <c r="BD478" s="157" t="str" cm="1">
        <f t="array" ref="BD478">SUBSTITUTE(SUBSTITUTE(_xlfn.SWITCH(AS478, "ITM_T_HOME", "ITM_UP1", "ITM_T_END", "ITM_DOWN1", "DOCU_CHR_sub", "ITM_DOWN_ARROW", "DOCU_CHR_super", "ITM_UP_ARROW", "MNU_TAMALPHA", "ITM_alpha", "DOCU_CHR_caseFLIP", "ITM_NULL", "DOCU_CHR_numSET", "ITM_NULL", "DOCU_ITM_RADIX", "ITM_PERIOD", AS478), ".lo", ),"MNU_", "-MNU_")</f>
        <v>ITM_8</v>
      </c>
      <c r="BE478" s="157" t="str" cm="1">
        <f t="array" ref="BE478">SUBSTITUTE(SUBSTITUTE(_xlfn.SWITCH(AT478, "ITM_T_HOME", "ITM_UP1", "ITM_T_END", "ITM_DOWN1", "DOCU_CHR_sub", "ITM_DOWN_ARROW", "DOCU_CHR_super", "ITM_UP_ARROW", "MNU_TAMALPHA", "ITM_alpha", "DOCU_CHR_caseFLIP", "ITM_NULL", "DOCU_CHR_numSET", "ITM_NULL", "DOCU_ITM_RADIX", "ITM_PERIOD", AT478), ".lo", ),"MNU_", "-MNU_")</f>
        <v>ITM_8</v>
      </c>
      <c r="BG478" s="75"/>
      <c r="BI478" s="13" t="str">
        <f t="shared" si="173"/>
        <v xml:space="preserve">  {53,                  ITM_8,                ITM_cos,              ITM_arccos,           ITM_8,                ITM_O,                ITM_o,                ITM_8,                ITM_8               },</v>
      </c>
    </row>
    <row r="479" spans="24:61" ht="21" x14ac:dyDescent="0.2">
      <c r="X479" s="141" t="str">
        <f t="shared" si="159"/>
        <v>R47bkfg</v>
      </c>
      <c r="Y479" s="142">
        <v>5</v>
      </c>
      <c r="Z479" s="142">
        <v>4</v>
      </c>
      <c r="AA479" s="144" t="str">
        <f t="shared" si="157"/>
        <v>R47bkfg.54</v>
      </c>
      <c r="AB479" s="148">
        <f t="shared" ref="AB479:AF479" si="193">AB434</f>
        <v>9</v>
      </c>
      <c r="AC479" s="149" t="str">
        <f t="shared" si="193"/>
        <v>TAN</v>
      </c>
      <c r="AD479" s="150" t="str">
        <f t="shared" si="193"/>
        <v>ATAN</v>
      </c>
      <c r="AE479" s="3"/>
      <c r="AF479" s="52" t="str">
        <f t="shared" si="193"/>
        <v>P</v>
      </c>
      <c r="AG479" s="77" t="b">
        <f t="shared" si="175"/>
        <v>1</v>
      </c>
      <c r="AH479" s="83" t="str">
        <f t="shared" si="165"/>
        <v>p</v>
      </c>
      <c r="AI479" s="84">
        <f t="shared" si="166"/>
        <v>9</v>
      </c>
      <c r="AJ479" s="85">
        <f t="shared" si="167"/>
        <v>9</v>
      </c>
      <c r="AK479" s="6"/>
      <c r="AL479" s="8" t="str">
        <f t="shared" si="168"/>
        <v>{54</v>
      </c>
      <c r="AM479" s="27" t="str">
        <f t="shared" si="169"/>
        <v>ITM_9</v>
      </c>
      <c r="AN479" s="27" t="str">
        <f t="shared" si="170"/>
        <v>ITM_tan</v>
      </c>
      <c r="AO479" s="27" t="str">
        <f t="shared" si="171"/>
        <v>ITM_arctan</v>
      </c>
      <c r="AP479" s="46" t="str">
        <f>IF(NOT(ISNA(MATCH(AM479,Lookups!E:E,))),VLOOKUP(AM479,Lookups!E:F,2,0),
IF(NOT(ISNA(MATCH(AN479,Lookups!E:E,))),VLOOKUP(AN479,Lookups!E:F,2,0),
IF(NOT(ISNA(MATCH(AO479,Lookups!E:E,))),VLOOKUP(AO479,Lookups!E:F,2,0),"ITM_NULL")))</f>
        <v>ITM_9</v>
      </c>
      <c r="AQ479" s="28" t="str">
        <f t="shared" si="172"/>
        <v>ITM_P</v>
      </c>
      <c r="AR479" s="195" t="s">
        <v>169</v>
      </c>
      <c r="AS479" s="186" t="s">
        <v>180</v>
      </c>
      <c r="AT479" s="197" t="s">
        <v>180</v>
      </c>
      <c r="AW479" s="14" t="str">
        <f t="shared" si="176"/>
        <v>{54</v>
      </c>
      <c r="AX479" s="157" t="str" cm="1">
        <f t="array" ref="AX479">SUBSTITUTE(SUBSTITUTE(_xlfn.SWITCH(AM479, "ITM_T_HOME", "ITM_UP1", "ITM_T_END", "ITM_DOWN1", "DOCU_CHR_sub", "ITM_DOWN_ARROW", "DOCU_CHR_super", "ITM_UP_ARROW", "MNU_TAMALPHA", "ITM_alpha", "DOCU_CHR_caseFLIP", "ITM_NULL", "DOCU_CHR_numSET", "ITM_NULL", "DOCU_ITM_RADIX", "ITM_PERIOD", AM479), ".lo", ),"MNU_", "-MNU_")</f>
        <v>ITM_9</v>
      </c>
      <c r="AY479" s="157" t="str" cm="1">
        <f t="array" ref="AY479">SUBSTITUTE(SUBSTITUTE(_xlfn.SWITCH(AN479, "ITM_T_HOME", "ITM_UP1", "ITM_T_END", "ITM_DOWN1", "DOCU_CHR_sub", "ITM_DOWN_ARROW", "DOCU_CHR_super", "ITM_UP_ARROW", "MNU_TAMALPHA", "ITM_alpha", "DOCU_CHR_caseFLIP", "ITM_NULL", "DOCU_CHR_numSET", "ITM_NULL", "DOCU_ITM_RADIX", "ITM_PERIOD", AN479), ".lo", ),"MNU_", "-MNU_")</f>
        <v>ITM_tan</v>
      </c>
      <c r="AZ479" s="157" t="str" cm="1">
        <f t="array" ref="AZ479">SUBSTITUTE(SUBSTITUTE(_xlfn.SWITCH(AO479, "ITM_T_HOME", "ITM_UP1", "ITM_T_END", "ITM_DOWN1", "DOCU_CHR_sub", "ITM_DOWN_ARROW", "DOCU_CHR_super", "ITM_UP_ARROW", "MNU_TAMALPHA", "ITM_alpha", "DOCU_CHR_caseFLIP", "ITM_NULL", "DOCU_CHR_numSET", "ITM_NULL", "DOCU_ITM_RADIX", "ITM_PERIOD", AO479), ".lo", ),"MNU_", "-MNU_")</f>
        <v>ITM_arctan</v>
      </c>
      <c r="BA479" s="173" t="str" cm="1">
        <f t="array" ref="BA479">SUBSTITUTE(SUBSTITUTE(_xlfn.SWITCH(AP479, "ITM_T_HOME", "ITM_UP1", "ITM_T_END", "ITM_DOWN1", "DOCU_CHR_sub", "ITM_DOWN_ARROW", "DOCU_CHR_super", "ITM_UP_ARROW", "MNU_TAMALPHA", "ITM_alpha", "DOCU_CHR_caseFLIP", "ITM_NULL", "DOCU_CHR_numSET", "ITM_NULL", "DOCU_ITM_RADIX", "ITM_PERIOD", AP479), ".lo", ),"MNU_", "-MNU_")</f>
        <v>ITM_9</v>
      </c>
      <c r="BB479" s="157" t="str" cm="1">
        <f t="array" ref="BB479">SUBSTITUTE(SUBSTITUTE(_xlfn.SWITCH(AQ479, "ITM_T_HOME", "ITM_UP1", "ITM_T_END", "ITM_DOWN1", "DOCU_CHR_sub", "ITM_DOWN_ARROW", "DOCU_CHR_super", "ITM_UP_ARROW", "MNU_TAMALPHA", "ITM_alpha", "DOCU_CHR_caseFLIP", "ITM_NULL", "DOCU_CHR_numSET", "ITM_NULL", "DOCU_ITM_RADIX", "ITM_PERIOD", AQ479), ".lo", ),"MNU_", "-MNU_")</f>
        <v>ITM_P</v>
      </c>
      <c r="BC479" s="157" t="str" cm="1">
        <f t="array" ref="BC479">SUBSTITUTE(SUBSTITUTE(_xlfn.SWITCH(AR479, "ITM_T_HOME", "ITM_UP1", "ITM_T_END", "ITM_DOWN1", "DOCU_CHR_sub", "ITM_DOWN_ARROW", "DOCU_CHR_super", "ITM_UP_ARROW", "MNU_TAMALPHA", "ITM_alpha", "DOCU_CHR_caseFLIP", "ITM_NULL", "DOCU_CHR_numSET", "ITM_NULL", "DOCU_ITM_RADIX", "ITM_PERIOD", AR479), ".lo", ),"MNU_", "-MNU_")</f>
        <v>ITM_p</v>
      </c>
      <c r="BD479" s="157" t="str" cm="1">
        <f t="array" ref="BD479">SUBSTITUTE(SUBSTITUTE(_xlfn.SWITCH(AS479, "ITM_T_HOME", "ITM_UP1", "ITM_T_END", "ITM_DOWN1", "DOCU_CHR_sub", "ITM_DOWN_ARROW", "DOCU_CHR_super", "ITM_UP_ARROW", "MNU_TAMALPHA", "ITM_alpha", "DOCU_CHR_caseFLIP", "ITM_NULL", "DOCU_CHR_numSET", "ITM_NULL", "DOCU_ITM_RADIX", "ITM_PERIOD", AS479), ".lo", ),"MNU_", "-MNU_")</f>
        <v>ITM_9</v>
      </c>
      <c r="BE479" s="157" t="str" cm="1">
        <f t="array" ref="BE479">SUBSTITUTE(SUBSTITUTE(_xlfn.SWITCH(AT479, "ITM_T_HOME", "ITM_UP1", "ITM_T_END", "ITM_DOWN1", "DOCU_CHR_sub", "ITM_DOWN_ARROW", "DOCU_CHR_super", "ITM_UP_ARROW", "MNU_TAMALPHA", "ITM_alpha", "DOCU_CHR_caseFLIP", "ITM_NULL", "DOCU_CHR_numSET", "ITM_NULL", "DOCU_ITM_RADIX", "ITM_PERIOD", AT479), ".lo", ),"MNU_", "-MNU_")</f>
        <v>ITM_9</v>
      </c>
      <c r="BG479" s="75"/>
      <c r="BI479" s="13" t="str">
        <f t="shared" si="173"/>
        <v xml:space="preserve">  {54,                  ITM_9,                ITM_tan,              ITM_arctan,           ITM_9,                ITM_P,                ITM_p,                ITM_9,                ITM_9               },</v>
      </c>
    </row>
    <row r="480" spans="24:61" ht="21" x14ac:dyDescent="0.2">
      <c r="X480" s="141" t="str">
        <f t="shared" si="159"/>
        <v>R47bkfg</v>
      </c>
      <c r="Y480" s="142">
        <v>5</v>
      </c>
      <c r="Z480" s="142">
        <v>5</v>
      </c>
      <c r="AA480" s="144" t="str">
        <f t="shared" si="157"/>
        <v>R47bkfg.55</v>
      </c>
      <c r="AB480" s="153" t="str">
        <f t="shared" ref="AB480:AF480" si="194">AB435</f>
        <v>÷</v>
      </c>
      <c r="AC480" s="149" t="str">
        <f t="shared" si="194"/>
        <v>[ STAT ]</v>
      </c>
      <c r="AD480" s="150" t="str">
        <f t="shared" si="194"/>
        <v>[ PLOT ]</v>
      </c>
      <c r="AE480" s="3"/>
      <c r="AF480" s="52" t="str">
        <f t="shared" si="194"/>
        <v>Q</v>
      </c>
      <c r="AG480" s="77" t="b">
        <f t="shared" si="175"/>
        <v>1</v>
      </c>
      <c r="AH480" s="83" t="str">
        <f t="shared" si="165"/>
        <v>q</v>
      </c>
      <c r="AI480" s="84" t="str">
        <f t="shared" si="166"/>
        <v>÷</v>
      </c>
      <c r="AJ480" s="85" t="str">
        <f t="shared" si="167"/>
        <v>÷</v>
      </c>
      <c r="AK480" s="6"/>
      <c r="AL480" s="8" t="str">
        <f t="shared" si="168"/>
        <v>{55</v>
      </c>
      <c r="AM480" s="27" t="str">
        <f t="shared" si="169"/>
        <v>ITM_DIV</v>
      </c>
      <c r="AN480" s="27" t="str">
        <f t="shared" si="170"/>
        <v>MNU_STAT</v>
      </c>
      <c r="AO480" s="27" t="str">
        <f t="shared" si="171"/>
        <v>MNU_PLOTTING</v>
      </c>
      <c r="AP480" s="46" t="str">
        <f>IF(NOT(ISNA(MATCH(AM480,Lookups!E:E,))),VLOOKUP(AM480,Lookups!E:F,2,0),
IF(NOT(ISNA(MATCH(AN480,Lookups!E:E,))),VLOOKUP(AN480,Lookups!E:F,2,0),
IF(NOT(ISNA(MATCH(AO480,Lookups!E:E,))),VLOOKUP(AO480,Lookups!E:F,2,0),"ITM_NULL")))</f>
        <v>ITM_OBELUS</v>
      </c>
      <c r="AQ480" s="28" t="str">
        <f t="shared" si="172"/>
        <v>ITM_Q</v>
      </c>
      <c r="AR480" s="195" t="s">
        <v>174</v>
      </c>
      <c r="AS480" s="186" t="s">
        <v>186</v>
      </c>
      <c r="AT480" s="197" t="s">
        <v>187</v>
      </c>
      <c r="AW480" s="14" t="str">
        <f t="shared" si="176"/>
        <v>{55</v>
      </c>
      <c r="AX480" s="157" t="str" cm="1">
        <f t="array" ref="AX480">SUBSTITUTE(SUBSTITUTE(_xlfn.SWITCH(AM480, "ITM_T_HOME", "ITM_UP1", "ITM_T_END", "ITM_DOWN1", "DOCU_CHR_sub", "ITM_DOWN_ARROW", "DOCU_CHR_super", "ITM_UP_ARROW", "MNU_TAMALPHA", "ITM_alpha", "DOCU_CHR_caseFLIP", "ITM_NULL", "DOCU_CHR_numSET", "ITM_NULL", "DOCU_ITM_RADIX", "ITM_PERIOD", AM480), ".lo", ),"MNU_", "-MNU_")</f>
        <v>ITM_DIV</v>
      </c>
      <c r="AY480" s="157" t="str" cm="1">
        <f t="array" ref="AY480">SUBSTITUTE(SUBSTITUTE(_xlfn.SWITCH(AN480, "ITM_T_HOME", "ITM_UP1", "ITM_T_END", "ITM_DOWN1", "DOCU_CHR_sub", "ITM_DOWN_ARROW", "DOCU_CHR_super", "ITM_UP_ARROW", "MNU_TAMALPHA", "ITM_alpha", "DOCU_CHR_caseFLIP", "ITM_NULL", "DOCU_CHR_numSET", "ITM_NULL", "DOCU_ITM_RADIX", "ITM_PERIOD", AN480), ".lo", ),"MNU_", "-MNU_")</f>
        <v>-MNU_STAT</v>
      </c>
      <c r="AZ480" s="157" t="str" cm="1">
        <f t="array" ref="AZ480">SUBSTITUTE(SUBSTITUTE(_xlfn.SWITCH(AO480, "ITM_T_HOME", "ITM_UP1", "ITM_T_END", "ITM_DOWN1", "DOCU_CHR_sub", "ITM_DOWN_ARROW", "DOCU_CHR_super", "ITM_UP_ARROW", "MNU_TAMALPHA", "ITM_alpha", "DOCU_CHR_caseFLIP", "ITM_NULL", "DOCU_CHR_numSET", "ITM_NULL", "DOCU_ITM_RADIX", "ITM_PERIOD", AO480), ".lo", ),"MNU_", "-MNU_")</f>
        <v>-MNU_PLOTTING</v>
      </c>
      <c r="BA480" s="173" t="str" cm="1">
        <f t="array" ref="BA480">SUBSTITUTE(SUBSTITUTE(_xlfn.SWITCH(AP480, "ITM_T_HOME", "ITM_UP1", "ITM_T_END", "ITM_DOWN1", "DOCU_CHR_sub", "ITM_DOWN_ARROW", "DOCU_CHR_super", "ITM_UP_ARROW", "MNU_TAMALPHA", "ITM_alpha", "DOCU_CHR_caseFLIP", "ITM_NULL", "DOCU_CHR_numSET", "ITM_NULL", "DOCU_ITM_RADIX", "ITM_PERIOD", AP480), ".lo", ),"MNU_", "-MNU_")</f>
        <v>ITM_OBELUS</v>
      </c>
      <c r="BB480" s="157" t="str" cm="1">
        <f t="array" ref="BB480">SUBSTITUTE(SUBSTITUTE(_xlfn.SWITCH(AQ480, "ITM_T_HOME", "ITM_UP1", "ITM_T_END", "ITM_DOWN1", "DOCU_CHR_sub", "ITM_DOWN_ARROW", "DOCU_CHR_super", "ITM_UP_ARROW", "MNU_TAMALPHA", "ITM_alpha", "DOCU_CHR_caseFLIP", "ITM_NULL", "DOCU_CHR_numSET", "ITM_NULL", "DOCU_ITM_RADIX", "ITM_PERIOD", AQ480), ".lo", ),"MNU_", "-MNU_")</f>
        <v>ITM_Q</v>
      </c>
      <c r="BC480" s="157" t="str" cm="1">
        <f t="array" ref="BC480">SUBSTITUTE(SUBSTITUTE(_xlfn.SWITCH(AR480, "ITM_T_HOME", "ITM_UP1", "ITM_T_END", "ITM_DOWN1", "DOCU_CHR_sub", "ITM_DOWN_ARROW", "DOCU_CHR_super", "ITM_UP_ARROW", "MNU_TAMALPHA", "ITM_alpha", "DOCU_CHR_caseFLIP", "ITM_NULL", "DOCU_CHR_numSET", "ITM_NULL", "DOCU_ITM_RADIX", "ITM_PERIOD", AR480), ".lo", ),"MNU_", "-MNU_")</f>
        <v>ITM_q</v>
      </c>
      <c r="BD480" s="157" t="str" cm="1">
        <f t="array" ref="BD480">SUBSTITUTE(SUBSTITUTE(_xlfn.SWITCH(AS480, "ITM_T_HOME", "ITM_UP1", "ITM_T_END", "ITM_DOWN1", "DOCU_CHR_sub", "ITM_DOWN_ARROW", "DOCU_CHR_super", "ITM_UP_ARROW", "MNU_TAMALPHA", "ITM_alpha", "DOCU_CHR_caseFLIP", "ITM_NULL", "DOCU_CHR_numSET", "ITM_NULL", "DOCU_ITM_RADIX", "ITM_PERIOD", AS480), ".lo", ),"MNU_", "-MNU_")</f>
        <v>ITM_OBELUS</v>
      </c>
      <c r="BE480" s="157" t="str" cm="1">
        <f t="array" ref="BE480">SUBSTITUTE(SUBSTITUTE(_xlfn.SWITCH(AT480, "ITM_T_HOME", "ITM_UP1", "ITM_T_END", "ITM_DOWN1", "DOCU_CHR_sub", "ITM_DOWN_ARROW", "DOCU_CHR_super", "ITM_UP_ARROW", "MNU_TAMALPHA", "ITM_alpha", "DOCU_CHR_caseFLIP", "ITM_NULL", "DOCU_CHR_numSET", "ITM_NULL", "DOCU_ITM_RADIX", "ITM_PERIOD", AT480), ".lo", ),"MNU_", "-MNU_")</f>
        <v>ITM_DIV</v>
      </c>
      <c r="BG480" s="75"/>
      <c r="BI480" s="13" t="str">
        <f t="shared" si="173"/>
        <v xml:space="preserve">  {55,                  ITM_DIV,              -MNU_STAT,            -MNU_PLOTTING,        ITM_OBELUS,           ITM_Q,                ITM_q,                ITM_OBELUS,           ITM_DIV             },</v>
      </c>
    </row>
    <row r="481" spans="24:61" ht="21" x14ac:dyDescent="0.2">
      <c r="X481" s="141" t="str">
        <f t="shared" si="159"/>
        <v>R47bkfg</v>
      </c>
      <c r="Y481" s="138">
        <v>6</v>
      </c>
      <c r="Z481" s="138">
        <v>1</v>
      </c>
      <c r="AA481" s="144" t="str">
        <f t="shared" si="157"/>
        <v>R47bkfg.61</v>
      </c>
      <c r="AB481" s="148" t="str">
        <f t="shared" ref="AB481:AF481" si="195">AB436</f>
        <v>Up</v>
      </c>
      <c r="AC481" s="149" t="str">
        <f t="shared" si="195"/>
        <v>Scroll Up</v>
      </c>
      <c r="AD481" s="150" t="str">
        <f t="shared" si="195"/>
        <v>REGS</v>
      </c>
      <c r="AE481" s="3"/>
      <c r="AF481" s="52" t="str">
        <f t="shared" si="195"/>
        <v>&lt;-HOME</v>
      </c>
      <c r="AG481" s="77" t="b">
        <f t="shared" si="175"/>
        <v>0</v>
      </c>
      <c r="AH481" s="83" t="str">
        <f t="shared" si="165"/>
        <v>CASE UP</v>
      </c>
      <c r="AI481" s="84" t="str">
        <f t="shared" si="166"/>
        <v>Super</v>
      </c>
      <c r="AJ481" s="85" t="str">
        <f t="shared" si="167"/>
        <v>Up</v>
      </c>
      <c r="AK481" s="6"/>
      <c r="AL481" s="8" t="str">
        <f t="shared" si="168"/>
        <v>{61</v>
      </c>
      <c r="AM481" s="27" t="str">
        <f t="shared" si="169"/>
        <v>ITM_UP1</v>
      </c>
      <c r="AN481" s="27" t="str">
        <f t="shared" si="170"/>
        <v>ITM_BST</v>
      </c>
      <c r="AO481" s="27" t="str">
        <f t="shared" si="171"/>
        <v>ITM_RBR</v>
      </c>
      <c r="AP481" s="46" t="str">
        <f>IF(NOT(ISNA(MATCH(AM481,Lookups!E:E,))),VLOOKUP(AM481,Lookups!E:F,2,0),
IF(NOT(ISNA(MATCH(AN481,Lookups!E:E,))),VLOOKUP(AN481,Lookups!E:F,2,0),
IF(NOT(ISNA(MATCH(AO481,Lookups!E:E,))),VLOOKUP(AO481,Lookups!E:F,2,0),"ITM_NULL")))</f>
        <v>ITM_UP1</v>
      </c>
      <c r="AQ481" s="28" t="str">
        <f t="shared" si="172"/>
        <v>ITM_T_HOME</v>
      </c>
      <c r="AR481" s="198" t="s">
        <v>163</v>
      </c>
      <c r="AS481" s="186" t="s">
        <v>164</v>
      </c>
      <c r="AT481" s="197" t="s">
        <v>165</v>
      </c>
      <c r="AW481" s="14" t="str">
        <f t="shared" si="176"/>
        <v>{61</v>
      </c>
      <c r="AX481" s="157" t="str" cm="1">
        <f t="array" ref="AX481">SUBSTITUTE(SUBSTITUTE(_xlfn.SWITCH(AM481, "ITM_T_HOME", "ITM_UP1", "ITM_T_END", "ITM_DOWN1", "DOCU_CHR_sub", "ITM_DOWN_ARROW", "DOCU_CHR_super", "ITM_UP_ARROW", "MNU_TAMALPHA", "ITM_alpha", "DOCU_CHR_caseFLIP", "ITM_NULL", "DOCU_CHR_numSET", "ITM_NULL", "DOCU_ITM_RADIX", "ITM_PERIOD", AM481), ".lo", ),"MNU_", "-MNU_")</f>
        <v>ITM_UP1</v>
      </c>
      <c r="AY481" s="157" t="str" cm="1">
        <f t="array" ref="AY481">SUBSTITUTE(SUBSTITUTE(_xlfn.SWITCH(AN481, "ITM_T_HOME", "ITM_UP1", "ITM_T_END", "ITM_DOWN1", "DOCU_CHR_sub", "ITM_DOWN_ARROW", "DOCU_CHR_super", "ITM_UP_ARROW", "MNU_TAMALPHA", "ITM_alpha", "DOCU_CHR_caseFLIP", "ITM_NULL", "DOCU_CHR_numSET", "ITM_NULL", "DOCU_ITM_RADIX", "ITM_PERIOD", AN481), ".lo", ),"MNU_", "-MNU_")</f>
        <v>ITM_BST</v>
      </c>
      <c r="AZ481" s="157" t="str" cm="1">
        <f t="array" ref="AZ481">SUBSTITUTE(SUBSTITUTE(_xlfn.SWITCH(AO481, "ITM_T_HOME", "ITM_UP1", "ITM_T_END", "ITM_DOWN1", "DOCU_CHR_sub", "ITM_DOWN_ARROW", "DOCU_CHR_super", "ITM_UP_ARROW", "MNU_TAMALPHA", "ITM_alpha", "DOCU_CHR_caseFLIP", "ITM_NULL", "DOCU_CHR_numSET", "ITM_NULL", "DOCU_ITM_RADIX", "ITM_PERIOD", AO481), ".lo", ),"MNU_", "-MNU_")</f>
        <v>ITM_RBR</v>
      </c>
      <c r="BA481" s="173" t="str" cm="1">
        <f t="array" ref="BA481">SUBSTITUTE(SUBSTITUTE(_xlfn.SWITCH(AP481, "ITM_T_HOME", "ITM_UP1", "ITM_T_END", "ITM_DOWN1", "DOCU_CHR_sub", "ITM_DOWN_ARROW", "DOCU_CHR_super", "ITM_UP_ARROW", "MNU_TAMALPHA", "ITM_alpha", "DOCU_CHR_caseFLIP", "ITM_NULL", "DOCU_CHR_numSET", "ITM_NULL", "DOCU_ITM_RADIX", "ITM_PERIOD", AP481), ".lo", ),"MNU_", "-MNU_")</f>
        <v>ITM_UP1</v>
      </c>
      <c r="BB481" s="157" t="str" cm="1">
        <f t="array" ref="BB481">SUBSTITUTE(SUBSTITUTE(_xlfn.SWITCH(AQ481, "ITM_T_HOME", "ITM_UP1", "ITM_T_END", "ITM_DOWN1", "DOCU_CHR_sub", "ITM_DOWN_ARROW", "DOCU_CHR_super", "ITM_UP_ARROW", "MNU_TAMALPHA", "ITM_alpha", "DOCU_CHR_caseFLIP", "ITM_NULL", "DOCU_CHR_numSET", "ITM_NULL", "DOCU_ITM_RADIX", "ITM_PERIOD", AQ481), ".lo", ),"MNU_", "-MNU_")</f>
        <v>ITM_UP1</v>
      </c>
      <c r="BC481" s="157" t="str" cm="1">
        <f t="array" ref="BC481">SUBSTITUTE(SUBSTITUTE(_xlfn.SWITCH(AR481, "ITM_T_HOME", "ITM_UP1", "ITM_T_END", "ITM_DOWN1", "DOCU_CHR_sub", "ITM_DOWN_ARROW", "DOCU_CHR_super", "ITM_UP_ARROW", "MNU_TAMALPHA", "ITM_alpha", "DOCU_CHR_caseFLIP", "ITM_NULL", "DOCU_CHR_numSET", "ITM_NULL", "DOCU_ITM_RADIX", "ITM_PERIOD", AR481), ".lo", ),"MNU_", "-MNU_")</f>
        <v>CHR_caseUP</v>
      </c>
      <c r="BD481" s="157" t="str" cm="1">
        <f t="array" ref="BD481">SUBSTITUTE(SUBSTITUTE(_xlfn.SWITCH(AS481, "ITM_T_HOME", "ITM_UP1", "ITM_T_END", "ITM_DOWN1", "DOCU_CHR_sub", "ITM_DOWN_ARROW", "DOCU_CHR_super", "ITM_UP_ARROW", "MNU_TAMALPHA", "ITM_alpha", "DOCU_CHR_caseFLIP", "ITM_NULL", "DOCU_CHR_numSET", "ITM_NULL", "DOCU_ITM_RADIX", "ITM_PERIOD", AS481), ".lo", ),"MNU_", "-MNU_")</f>
        <v>ITM_UP_ARROW</v>
      </c>
      <c r="BE481" s="157" t="str" cm="1">
        <f t="array" ref="BE481">SUBSTITUTE(SUBSTITUTE(_xlfn.SWITCH(AT481, "ITM_T_HOME", "ITM_UP1", "ITM_T_END", "ITM_DOWN1", "DOCU_CHR_sub", "ITM_DOWN_ARROW", "DOCU_CHR_super", "ITM_UP_ARROW", "MNU_TAMALPHA", "ITM_alpha", "DOCU_CHR_caseFLIP", "ITM_NULL", "DOCU_CHR_numSET", "ITM_NULL", "DOCU_ITM_RADIX", "ITM_PERIOD", AT481), ".lo", ),"MNU_", "-MNU_")</f>
        <v>ITM_UP1</v>
      </c>
      <c r="BG481" s="75"/>
      <c r="BI481" s="13" t="str">
        <f t="shared" si="173"/>
        <v xml:space="preserve">  {61,                  ITM_UP1,              ITM_BST,              ITM_RBR,              ITM_UP1,              ITM_UP1,              CHR_caseUP,           ITM_UP_ARROW,         ITM_UP1             },</v>
      </c>
    </row>
    <row r="482" spans="24:61" ht="21" x14ac:dyDescent="0.2">
      <c r="X482" s="141" t="str">
        <f t="shared" si="159"/>
        <v>R47bkfg</v>
      </c>
      <c r="Y482" s="142">
        <v>6</v>
      </c>
      <c r="Z482" s="142">
        <v>2</v>
      </c>
      <c r="AA482" s="144" t="str">
        <f t="shared" si="157"/>
        <v>R47bkfg.62</v>
      </c>
      <c r="AB482" s="148">
        <f t="shared" ref="AB482:AF482" si="196">AB437</f>
        <v>4</v>
      </c>
      <c r="AC482" s="149" t="str">
        <f t="shared" si="196"/>
        <v>[ BASE ]</v>
      </c>
      <c r="AD482" s="150" t="str">
        <f t="shared" si="196"/>
        <v>[ BITS ]</v>
      </c>
      <c r="AE482" s="3"/>
      <c r="AF482" s="52" t="str">
        <f t="shared" si="196"/>
        <v>R</v>
      </c>
      <c r="AG482" s="77" t="b">
        <f t="shared" si="175"/>
        <v>1</v>
      </c>
      <c r="AH482" s="83" t="str">
        <f t="shared" si="165"/>
        <v>r</v>
      </c>
      <c r="AI482" s="84">
        <f t="shared" si="166"/>
        <v>4</v>
      </c>
      <c r="AJ482" s="85">
        <f t="shared" si="167"/>
        <v>4</v>
      </c>
      <c r="AK482" s="6"/>
      <c r="AL482" s="8" t="str">
        <f t="shared" si="168"/>
        <v>{62</v>
      </c>
      <c r="AM482" s="27" t="str">
        <f t="shared" si="169"/>
        <v>ITM_4</v>
      </c>
      <c r="AN482" s="27" t="str">
        <f t="shared" si="170"/>
        <v>MNU_BASE</v>
      </c>
      <c r="AO482" s="27" t="str">
        <f t="shared" si="171"/>
        <v>MNU_BITS</v>
      </c>
      <c r="AP482" s="46" t="str">
        <f>IF(NOT(ISNA(MATCH(AM482,Lookups!E:E,))),VLOOKUP(AM482,Lookups!E:F,2,0),
IF(NOT(ISNA(MATCH(AN482,Lookups!E:E,))),VLOOKUP(AN482,Lookups!E:F,2,0),
IF(NOT(ISNA(MATCH(AO482,Lookups!E:E,))),VLOOKUP(AO482,Lookups!E:F,2,0),"ITM_NULL")))</f>
        <v>ITM_4</v>
      </c>
      <c r="AQ482" s="28" t="str">
        <f t="shared" si="172"/>
        <v>ITM_R</v>
      </c>
      <c r="AR482" s="195" t="s">
        <v>179</v>
      </c>
      <c r="AS482" s="186" t="s">
        <v>199</v>
      </c>
      <c r="AT482" s="197" t="s">
        <v>199</v>
      </c>
      <c r="AW482" s="14" t="str">
        <f t="shared" si="176"/>
        <v>{62</v>
      </c>
      <c r="AX482" s="157" t="str" cm="1">
        <f t="array" ref="AX482">SUBSTITUTE(SUBSTITUTE(_xlfn.SWITCH(AM482, "ITM_T_HOME", "ITM_UP1", "ITM_T_END", "ITM_DOWN1", "DOCU_CHR_sub", "ITM_DOWN_ARROW", "DOCU_CHR_super", "ITM_UP_ARROW", "MNU_TAMALPHA", "ITM_alpha", "DOCU_CHR_caseFLIP", "ITM_NULL", "DOCU_CHR_numSET", "ITM_NULL", "DOCU_ITM_RADIX", "ITM_PERIOD", AM482), ".lo", ),"MNU_", "-MNU_")</f>
        <v>ITM_4</v>
      </c>
      <c r="AY482" s="157" t="str" cm="1">
        <f t="array" ref="AY482">SUBSTITUTE(SUBSTITUTE(_xlfn.SWITCH(AN482, "ITM_T_HOME", "ITM_UP1", "ITM_T_END", "ITM_DOWN1", "DOCU_CHR_sub", "ITM_DOWN_ARROW", "DOCU_CHR_super", "ITM_UP_ARROW", "MNU_TAMALPHA", "ITM_alpha", "DOCU_CHR_caseFLIP", "ITM_NULL", "DOCU_CHR_numSET", "ITM_NULL", "DOCU_ITM_RADIX", "ITM_PERIOD", AN482), ".lo", ),"MNU_", "-MNU_")</f>
        <v>-MNU_BASE</v>
      </c>
      <c r="AZ482" s="157" t="str" cm="1">
        <f t="array" ref="AZ482">SUBSTITUTE(SUBSTITUTE(_xlfn.SWITCH(AO482, "ITM_T_HOME", "ITM_UP1", "ITM_T_END", "ITM_DOWN1", "DOCU_CHR_sub", "ITM_DOWN_ARROW", "DOCU_CHR_super", "ITM_UP_ARROW", "MNU_TAMALPHA", "ITM_alpha", "DOCU_CHR_caseFLIP", "ITM_NULL", "DOCU_CHR_numSET", "ITM_NULL", "DOCU_ITM_RADIX", "ITM_PERIOD", AO482), ".lo", ),"MNU_", "-MNU_")</f>
        <v>-MNU_BITS</v>
      </c>
      <c r="BA482" s="173" t="str" cm="1">
        <f t="array" ref="BA482">SUBSTITUTE(SUBSTITUTE(_xlfn.SWITCH(AP482, "ITM_T_HOME", "ITM_UP1", "ITM_T_END", "ITM_DOWN1", "DOCU_CHR_sub", "ITM_DOWN_ARROW", "DOCU_CHR_super", "ITM_UP_ARROW", "MNU_TAMALPHA", "ITM_alpha", "DOCU_CHR_caseFLIP", "ITM_NULL", "DOCU_CHR_numSET", "ITM_NULL", "DOCU_ITM_RADIX", "ITM_PERIOD", AP482), ".lo", ),"MNU_", "-MNU_")</f>
        <v>ITM_4</v>
      </c>
      <c r="BB482" s="157" t="str" cm="1">
        <f t="array" ref="BB482">SUBSTITUTE(SUBSTITUTE(_xlfn.SWITCH(AQ482, "ITM_T_HOME", "ITM_UP1", "ITM_T_END", "ITM_DOWN1", "DOCU_CHR_sub", "ITM_DOWN_ARROW", "DOCU_CHR_super", "ITM_UP_ARROW", "MNU_TAMALPHA", "ITM_alpha", "DOCU_CHR_caseFLIP", "ITM_NULL", "DOCU_CHR_numSET", "ITM_NULL", "DOCU_ITM_RADIX", "ITM_PERIOD", AQ482), ".lo", ),"MNU_", "-MNU_")</f>
        <v>ITM_R</v>
      </c>
      <c r="BC482" s="157" t="str" cm="1">
        <f t="array" ref="BC482">SUBSTITUTE(SUBSTITUTE(_xlfn.SWITCH(AR482, "ITM_T_HOME", "ITM_UP1", "ITM_T_END", "ITM_DOWN1", "DOCU_CHR_sub", "ITM_DOWN_ARROW", "DOCU_CHR_super", "ITM_UP_ARROW", "MNU_TAMALPHA", "ITM_alpha", "DOCU_CHR_caseFLIP", "ITM_NULL", "DOCU_CHR_numSET", "ITM_NULL", "DOCU_ITM_RADIX", "ITM_PERIOD", AR482), ".lo", ),"MNU_", "-MNU_")</f>
        <v>ITM_r</v>
      </c>
      <c r="BD482" s="157" t="str" cm="1">
        <f t="array" ref="BD482">SUBSTITUTE(SUBSTITUTE(_xlfn.SWITCH(AS482, "ITM_T_HOME", "ITM_UP1", "ITM_T_END", "ITM_DOWN1", "DOCU_CHR_sub", "ITM_DOWN_ARROW", "DOCU_CHR_super", "ITM_UP_ARROW", "MNU_TAMALPHA", "ITM_alpha", "DOCU_CHR_caseFLIP", "ITM_NULL", "DOCU_CHR_numSET", "ITM_NULL", "DOCU_ITM_RADIX", "ITM_PERIOD", AS482), ".lo", ),"MNU_", "-MNU_")</f>
        <v>ITM_4</v>
      </c>
      <c r="BE482" s="157" t="str" cm="1">
        <f t="array" ref="BE482">SUBSTITUTE(SUBSTITUTE(_xlfn.SWITCH(AT482, "ITM_T_HOME", "ITM_UP1", "ITM_T_END", "ITM_DOWN1", "DOCU_CHR_sub", "ITM_DOWN_ARROW", "DOCU_CHR_super", "ITM_UP_ARROW", "MNU_TAMALPHA", "ITM_alpha", "DOCU_CHR_caseFLIP", "ITM_NULL", "DOCU_CHR_numSET", "ITM_NULL", "DOCU_ITM_RADIX", "ITM_PERIOD", AT482), ".lo", ),"MNU_", "-MNU_")</f>
        <v>ITM_4</v>
      </c>
      <c r="BG482" s="75"/>
      <c r="BI482" s="13" t="str">
        <f t="shared" si="173"/>
        <v xml:space="preserve">  {62,                  ITM_4,                -MNU_BASE,            -MNU_BITS,            ITM_4,                ITM_R,                ITM_r,                ITM_4,                ITM_4               },</v>
      </c>
    </row>
    <row r="483" spans="24:61" ht="21" x14ac:dyDescent="0.2">
      <c r="X483" s="141" t="str">
        <f t="shared" si="159"/>
        <v>R47bkfg</v>
      </c>
      <c r="Y483" s="142">
        <v>6</v>
      </c>
      <c r="Z483" s="142">
        <v>3</v>
      </c>
      <c r="AA483" s="144" t="str">
        <f t="shared" si="157"/>
        <v>R47bkfg.63</v>
      </c>
      <c r="AB483" s="148">
        <f t="shared" ref="AB483:AF483" si="197">AB438</f>
        <v>5</v>
      </c>
      <c r="AC483" s="149" t="str">
        <f t="shared" si="197"/>
        <v>[ INTS ]</v>
      </c>
      <c r="AD483" s="150" t="str">
        <f t="shared" si="197"/>
        <v>[ REAL ]</v>
      </c>
      <c r="AE483" s="3"/>
      <c r="AF483" s="52" t="str">
        <f t="shared" si="197"/>
        <v>S</v>
      </c>
      <c r="AG483" s="77" t="b">
        <f t="shared" si="175"/>
        <v>1</v>
      </c>
      <c r="AH483" s="83" t="str">
        <f t="shared" si="165"/>
        <v>s</v>
      </c>
      <c r="AI483" s="84">
        <f t="shared" si="166"/>
        <v>5</v>
      </c>
      <c r="AJ483" s="85">
        <f t="shared" si="167"/>
        <v>5</v>
      </c>
      <c r="AK483" s="6"/>
      <c r="AL483" s="8" t="str">
        <f t="shared" si="168"/>
        <v>{63</v>
      </c>
      <c r="AM483" s="27" t="str">
        <f t="shared" si="169"/>
        <v>ITM_5</v>
      </c>
      <c r="AN483" s="27" t="str">
        <f t="shared" si="170"/>
        <v>MNU_INTS</v>
      </c>
      <c r="AO483" s="27" t="str">
        <f t="shared" si="171"/>
        <v>MNU_PARTS</v>
      </c>
      <c r="AP483" s="46" t="str">
        <f>IF(NOT(ISNA(MATCH(AM483,Lookups!E:E,))),VLOOKUP(AM483,Lookups!E:F,2,0),
IF(NOT(ISNA(MATCH(AN483,Lookups!E:E,))),VLOOKUP(AN483,Lookups!E:F,2,0),
IF(NOT(ISNA(MATCH(AO483,Lookups!E:E,))),VLOOKUP(AO483,Lookups!E:F,2,0),"ITM_NULL")))</f>
        <v>ITM_5</v>
      </c>
      <c r="AQ483" s="28" t="str">
        <f t="shared" si="172"/>
        <v>ITM_S</v>
      </c>
      <c r="AR483" s="195" t="s">
        <v>185</v>
      </c>
      <c r="AS483" s="186" t="s">
        <v>204</v>
      </c>
      <c r="AT483" s="197" t="s">
        <v>204</v>
      </c>
      <c r="AW483" s="14" t="str">
        <f t="shared" si="176"/>
        <v>{63</v>
      </c>
      <c r="AX483" s="157" t="str" cm="1">
        <f t="array" ref="AX483">SUBSTITUTE(SUBSTITUTE(_xlfn.SWITCH(AM483, "ITM_T_HOME", "ITM_UP1", "ITM_T_END", "ITM_DOWN1", "DOCU_CHR_sub", "ITM_DOWN_ARROW", "DOCU_CHR_super", "ITM_UP_ARROW", "MNU_TAMALPHA", "ITM_alpha", "DOCU_CHR_caseFLIP", "ITM_NULL", "DOCU_CHR_numSET", "ITM_NULL", "DOCU_ITM_RADIX", "ITM_PERIOD", AM483), ".lo", ),"MNU_", "-MNU_")</f>
        <v>ITM_5</v>
      </c>
      <c r="AY483" s="157" t="str" cm="1">
        <f t="array" ref="AY483">SUBSTITUTE(SUBSTITUTE(_xlfn.SWITCH(AN483, "ITM_T_HOME", "ITM_UP1", "ITM_T_END", "ITM_DOWN1", "DOCU_CHR_sub", "ITM_DOWN_ARROW", "DOCU_CHR_super", "ITM_UP_ARROW", "MNU_TAMALPHA", "ITM_alpha", "DOCU_CHR_caseFLIP", "ITM_NULL", "DOCU_CHR_numSET", "ITM_NULL", "DOCU_ITM_RADIX", "ITM_PERIOD", AN483), ".lo", ),"MNU_", "-MNU_")</f>
        <v>-MNU_INTS</v>
      </c>
      <c r="AZ483" s="157" t="str" cm="1">
        <f t="array" ref="AZ483">SUBSTITUTE(SUBSTITUTE(_xlfn.SWITCH(AO483, "ITM_T_HOME", "ITM_UP1", "ITM_T_END", "ITM_DOWN1", "DOCU_CHR_sub", "ITM_DOWN_ARROW", "DOCU_CHR_super", "ITM_UP_ARROW", "MNU_TAMALPHA", "ITM_alpha", "DOCU_CHR_caseFLIP", "ITM_NULL", "DOCU_CHR_numSET", "ITM_NULL", "DOCU_ITM_RADIX", "ITM_PERIOD", AO483), ".lo", ),"MNU_", "-MNU_")</f>
        <v>-MNU_PARTS</v>
      </c>
      <c r="BA483" s="173" t="str" cm="1">
        <f t="array" ref="BA483">SUBSTITUTE(SUBSTITUTE(_xlfn.SWITCH(AP483, "ITM_T_HOME", "ITM_UP1", "ITM_T_END", "ITM_DOWN1", "DOCU_CHR_sub", "ITM_DOWN_ARROW", "DOCU_CHR_super", "ITM_UP_ARROW", "MNU_TAMALPHA", "ITM_alpha", "DOCU_CHR_caseFLIP", "ITM_NULL", "DOCU_CHR_numSET", "ITM_NULL", "DOCU_ITM_RADIX", "ITM_PERIOD", AP483), ".lo", ),"MNU_", "-MNU_")</f>
        <v>ITM_5</v>
      </c>
      <c r="BB483" s="157" t="str" cm="1">
        <f t="array" ref="BB483">SUBSTITUTE(SUBSTITUTE(_xlfn.SWITCH(AQ483, "ITM_T_HOME", "ITM_UP1", "ITM_T_END", "ITM_DOWN1", "DOCU_CHR_sub", "ITM_DOWN_ARROW", "DOCU_CHR_super", "ITM_UP_ARROW", "MNU_TAMALPHA", "ITM_alpha", "DOCU_CHR_caseFLIP", "ITM_NULL", "DOCU_CHR_numSET", "ITM_NULL", "DOCU_ITM_RADIX", "ITM_PERIOD", AQ483), ".lo", ),"MNU_", "-MNU_")</f>
        <v>ITM_S</v>
      </c>
      <c r="BC483" s="157" t="str" cm="1">
        <f t="array" ref="BC483">SUBSTITUTE(SUBSTITUTE(_xlfn.SWITCH(AR483, "ITM_T_HOME", "ITM_UP1", "ITM_T_END", "ITM_DOWN1", "DOCU_CHR_sub", "ITM_DOWN_ARROW", "DOCU_CHR_super", "ITM_UP_ARROW", "MNU_TAMALPHA", "ITM_alpha", "DOCU_CHR_caseFLIP", "ITM_NULL", "DOCU_CHR_numSET", "ITM_NULL", "DOCU_ITM_RADIX", "ITM_PERIOD", AR483), ".lo", ),"MNU_", "-MNU_")</f>
        <v>ITM_s</v>
      </c>
      <c r="BD483" s="157" t="str" cm="1">
        <f t="array" ref="BD483">SUBSTITUTE(SUBSTITUTE(_xlfn.SWITCH(AS483, "ITM_T_HOME", "ITM_UP1", "ITM_T_END", "ITM_DOWN1", "DOCU_CHR_sub", "ITM_DOWN_ARROW", "DOCU_CHR_super", "ITM_UP_ARROW", "MNU_TAMALPHA", "ITM_alpha", "DOCU_CHR_caseFLIP", "ITM_NULL", "DOCU_CHR_numSET", "ITM_NULL", "DOCU_ITM_RADIX", "ITM_PERIOD", AS483), ".lo", ),"MNU_", "-MNU_")</f>
        <v>ITM_5</v>
      </c>
      <c r="BE483" s="157" t="str" cm="1">
        <f t="array" ref="BE483">SUBSTITUTE(SUBSTITUTE(_xlfn.SWITCH(AT483, "ITM_T_HOME", "ITM_UP1", "ITM_T_END", "ITM_DOWN1", "DOCU_CHR_sub", "ITM_DOWN_ARROW", "DOCU_CHR_super", "ITM_UP_ARROW", "MNU_TAMALPHA", "ITM_alpha", "DOCU_CHR_caseFLIP", "ITM_NULL", "DOCU_CHR_numSET", "ITM_NULL", "DOCU_ITM_RADIX", "ITM_PERIOD", AT483), ".lo", ),"MNU_", "-MNU_")</f>
        <v>ITM_5</v>
      </c>
      <c r="BG483" s="75"/>
      <c r="BI483" s="13" t="str">
        <f t="shared" si="173"/>
        <v xml:space="preserve">  {63,                  ITM_5,                -MNU_INTS,            -MNU_PARTS,           ITM_5,                ITM_S,                ITM_s,                ITM_5,                ITM_5               },</v>
      </c>
    </row>
    <row r="484" spans="24:61" ht="21" x14ac:dyDescent="0.2">
      <c r="X484" s="141" t="str">
        <f t="shared" si="159"/>
        <v>R47bkfg</v>
      </c>
      <c r="Y484" s="142">
        <v>6</v>
      </c>
      <c r="Z484" s="142">
        <v>4</v>
      </c>
      <c r="AA484" s="144" t="str">
        <f t="shared" si="157"/>
        <v>R47bkfg.64</v>
      </c>
      <c r="AB484" s="148">
        <f t="shared" ref="AB484:AF484" si="198">AB439</f>
        <v>6</v>
      </c>
      <c r="AC484" s="149" t="str">
        <f t="shared" si="198"/>
        <v>[ MATX ]</v>
      </c>
      <c r="AD484" s="150" t="str">
        <f t="shared" si="198"/>
        <v>[ X.FN ]</v>
      </c>
      <c r="AE484" s="3"/>
      <c r="AF484" s="52" t="str">
        <f t="shared" si="198"/>
        <v>T</v>
      </c>
      <c r="AG484" s="77" t="b">
        <f t="shared" si="175"/>
        <v>1</v>
      </c>
      <c r="AH484" s="83" t="str">
        <f t="shared" si="165"/>
        <v>t</v>
      </c>
      <c r="AI484" s="84">
        <f t="shared" si="166"/>
        <v>6</v>
      </c>
      <c r="AJ484" s="85">
        <f t="shared" si="167"/>
        <v>6</v>
      </c>
      <c r="AK484" s="6"/>
      <c r="AL484" s="8" t="str">
        <f t="shared" si="168"/>
        <v>{64</v>
      </c>
      <c r="AM484" s="27" t="str">
        <f t="shared" si="169"/>
        <v>ITM_6</v>
      </c>
      <c r="AN484" s="27" t="str">
        <f t="shared" si="170"/>
        <v>MNU_MATX</v>
      </c>
      <c r="AO484" s="27" t="str">
        <f t="shared" si="171"/>
        <v>MNU_XFN</v>
      </c>
      <c r="AP484" s="46" t="str">
        <f>IF(NOT(ISNA(MATCH(AM484,Lookups!E:E,))),VLOOKUP(AM484,Lookups!E:F,2,0),
IF(NOT(ISNA(MATCH(AN484,Lookups!E:E,))),VLOOKUP(AN484,Lookups!E:F,2,0),
IF(NOT(ISNA(MATCH(AO484,Lookups!E:E,))),VLOOKUP(AO484,Lookups!E:F,2,0),"ITM_NULL")))</f>
        <v>ITM_6</v>
      </c>
      <c r="AQ484" s="28" t="str">
        <f t="shared" si="172"/>
        <v>ITM_T</v>
      </c>
      <c r="AR484" s="195" t="s">
        <v>198</v>
      </c>
      <c r="AS484" s="186" t="s">
        <v>209</v>
      </c>
      <c r="AT484" s="197" t="s">
        <v>209</v>
      </c>
      <c r="AW484" s="14" t="str">
        <f t="shared" si="176"/>
        <v>{64</v>
      </c>
      <c r="AX484" s="157" t="str" cm="1">
        <f t="array" ref="AX484">SUBSTITUTE(SUBSTITUTE(_xlfn.SWITCH(AM484, "ITM_T_HOME", "ITM_UP1", "ITM_T_END", "ITM_DOWN1", "DOCU_CHR_sub", "ITM_DOWN_ARROW", "DOCU_CHR_super", "ITM_UP_ARROW", "MNU_TAMALPHA", "ITM_alpha", "DOCU_CHR_caseFLIP", "ITM_NULL", "DOCU_CHR_numSET", "ITM_NULL", "DOCU_ITM_RADIX", "ITM_PERIOD", AM484), ".lo", ),"MNU_", "-MNU_")</f>
        <v>ITM_6</v>
      </c>
      <c r="AY484" s="157" t="str" cm="1">
        <f t="array" ref="AY484">SUBSTITUTE(SUBSTITUTE(_xlfn.SWITCH(AN484, "ITM_T_HOME", "ITM_UP1", "ITM_T_END", "ITM_DOWN1", "DOCU_CHR_sub", "ITM_DOWN_ARROW", "DOCU_CHR_super", "ITM_UP_ARROW", "MNU_TAMALPHA", "ITM_alpha", "DOCU_CHR_caseFLIP", "ITM_NULL", "DOCU_CHR_numSET", "ITM_NULL", "DOCU_ITM_RADIX", "ITM_PERIOD", AN484), ".lo", ),"MNU_", "-MNU_")</f>
        <v>-MNU_MATX</v>
      </c>
      <c r="AZ484" s="157" t="str" cm="1">
        <f t="array" ref="AZ484">SUBSTITUTE(SUBSTITUTE(_xlfn.SWITCH(AO484, "ITM_T_HOME", "ITM_UP1", "ITM_T_END", "ITM_DOWN1", "DOCU_CHR_sub", "ITM_DOWN_ARROW", "DOCU_CHR_super", "ITM_UP_ARROW", "MNU_TAMALPHA", "ITM_alpha", "DOCU_CHR_caseFLIP", "ITM_NULL", "DOCU_CHR_numSET", "ITM_NULL", "DOCU_ITM_RADIX", "ITM_PERIOD", AO484), ".lo", ),"MNU_", "-MNU_")</f>
        <v>-MNU_XFN</v>
      </c>
      <c r="BA484" s="173" t="str" cm="1">
        <f t="array" ref="BA484">SUBSTITUTE(SUBSTITUTE(_xlfn.SWITCH(AP484, "ITM_T_HOME", "ITM_UP1", "ITM_T_END", "ITM_DOWN1", "DOCU_CHR_sub", "ITM_DOWN_ARROW", "DOCU_CHR_super", "ITM_UP_ARROW", "MNU_TAMALPHA", "ITM_alpha", "DOCU_CHR_caseFLIP", "ITM_NULL", "DOCU_CHR_numSET", "ITM_NULL", "DOCU_ITM_RADIX", "ITM_PERIOD", AP484), ".lo", ),"MNU_", "-MNU_")</f>
        <v>ITM_6</v>
      </c>
      <c r="BB484" s="157" t="str" cm="1">
        <f t="array" ref="BB484">SUBSTITUTE(SUBSTITUTE(_xlfn.SWITCH(AQ484, "ITM_T_HOME", "ITM_UP1", "ITM_T_END", "ITM_DOWN1", "DOCU_CHR_sub", "ITM_DOWN_ARROW", "DOCU_CHR_super", "ITM_UP_ARROW", "MNU_TAMALPHA", "ITM_alpha", "DOCU_CHR_caseFLIP", "ITM_NULL", "DOCU_CHR_numSET", "ITM_NULL", "DOCU_ITM_RADIX", "ITM_PERIOD", AQ484), ".lo", ),"MNU_", "-MNU_")</f>
        <v>ITM_T</v>
      </c>
      <c r="BC484" s="157" t="str" cm="1">
        <f t="array" ref="BC484">SUBSTITUTE(SUBSTITUTE(_xlfn.SWITCH(AR484, "ITM_T_HOME", "ITM_UP1", "ITM_T_END", "ITM_DOWN1", "DOCU_CHR_sub", "ITM_DOWN_ARROW", "DOCU_CHR_super", "ITM_UP_ARROW", "MNU_TAMALPHA", "ITM_alpha", "DOCU_CHR_caseFLIP", "ITM_NULL", "DOCU_CHR_numSET", "ITM_NULL", "DOCU_ITM_RADIX", "ITM_PERIOD", AR484), ".lo", ),"MNU_", "-MNU_")</f>
        <v>ITM_t</v>
      </c>
      <c r="BD484" s="157" t="str" cm="1">
        <f t="array" ref="BD484">SUBSTITUTE(SUBSTITUTE(_xlfn.SWITCH(AS484, "ITM_T_HOME", "ITM_UP1", "ITM_T_END", "ITM_DOWN1", "DOCU_CHR_sub", "ITM_DOWN_ARROW", "DOCU_CHR_super", "ITM_UP_ARROW", "MNU_TAMALPHA", "ITM_alpha", "DOCU_CHR_caseFLIP", "ITM_NULL", "DOCU_CHR_numSET", "ITM_NULL", "DOCU_ITM_RADIX", "ITM_PERIOD", AS484), ".lo", ),"MNU_", "-MNU_")</f>
        <v>ITM_6</v>
      </c>
      <c r="BE484" s="157" t="str" cm="1">
        <f t="array" ref="BE484">SUBSTITUTE(SUBSTITUTE(_xlfn.SWITCH(AT484, "ITM_T_HOME", "ITM_UP1", "ITM_T_END", "ITM_DOWN1", "DOCU_CHR_sub", "ITM_DOWN_ARROW", "DOCU_CHR_super", "ITM_UP_ARROW", "MNU_TAMALPHA", "ITM_alpha", "DOCU_CHR_caseFLIP", "ITM_NULL", "DOCU_CHR_numSET", "ITM_NULL", "DOCU_ITM_RADIX", "ITM_PERIOD", AT484), ".lo", ),"MNU_", "-MNU_")</f>
        <v>ITM_6</v>
      </c>
      <c r="BG484" s="75"/>
      <c r="BI484" s="13" t="str">
        <f t="shared" si="173"/>
        <v xml:space="preserve">  {64,                  ITM_6,                -MNU_MATX,            -MNU_XFN,             ITM_6,                ITM_T,                ITM_t,                ITM_6,                ITM_6               },</v>
      </c>
    </row>
    <row r="485" spans="24:61" ht="21" x14ac:dyDescent="0.2">
      <c r="X485" s="141" t="str">
        <f t="shared" si="159"/>
        <v>R47bkfg</v>
      </c>
      <c r="Y485" s="142">
        <v>6</v>
      </c>
      <c r="Z485" s="142">
        <v>5</v>
      </c>
      <c r="AA485" s="144" t="str">
        <f t="shared" si="157"/>
        <v>R47bkfg.65</v>
      </c>
      <c r="AB485" s="153" t="str">
        <f t="shared" ref="AB485:AF485" si="199">AB440</f>
        <v>✕</v>
      </c>
      <c r="AC485" s="149" t="str">
        <f t="shared" si="199"/>
        <v>[ EQN ]</v>
      </c>
      <c r="AD485" s="150" t="str">
        <f t="shared" si="199"/>
        <v>[ ADV ]</v>
      </c>
      <c r="AE485" s="3"/>
      <c r="AF485" s="52" t="str">
        <f t="shared" si="199"/>
        <v>U</v>
      </c>
      <c r="AG485" s="77" t="b">
        <f t="shared" si="175"/>
        <v>1</v>
      </c>
      <c r="AH485" s="83" t="str">
        <f t="shared" si="165"/>
        <v>u</v>
      </c>
      <c r="AI485" s="84" t="str">
        <f t="shared" si="166"/>
        <v>✕</v>
      </c>
      <c r="AJ485" s="85" t="str">
        <f t="shared" si="167"/>
        <v>✕</v>
      </c>
      <c r="AK485" s="6"/>
      <c r="AL485" s="8" t="str">
        <f t="shared" si="168"/>
        <v>{65</v>
      </c>
      <c r="AM485" s="27" t="str">
        <f t="shared" si="169"/>
        <v>ITM_MULT</v>
      </c>
      <c r="AN485" s="27" t="str">
        <f t="shared" si="170"/>
        <v>MNU_EQN</v>
      </c>
      <c r="AO485" s="27" t="str">
        <f t="shared" si="171"/>
        <v>MNU_ADV</v>
      </c>
      <c r="AP485" s="46" t="str">
        <f>IF(NOT(ISNA(MATCH(AM485,Lookups!E:E,))),VLOOKUP(AM485,Lookups!E:F,2,0),
IF(NOT(ISNA(MATCH(AN485,Lookups!E:E,))),VLOOKUP(AN485,Lookups!E:F,2,0),
IF(NOT(ISNA(MATCH(AO485,Lookups!E:E,))),VLOOKUP(AO485,Lookups!E:F,2,0),"ITM_NULL")))</f>
        <v>ITM_CROSS</v>
      </c>
      <c r="AQ485" s="28" t="str">
        <f t="shared" si="172"/>
        <v>ITM_U</v>
      </c>
      <c r="AR485" s="195" t="s">
        <v>203</v>
      </c>
      <c r="AS485" s="186" t="s">
        <v>215</v>
      </c>
      <c r="AT485" s="197" t="s">
        <v>216</v>
      </c>
      <c r="AW485" s="14" t="str">
        <f t="shared" si="176"/>
        <v>{65</v>
      </c>
      <c r="AX485" s="157" t="str" cm="1">
        <f t="array" ref="AX485">SUBSTITUTE(SUBSTITUTE(_xlfn.SWITCH(AM485, "ITM_T_HOME", "ITM_UP1", "ITM_T_END", "ITM_DOWN1", "DOCU_CHR_sub", "ITM_DOWN_ARROW", "DOCU_CHR_super", "ITM_UP_ARROW", "MNU_TAMALPHA", "ITM_alpha", "DOCU_CHR_caseFLIP", "ITM_NULL", "DOCU_CHR_numSET", "ITM_NULL", "DOCU_ITM_RADIX", "ITM_PERIOD", AM485), ".lo", ),"MNU_", "-MNU_")</f>
        <v>ITM_MULT</v>
      </c>
      <c r="AY485" s="157" t="str" cm="1">
        <f t="array" ref="AY485">SUBSTITUTE(SUBSTITUTE(_xlfn.SWITCH(AN485, "ITM_T_HOME", "ITM_UP1", "ITM_T_END", "ITM_DOWN1", "DOCU_CHR_sub", "ITM_DOWN_ARROW", "DOCU_CHR_super", "ITM_UP_ARROW", "MNU_TAMALPHA", "ITM_alpha", "DOCU_CHR_caseFLIP", "ITM_NULL", "DOCU_CHR_numSET", "ITM_NULL", "DOCU_ITM_RADIX", "ITM_PERIOD", AN485), ".lo", ),"MNU_", "-MNU_")</f>
        <v>-MNU_EQN</v>
      </c>
      <c r="AZ485" s="157" t="str" cm="1">
        <f t="array" ref="AZ485">SUBSTITUTE(SUBSTITUTE(_xlfn.SWITCH(AO485, "ITM_T_HOME", "ITM_UP1", "ITM_T_END", "ITM_DOWN1", "DOCU_CHR_sub", "ITM_DOWN_ARROW", "DOCU_CHR_super", "ITM_UP_ARROW", "MNU_TAMALPHA", "ITM_alpha", "DOCU_CHR_caseFLIP", "ITM_NULL", "DOCU_CHR_numSET", "ITM_NULL", "DOCU_ITM_RADIX", "ITM_PERIOD", AO485), ".lo", ),"MNU_", "-MNU_")</f>
        <v>-MNU_ADV</v>
      </c>
      <c r="BA485" s="173" t="str" cm="1">
        <f t="array" ref="BA485">SUBSTITUTE(SUBSTITUTE(_xlfn.SWITCH(AP485, "ITM_T_HOME", "ITM_UP1", "ITM_T_END", "ITM_DOWN1", "DOCU_CHR_sub", "ITM_DOWN_ARROW", "DOCU_CHR_super", "ITM_UP_ARROW", "MNU_TAMALPHA", "ITM_alpha", "DOCU_CHR_caseFLIP", "ITM_NULL", "DOCU_CHR_numSET", "ITM_NULL", "DOCU_ITM_RADIX", "ITM_PERIOD", AP485), ".lo", ),"MNU_", "-MNU_")</f>
        <v>ITM_CROSS</v>
      </c>
      <c r="BB485" s="157" t="str" cm="1">
        <f t="array" ref="BB485">SUBSTITUTE(SUBSTITUTE(_xlfn.SWITCH(AQ485, "ITM_T_HOME", "ITM_UP1", "ITM_T_END", "ITM_DOWN1", "DOCU_CHR_sub", "ITM_DOWN_ARROW", "DOCU_CHR_super", "ITM_UP_ARROW", "MNU_TAMALPHA", "ITM_alpha", "DOCU_CHR_caseFLIP", "ITM_NULL", "DOCU_CHR_numSET", "ITM_NULL", "DOCU_ITM_RADIX", "ITM_PERIOD", AQ485), ".lo", ),"MNU_", "-MNU_")</f>
        <v>ITM_U</v>
      </c>
      <c r="BC485" s="157" t="str" cm="1">
        <f t="array" ref="BC485">SUBSTITUTE(SUBSTITUTE(_xlfn.SWITCH(AR485, "ITM_T_HOME", "ITM_UP1", "ITM_T_END", "ITM_DOWN1", "DOCU_CHR_sub", "ITM_DOWN_ARROW", "DOCU_CHR_super", "ITM_UP_ARROW", "MNU_TAMALPHA", "ITM_alpha", "DOCU_CHR_caseFLIP", "ITM_NULL", "DOCU_CHR_numSET", "ITM_NULL", "DOCU_ITM_RADIX", "ITM_PERIOD", AR485), ".lo", ),"MNU_", "-MNU_")</f>
        <v>ITM_u</v>
      </c>
      <c r="BD485" s="157" t="str" cm="1">
        <f t="array" ref="BD485">SUBSTITUTE(SUBSTITUTE(_xlfn.SWITCH(AS485, "ITM_T_HOME", "ITM_UP1", "ITM_T_END", "ITM_DOWN1", "DOCU_CHR_sub", "ITM_DOWN_ARROW", "DOCU_CHR_super", "ITM_UP_ARROW", "MNU_TAMALPHA", "ITM_alpha", "DOCU_CHR_caseFLIP", "ITM_NULL", "DOCU_CHR_numSET", "ITM_NULL", "DOCU_ITM_RADIX", "ITM_PERIOD", AS485), ".lo", ),"MNU_", "-MNU_")</f>
        <v>ITM_CROSS</v>
      </c>
      <c r="BE485" s="157" t="str" cm="1">
        <f t="array" ref="BE485">SUBSTITUTE(SUBSTITUTE(_xlfn.SWITCH(AT485, "ITM_T_HOME", "ITM_UP1", "ITM_T_END", "ITM_DOWN1", "DOCU_CHR_sub", "ITM_DOWN_ARROW", "DOCU_CHR_super", "ITM_UP_ARROW", "MNU_TAMALPHA", "ITM_alpha", "DOCU_CHR_caseFLIP", "ITM_NULL", "DOCU_CHR_numSET", "ITM_NULL", "DOCU_ITM_RADIX", "ITM_PERIOD", AT485), ".lo", ),"MNU_", "-MNU_")</f>
        <v>ITM_MULT</v>
      </c>
      <c r="BG485" s="75"/>
      <c r="BI485" s="13" t="str">
        <f t="shared" si="173"/>
        <v xml:space="preserve">  {65,                  ITM_MULT,             -MNU_EQN,             -MNU_ADV,             ITM_CROSS,            ITM_U,                ITM_u,                ITM_CROSS,            ITM_MULT            },</v>
      </c>
    </row>
    <row r="486" spans="24:61" ht="21" x14ac:dyDescent="0.2">
      <c r="X486" s="141" t="str">
        <f t="shared" si="159"/>
        <v>R47bkfg</v>
      </c>
      <c r="Y486" s="138">
        <v>7</v>
      </c>
      <c r="Z486" s="138">
        <v>1</v>
      </c>
      <c r="AA486" s="144" t="str">
        <f t="shared" si="157"/>
        <v>R47bkfg.71</v>
      </c>
      <c r="AB486" s="148" t="str">
        <f t="shared" ref="AB486:AF486" si="200">AB441</f>
        <v>Dn</v>
      </c>
      <c r="AC486" s="149" t="str">
        <f t="shared" si="200"/>
        <v>Scroll Dn</v>
      </c>
      <c r="AD486" s="150" t="str">
        <f t="shared" si="200"/>
        <v>FLGS</v>
      </c>
      <c r="AE486" s="3"/>
      <c r="AF486" s="52" t="str">
        <f t="shared" si="200"/>
        <v>END-&gt;</v>
      </c>
      <c r="AG486" s="77" t="b">
        <f t="shared" si="175"/>
        <v>0</v>
      </c>
      <c r="AH486" s="83" t="str">
        <f t="shared" si="165"/>
        <v>CASE DN</v>
      </c>
      <c r="AI486" s="84" t="str">
        <f t="shared" si="166"/>
        <v>Sub</v>
      </c>
      <c r="AJ486" s="85" t="str">
        <f t="shared" si="167"/>
        <v>Dn</v>
      </c>
      <c r="AK486" s="6"/>
      <c r="AL486" s="8" t="str">
        <f t="shared" si="168"/>
        <v>{71</v>
      </c>
      <c r="AM486" s="27" t="str">
        <f t="shared" si="169"/>
        <v>ITM_DOWN1</v>
      </c>
      <c r="AN486" s="27" t="str">
        <f t="shared" si="170"/>
        <v>ITM_SST</v>
      </c>
      <c r="AO486" s="27" t="str">
        <f t="shared" si="171"/>
        <v>ITM_FLGSV</v>
      </c>
      <c r="AP486" s="46" t="str">
        <f>IF(NOT(ISNA(MATCH(AM486,Lookups!E:E,))),VLOOKUP(AM486,Lookups!E:F,2,0),
IF(NOT(ISNA(MATCH(AN486,Lookups!E:E,))),VLOOKUP(AN486,Lookups!E:F,2,0),
IF(NOT(ISNA(MATCH(AO486,Lookups!E:E,))),VLOOKUP(AO486,Lookups!E:F,2,0),"ITM_NULL")))</f>
        <v>ITM_DOWN1</v>
      </c>
      <c r="AQ486" s="28" t="str">
        <f>VLOOKUP(AF486,labelitem,2,0)</f>
        <v>ITM_T_END</v>
      </c>
      <c r="AR486" s="198" t="s">
        <v>192</v>
      </c>
      <c r="AS486" s="186" t="s">
        <v>193</v>
      </c>
      <c r="AT486" s="197" t="s">
        <v>194</v>
      </c>
      <c r="AW486" s="14" t="str">
        <f t="shared" si="176"/>
        <v>{71</v>
      </c>
      <c r="AX486" s="157" t="str" cm="1">
        <f t="array" ref="AX486">SUBSTITUTE(SUBSTITUTE(_xlfn.SWITCH(AM486, "ITM_T_HOME", "ITM_UP1", "ITM_T_END", "ITM_DOWN1", "DOCU_CHR_sub", "ITM_DOWN_ARROW", "DOCU_CHR_super", "ITM_UP_ARROW", "MNU_TAMALPHA", "ITM_alpha", "DOCU_CHR_caseFLIP", "ITM_NULL", "DOCU_CHR_numSET", "ITM_NULL", "DOCU_ITM_RADIX", "ITM_PERIOD", AM486), ".lo", ),"MNU_", "-MNU_")</f>
        <v>ITM_DOWN1</v>
      </c>
      <c r="AY486" s="157" t="str" cm="1">
        <f t="array" ref="AY486">SUBSTITUTE(SUBSTITUTE(_xlfn.SWITCH(AN486, "ITM_T_HOME", "ITM_UP1", "ITM_T_END", "ITM_DOWN1", "DOCU_CHR_sub", "ITM_DOWN_ARROW", "DOCU_CHR_super", "ITM_UP_ARROW", "MNU_TAMALPHA", "ITM_alpha", "DOCU_CHR_caseFLIP", "ITM_NULL", "DOCU_CHR_numSET", "ITM_NULL", "DOCU_ITM_RADIX", "ITM_PERIOD", AN486), ".lo", ),"MNU_", "-MNU_")</f>
        <v>ITM_SST</v>
      </c>
      <c r="AZ486" s="157" t="str" cm="1">
        <f t="array" ref="AZ486">SUBSTITUTE(SUBSTITUTE(_xlfn.SWITCH(AO486, "ITM_T_HOME", "ITM_UP1", "ITM_T_END", "ITM_DOWN1", "DOCU_CHR_sub", "ITM_DOWN_ARROW", "DOCU_CHR_super", "ITM_UP_ARROW", "MNU_TAMALPHA", "ITM_alpha", "DOCU_CHR_caseFLIP", "ITM_NULL", "DOCU_CHR_numSET", "ITM_NULL", "DOCU_ITM_RADIX", "ITM_PERIOD", AO486), ".lo", ),"MNU_", "-MNU_")</f>
        <v>ITM_FLGSV</v>
      </c>
      <c r="BA486" s="173" t="str" cm="1">
        <f t="array" ref="BA486">SUBSTITUTE(SUBSTITUTE(_xlfn.SWITCH(AP486, "ITM_T_HOME", "ITM_UP1", "ITM_T_END", "ITM_DOWN1", "DOCU_CHR_sub", "ITM_DOWN_ARROW", "DOCU_CHR_super", "ITM_UP_ARROW", "MNU_TAMALPHA", "ITM_alpha", "DOCU_CHR_caseFLIP", "ITM_NULL", "DOCU_CHR_numSET", "ITM_NULL", "DOCU_ITM_RADIX", "ITM_PERIOD", AP486), ".lo", ),"MNU_", "-MNU_")</f>
        <v>ITM_DOWN1</v>
      </c>
      <c r="BB486" s="157" t="str" cm="1">
        <f t="array" ref="BB486">SUBSTITUTE(SUBSTITUTE(_xlfn.SWITCH(AQ486, "ITM_T_HOME", "ITM_UP1", "ITM_T_END", "ITM_DOWN1", "DOCU_CHR_sub", "ITM_DOWN_ARROW", "DOCU_CHR_super", "ITM_UP_ARROW", "MNU_TAMALPHA", "ITM_alpha", "DOCU_CHR_caseFLIP", "ITM_NULL", "DOCU_CHR_numSET", "ITM_NULL", "DOCU_ITM_RADIX", "ITM_PERIOD", AQ486), ".lo", ),"MNU_", "-MNU_")</f>
        <v>ITM_DOWN1</v>
      </c>
      <c r="BC486" s="157" t="str" cm="1">
        <f t="array" ref="BC486">SUBSTITUTE(SUBSTITUTE(_xlfn.SWITCH(AR486, "ITM_T_HOME", "ITM_UP1", "ITM_T_END", "ITM_DOWN1", "DOCU_CHR_sub", "ITM_DOWN_ARROW", "DOCU_CHR_super", "ITM_UP_ARROW", "MNU_TAMALPHA", "ITM_alpha", "DOCU_CHR_caseFLIP", "ITM_NULL", "DOCU_CHR_numSET", "ITM_NULL", "DOCU_ITM_RADIX", "ITM_PERIOD", AR486), ".lo", ),"MNU_", "-MNU_")</f>
        <v>CHR_caseDN</v>
      </c>
      <c r="BD486" s="157" t="str" cm="1">
        <f t="array" ref="BD486">SUBSTITUTE(SUBSTITUTE(_xlfn.SWITCH(AS486, "ITM_T_HOME", "ITM_UP1", "ITM_T_END", "ITM_DOWN1", "DOCU_CHR_sub", "ITM_DOWN_ARROW", "DOCU_CHR_super", "ITM_UP_ARROW", "MNU_TAMALPHA", "ITM_alpha", "DOCU_CHR_caseFLIP", "ITM_NULL", "DOCU_CHR_numSET", "ITM_NULL", "DOCU_ITM_RADIX", "ITM_PERIOD", AS486), ".lo", ),"MNU_", "-MNU_")</f>
        <v>ITM_DOWN_ARROW</v>
      </c>
      <c r="BE486" s="157" t="str" cm="1">
        <f t="array" ref="BE486">SUBSTITUTE(SUBSTITUTE(_xlfn.SWITCH(AT486, "ITM_T_HOME", "ITM_UP1", "ITM_T_END", "ITM_DOWN1", "DOCU_CHR_sub", "ITM_DOWN_ARROW", "DOCU_CHR_super", "ITM_UP_ARROW", "MNU_TAMALPHA", "ITM_alpha", "DOCU_CHR_caseFLIP", "ITM_NULL", "DOCU_CHR_numSET", "ITM_NULL", "DOCU_ITM_RADIX", "ITM_PERIOD", AT486), ".lo", ),"MNU_", "-MNU_")</f>
        <v>ITM_DOWN1</v>
      </c>
      <c r="BG486" s="75"/>
      <c r="BI486" s="13" t="str">
        <f t="shared" si="173"/>
        <v xml:space="preserve">  {71,                  ITM_DOWN1,            ITM_SST,              ITM_FLGSV,            ITM_DOWN1,            ITM_DOWN1,            CHR_caseDN,           ITM_DOWN_ARROW,       ITM_DOWN1           },</v>
      </c>
    </row>
    <row r="487" spans="24:61" ht="21" x14ac:dyDescent="0.2">
      <c r="X487" s="141" t="str">
        <f t="shared" si="159"/>
        <v>R47bkfg</v>
      </c>
      <c r="Y487" s="142">
        <v>7</v>
      </c>
      <c r="Z487" s="142">
        <v>2</v>
      </c>
      <c r="AA487" s="144" t="str">
        <f t="shared" si="157"/>
        <v>R47bkfg.72</v>
      </c>
      <c r="AB487" s="148">
        <f t="shared" ref="AB487:AF487" si="201">AB442</f>
        <v>1</v>
      </c>
      <c r="AC487" s="149" t="str">
        <f t="shared" si="201"/>
        <v>[ SETUP ]</v>
      </c>
      <c r="AD487" s="150" t="str">
        <f t="shared" si="201"/>
        <v>[ KEYS ]</v>
      </c>
      <c r="AE487" s="3"/>
      <c r="AF487" s="52" t="str">
        <f t="shared" si="201"/>
        <v>V</v>
      </c>
      <c r="AG487" s="77" t="b">
        <f t="shared" si="175"/>
        <v>1</v>
      </c>
      <c r="AH487" s="83" t="str">
        <f t="shared" si="165"/>
        <v>v</v>
      </c>
      <c r="AI487" s="84">
        <f t="shared" si="166"/>
        <v>1</v>
      </c>
      <c r="AJ487" s="85">
        <f t="shared" si="167"/>
        <v>1</v>
      </c>
      <c r="AK487" s="6"/>
      <c r="AL487" s="8" t="str">
        <f t="shared" si="168"/>
        <v>{72</v>
      </c>
      <c r="AM487" s="27" t="str">
        <f t="shared" si="169"/>
        <v>ITM_1</v>
      </c>
      <c r="AN487" s="27" t="str">
        <f t="shared" si="170"/>
        <v>MNU_SETUP</v>
      </c>
      <c r="AO487" s="27" t="str">
        <f t="shared" si="171"/>
        <v>MNU_KEYS</v>
      </c>
      <c r="AP487" s="46" t="str">
        <f>IF(NOT(ISNA(MATCH(AM487,Lookups!E:E,))),VLOOKUP(AM487,Lookups!E:F,2,0),
IF(NOT(ISNA(MATCH(AN487,Lookups!E:E,))),VLOOKUP(AN487,Lookups!E:F,2,0),
IF(NOT(ISNA(MATCH(AO487,Lookups!E:E,))),VLOOKUP(AO487,Lookups!E:F,2,0),"ITM_NULL")))</f>
        <v>ITM_1</v>
      </c>
      <c r="AQ487" s="28" t="str">
        <f t="shared" ref="AQ487:AQ495" si="202">VLOOKUP(AF487,labelitem,2,0)</f>
        <v>ITM_V</v>
      </c>
      <c r="AR487" s="195" t="s">
        <v>208</v>
      </c>
      <c r="AS487" s="186" t="s">
        <v>226</v>
      </c>
      <c r="AT487" s="197" t="s">
        <v>226</v>
      </c>
      <c r="AW487" s="14" t="str">
        <f t="shared" si="176"/>
        <v>{72</v>
      </c>
      <c r="AX487" s="157" t="str" cm="1">
        <f t="array" ref="AX487">SUBSTITUTE(SUBSTITUTE(_xlfn.SWITCH(AM487, "ITM_T_HOME", "ITM_UP1", "ITM_T_END", "ITM_DOWN1", "DOCU_CHR_sub", "ITM_DOWN_ARROW", "DOCU_CHR_super", "ITM_UP_ARROW", "MNU_TAMALPHA", "ITM_alpha", "DOCU_CHR_caseFLIP", "ITM_NULL", "DOCU_CHR_numSET", "ITM_NULL", "DOCU_ITM_RADIX", "ITM_PERIOD", AM487), ".lo", ),"MNU_", "-MNU_")</f>
        <v>ITM_1</v>
      </c>
      <c r="AY487" s="157" t="str" cm="1">
        <f t="array" ref="AY487">SUBSTITUTE(SUBSTITUTE(_xlfn.SWITCH(AN487, "ITM_T_HOME", "ITM_UP1", "ITM_T_END", "ITM_DOWN1", "DOCU_CHR_sub", "ITM_DOWN_ARROW", "DOCU_CHR_super", "ITM_UP_ARROW", "MNU_TAMALPHA", "ITM_alpha", "DOCU_CHR_caseFLIP", "ITM_NULL", "DOCU_CHR_numSET", "ITM_NULL", "DOCU_ITM_RADIX", "ITM_PERIOD", AN487), ".lo", ),"MNU_", "-MNU_")</f>
        <v>-MNU_SETUP</v>
      </c>
      <c r="AZ487" s="157" t="str" cm="1">
        <f t="array" ref="AZ487">SUBSTITUTE(SUBSTITUTE(_xlfn.SWITCH(AO487, "ITM_T_HOME", "ITM_UP1", "ITM_T_END", "ITM_DOWN1", "DOCU_CHR_sub", "ITM_DOWN_ARROW", "DOCU_CHR_super", "ITM_UP_ARROW", "MNU_TAMALPHA", "ITM_alpha", "DOCU_CHR_caseFLIP", "ITM_NULL", "DOCU_CHR_numSET", "ITM_NULL", "DOCU_ITM_RADIX", "ITM_PERIOD", AO487), ".lo", ),"MNU_", "-MNU_")</f>
        <v>-MNU_KEYS</v>
      </c>
      <c r="BA487" s="173" t="str" cm="1">
        <f t="array" ref="BA487">SUBSTITUTE(SUBSTITUTE(_xlfn.SWITCH(AP487, "ITM_T_HOME", "ITM_UP1", "ITM_T_END", "ITM_DOWN1", "DOCU_CHR_sub", "ITM_DOWN_ARROW", "DOCU_CHR_super", "ITM_UP_ARROW", "MNU_TAMALPHA", "ITM_alpha", "DOCU_CHR_caseFLIP", "ITM_NULL", "DOCU_CHR_numSET", "ITM_NULL", "DOCU_ITM_RADIX", "ITM_PERIOD", AP487), ".lo", ),"MNU_", "-MNU_")</f>
        <v>ITM_1</v>
      </c>
      <c r="BB487" s="157" t="str" cm="1">
        <f t="array" ref="BB487">SUBSTITUTE(SUBSTITUTE(_xlfn.SWITCH(AQ487, "ITM_T_HOME", "ITM_UP1", "ITM_T_END", "ITM_DOWN1", "DOCU_CHR_sub", "ITM_DOWN_ARROW", "DOCU_CHR_super", "ITM_UP_ARROW", "MNU_TAMALPHA", "ITM_alpha", "DOCU_CHR_caseFLIP", "ITM_NULL", "DOCU_CHR_numSET", "ITM_NULL", "DOCU_ITM_RADIX", "ITM_PERIOD", AQ487), ".lo", ),"MNU_", "-MNU_")</f>
        <v>ITM_V</v>
      </c>
      <c r="BC487" s="157" t="str" cm="1">
        <f t="array" ref="BC487">SUBSTITUTE(SUBSTITUTE(_xlfn.SWITCH(AR487, "ITM_T_HOME", "ITM_UP1", "ITM_T_END", "ITM_DOWN1", "DOCU_CHR_sub", "ITM_DOWN_ARROW", "DOCU_CHR_super", "ITM_UP_ARROW", "MNU_TAMALPHA", "ITM_alpha", "DOCU_CHR_caseFLIP", "ITM_NULL", "DOCU_CHR_numSET", "ITM_NULL", "DOCU_ITM_RADIX", "ITM_PERIOD", AR487), ".lo", ),"MNU_", "-MNU_")</f>
        <v>ITM_v</v>
      </c>
      <c r="BD487" s="157" t="str" cm="1">
        <f t="array" ref="BD487">SUBSTITUTE(SUBSTITUTE(_xlfn.SWITCH(AS487, "ITM_T_HOME", "ITM_UP1", "ITM_T_END", "ITM_DOWN1", "DOCU_CHR_sub", "ITM_DOWN_ARROW", "DOCU_CHR_super", "ITM_UP_ARROW", "MNU_TAMALPHA", "ITM_alpha", "DOCU_CHR_caseFLIP", "ITM_NULL", "DOCU_CHR_numSET", "ITM_NULL", "DOCU_ITM_RADIX", "ITM_PERIOD", AS487), ".lo", ),"MNU_", "-MNU_")</f>
        <v>ITM_1</v>
      </c>
      <c r="BE487" s="157" t="str" cm="1">
        <f t="array" ref="BE487">SUBSTITUTE(SUBSTITUTE(_xlfn.SWITCH(AT487, "ITM_T_HOME", "ITM_UP1", "ITM_T_END", "ITM_DOWN1", "DOCU_CHR_sub", "ITM_DOWN_ARROW", "DOCU_CHR_super", "ITM_UP_ARROW", "MNU_TAMALPHA", "ITM_alpha", "DOCU_CHR_caseFLIP", "ITM_NULL", "DOCU_CHR_numSET", "ITM_NULL", "DOCU_ITM_RADIX", "ITM_PERIOD", AT487), ".lo", ),"MNU_", "-MNU_")</f>
        <v>ITM_1</v>
      </c>
      <c r="BG487" s="75"/>
      <c r="BI487" s="13" t="str">
        <f t="shared" si="173"/>
        <v xml:space="preserve">  {72,                  ITM_1,                -MNU_SETUP,           -MNU_KEYS,            ITM_1,                ITM_V,                ITM_v,                ITM_1,                ITM_1               },</v>
      </c>
    </row>
    <row r="488" spans="24:61" ht="21" x14ac:dyDescent="0.2">
      <c r="X488" s="141" t="str">
        <f t="shared" si="159"/>
        <v>R47bkfg</v>
      </c>
      <c r="Y488" s="142">
        <v>7</v>
      </c>
      <c r="Z488" s="142">
        <v>3</v>
      </c>
      <c r="AA488" s="144" t="str">
        <f t="shared" si="157"/>
        <v>R47bkfg.73</v>
      </c>
      <c r="AB488" s="148">
        <f t="shared" ref="AB488:AF488" si="203">AB443</f>
        <v>2</v>
      </c>
      <c r="AC488" s="152" t="str">
        <f t="shared" si="203"/>
        <v>[ CONV ]</v>
      </c>
      <c r="AD488" s="119" t="str">
        <f t="shared" si="203"/>
        <v>[ CLK ]</v>
      </c>
      <c r="AE488" s="3"/>
      <c r="AF488" s="52" t="str">
        <f t="shared" si="203"/>
        <v>W</v>
      </c>
      <c r="AG488" s="77" t="b">
        <f t="shared" si="175"/>
        <v>1</v>
      </c>
      <c r="AH488" s="83" t="str">
        <f t="shared" si="165"/>
        <v>w</v>
      </c>
      <c r="AI488" s="84">
        <f t="shared" si="166"/>
        <v>2</v>
      </c>
      <c r="AJ488" s="85">
        <f t="shared" si="167"/>
        <v>2</v>
      </c>
      <c r="AK488" s="6"/>
      <c r="AL488" s="8" t="str">
        <f t="shared" si="168"/>
        <v>{73</v>
      </c>
      <c r="AM488" s="27" t="str">
        <f t="shared" si="169"/>
        <v>ITM_2</v>
      </c>
      <c r="AN488" s="27" t="str">
        <f t="shared" si="170"/>
        <v>MNU_UNITCONV</v>
      </c>
      <c r="AO488" s="27" t="str">
        <f t="shared" si="171"/>
        <v>MNU_CLK</v>
      </c>
      <c r="AP488" s="46" t="str">
        <f>IF(NOT(ISNA(MATCH(AM488,Lookups!E:E,))),VLOOKUP(AM488,Lookups!E:F,2,0),
IF(NOT(ISNA(MATCH(AN488,Lookups!E:E,))),VLOOKUP(AN488,Lookups!E:F,2,0),
IF(NOT(ISNA(MATCH(AO488,Lookups!E:E,))),VLOOKUP(AO488,Lookups!E:F,2,0),"ITM_NULL")))</f>
        <v>ITM_2</v>
      </c>
      <c r="AQ488" s="28" t="str">
        <f t="shared" si="202"/>
        <v>ITM_W</v>
      </c>
      <c r="AR488" s="195" t="s">
        <v>214</v>
      </c>
      <c r="AS488" s="186" t="s">
        <v>230</v>
      </c>
      <c r="AT488" s="197" t="s">
        <v>230</v>
      </c>
      <c r="AW488" s="14" t="str">
        <f t="shared" si="176"/>
        <v>{73</v>
      </c>
      <c r="AX488" s="157" t="str" cm="1">
        <f t="array" ref="AX488">SUBSTITUTE(SUBSTITUTE(_xlfn.SWITCH(AM488, "ITM_T_HOME", "ITM_UP1", "ITM_T_END", "ITM_DOWN1", "DOCU_CHR_sub", "ITM_DOWN_ARROW", "DOCU_CHR_super", "ITM_UP_ARROW", "MNU_TAMALPHA", "ITM_alpha", "DOCU_CHR_caseFLIP", "ITM_NULL", "DOCU_CHR_numSET", "ITM_NULL", "DOCU_ITM_RADIX", "ITM_PERIOD", AM488), ".lo", ),"MNU_", "-MNU_")</f>
        <v>ITM_2</v>
      </c>
      <c r="AY488" s="157" t="str" cm="1">
        <f t="array" ref="AY488">SUBSTITUTE(SUBSTITUTE(_xlfn.SWITCH(AN488, "ITM_T_HOME", "ITM_UP1", "ITM_T_END", "ITM_DOWN1", "DOCU_CHR_sub", "ITM_DOWN_ARROW", "DOCU_CHR_super", "ITM_UP_ARROW", "MNU_TAMALPHA", "ITM_alpha", "DOCU_CHR_caseFLIP", "ITM_NULL", "DOCU_CHR_numSET", "ITM_NULL", "DOCU_ITM_RADIX", "ITM_PERIOD", AN488), ".lo", ),"MNU_", "-MNU_")</f>
        <v>-MNU_UNITCONV</v>
      </c>
      <c r="AZ488" s="157" t="str" cm="1">
        <f t="array" ref="AZ488">SUBSTITUTE(SUBSTITUTE(_xlfn.SWITCH(AO488, "ITM_T_HOME", "ITM_UP1", "ITM_T_END", "ITM_DOWN1", "DOCU_CHR_sub", "ITM_DOWN_ARROW", "DOCU_CHR_super", "ITM_UP_ARROW", "MNU_TAMALPHA", "ITM_alpha", "DOCU_CHR_caseFLIP", "ITM_NULL", "DOCU_CHR_numSET", "ITM_NULL", "DOCU_ITM_RADIX", "ITM_PERIOD", AO488), ".lo", ),"MNU_", "-MNU_")</f>
        <v>-MNU_CLK</v>
      </c>
      <c r="BA488" s="173" t="str" cm="1">
        <f t="array" ref="BA488">SUBSTITUTE(SUBSTITUTE(_xlfn.SWITCH(AP488, "ITM_T_HOME", "ITM_UP1", "ITM_T_END", "ITM_DOWN1", "DOCU_CHR_sub", "ITM_DOWN_ARROW", "DOCU_CHR_super", "ITM_UP_ARROW", "MNU_TAMALPHA", "ITM_alpha", "DOCU_CHR_caseFLIP", "ITM_NULL", "DOCU_CHR_numSET", "ITM_NULL", "DOCU_ITM_RADIX", "ITM_PERIOD", AP488), ".lo", ),"MNU_", "-MNU_")</f>
        <v>ITM_2</v>
      </c>
      <c r="BB488" s="157" t="str" cm="1">
        <f t="array" ref="BB488">SUBSTITUTE(SUBSTITUTE(_xlfn.SWITCH(AQ488, "ITM_T_HOME", "ITM_UP1", "ITM_T_END", "ITM_DOWN1", "DOCU_CHR_sub", "ITM_DOWN_ARROW", "DOCU_CHR_super", "ITM_UP_ARROW", "MNU_TAMALPHA", "ITM_alpha", "DOCU_CHR_caseFLIP", "ITM_NULL", "DOCU_CHR_numSET", "ITM_NULL", "DOCU_ITM_RADIX", "ITM_PERIOD", AQ488), ".lo", ),"MNU_", "-MNU_")</f>
        <v>ITM_W</v>
      </c>
      <c r="BC488" s="157" t="str" cm="1">
        <f t="array" ref="BC488">SUBSTITUTE(SUBSTITUTE(_xlfn.SWITCH(AR488, "ITM_T_HOME", "ITM_UP1", "ITM_T_END", "ITM_DOWN1", "DOCU_CHR_sub", "ITM_DOWN_ARROW", "DOCU_CHR_super", "ITM_UP_ARROW", "MNU_TAMALPHA", "ITM_alpha", "DOCU_CHR_caseFLIP", "ITM_NULL", "DOCU_CHR_numSET", "ITM_NULL", "DOCU_ITM_RADIX", "ITM_PERIOD", AR488), ".lo", ),"MNU_", "-MNU_")</f>
        <v>ITM_w</v>
      </c>
      <c r="BD488" s="157" t="str" cm="1">
        <f t="array" ref="BD488">SUBSTITUTE(SUBSTITUTE(_xlfn.SWITCH(AS488, "ITM_T_HOME", "ITM_UP1", "ITM_T_END", "ITM_DOWN1", "DOCU_CHR_sub", "ITM_DOWN_ARROW", "DOCU_CHR_super", "ITM_UP_ARROW", "MNU_TAMALPHA", "ITM_alpha", "DOCU_CHR_caseFLIP", "ITM_NULL", "DOCU_CHR_numSET", "ITM_NULL", "DOCU_ITM_RADIX", "ITM_PERIOD", AS488), ".lo", ),"MNU_", "-MNU_")</f>
        <v>ITM_2</v>
      </c>
      <c r="BE488" s="157" t="str" cm="1">
        <f t="array" ref="BE488">SUBSTITUTE(SUBSTITUTE(_xlfn.SWITCH(AT488, "ITM_T_HOME", "ITM_UP1", "ITM_T_END", "ITM_DOWN1", "DOCU_CHR_sub", "ITM_DOWN_ARROW", "DOCU_CHR_super", "ITM_UP_ARROW", "MNU_TAMALPHA", "ITM_alpha", "DOCU_CHR_caseFLIP", "ITM_NULL", "DOCU_CHR_numSET", "ITM_NULL", "DOCU_ITM_RADIX", "ITM_PERIOD", AT488), ".lo", ),"MNU_", "-MNU_")</f>
        <v>ITM_2</v>
      </c>
      <c r="BG488" s="75"/>
      <c r="BI488" s="13" t="str">
        <f t="shared" si="173"/>
        <v xml:space="preserve">  {73,                  ITM_2,                -MNU_UNITCONV,        -MNU_CLK,             ITM_2,                ITM_W,                ITM_w,                ITM_2,                ITM_2               },</v>
      </c>
    </row>
    <row r="489" spans="24:61" ht="21" x14ac:dyDescent="0.2">
      <c r="X489" s="141" t="str">
        <f t="shared" si="159"/>
        <v>R47bkfg</v>
      </c>
      <c r="Y489" s="142">
        <v>7</v>
      </c>
      <c r="Z489" s="142">
        <v>4</v>
      </c>
      <c r="AA489" s="144" t="str">
        <f t="shared" si="157"/>
        <v>R47bkfg.74</v>
      </c>
      <c r="AB489" s="148">
        <f t="shared" ref="AB489:AF489" si="204">AB444</f>
        <v>3</v>
      </c>
      <c r="AC489" s="149" t="str">
        <f t="shared" si="204"/>
        <v>[ FLAG ]</v>
      </c>
      <c r="AD489" s="150" t="str">
        <f t="shared" si="204"/>
        <v>[ a.FN ]</v>
      </c>
      <c r="AE489" s="3"/>
      <c r="AF489" s="52" t="str">
        <f t="shared" si="204"/>
        <v>X</v>
      </c>
      <c r="AG489" s="77" t="b">
        <f t="shared" si="175"/>
        <v>1</v>
      </c>
      <c r="AH489" s="83" t="str">
        <f t="shared" si="165"/>
        <v>x</v>
      </c>
      <c r="AI489" s="84">
        <f t="shared" si="166"/>
        <v>3</v>
      </c>
      <c r="AJ489" s="85">
        <f t="shared" si="167"/>
        <v>3</v>
      </c>
      <c r="AK489" s="6"/>
      <c r="AL489" s="8" t="str">
        <f t="shared" si="168"/>
        <v>{74</v>
      </c>
      <c r="AM489" s="27" t="str">
        <f t="shared" si="169"/>
        <v>ITM_3</v>
      </c>
      <c r="AN489" s="27" t="str">
        <f t="shared" si="170"/>
        <v>MNU_FLAGS</v>
      </c>
      <c r="AO489" s="27" t="str">
        <f t="shared" si="171"/>
        <v>MNU_ALPHAFN</v>
      </c>
      <c r="AP489" s="46" t="str">
        <f>IF(NOT(ISNA(MATCH(AM489,Lookups!E:E,))),VLOOKUP(AM489,Lookups!E:F,2,0),
IF(NOT(ISNA(MATCH(AN489,Lookups!E:E,))),VLOOKUP(AN489,Lookups!E:F,2,0),
IF(NOT(ISNA(MATCH(AO489,Lookups!E:E,))),VLOOKUP(AO489,Lookups!E:F,2,0),"ITM_NULL")))</f>
        <v>ITM_3</v>
      </c>
      <c r="AQ489" s="28" t="str">
        <f t="shared" si="202"/>
        <v>ITM_X</v>
      </c>
      <c r="AR489" s="195" t="s">
        <v>225</v>
      </c>
      <c r="AS489" s="186" t="s">
        <v>235</v>
      </c>
      <c r="AT489" s="197" t="s">
        <v>235</v>
      </c>
      <c r="AW489" s="14" t="str">
        <f t="shared" si="176"/>
        <v>{74</v>
      </c>
      <c r="AX489" s="157" t="str" cm="1">
        <f t="array" ref="AX489">SUBSTITUTE(SUBSTITUTE(_xlfn.SWITCH(AM489, "ITM_T_HOME", "ITM_UP1", "ITM_T_END", "ITM_DOWN1", "DOCU_CHR_sub", "ITM_DOWN_ARROW", "DOCU_CHR_super", "ITM_UP_ARROW", "MNU_TAMALPHA", "ITM_alpha", "DOCU_CHR_caseFLIP", "ITM_NULL", "DOCU_CHR_numSET", "ITM_NULL", "DOCU_ITM_RADIX", "ITM_PERIOD", AM489), ".lo", ),"MNU_", "-MNU_")</f>
        <v>ITM_3</v>
      </c>
      <c r="AY489" s="157" t="str" cm="1">
        <f t="array" ref="AY489">SUBSTITUTE(SUBSTITUTE(_xlfn.SWITCH(AN489, "ITM_T_HOME", "ITM_UP1", "ITM_T_END", "ITM_DOWN1", "DOCU_CHR_sub", "ITM_DOWN_ARROW", "DOCU_CHR_super", "ITM_UP_ARROW", "MNU_TAMALPHA", "ITM_alpha", "DOCU_CHR_caseFLIP", "ITM_NULL", "DOCU_CHR_numSET", "ITM_NULL", "DOCU_ITM_RADIX", "ITM_PERIOD", AN489), ".lo", ),"MNU_", "-MNU_")</f>
        <v>-MNU_FLAGS</v>
      </c>
      <c r="AZ489" s="157" t="str" cm="1">
        <f t="array" ref="AZ489">SUBSTITUTE(SUBSTITUTE(_xlfn.SWITCH(AO489, "ITM_T_HOME", "ITM_UP1", "ITM_T_END", "ITM_DOWN1", "DOCU_CHR_sub", "ITM_DOWN_ARROW", "DOCU_CHR_super", "ITM_UP_ARROW", "MNU_TAMALPHA", "ITM_alpha", "DOCU_CHR_caseFLIP", "ITM_NULL", "DOCU_CHR_numSET", "ITM_NULL", "DOCU_ITM_RADIX", "ITM_PERIOD", AO489), ".lo", ),"MNU_", "-MNU_")</f>
        <v>-MNU_ALPHAFN</v>
      </c>
      <c r="BA489" s="173" t="str" cm="1">
        <f t="array" ref="BA489">SUBSTITUTE(SUBSTITUTE(_xlfn.SWITCH(AP489, "ITM_T_HOME", "ITM_UP1", "ITM_T_END", "ITM_DOWN1", "DOCU_CHR_sub", "ITM_DOWN_ARROW", "DOCU_CHR_super", "ITM_UP_ARROW", "MNU_TAMALPHA", "ITM_alpha", "DOCU_CHR_caseFLIP", "ITM_NULL", "DOCU_CHR_numSET", "ITM_NULL", "DOCU_ITM_RADIX", "ITM_PERIOD", AP489), ".lo", ),"MNU_", "-MNU_")</f>
        <v>ITM_3</v>
      </c>
      <c r="BB489" s="157" t="str" cm="1">
        <f t="array" ref="BB489">SUBSTITUTE(SUBSTITUTE(_xlfn.SWITCH(AQ489, "ITM_T_HOME", "ITM_UP1", "ITM_T_END", "ITM_DOWN1", "DOCU_CHR_sub", "ITM_DOWN_ARROW", "DOCU_CHR_super", "ITM_UP_ARROW", "MNU_TAMALPHA", "ITM_alpha", "DOCU_CHR_caseFLIP", "ITM_NULL", "DOCU_CHR_numSET", "ITM_NULL", "DOCU_ITM_RADIX", "ITM_PERIOD", AQ489), ".lo", ),"MNU_", "-MNU_")</f>
        <v>ITM_X</v>
      </c>
      <c r="BC489" s="157" t="str" cm="1">
        <f t="array" ref="BC489">SUBSTITUTE(SUBSTITUTE(_xlfn.SWITCH(AR489, "ITM_T_HOME", "ITM_UP1", "ITM_T_END", "ITM_DOWN1", "DOCU_CHR_sub", "ITM_DOWN_ARROW", "DOCU_CHR_super", "ITM_UP_ARROW", "MNU_TAMALPHA", "ITM_alpha", "DOCU_CHR_caseFLIP", "ITM_NULL", "DOCU_CHR_numSET", "ITM_NULL", "DOCU_ITM_RADIX", "ITM_PERIOD", AR489), ".lo", ),"MNU_", "-MNU_")</f>
        <v>ITM_x</v>
      </c>
      <c r="BD489" s="157" t="str" cm="1">
        <f t="array" ref="BD489">SUBSTITUTE(SUBSTITUTE(_xlfn.SWITCH(AS489, "ITM_T_HOME", "ITM_UP1", "ITM_T_END", "ITM_DOWN1", "DOCU_CHR_sub", "ITM_DOWN_ARROW", "DOCU_CHR_super", "ITM_UP_ARROW", "MNU_TAMALPHA", "ITM_alpha", "DOCU_CHR_caseFLIP", "ITM_NULL", "DOCU_CHR_numSET", "ITM_NULL", "DOCU_ITM_RADIX", "ITM_PERIOD", AS489), ".lo", ),"MNU_", "-MNU_")</f>
        <v>ITM_3</v>
      </c>
      <c r="BE489" s="157" t="str" cm="1">
        <f t="array" ref="BE489">SUBSTITUTE(SUBSTITUTE(_xlfn.SWITCH(AT489, "ITM_T_HOME", "ITM_UP1", "ITM_T_END", "ITM_DOWN1", "DOCU_CHR_sub", "ITM_DOWN_ARROW", "DOCU_CHR_super", "ITM_UP_ARROW", "MNU_TAMALPHA", "ITM_alpha", "DOCU_CHR_caseFLIP", "ITM_NULL", "DOCU_CHR_numSET", "ITM_NULL", "DOCU_ITM_RADIX", "ITM_PERIOD", AT489), ".lo", ),"MNU_", "-MNU_")</f>
        <v>ITM_3</v>
      </c>
      <c r="BG489" s="75"/>
      <c r="BI489" s="13" t="str">
        <f t="shared" si="173"/>
        <v xml:space="preserve">  {74,                  ITM_3,                -MNU_FLAGS,           -MNU_ALPHAFN,         ITM_3,                ITM_X,                ITM_x,                ITM_3,                ITM_3               },</v>
      </c>
    </row>
    <row r="490" spans="24:61" ht="21" x14ac:dyDescent="0.2">
      <c r="X490" s="141" t="str">
        <f t="shared" si="159"/>
        <v>R47bkfg</v>
      </c>
      <c r="Y490" s="142">
        <v>7</v>
      </c>
      <c r="Z490" s="142">
        <v>5</v>
      </c>
      <c r="AA490" s="144" t="str">
        <f t="shared" si="157"/>
        <v>R47bkfg.75</v>
      </c>
      <c r="AB490" s="148" t="str">
        <f t="shared" ref="AB490:AF490" si="205">AB445</f>
        <v>-</v>
      </c>
      <c r="AC490" s="149" t="str">
        <f t="shared" si="205"/>
        <v>[ PROB ]</v>
      </c>
      <c r="AD490" s="150" t="str">
        <f t="shared" si="205"/>
        <v>[ FIN ]</v>
      </c>
      <c r="AE490" s="3"/>
      <c r="AF490" s="52" t="str">
        <f t="shared" si="205"/>
        <v>Y</v>
      </c>
      <c r="AG490" s="77" t="b">
        <f t="shared" si="175"/>
        <v>1</v>
      </c>
      <c r="AH490" s="83" t="str">
        <f t="shared" si="165"/>
        <v>y</v>
      </c>
      <c r="AI490" s="84" t="str">
        <f t="shared" si="166"/>
        <v>-</v>
      </c>
      <c r="AJ490" s="85" t="str">
        <f t="shared" si="167"/>
        <v>-</v>
      </c>
      <c r="AK490" s="6"/>
      <c r="AL490" s="8" t="str">
        <f t="shared" si="168"/>
        <v>{75</v>
      </c>
      <c r="AM490" s="27" t="str">
        <f t="shared" si="169"/>
        <v>ITM_SUB</v>
      </c>
      <c r="AN490" s="27" t="str">
        <f t="shared" si="170"/>
        <v>MNU_PROB</v>
      </c>
      <c r="AO490" s="27" t="str">
        <f t="shared" si="171"/>
        <v>MNU_FIN</v>
      </c>
      <c r="AP490" s="46" t="str">
        <f>IF(NOT(ISNA(MATCH(AM490,Lookups!E:E,))),VLOOKUP(AM490,Lookups!E:F,2,0),
IF(NOT(ISNA(MATCH(AN490,Lookups!E:E,))),VLOOKUP(AN490,Lookups!E:F,2,0),
IF(NOT(ISNA(MATCH(AO490,Lookups!E:E,))),VLOOKUP(AO490,Lookups!E:F,2,0),"ITM_NULL")))</f>
        <v>ITM_MINUS</v>
      </c>
      <c r="AQ490" s="28" t="str">
        <f t="shared" si="202"/>
        <v>ITM_Y</v>
      </c>
      <c r="AR490" s="195" t="s">
        <v>229</v>
      </c>
      <c r="AS490" s="186" t="s">
        <v>240</v>
      </c>
      <c r="AT490" s="197" t="s">
        <v>241</v>
      </c>
      <c r="AW490" s="14" t="str">
        <f t="shared" si="176"/>
        <v>{75</v>
      </c>
      <c r="AX490" s="157" t="str" cm="1">
        <f t="array" ref="AX490">SUBSTITUTE(SUBSTITUTE(_xlfn.SWITCH(AM490, "ITM_T_HOME", "ITM_UP1", "ITM_T_END", "ITM_DOWN1", "DOCU_CHR_sub", "ITM_DOWN_ARROW", "DOCU_CHR_super", "ITM_UP_ARROW", "MNU_TAMALPHA", "ITM_alpha", "DOCU_CHR_caseFLIP", "ITM_NULL", "DOCU_CHR_numSET", "ITM_NULL", "DOCU_ITM_RADIX", "ITM_PERIOD", AM490), ".lo", ),"MNU_", "-MNU_")</f>
        <v>ITM_SUB</v>
      </c>
      <c r="AY490" s="157" t="str" cm="1">
        <f t="array" ref="AY490">SUBSTITUTE(SUBSTITUTE(_xlfn.SWITCH(AN490, "ITM_T_HOME", "ITM_UP1", "ITM_T_END", "ITM_DOWN1", "DOCU_CHR_sub", "ITM_DOWN_ARROW", "DOCU_CHR_super", "ITM_UP_ARROW", "MNU_TAMALPHA", "ITM_alpha", "DOCU_CHR_caseFLIP", "ITM_NULL", "DOCU_CHR_numSET", "ITM_NULL", "DOCU_ITM_RADIX", "ITM_PERIOD", AN490), ".lo", ),"MNU_", "-MNU_")</f>
        <v>-MNU_PROB</v>
      </c>
      <c r="AZ490" s="157" t="str" cm="1">
        <f t="array" ref="AZ490">SUBSTITUTE(SUBSTITUTE(_xlfn.SWITCH(AO490, "ITM_T_HOME", "ITM_UP1", "ITM_T_END", "ITM_DOWN1", "DOCU_CHR_sub", "ITM_DOWN_ARROW", "DOCU_CHR_super", "ITM_UP_ARROW", "MNU_TAMALPHA", "ITM_alpha", "DOCU_CHR_caseFLIP", "ITM_NULL", "DOCU_CHR_numSET", "ITM_NULL", "DOCU_ITM_RADIX", "ITM_PERIOD", AO490), ".lo", ),"MNU_", "-MNU_")</f>
        <v>-MNU_FIN</v>
      </c>
      <c r="BA490" s="173" t="str" cm="1">
        <f t="array" ref="BA490">SUBSTITUTE(SUBSTITUTE(_xlfn.SWITCH(AP490, "ITM_T_HOME", "ITM_UP1", "ITM_T_END", "ITM_DOWN1", "DOCU_CHR_sub", "ITM_DOWN_ARROW", "DOCU_CHR_super", "ITM_UP_ARROW", "MNU_TAMALPHA", "ITM_alpha", "DOCU_CHR_caseFLIP", "ITM_NULL", "DOCU_CHR_numSET", "ITM_NULL", "DOCU_ITM_RADIX", "ITM_PERIOD", AP490), ".lo", ),"MNU_", "-MNU_")</f>
        <v>ITM_MINUS</v>
      </c>
      <c r="BB490" s="157" t="str" cm="1">
        <f t="array" ref="BB490">SUBSTITUTE(SUBSTITUTE(_xlfn.SWITCH(AQ490, "ITM_T_HOME", "ITM_UP1", "ITM_T_END", "ITM_DOWN1", "DOCU_CHR_sub", "ITM_DOWN_ARROW", "DOCU_CHR_super", "ITM_UP_ARROW", "MNU_TAMALPHA", "ITM_alpha", "DOCU_CHR_caseFLIP", "ITM_NULL", "DOCU_CHR_numSET", "ITM_NULL", "DOCU_ITM_RADIX", "ITM_PERIOD", AQ490), ".lo", ),"MNU_", "-MNU_")</f>
        <v>ITM_Y</v>
      </c>
      <c r="BC490" s="157" t="str" cm="1">
        <f t="array" ref="BC490">SUBSTITUTE(SUBSTITUTE(_xlfn.SWITCH(AR490, "ITM_T_HOME", "ITM_UP1", "ITM_T_END", "ITM_DOWN1", "DOCU_CHR_sub", "ITM_DOWN_ARROW", "DOCU_CHR_super", "ITM_UP_ARROW", "MNU_TAMALPHA", "ITM_alpha", "DOCU_CHR_caseFLIP", "ITM_NULL", "DOCU_CHR_numSET", "ITM_NULL", "DOCU_ITM_RADIX", "ITM_PERIOD", AR490), ".lo", ),"MNU_", "-MNU_")</f>
        <v>ITM_y</v>
      </c>
      <c r="BD490" s="157" t="str" cm="1">
        <f t="array" ref="BD490">SUBSTITUTE(SUBSTITUTE(_xlfn.SWITCH(AS490, "ITM_T_HOME", "ITM_UP1", "ITM_T_END", "ITM_DOWN1", "DOCU_CHR_sub", "ITM_DOWN_ARROW", "DOCU_CHR_super", "ITM_UP_ARROW", "MNU_TAMALPHA", "ITM_alpha", "DOCU_CHR_caseFLIP", "ITM_NULL", "DOCU_CHR_numSET", "ITM_NULL", "DOCU_ITM_RADIX", "ITM_PERIOD", AS490), ".lo", ),"MNU_", "-MNU_")</f>
        <v>ITM_MINUS</v>
      </c>
      <c r="BE490" s="157" t="str" cm="1">
        <f t="array" ref="BE490">SUBSTITUTE(SUBSTITUTE(_xlfn.SWITCH(AT490, "ITM_T_HOME", "ITM_UP1", "ITM_T_END", "ITM_DOWN1", "DOCU_CHR_sub", "ITM_DOWN_ARROW", "DOCU_CHR_super", "ITM_UP_ARROW", "MNU_TAMALPHA", "ITM_alpha", "DOCU_CHR_caseFLIP", "ITM_NULL", "DOCU_CHR_numSET", "ITM_NULL", "DOCU_ITM_RADIX", "ITM_PERIOD", AT490), ".lo", ),"MNU_", "-MNU_")</f>
        <v>ITM_SUB</v>
      </c>
      <c r="BG490" s="75"/>
      <c r="BI490" s="13" t="str">
        <f t="shared" si="173"/>
        <v xml:space="preserve">  {75,                  ITM_SUB,              -MNU_PROB,            -MNU_FIN,             ITM_MINUS,            ITM_Y,                ITM_y,                ITM_MINUS,            ITM_SUB             },</v>
      </c>
    </row>
    <row r="491" spans="24:61" ht="21" x14ac:dyDescent="0.2">
      <c r="X491" s="141" t="str">
        <f t="shared" si="159"/>
        <v>R47bkfg</v>
      </c>
      <c r="Y491" s="138">
        <v>8</v>
      </c>
      <c r="Z491" s="138">
        <v>1</v>
      </c>
      <c r="AA491" s="144" t="str">
        <f t="shared" si="157"/>
        <v>R47bkfg.81</v>
      </c>
      <c r="AB491" s="148" t="str">
        <f t="shared" ref="AB491:AF491" si="206">AB446</f>
        <v>EXIT</v>
      </c>
      <c r="AC491" s="149" t="str">
        <f t="shared" si="206"/>
        <v>OFF</v>
      </c>
      <c r="AD491" s="150" t="str">
        <f t="shared" si="206"/>
        <v>SNAP</v>
      </c>
      <c r="AE491" s="3"/>
      <c r="AF491" s="52" t="str">
        <f t="shared" si="206"/>
        <v>EXIT</v>
      </c>
      <c r="AG491" s="77" t="b">
        <f t="shared" si="175"/>
        <v>0</v>
      </c>
      <c r="AH491" s="83" t="str">
        <f t="shared" si="165"/>
        <v>OFF</v>
      </c>
      <c r="AI491" s="84" t="str">
        <f t="shared" si="166"/>
        <v>SNAP</v>
      </c>
      <c r="AJ491" s="85" t="str">
        <f t="shared" si="167"/>
        <v>EXIT</v>
      </c>
      <c r="AK491" s="6"/>
      <c r="AL491" s="8" t="str">
        <f t="shared" si="168"/>
        <v>{81</v>
      </c>
      <c r="AM491" s="27" t="str">
        <f t="shared" si="169"/>
        <v>ITM_EXIT1</v>
      </c>
      <c r="AN491" s="27" t="str">
        <f t="shared" si="170"/>
        <v>ITM_OFF</v>
      </c>
      <c r="AO491" s="27" t="str">
        <f t="shared" si="171"/>
        <v>ITM_SNAP</v>
      </c>
      <c r="AP491" s="46" t="str">
        <f>IF(NOT(ISNA(MATCH(AM491,Lookups!E:E,))),VLOOKUP(AM491,Lookups!E:F,2,0),
IF(NOT(ISNA(MATCH(AN491,Lookups!E:E,))),VLOOKUP(AN491,Lookups!E:F,2,0),
IF(NOT(ISNA(MATCH(AO491,Lookups!E:E,))),VLOOKUP(AO491,Lookups!E:F,2,0),"ITM_NULL")))</f>
        <v>ITM_EXIT1</v>
      </c>
      <c r="AQ491" s="28" t="str">
        <f t="shared" si="202"/>
        <v>ITM_EXIT1</v>
      </c>
      <c r="AR491" s="198" t="s">
        <v>245</v>
      </c>
      <c r="AS491" s="186" t="s">
        <v>246</v>
      </c>
      <c r="AT491" s="197" t="s">
        <v>247</v>
      </c>
      <c r="AW491" s="14" t="str">
        <f t="shared" si="176"/>
        <v>{81</v>
      </c>
      <c r="AX491" s="157" t="str" cm="1">
        <f t="array" ref="AX491">SUBSTITUTE(SUBSTITUTE(_xlfn.SWITCH(AM491, "ITM_T_HOME", "ITM_UP1", "ITM_T_END", "ITM_DOWN1", "DOCU_CHR_sub", "ITM_DOWN_ARROW", "DOCU_CHR_super", "ITM_UP_ARROW", "MNU_TAMALPHA", "ITM_alpha", "DOCU_CHR_caseFLIP", "ITM_NULL", "DOCU_CHR_numSET", "ITM_NULL", "DOCU_ITM_RADIX", "ITM_PERIOD", AM491), ".lo", ),"MNU_", "-MNU_")</f>
        <v>ITM_EXIT1</v>
      </c>
      <c r="AY491" s="157" t="str" cm="1">
        <f t="array" ref="AY491">SUBSTITUTE(SUBSTITUTE(_xlfn.SWITCH(AN491, "ITM_T_HOME", "ITM_UP1", "ITM_T_END", "ITM_DOWN1", "DOCU_CHR_sub", "ITM_DOWN_ARROW", "DOCU_CHR_super", "ITM_UP_ARROW", "MNU_TAMALPHA", "ITM_alpha", "DOCU_CHR_caseFLIP", "ITM_NULL", "DOCU_CHR_numSET", "ITM_NULL", "DOCU_ITM_RADIX", "ITM_PERIOD", AN491), ".lo", ),"MNU_", "-MNU_")</f>
        <v>ITM_OFF</v>
      </c>
      <c r="AZ491" s="157" t="str" cm="1">
        <f t="array" ref="AZ491">SUBSTITUTE(SUBSTITUTE(_xlfn.SWITCH(AO491, "ITM_T_HOME", "ITM_UP1", "ITM_T_END", "ITM_DOWN1", "DOCU_CHR_sub", "ITM_DOWN_ARROW", "DOCU_CHR_super", "ITM_UP_ARROW", "MNU_TAMALPHA", "ITM_alpha", "DOCU_CHR_caseFLIP", "ITM_NULL", "DOCU_CHR_numSET", "ITM_NULL", "DOCU_ITM_RADIX", "ITM_PERIOD", AO491), ".lo", ),"MNU_", "-MNU_")</f>
        <v>ITM_SNAP</v>
      </c>
      <c r="BA491" s="173" t="str" cm="1">
        <f t="array" ref="BA491">SUBSTITUTE(SUBSTITUTE(_xlfn.SWITCH(AP491, "ITM_T_HOME", "ITM_UP1", "ITM_T_END", "ITM_DOWN1", "DOCU_CHR_sub", "ITM_DOWN_ARROW", "DOCU_CHR_super", "ITM_UP_ARROW", "MNU_TAMALPHA", "ITM_alpha", "DOCU_CHR_caseFLIP", "ITM_NULL", "DOCU_CHR_numSET", "ITM_NULL", "DOCU_ITM_RADIX", "ITM_PERIOD", AP491), ".lo", ),"MNU_", "-MNU_")</f>
        <v>ITM_EXIT1</v>
      </c>
      <c r="BB491" s="157" t="str" cm="1">
        <f t="array" ref="BB491">SUBSTITUTE(SUBSTITUTE(_xlfn.SWITCH(AQ491, "ITM_T_HOME", "ITM_UP1", "ITM_T_END", "ITM_DOWN1", "DOCU_CHR_sub", "ITM_DOWN_ARROW", "DOCU_CHR_super", "ITM_UP_ARROW", "MNU_TAMALPHA", "ITM_alpha", "DOCU_CHR_caseFLIP", "ITM_NULL", "DOCU_CHR_numSET", "ITM_NULL", "DOCU_ITM_RADIX", "ITM_PERIOD", AQ491), ".lo", ),"MNU_", "-MNU_")</f>
        <v>ITM_EXIT1</v>
      </c>
      <c r="BC491" s="157" t="str" cm="1">
        <f t="array" ref="BC491">SUBSTITUTE(SUBSTITUTE(_xlfn.SWITCH(AR491, "ITM_T_HOME", "ITM_UP1", "ITM_T_END", "ITM_DOWN1", "DOCU_CHR_sub", "ITM_DOWN_ARROW", "DOCU_CHR_super", "ITM_UP_ARROW", "MNU_TAMALPHA", "ITM_alpha", "DOCU_CHR_caseFLIP", "ITM_NULL", "DOCU_CHR_numSET", "ITM_NULL", "DOCU_ITM_RADIX", "ITM_PERIOD", AR491), ".lo", ),"MNU_", "-MNU_")</f>
        <v>ITM_OFF</v>
      </c>
      <c r="BD491" s="157" t="str" cm="1">
        <f t="array" ref="BD491">SUBSTITUTE(SUBSTITUTE(_xlfn.SWITCH(AS491, "ITM_T_HOME", "ITM_UP1", "ITM_T_END", "ITM_DOWN1", "DOCU_CHR_sub", "ITM_DOWN_ARROW", "DOCU_CHR_super", "ITM_UP_ARROW", "MNU_TAMALPHA", "ITM_alpha", "DOCU_CHR_caseFLIP", "ITM_NULL", "DOCU_CHR_numSET", "ITM_NULL", "DOCU_ITM_RADIX", "ITM_PERIOD", AS491), ".lo", ),"MNU_", "-MNU_")</f>
        <v>ITM_SNAP</v>
      </c>
      <c r="BE491" s="157" t="str" cm="1">
        <f t="array" ref="BE491">SUBSTITUTE(SUBSTITUTE(_xlfn.SWITCH(AT491, "ITM_T_HOME", "ITM_UP1", "ITM_T_END", "ITM_DOWN1", "DOCU_CHR_sub", "ITM_DOWN_ARROW", "DOCU_CHR_super", "ITM_UP_ARROW", "MNU_TAMALPHA", "ITM_alpha", "DOCU_CHR_caseFLIP", "ITM_NULL", "DOCU_CHR_numSET", "ITM_NULL", "DOCU_ITM_RADIX", "ITM_PERIOD", AT491), ".lo", ),"MNU_", "-MNU_")</f>
        <v>ITM_EXIT1</v>
      </c>
      <c r="BG491" s="75"/>
      <c r="BI491" s="13" t="str">
        <f t="shared" si="173"/>
        <v xml:space="preserve">  {81,                  ITM_EXIT1,            ITM_OFF,              ITM_SNAP,             ITM_EXIT1,            ITM_EXIT1,            ITM_OFF,              ITM_SNAP,             ITM_EXIT1           },</v>
      </c>
    </row>
    <row r="492" spans="24:61" ht="21" x14ac:dyDescent="0.2">
      <c r="X492" s="141" t="str">
        <f t="shared" si="159"/>
        <v>R47bkfg</v>
      </c>
      <c r="Y492" s="142">
        <v>8</v>
      </c>
      <c r="Z492" s="142">
        <v>2</v>
      </c>
      <c r="AA492" s="144" t="str">
        <f t="shared" si="157"/>
        <v>R47bkfg.82</v>
      </c>
      <c r="AB492" s="148">
        <f t="shared" ref="AB492:AF492" si="207">AB447</f>
        <v>0</v>
      </c>
      <c r="AC492" s="149" t="str">
        <f t="shared" si="207"/>
        <v>VIEW</v>
      </c>
      <c r="AD492" s="150" t="str">
        <f t="shared" si="207"/>
        <v>[ I/O ]</v>
      </c>
      <c r="AE492" s="3"/>
      <c r="AF492" s="52" t="str">
        <f t="shared" si="207"/>
        <v>Z</v>
      </c>
      <c r="AG492" s="77" t="b">
        <f t="shared" si="175"/>
        <v>1</v>
      </c>
      <c r="AH492" s="83" t="str">
        <f t="shared" si="165"/>
        <v>z</v>
      </c>
      <c r="AI492" s="84">
        <f t="shared" si="166"/>
        <v>0</v>
      </c>
      <c r="AJ492" s="85">
        <f t="shared" si="167"/>
        <v>0</v>
      </c>
      <c r="AK492" s="6"/>
      <c r="AL492" s="8" t="str">
        <f t="shared" si="168"/>
        <v>{82</v>
      </c>
      <c r="AM492" s="27" t="str">
        <f t="shared" si="169"/>
        <v>ITM_0</v>
      </c>
      <c r="AN492" s="27" t="str">
        <f t="shared" si="170"/>
        <v>ITM_VIEW</v>
      </c>
      <c r="AO492" s="27" t="str">
        <f t="shared" si="171"/>
        <v>MNU_IO</v>
      </c>
      <c r="AP492" s="46" t="str">
        <f>IF(NOT(ISNA(MATCH(AM492,Lookups!E:E,))),VLOOKUP(AM492,Lookups!E:F,2,0),
IF(NOT(ISNA(MATCH(AN492,Lookups!E:E,))),VLOOKUP(AN492,Lookups!E:F,2,0),
IF(NOT(ISNA(MATCH(AO492,Lookups!E:E,))),VLOOKUP(AO492,Lookups!E:F,2,0),"ITM_NULL")))</f>
        <v>ITM_0</v>
      </c>
      <c r="AQ492" s="28" t="str">
        <f t="shared" si="202"/>
        <v>ITM_Z</v>
      </c>
      <c r="AR492" s="195" t="s">
        <v>234</v>
      </c>
      <c r="AS492" s="186" t="s">
        <v>252</v>
      </c>
      <c r="AT492" s="197" t="s">
        <v>252</v>
      </c>
      <c r="AW492" s="14" t="str">
        <f t="shared" si="176"/>
        <v>{82</v>
      </c>
      <c r="AX492" s="157" t="str" cm="1">
        <f t="array" ref="AX492">SUBSTITUTE(SUBSTITUTE(_xlfn.SWITCH(AM492, "ITM_T_HOME", "ITM_UP1", "ITM_T_END", "ITM_DOWN1", "DOCU_CHR_sub", "ITM_DOWN_ARROW", "DOCU_CHR_super", "ITM_UP_ARROW", "MNU_TAMALPHA", "ITM_alpha", "DOCU_CHR_caseFLIP", "ITM_NULL", "DOCU_CHR_numSET", "ITM_NULL", "DOCU_ITM_RADIX", "ITM_PERIOD", AM492), ".lo", ),"MNU_", "-MNU_")</f>
        <v>ITM_0</v>
      </c>
      <c r="AY492" s="157" t="str" cm="1">
        <f t="array" ref="AY492">SUBSTITUTE(SUBSTITUTE(_xlfn.SWITCH(AN492, "ITM_T_HOME", "ITM_UP1", "ITM_T_END", "ITM_DOWN1", "DOCU_CHR_sub", "ITM_DOWN_ARROW", "DOCU_CHR_super", "ITM_UP_ARROW", "MNU_TAMALPHA", "ITM_alpha", "DOCU_CHR_caseFLIP", "ITM_NULL", "DOCU_CHR_numSET", "ITM_NULL", "DOCU_ITM_RADIX", "ITM_PERIOD", AN492), ".lo", ),"MNU_", "-MNU_")</f>
        <v>ITM_VIEW</v>
      </c>
      <c r="AZ492" s="157" t="str" cm="1">
        <f t="array" ref="AZ492">SUBSTITUTE(SUBSTITUTE(_xlfn.SWITCH(AO492, "ITM_T_HOME", "ITM_UP1", "ITM_T_END", "ITM_DOWN1", "DOCU_CHR_sub", "ITM_DOWN_ARROW", "DOCU_CHR_super", "ITM_UP_ARROW", "MNU_TAMALPHA", "ITM_alpha", "DOCU_CHR_caseFLIP", "ITM_NULL", "DOCU_CHR_numSET", "ITM_NULL", "DOCU_ITM_RADIX", "ITM_PERIOD", AO492), ".lo", ),"MNU_", "-MNU_")</f>
        <v>-MNU_IO</v>
      </c>
      <c r="BA492" s="173" t="str" cm="1">
        <f t="array" ref="BA492">SUBSTITUTE(SUBSTITUTE(_xlfn.SWITCH(AP492, "ITM_T_HOME", "ITM_UP1", "ITM_T_END", "ITM_DOWN1", "DOCU_CHR_sub", "ITM_DOWN_ARROW", "DOCU_CHR_super", "ITM_UP_ARROW", "MNU_TAMALPHA", "ITM_alpha", "DOCU_CHR_caseFLIP", "ITM_NULL", "DOCU_CHR_numSET", "ITM_NULL", "DOCU_ITM_RADIX", "ITM_PERIOD", AP492), ".lo", ),"MNU_", "-MNU_")</f>
        <v>ITM_0</v>
      </c>
      <c r="BB492" s="157" t="str" cm="1">
        <f t="array" ref="BB492">SUBSTITUTE(SUBSTITUTE(_xlfn.SWITCH(AQ492, "ITM_T_HOME", "ITM_UP1", "ITM_T_END", "ITM_DOWN1", "DOCU_CHR_sub", "ITM_DOWN_ARROW", "DOCU_CHR_super", "ITM_UP_ARROW", "MNU_TAMALPHA", "ITM_alpha", "DOCU_CHR_caseFLIP", "ITM_NULL", "DOCU_CHR_numSET", "ITM_NULL", "DOCU_ITM_RADIX", "ITM_PERIOD", AQ492), ".lo", ),"MNU_", "-MNU_")</f>
        <v>ITM_Z</v>
      </c>
      <c r="BC492" s="157" t="str" cm="1">
        <f t="array" ref="BC492">SUBSTITUTE(SUBSTITUTE(_xlfn.SWITCH(AR492, "ITM_T_HOME", "ITM_UP1", "ITM_T_END", "ITM_DOWN1", "DOCU_CHR_sub", "ITM_DOWN_ARROW", "DOCU_CHR_super", "ITM_UP_ARROW", "MNU_TAMALPHA", "ITM_alpha", "DOCU_CHR_caseFLIP", "ITM_NULL", "DOCU_CHR_numSET", "ITM_NULL", "DOCU_ITM_RADIX", "ITM_PERIOD", AR492), ".lo", ),"MNU_", "-MNU_")</f>
        <v>ITM_z</v>
      </c>
      <c r="BD492" s="157" t="str" cm="1">
        <f t="array" ref="BD492">SUBSTITUTE(SUBSTITUTE(_xlfn.SWITCH(AS492, "ITM_T_HOME", "ITM_UP1", "ITM_T_END", "ITM_DOWN1", "DOCU_CHR_sub", "ITM_DOWN_ARROW", "DOCU_CHR_super", "ITM_UP_ARROW", "MNU_TAMALPHA", "ITM_alpha", "DOCU_CHR_caseFLIP", "ITM_NULL", "DOCU_CHR_numSET", "ITM_NULL", "DOCU_ITM_RADIX", "ITM_PERIOD", AS492), ".lo", ),"MNU_", "-MNU_")</f>
        <v>ITM_0</v>
      </c>
      <c r="BE492" s="157" t="str" cm="1">
        <f t="array" ref="BE492">SUBSTITUTE(SUBSTITUTE(_xlfn.SWITCH(AT492, "ITM_T_HOME", "ITM_UP1", "ITM_T_END", "ITM_DOWN1", "DOCU_CHR_sub", "ITM_DOWN_ARROW", "DOCU_CHR_super", "ITM_UP_ARROW", "MNU_TAMALPHA", "ITM_alpha", "DOCU_CHR_caseFLIP", "ITM_NULL", "DOCU_CHR_numSET", "ITM_NULL", "DOCU_ITM_RADIX", "ITM_PERIOD", AT492), ".lo", ),"MNU_", "-MNU_")</f>
        <v>ITM_0</v>
      </c>
      <c r="BG492" s="75"/>
      <c r="BI492" s="13" t="str">
        <f t="shared" si="173"/>
        <v xml:space="preserve">  {82,                  ITM_0,                ITM_VIEW,             -MNU_IO,              ITM_0,                ITM_Z,                ITM_z,                ITM_0,                ITM_0               },</v>
      </c>
    </row>
    <row r="493" spans="24:61" ht="21" x14ac:dyDescent="0.2">
      <c r="X493" s="141" t="str">
        <f t="shared" si="159"/>
        <v>R47bkfg</v>
      </c>
      <c r="Y493" s="142">
        <v>8</v>
      </c>
      <c r="Z493" s="142">
        <v>3</v>
      </c>
      <c r="AA493" s="144" t="str">
        <f t="shared" si="157"/>
        <v>R47bkfg.83</v>
      </c>
      <c r="AB493" s="117" t="str">
        <f t="shared" ref="AB493:AF493" si="208">AB448</f>
        <v>•</v>
      </c>
      <c r="AC493" s="149" t="str">
        <f t="shared" si="208"/>
        <v>SHOW</v>
      </c>
      <c r="AD493" s="150" t="str">
        <f t="shared" si="208"/>
        <v>a b/c</v>
      </c>
      <c r="AE493" s="3"/>
      <c r="AF493" s="52" t="str">
        <f t="shared" si="208"/>
        <v>,</v>
      </c>
      <c r="AG493" s="77" t="b">
        <f t="shared" si="175"/>
        <v>0</v>
      </c>
      <c r="AH493" s="83" t="str">
        <f t="shared" si="165"/>
        <v>;</v>
      </c>
      <c r="AI493" s="84" t="str">
        <f t="shared" si="166"/>
        <v>.</v>
      </c>
      <c r="AJ493" s="85" t="str">
        <f t="shared" si="167"/>
        <v>.</v>
      </c>
      <c r="AK493" s="6"/>
      <c r="AL493" s="8" t="str">
        <f t="shared" si="168"/>
        <v>{83</v>
      </c>
      <c r="AM493" s="27" t="str">
        <f t="shared" si="169"/>
        <v>DOCU_ITM_RADIX</v>
      </c>
      <c r="AN493" s="27" t="str">
        <f t="shared" si="170"/>
        <v>ITM_SHOW</v>
      </c>
      <c r="AO493" s="27" t="str">
        <f t="shared" si="171"/>
        <v>ITM_TGLFRT</v>
      </c>
      <c r="AP493" s="46" t="str">
        <f>IF(NOT(ISNA(MATCH(AM493,Lookups!E:E,))),VLOOKUP(AM493,Lookups!E:F,2,0),
IF(NOT(ISNA(MATCH(AN493,Lookups!E:E,))),VLOOKUP(AN493,Lookups!E:F,2,0),
IF(NOT(ISNA(MATCH(AO493,Lookups!E:E,))),VLOOKUP(AO493,Lookups!E:F,2,0),"ITM_NULL")))</f>
        <v>ITM_PERIOD</v>
      </c>
      <c r="AQ493" s="28" t="str">
        <f t="shared" si="202"/>
        <v>ITM_COMMA</v>
      </c>
      <c r="AR493" s="213" t="s">
        <v>251</v>
      </c>
      <c r="AS493" s="207" t="s">
        <v>257</v>
      </c>
      <c r="AT493" s="197" t="s">
        <v>257</v>
      </c>
      <c r="AW493" s="14" t="str">
        <f t="shared" si="176"/>
        <v>{83</v>
      </c>
      <c r="AX493" s="157" t="str" cm="1">
        <f t="array" ref="AX493">SUBSTITUTE(SUBSTITUTE(_xlfn.SWITCH(AM493, "ITM_T_HOME", "ITM_UP1", "ITM_T_END", "ITM_DOWN1", "DOCU_CHR_sub", "ITM_DOWN_ARROW", "DOCU_CHR_super", "ITM_UP_ARROW", "MNU_TAMALPHA", "ITM_alpha", "DOCU_CHR_caseFLIP", "ITM_NULL", "DOCU_CHR_numSET", "ITM_NULL", "DOCU_ITM_RADIX", "ITM_PERIOD", AM493), ".lo", ),"MNU_", "-MNU_")</f>
        <v>ITM_PERIOD</v>
      </c>
      <c r="AY493" s="157" t="str" cm="1">
        <f t="array" ref="AY493">SUBSTITUTE(SUBSTITUTE(_xlfn.SWITCH(AN493, "ITM_T_HOME", "ITM_UP1", "ITM_T_END", "ITM_DOWN1", "DOCU_CHR_sub", "ITM_DOWN_ARROW", "DOCU_CHR_super", "ITM_UP_ARROW", "MNU_TAMALPHA", "ITM_alpha", "DOCU_CHR_caseFLIP", "ITM_NULL", "DOCU_CHR_numSET", "ITM_NULL", "DOCU_ITM_RADIX", "ITM_PERIOD", AN493), ".lo", ),"MNU_", "-MNU_")</f>
        <v>ITM_SHOW</v>
      </c>
      <c r="AZ493" s="157" t="str" cm="1">
        <f t="array" ref="AZ493">SUBSTITUTE(SUBSTITUTE(_xlfn.SWITCH(AO493, "ITM_T_HOME", "ITM_UP1", "ITM_T_END", "ITM_DOWN1", "DOCU_CHR_sub", "ITM_DOWN_ARROW", "DOCU_CHR_super", "ITM_UP_ARROW", "MNU_TAMALPHA", "ITM_alpha", "DOCU_CHR_caseFLIP", "ITM_NULL", "DOCU_CHR_numSET", "ITM_NULL", "DOCU_ITM_RADIX", "ITM_PERIOD", AO493), ".lo", ),"MNU_", "-MNU_")</f>
        <v>ITM_TGLFRT</v>
      </c>
      <c r="BA493" s="173" t="str" cm="1">
        <f t="array" ref="BA493">SUBSTITUTE(SUBSTITUTE(_xlfn.SWITCH(AP493, "ITM_T_HOME", "ITM_UP1", "ITM_T_END", "ITM_DOWN1", "DOCU_CHR_sub", "ITM_DOWN_ARROW", "DOCU_CHR_super", "ITM_UP_ARROW", "MNU_TAMALPHA", "ITM_alpha", "DOCU_CHR_caseFLIP", "ITM_NULL", "DOCU_CHR_numSET", "ITM_NULL", "DOCU_ITM_RADIX", "ITM_PERIOD", AP493), ".lo", ),"MNU_", "-MNU_")</f>
        <v>ITM_PERIOD</v>
      </c>
      <c r="BB493" s="157" t="str" cm="1">
        <f t="array" ref="BB493">SUBSTITUTE(SUBSTITUTE(_xlfn.SWITCH(AQ493, "ITM_T_HOME", "ITM_UP1", "ITM_T_END", "ITM_DOWN1", "DOCU_CHR_sub", "ITM_DOWN_ARROW", "DOCU_CHR_super", "ITM_UP_ARROW", "MNU_TAMALPHA", "ITM_alpha", "DOCU_CHR_caseFLIP", "ITM_NULL", "DOCU_CHR_numSET", "ITM_NULL", "DOCU_ITM_RADIX", "ITM_PERIOD", AQ493), ".lo", ),"MNU_", "-MNU_")</f>
        <v>ITM_COMMA</v>
      </c>
      <c r="BC493" s="216" t="str" cm="1">
        <f t="array" ref="BC493">SUBSTITUTE(SUBSTITUTE(_xlfn.SWITCH(AR493, "ITM_T_HOME", "ITM_UP1", "ITM_T_END", "ITM_DOWN1", "DOCU_CHR_sub", "ITM_DOWN_ARROW", "DOCU_CHR_super", "ITM_UP_ARROW", "MNU_TAMALPHA", "ITM_alpha", "DOCU_CHR_caseFLIP", "ITM_NULL", "DOCU_CHR_numSET", "ITM_NULL", "DOCU_ITM_RADIX", "ITM_PERIOD", AR493), ".lo", ),"MNU_", "-MNU_")</f>
        <v>ITM_SEMICOLON</v>
      </c>
      <c r="BD493" s="157" t="str" cm="1">
        <f t="array" ref="BD493">SUBSTITUTE(SUBSTITUTE(_xlfn.SWITCH(AS493, "ITM_T_HOME", "ITM_UP1", "ITM_T_END", "ITM_DOWN1", "DOCU_CHR_sub", "ITM_DOWN_ARROW", "DOCU_CHR_super", "ITM_UP_ARROW", "MNU_TAMALPHA", "ITM_alpha", "DOCU_CHR_caseFLIP", "ITM_NULL", "DOCU_CHR_numSET", "ITM_NULL", "DOCU_ITM_RADIX", "ITM_PERIOD", AS493), ".lo", ),"MNU_", "-MNU_")</f>
        <v>ITM_PERIOD</v>
      </c>
      <c r="BE493" s="157" t="str" cm="1">
        <f t="array" ref="BE493">SUBSTITUTE(SUBSTITUTE(_xlfn.SWITCH(AT493, "ITM_T_HOME", "ITM_UP1", "ITM_T_END", "ITM_DOWN1", "DOCU_CHR_sub", "ITM_DOWN_ARROW", "DOCU_CHR_super", "ITM_UP_ARROW", "MNU_TAMALPHA", "ITM_alpha", "DOCU_CHR_caseFLIP", "ITM_NULL", "DOCU_CHR_numSET", "ITM_NULL", "DOCU_ITM_RADIX", "ITM_PERIOD", AT493), ".lo", ),"MNU_", "-MNU_")</f>
        <v>ITM_PERIOD</v>
      </c>
      <c r="BG493" s="75"/>
      <c r="BI493" s="13" t="str">
        <f t="shared" si="173"/>
        <v xml:space="preserve">  {83,                  ITM_PERIOD,           ITM_SHOW,             ITM_TGLFRT,           ITM_PERIOD,           ITM_COMMA,            ITM_SEMICOLON,        ITM_PERIOD,           ITM_PERIOD          },</v>
      </c>
    </row>
    <row r="494" spans="24:61" ht="21" x14ac:dyDescent="0.2">
      <c r="X494" s="141" t="str">
        <f t="shared" si="159"/>
        <v>R47bkfg</v>
      </c>
      <c r="Y494" s="142">
        <v>8</v>
      </c>
      <c r="Z494" s="142">
        <v>4</v>
      </c>
      <c r="AA494" s="144" t="str">
        <f t="shared" si="157"/>
        <v>R47bkfg.84</v>
      </c>
      <c r="AB494" s="148" t="str">
        <f t="shared" ref="AB494:AF494" si="209">AB449</f>
        <v>R/S</v>
      </c>
      <c r="AC494" s="149" t="str">
        <f t="shared" si="209"/>
        <v>PRGM</v>
      </c>
      <c r="AD494" s="150" t="str">
        <f t="shared" si="209"/>
        <v>[ P.FN ]</v>
      </c>
      <c r="AE494" s="3"/>
      <c r="AF494" s="53" t="str">
        <f t="shared" si="209"/>
        <v>？</v>
      </c>
      <c r="AG494" s="77" t="b">
        <f t="shared" si="175"/>
        <v>0</v>
      </c>
      <c r="AH494" s="83" t="str">
        <f t="shared" si="165"/>
        <v>:</v>
      </c>
      <c r="AI494" s="84" t="str">
        <f t="shared" si="166"/>
        <v>/</v>
      </c>
      <c r="AJ494" s="85" t="str">
        <f t="shared" si="167"/>
        <v xml:space="preserve"> </v>
      </c>
      <c r="AK494" s="6"/>
      <c r="AL494" s="8" t="str">
        <f t="shared" si="168"/>
        <v>{84</v>
      </c>
      <c r="AM494" s="27" t="str">
        <f t="shared" si="169"/>
        <v>ITM_RS</v>
      </c>
      <c r="AN494" s="27" t="str">
        <f t="shared" si="170"/>
        <v>ITM_PR</v>
      </c>
      <c r="AO494" s="27" t="str">
        <f t="shared" si="171"/>
        <v>MNU_PFN</v>
      </c>
      <c r="AP494" s="46" t="str">
        <f>IF(NOT(ISNA(MATCH(AM494,Lookups!E:E,))),VLOOKUP(AM494,Lookups!E:F,2,0),
IF(NOT(ISNA(MATCH(AN494,Lookups!E:E,))),VLOOKUP(AN494,Lookups!E:F,2,0),
IF(NOT(ISNA(MATCH(AO494,Lookups!E:E,))),VLOOKUP(AO494,Lookups!E:F,2,0),"ITM_NULL")))</f>
        <v>ITM_NULL</v>
      </c>
      <c r="AQ494" s="28" t="str">
        <f t="shared" si="202"/>
        <v>ITM_QUESTION_MARK</v>
      </c>
      <c r="AR494" s="211" t="s">
        <v>484</v>
      </c>
      <c r="AS494" s="207" t="s">
        <v>262</v>
      </c>
      <c r="AT494" s="197" t="s">
        <v>81</v>
      </c>
      <c r="AW494" s="14" t="str">
        <f t="shared" si="176"/>
        <v>{84</v>
      </c>
      <c r="AX494" s="157" t="str" cm="1">
        <f t="array" ref="AX494">SUBSTITUTE(SUBSTITUTE(_xlfn.SWITCH(AM494, "ITM_T_HOME", "ITM_UP1", "ITM_T_END", "ITM_DOWN1", "DOCU_CHR_sub", "ITM_DOWN_ARROW", "DOCU_CHR_super", "ITM_UP_ARROW", "MNU_TAMALPHA", "ITM_alpha", "DOCU_CHR_caseFLIP", "ITM_NULL", "DOCU_CHR_numSET", "ITM_NULL", "DOCU_ITM_RADIX", "ITM_PERIOD", AM494), ".lo", ),"MNU_", "-MNU_")</f>
        <v>ITM_RS</v>
      </c>
      <c r="AY494" s="157" t="str" cm="1">
        <f t="array" ref="AY494">SUBSTITUTE(SUBSTITUTE(_xlfn.SWITCH(AN494, "ITM_T_HOME", "ITM_UP1", "ITM_T_END", "ITM_DOWN1", "DOCU_CHR_sub", "ITM_DOWN_ARROW", "DOCU_CHR_super", "ITM_UP_ARROW", "MNU_TAMALPHA", "ITM_alpha", "DOCU_CHR_caseFLIP", "ITM_NULL", "DOCU_CHR_numSET", "ITM_NULL", "DOCU_ITM_RADIX", "ITM_PERIOD", AN494), ".lo", ),"MNU_", "-MNU_")</f>
        <v>ITM_PR</v>
      </c>
      <c r="AZ494" s="157" t="str" cm="1">
        <f t="array" ref="AZ494">SUBSTITUTE(SUBSTITUTE(_xlfn.SWITCH(AO494, "ITM_T_HOME", "ITM_UP1", "ITM_T_END", "ITM_DOWN1", "DOCU_CHR_sub", "ITM_DOWN_ARROW", "DOCU_CHR_super", "ITM_UP_ARROW", "MNU_TAMALPHA", "ITM_alpha", "DOCU_CHR_caseFLIP", "ITM_NULL", "DOCU_CHR_numSET", "ITM_NULL", "DOCU_ITM_RADIX", "ITM_PERIOD", AO494), ".lo", ),"MNU_", "-MNU_")</f>
        <v>-MNU_PFN</v>
      </c>
      <c r="BA494" s="173" t="str" cm="1">
        <f t="array" ref="BA494">SUBSTITUTE(SUBSTITUTE(_xlfn.SWITCH(AP494, "ITM_T_HOME", "ITM_UP1", "ITM_T_END", "ITM_DOWN1", "DOCU_CHR_sub", "ITM_DOWN_ARROW", "DOCU_CHR_super", "ITM_UP_ARROW", "MNU_TAMALPHA", "ITM_alpha", "DOCU_CHR_caseFLIP", "ITM_NULL", "DOCU_CHR_numSET", "ITM_NULL", "DOCU_ITM_RADIX", "ITM_PERIOD", AP494), ".lo", ),"MNU_", "-MNU_")</f>
        <v>ITM_NULL</v>
      </c>
      <c r="BB494" s="157" t="str" cm="1">
        <f t="array" ref="BB494">SUBSTITUTE(SUBSTITUTE(_xlfn.SWITCH(AQ494, "ITM_T_HOME", "ITM_UP1", "ITM_T_END", "ITM_DOWN1", "DOCU_CHR_sub", "ITM_DOWN_ARROW", "DOCU_CHR_super", "ITM_UP_ARROW", "MNU_TAMALPHA", "ITM_alpha", "DOCU_CHR_caseFLIP", "ITM_NULL", "DOCU_CHR_numSET", "ITM_NULL", "DOCU_ITM_RADIX", "ITM_PERIOD", AQ494), ".lo", ),"MNU_", "-MNU_")</f>
        <v>ITM_QUESTION_MARK</v>
      </c>
      <c r="BC494" s="157" t="str" cm="1">
        <f t="array" ref="BC494">SUBSTITUTE(SUBSTITUTE(_xlfn.SWITCH(AR494, "ITM_T_HOME", "ITM_UP1", "ITM_T_END", "ITM_DOWN1", "DOCU_CHR_sub", "ITM_DOWN_ARROW", "DOCU_CHR_super", "ITM_UP_ARROW", "MNU_TAMALPHA", "ITM_alpha", "DOCU_CHR_caseFLIP", "ITM_NULL", "DOCU_CHR_numSET", "ITM_NULL", "DOCU_ITM_RADIX", "ITM_PERIOD", AR494), ".lo", ),"MNU_", "-MNU_")</f>
        <v>ITM_COLON</v>
      </c>
      <c r="BD494" s="157" t="str" cm="1">
        <f t="array" ref="BD494">SUBSTITUTE(SUBSTITUTE(_xlfn.SWITCH(AS494, "ITM_T_HOME", "ITM_UP1", "ITM_T_END", "ITM_DOWN1", "DOCU_CHR_sub", "ITM_DOWN_ARROW", "DOCU_CHR_super", "ITM_UP_ARROW", "MNU_TAMALPHA", "ITM_alpha", "DOCU_CHR_caseFLIP", "ITM_NULL", "DOCU_CHR_numSET", "ITM_NULL", "DOCU_ITM_RADIX", "ITM_PERIOD", AS494), ".lo", ),"MNU_", "-MNU_")</f>
        <v>ITM_SLASH</v>
      </c>
      <c r="BE494" s="157" t="str" cm="1">
        <f t="array" ref="BE494">SUBSTITUTE(SUBSTITUTE(_xlfn.SWITCH(AT494, "ITM_T_HOME", "ITM_UP1", "ITM_T_END", "ITM_DOWN1", "DOCU_CHR_sub", "ITM_DOWN_ARROW", "DOCU_CHR_super", "ITM_UP_ARROW", "MNU_TAMALPHA", "ITM_alpha", "DOCU_CHR_caseFLIP", "ITM_NULL", "DOCU_CHR_numSET", "ITM_NULL", "DOCU_ITM_RADIX", "ITM_PERIOD", AT494), ".lo", ),"MNU_", "-MNU_")</f>
        <v>ITM_NULL</v>
      </c>
      <c r="BG494" s="75"/>
      <c r="BI494" s="13" t="str">
        <f t="shared" si="173"/>
        <v xml:space="preserve">  {84,                  ITM_RS,               ITM_PR,               -MNU_PFN,             ITM_NULL,             ITM_QUESTION_MARK,    ITM_COLON,            ITM_SLASH,            ITM_NULL            },</v>
      </c>
    </row>
    <row r="495" spans="24:61" ht="22" thickBot="1" x14ac:dyDescent="0.25">
      <c r="X495" s="141" t="str">
        <f t="shared" si="159"/>
        <v>R47bkfg</v>
      </c>
      <c r="Y495" s="142">
        <v>8</v>
      </c>
      <c r="Z495" s="142">
        <v>5</v>
      </c>
      <c r="AA495" s="144" t="str">
        <f t="shared" si="157"/>
        <v>R47bkfg.85</v>
      </c>
      <c r="AB495" s="154" t="str">
        <f t="shared" ref="AB495:AF495" si="210">AB450</f>
        <v>+</v>
      </c>
      <c r="AC495" s="155" t="str">
        <f t="shared" si="210"/>
        <v>[ CAT ]</v>
      </c>
      <c r="AD495" s="156" t="str">
        <f t="shared" si="210"/>
        <v>[ CNST ]</v>
      </c>
      <c r="AE495" s="125"/>
      <c r="AF495" s="54" t="str">
        <f t="shared" si="210"/>
        <v>spc</v>
      </c>
      <c r="AG495" s="77" t="b">
        <f t="shared" si="175"/>
        <v>0</v>
      </c>
      <c r="AH495" s="86" t="str">
        <f t="shared" si="165"/>
        <v>=</v>
      </c>
      <c r="AI495" s="87" t="str">
        <f t="shared" si="166"/>
        <v>+</v>
      </c>
      <c r="AJ495" s="88" t="str">
        <f t="shared" si="167"/>
        <v>+</v>
      </c>
      <c r="AK495" s="6"/>
      <c r="AL495" s="8" t="str">
        <f t="shared" si="168"/>
        <v>{85</v>
      </c>
      <c r="AM495" s="27" t="str">
        <f t="shared" si="169"/>
        <v>ITM_ADD</v>
      </c>
      <c r="AN495" s="27" t="str">
        <f t="shared" si="170"/>
        <v>MNU_CATALOG</v>
      </c>
      <c r="AO495" s="27" t="str">
        <f t="shared" si="171"/>
        <v>MNU_CONST</v>
      </c>
      <c r="AP495" s="46" t="str">
        <f>IF(NOT(ISNA(MATCH(AM495,Lookups!E:E,))),VLOOKUP(AM495,Lookups!E:F,2,0),
IF(NOT(ISNA(MATCH(AN495,Lookups!E:E,))),VLOOKUP(AN495,Lookups!E:F,2,0),
IF(NOT(ISNA(MATCH(AO495,Lookups!E:E,))),VLOOKUP(AO495,Lookups!E:F,2,0),"ITM_NULL")))</f>
        <v>ITM_PLUS</v>
      </c>
      <c r="AQ495" s="28" t="str">
        <f t="shared" si="202"/>
        <v>ITM_SPACE</v>
      </c>
      <c r="AR495" s="212" t="s">
        <v>650</v>
      </c>
      <c r="AS495" s="208" t="s">
        <v>267</v>
      </c>
      <c r="AT495" s="201" t="s">
        <v>268</v>
      </c>
      <c r="AW495" s="14" t="str">
        <f t="shared" si="176"/>
        <v>{85</v>
      </c>
      <c r="AX495" s="157" t="str" cm="1">
        <f t="array" ref="AX495">SUBSTITUTE(SUBSTITUTE(_xlfn.SWITCH(AM495, "ITM_T_HOME", "ITM_UP1", "ITM_T_END", "ITM_DOWN1", "DOCU_CHR_sub", "ITM_DOWN_ARROW", "DOCU_CHR_super", "ITM_UP_ARROW", "MNU_TAMALPHA", "ITM_alpha", "DOCU_CHR_caseFLIP", "ITM_NULL", "DOCU_CHR_numSET", "ITM_NULL", "DOCU_ITM_RADIX", "ITM_PERIOD", AM495), ".lo", ),"MNU_", "-MNU_")</f>
        <v>ITM_ADD</v>
      </c>
      <c r="AY495" s="157" t="str" cm="1">
        <f t="array" ref="AY495">SUBSTITUTE(SUBSTITUTE(_xlfn.SWITCH(AN495, "ITM_T_HOME", "ITM_UP1", "ITM_T_END", "ITM_DOWN1", "DOCU_CHR_sub", "ITM_DOWN_ARROW", "DOCU_CHR_super", "ITM_UP_ARROW", "MNU_TAMALPHA", "ITM_alpha", "DOCU_CHR_caseFLIP", "ITM_NULL", "DOCU_CHR_numSET", "ITM_NULL", "DOCU_ITM_RADIX", "ITM_PERIOD", AN495), ".lo", ),"MNU_", "-MNU_")</f>
        <v>-MNU_CATALOG</v>
      </c>
      <c r="AZ495" s="157" t="str" cm="1">
        <f t="array" ref="AZ495">SUBSTITUTE(SUBSTITUTE(_xlfn.SWITCH(AO495, "ITM_T_HOME", "ITM_UP1", "ITM_T_END", "ITM_DOWN1", "DOCU_CHR_sub", "ITM_DOWN_ARROW", "DOCU_CHR_super", "ITM_UP_ARROW", "MNU_TAMALPHA", "ITM_alpha", "DOCU_CHR_caseFLIP", "ITM_NULL", "DOCU_CHR_numSET", "ITM_NULL", "DOCU_ITM_RADIX", "ITM_PERIOD", AO495), ".lo", ),"MNU_", "-MNU_")</f>
        <v>-MNU_CONST</v>
      </c>
      <c r="BA495" s="173" t="str" cm="1">
        <f t="array" ref="BA495">SUBSTITUTE(SUBSTITUTE(_xlfn.SWITCH(AP495, "ITM_T_HOME", "ITM_UP1", "ITM_T_END", "ITM_DOWN1", "DOCU_CHR_sub", "ITM_DOWN_ARROW", "DOCU_CHR_super", "ITM_UP_ARROW", "MNU_TAMALPHA", "ITM_alpha", "DOCU_CHR_caseFLIP", "ITM_NULL", "DOCU_CHR_numSET", "ITM_NULL", "DOCU_ITM_RADIX", "ITM_PERIOD", AP495), ".lo", ),"MNU_", "-MNU_")</f>
        <v>ITM_PLUS</v>
      </c>
      <c r="BB495" s="157" t="str" cm="1">
        <f t="array" ref="BB495">SUBSTITUTE(SUBSTITUTE(_xlfn.SWITCH(AQ495, "ITM_T_HOME", "ITM_UP1", "ITM_T_END", "ITM_DOWN1", "DOCU_CHR_sub", "ITM_DOWN_ARROW", "DOCU_CHR_super", "ITM_UP_ARROW", "MNU_TAMALPHA", "ITM_alpha", "DOCU_CHR_caseFLIP", "ITM_NULL", "DOCU_CHR_numSET", "ITM_NULL", "DOCU_ITM_RADIX", "ITM_PERIOD", AQ495), ".lo", ),"MNU_", "-MNU_")</f>
        <v>ITM_SPACE</v>
      </c>
      <c r="BC495" s="157" t="str" cm="1">
        <f t="array" ref="BC495">SUBSTITUTE(SUBSTITUTE(_xlfn.SWITCH(AR495, "ITM_T_HOME", "ITM_UP1", "ITM_T_END", "ITM_DOWN1", "DOCU_CHR_sub", "ITM_DOWN_ARROW", "DOCU_CHR_super", "ITM_UP_ARROW", "MNU_TAMALPHA", "ITM_alpha", "DOCU_CHR_caseFLIP", "ITM_NULL", "DOCU_CHR_numSET", "ITM_NULL", "DOCU_ITM_RADIX", "ITM_PERIOD", AR495), ".lo", ),"MNU_", "-MNU_")</f>
        <v>ITM_EQUAL</v>
      </c>
      <c r="BD495" s="157" t="str" cm="1">
        <f t="array" ref="BD495">SUBSTITUTE(SUBSTITUTE(_xlfn.SWITCH(AS495, "ITM_T_HOME", "ITM_UP1", "ITM_T_END", "ITM_DOWN1", "DOCU_CHR_sub", "ITM_DOWN_ARROW", "DOCU_CHR_super", "ITM_UP_ARROW", "MNU_TAMALPHA", "ITM_alpha", "DOCU_CHR_caseFLIP", "ITM_NULL", "DOCU_CHR_numSET", "ITM_NULL", "DOCU_ITM_RADIX", "ITM_PERIOD", AS495), ".lo", ),"MNU_", "-MNU_")</f>
        <v>ITM_PLUS</v>
      </c>
      <c r="BE495" s="157" t="str" cm="1">
        <f t="array" ref="BE495">SUBSTITUTE(SUBSTITUTE(_xlfn.SWITCH(AT495, "ITM_T_HOME", "ITM_UP1", "ITM_T_END", "ITM_DOWN1", "DOCU_CHR_sub", "ITM_DOWN_ARROW", "DOCU_CHR_super", "ITM_UP_ARROW", "MNU_TAMALPHA", "ITM_alpha", "DOCU_CHR_caseFLIP", "ITM_NULL", "DOCU_CHR_numSET", "ITM_NULL", "DOCU_ITM_RADIX", "ITM_PERIOD", AT495), ".lo", ),"MNU_", "-MNU_")</f>
        <v>ITM_ADD</v>
      </c>
      <c r="BG495" s="75"/>
      <c r="BI495" s="73" t="str">
        <f>"  "&amp;AW495&amp;", "&amp;REPT(" ",$BH$54-LEN(AW495))&amp;
AX495&amp;", "&amp;REPT(" ",$BH$54-LEN(AX495))&amp;
AY495&amp;", "&amp;REPT(" ",$BH$54-LEN(AY495))&amp;
AZ495&amp;", "&amp;REPT(" ",$BH$54-LEN(AZ495))&amp;
BA495&amp;", "&amp;REPT(" ",$BH$54-LEN(BA495))&amp;
BB495&amp;", "&amp;REPT(" ",$BH$54-LEN(BB495))&amp;
BC495&amp;", "&amp;REPT(" ",$BH$54-LEN(BC495))&amp;
BD495&amp;", "&amp;REPT(" ",$BH$54-LEN(BD495))&amp;
BE495&amp;REPT(" ",$BH$54-LEN(BE495))&amp;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496" spans="24:61" ht="21" x14ac:dyDescent="0.2">
      <c r="AK496" s="6"/>
      <c r="AL496" s="111"/>
      <c r="AM496" s="29"/>
      <c r="AN496" s="29"/>
      <c r="AO496" s="29"/>
      <c r="AP496" s="47"/>
      <c r="AQ496" s="29"/>
      <c r="AR496" s="202"/>
      <c r="AS496" s="202"/>
      <c r="AT496" s="202"/>
      <c r="BG496" s="75"/>
      <c r="BI496" s="16" t="s">
        <v>269</v>
      </c>
    </row>
    <row r="497" spans="24:61" x14ac:dyDescent="0.2">
      <c r="BG497" s="75"/>
      <c r="BI497" s="13" t="s">
        <v>270</v>
      </c>
    </row>
    <row r="498" spans="24:61" x14ac:dyDescent="0.2">
      <c r="BI498" s="13"/>
    </row>
    <row r="499" spans="24:61" x14ac:dyDescent="0.2">
      <c r="BI499" s="13"/>
    </row>
    <row r="500" spans="24:61" ht="21" x14ac:dyDescent="0.2">
      <c r="X500" s="137" t="s">
        <v>647</v>
      </c>
      <c r="Y500" s="138">
        <v>1</v>
      </c>
      <c r="Z500" s="138">
        <v>1</v>
      </c>
      <c r="AA500" s="139" t="str">
        <f t="shared" ref="AA500:AA542" si="211">X500&amp;"."&amp;Y500&amp;Z500</f>
        <v>R47fgbk.11</v>
      </c>
      <c r="AB500" s="140" t="str">
        <f t="shared" ref="AB500:AB505" si="212">AB408</f>
        <v>F1</v>
      </c>
      <c r="AC500" s="18"/>
      <c r="AD500" s="18"/>
      <c r="AF500" s="18"/>
      <c r="AH500" s="95"/>
      <c r="AI500" s="95"/>
      <c r="AJ500" s="95"/>
      <c r="AK500" s="6"/>
      <c r="AQ500" s="29"/>
      <c r="AR500" s="202"/>
    </row>
    <row r="501" spans="24:61" ht="21" x14ac:dyDescent="0.2">
      <c r="X501" s="141" t="str">
        <f>X500</f>
        <v>R47fgbk</v>
      </c>
      <c r="Y501" s="142">
        <v>1</v>
      </c>
      <c r="Z501" s="142">
        <v>2</v>
      </c>
      <c r="AA501" s="139" t="str">
        <f t="shared" si="211"/>
        <v>R47fgbk.12</v>
      </c>
      <c r="AB501" s="140" t="str">
        <f t="shared" si="212"/>
        <v>F2</v>
      </c>
      <c r="AC501" s="18"/>
      <c r="AD501" s="18"/>
      <c r="AF501" s="18"/>
      <c r="AH501" s="95"/>
      <c r="AI501" s="95"/>
      <c r="AJ501" s="95"/>
      <c r="AK501" s="6"/>
    </row>
    <row r="502" spans="24:61" ht="21" x14ac:dyDescent="0.2">
      <c r="X502" s="141" t="str">
        <f t="shared" ref="X502:X542" si="213">X501</f>
        <v>R47fgbk</v>
      </c>
      <c r="Y502" s="142">
        <v>1</v>
      </c>
      <c r="Z502" s="142">
        <v>3</v>
      </c>
      <c r="AA502" s="139" t="str">
        <f t="shared" si="211"/>
        <v>R47fgbk.13</v>
      </c>
      <c r="AB502" s="140" t="str">
        <f t="shared" si="212"/>
        <v>F3</v>
      </c>
      <c r="AC502" s="18"/>
      <c r="AD502" s="18"/>
      <c r="AF502" s="18"/>
      <c r="AH502" s="95"/>
      <c r="AI502" s="95"/>
      <c r="AJ502" s="95"/>
      <c r="AK502" s="6"/>
      <c r="AM502" s="72" t="s">
        <v>34</v>
      </c>
      <c r="AX502" s="72" t="s">
        <v>35</v>
      </c>
      <c r="AY502" s="27" t="s">
        <v>36</v>
      </c>
      <c r="BG502" s="75"/>
      <c r="BI502" s="17" t="str">
        <f>"// "&amp;X502&amp;" Layout from Layout_template_automation template: Do not change manually"</f>
        <v>// R47fgbk Layout from Layout_template_automation template: Do not change manually</v>
      </c>
    </row>
    <row r="503" spans="24:61" ht="22" thickBot="1" x14ac:dyDescent="0.25">
      <c r="X503" s="141" t="str">
        <f t="shared" si="213"/>
        <v>R47fgbk</v>
      </c>
      <c r="Y503" s="142">
        <v>1</v>
      </c>
      <c r="Z503" s="142">
        <v>4</v>
      </c>
      <c r="AA503" s="139" t="str">
        <f t="shared" si="211"/>
        <v>R47fgbk.14</v>
      </c>
      <c r="AB503" s="140" t="str">
        <f t="shared" si="212"/>
        <v>F4</v>
      </c>
      <c r="AC503" s="18"/>
      <c r="AD503" s="18"/>
      <c r="AF503" s="18"/>
      <c r="AH503" s="95"/>
      <c r="AI503" s="95"/>
      <c r="AJ503" s="95"/>
      <c r="AK503" s="6"/>
      <c r="BG503" s="75"/>
      <c r="BI503" s="16" t="s">
        <v>38</v>
      </c>
    </row>
    <row r="504" spans="24:61" ht="22" thickBot="1" x14ac:dyDescent="0.25">
      <c r="X504" s="141" t="str">
        <f t="shared" si="213"/>
        <v>R47fgbk</v>
      </c>
      <c r="Y504" s="142">
        <v>1</v>
      </c>
      <c r="Z504" s="142">
        <v>5</v>
      </c>
      <c r="AA504" s="139" t="str">
        <f t="shared" si="211"/>
        <v>R47fgbk.15</v>
      </c>
      <c r="AB504" s="140" t="str">
        <f t="shared" si="212"/>
        <v>F4</v>
      </c>
      <c r="AC504" s="18"/>
      <c r="AD504" s="18"/>
      <c r="AF504" s="18"/>
      <c r="AH504" s="95"/>
      <c r="AI504" s="95"/>
      <c r="AJ504" s="95"/>
      <c r="AK504" s="6"/>
      <c r="AL504" s="185" t="str">
        <f>X504</f>
        <v>R47fgbk</v>
      </c>
      <c r="AM504" s="224" t="s">
        <v>39</v>
      </c>
      <c r="AN504" s="224"/>
      <c r="AO504" s="224"/>
      <c r="AP504" s="71" t="s">
        <v>40</v>
      </c>
      <c r="AQ504" s="31" t="s">
        <v>41</v>
      </c>
      <c r="AR504" s="189" t="s">
        <v>42</v>
      </c>
      <c r="AS504" s="190" t="s">
        <v>42</v>
      </c>
      <c r="AT504" s="191" t="s">
        <v>42</v>
      </c>
      <c r="BG504" s="75"/>
      <c r="BI504" s="16" t="str">
        <f>"TO_QSPI const calcKey_t kbd_std_"&amp;X505&amp;"[37] = {"</f>
        <v>TO_QSPI const calcKey_t kbd_std_R47fgbk[37] = {</v>
      </c>
    </row>
    <row r="505" spans="24:61" ht="22" thickBot="1" x14ac:dyDescent="0.25">
      <c r="X505" s="141" t="str">
        <f t="shared" si="213"/>
        <v>R47fgbk</v>
      </c>
      <c r="Y505" s="142">
        <v>1</v>
      </c>
      <c r="Z505" s="142">
        <v>6</v>
      </c>
      <c r="AA505" s="139" t="str">
        <f t="shared" si="211"/>
        <v>R47fgbk.16</v>
      </c>
      <c r="AB505" s="143" t="str">
        <f t="shared" si="212"/>
        <v>F6</v>
      </c>
      <c r="AC505" s="44"/>
      <c r="AD505" s="44"/>
      <c r="AF505" s="44"/>
      <c r="AH505" s="96"/>
      <c r="AI505" s="96"/>
      <c r="AJ505" s="96"/>
      <c r="AK505" s="6"/>
      <c r="BG505" s="75"/>
      <c r="BI505" s="16" t="s">
        <v>44</v>
      </c>
    </row>
    <row r="506" spans="24:61" ht="21" x14ac:dyDescent="0.2">
      <c r="X506" s="141" t="str">
        <f t="shared" si="213"/>
        <v>R47fgbk</v>
      </c>
      <c r="Y506" s="138">
        <v>2</v>
      </c>
      <c r="Z506" s="138">
        <v>1</v>
      </c>
      <c r="AA506" s="144" t="str">
        <f t="shared" si="211"/>
        <v>R47fgbk.21</v>
      </c>
      <c r="AB506" s="179" t="str">
        <f>AB414</f>
        <v>x^2</v>
      </c>
      <c r="AC506" s="146" t="str">
        <f t="shared" ref="AC506:AF506" si="214">AC414</f>
        <v>op_i</v>
      </c>
      <c r="AD506" s="147" t="str">
        <f t="shared" si="214"/>
        <v>-&gt;R</v>
      </c>
      <c r="AE506" s="116"/>
      <c r="AF506" s="51" t="str">
        <f t="shared" si="214"/>
        <v>A</v>
      </c>
      <c r="AG506" s="77" t="b">
        <f>AF506=AH506</f>
        <v>1</v>
      </c>
      <c r="AH506" s="80" t="str">
        <f t="shared" ref="AH506:AH542" si="215">INDEX(labelitem,MATCH(AR506,items,0),1)</f>
        <v>a</v>
      </c>
      <c r="AI506" s="81" t="str">
        <f t="shared" ref="AI506:AI542" si="216">INDEX(labelitem,MATCH(AS506,items,0),1)</f>
        <v>&lt;i&gt;</v>
      </c>
      <c r="AJ506" s="82" t="str">
        <f t="shared" ref="AJ506:AJ542" si="217">INDEX(labelitem,MATCH(AT506,items,0),1)</f>
        <v>Reg A</v>
      </c>
      <c r="AK506" s="6"/>
      <c r="AL506" s="8" t="str">
        <f t="shared" ref="AL506:AL542" si="218">"{"&amp;Y506*10+Z506</f>
        <v>{21</v>
      </c>
      <c r="AM506" s="27" t="str">
        <f t="shared" ref="AM506:AM542" si="219">VLOOKUP(AB506,labelitem,2,0)</f>
        <v>ITM_SQUARE</v>
      </c>
      <c r="AN506" s="27" t="str">
        <f t="shared" ref="AN506:AN542" si="220">VLOOKUP(AC506,labelitem,2,0)</f>
        <v>ITM_op_j</v>
      </c>
      <c r="AO506" s="27" t="str">
        <f t="shared" ref="AO506:AO542" si="221">VLOOKUP(AD506,labelitem,2,0)</f>
        <v>ITM_toREC2</v>
      </c>
      <c r="AP506" s="46" t="str">
        <f>IF(NOT(ISNA(MATCH(AM506,Lookups!E:E,))),VLOOKUP(AM506,Lookups!E:F,2,0),
IF(NOT(ISNA(MATCH(AN506,Lookups!E:E,))),VLOOKUP(AN506,Lookups!E:F,2,0),
IF(NOT(ISNA(MATCH(AO506,Lookups!E:E,))),VLOOKUP(AO506,Lookups!E:F,2,0),"ITM_NULL")))</f>
        <v>ITM_NULL</v>
      </c>
      <c r="AQ506" s="28" t="str">
        <f t="shared" ref="AQ506:AQ532" si="222">VLOOKUP(AF506,labelitem,2,0)</f>
        <v>ITM_A</v>
      </c>
      <c r="AR506" s="192" t="s">
        <v>51</v>
      </c>
      <c r="AS506" s="193" t="s">
        <v>638</v>
      </c>
      <c r="AT506" s="257" t="s">
        <v>53</v>
      </c>
      <c r="AW506" s="14" t="str">
        <f>AL506</f>
        <v>{21</v>
      </c>
      <c r="AX506" s="157" t="str" cm="1">
        <f t="array" ref="AX506">SUBSTITUTE(SUBSTITUTE(_xlfn.SWITCH(AM506, "ITM_T_HOME", "ITM_UP1", "ITM_T_END", "ITM_DOWN1", "DOCU_CHR_sub", "ITM_DOWN_ARROW", "DOCU_CHR_super", "ITM_UP_ARROW", "MNU_TAMALPHA", "ITM_alpha", "DOCU_CHR_caseFLIP", "ITM_NULL", "DOCU_CHR_numSET", "ITM_NULL", "DOCU_ITM_RADIX", "ITM_PERIOD", AM506), ".lo", ),"MNU_", "-MNU_")</f>
        <v>ITM_SQUARE</v>
      </c>
      <c r="AY506" s="157" t="str" cm="1">
        <f t="array" ref="AY506">SUBSTITUTE(SUBSTITUTE(_xlfn.SWITCH(AN506, "ITM_T_HOME", "ITM_UP1", "ITM_T_END", "ITM_DOWN1", "DOCU_CHR_sub", "ITM_DOWN_ARROW", "DOCU_CHR_super", "ITM_UP_ARROW", "MNU_TAMALPHA", "ITM_alpha", "DOCU_CHR_caseFLIP", "ITM_NULL", "DOCU_CHR_numSET", "ITM_NULL", "DOCU_ITM_RADIX", "ITM_PERIOD", AN506), ".lo", ),"MNU_", "-MNU_")</f>
        <v>ITM_op_j</v>
      </c>
      <c r="AZ506" s="157" t="str" cm="1">
        <f t="array" ref="AZ506">SUBSTITUTE(SUBSTITUTE(_xlfn.SWITCH(AO506, "ITM_T_HOME", "ITM_UP1", "ITM_T_END", "ITM_DOWN1", "DOCU_CHR_sub", "ITM_DOWN_ARROW", "DOCU_CHR_super", "ITM_UP_ARROW", "MNU_TAMALPHA", "ITM_alpha", "DOCU_CHR_caseFLIP", "ITM_NULL", "DOCU_CHR_numSET", "ITM_NULL", "DOCU_ITM_RADIX", "ITM_PERIOD", AO506), ".lo", ),"MNU_", "-MNU_")</f>
        <v>ITM_toREC2</v>
      </c>
      <c r="BA506" s="173" t="str" cm="1">
        <f t="array" ref="BA506">SUBSTITUTE(SUBSTITUTE(_xlfn.SWITCH(AP506, "ITM_T_HOME", "ITM_UP1", "ITM_T_END", "ITM_DOWN1", "DOCU_CHR_sub", "ITM_DOWN_ARROW", "DOCU_CHR_super", "ITM_UP_ARROW", "MNU_TAMALPHA", "ITM_alpha", "DOCU_CHR_caseFLIP", "ITM_NULL", "DOCU_CHR_numSET", "ITM_NULL", "DOCU_ITM_RADIX", "ITM_PERIOD", AP506), ".lo", ),"MNU_", "-MNU_")</f>
        <v>ITM_NULL</v>
      </c>
      <c r="BB506" s="157" t="str" cm="1">
        <f t="array" ref="BB506">SUBSTITUTE(SUBSTITUTE(_xlfn.SWITCH(AQ506, "ITM_T_HOME", "ITM_UP1", "ITM_T_END", "ITM_DOWN1", "DOCU_CHR_sub", "ITM_DOWN_ARROW", "DOCU_CHR_super", "ITM_UP_ARROW", "MNU_TAMALPHA", "ITM_alpha", "DOCU_CHR_caseFLIP", "ITM_NULL", "DOCU_CHR_numSET", "ITM_NULL", "DOCU_ITM_RADIX", "ITM_PERIOD", AQ506), ".lo", ),"MNU_", "-MNU_")</f>
        <v>ITM_A</v>
      </c>
      <c r="BC506" s="157" t="str" cm="1">
        <f t="array" ref="BC506">SUBSTITUTE(SUBSTITUTE(_xlfn.SWITCH(AR506, "ITM_T_HOME", "ITM_UP1", "ITM_T_END", "ITM_DOWN1", "DOCU_CHR_sub", "ITM_DOWN_ARROW", "DOCU_CHR_super", "ITM_UP_ARROW", "MNU_TAMALPHA", "ITM_alpha", "DOCU_CHR_caseFLIP", "ITM_NULL", "DOCU_CHR_numSET", "ITM_NULL", "DOCU_ITM_RADIX", "ITM_PERIOD", AR506), ".lo", ),"MNU_", "-MNU_")</f>
        <v>ITM_a</v>
      </c>
      <c r="BD506" s="157" t="str" cm="1">
        <f t="array" ref="BD506">SUBSTITUTE(SUBSTITUTE(_xlfn.SWITCH(AS506, "ITM_T_HOME", "ITM_UP1", "ITM_T_END", "ITM_DOWN1", "DOCU_CHR_sub", "ITM_DOWN_ARROW", "DOCU_CHR_super", "ITM_UP_ARROW", "MNU_TAMALPHA", "ITM_alpha", "DOCU_CHR_caseFLIP", "ITM_NULL", "DOCU_CHR_numSET", "ITM_NULL", "DOCU_ITM_RADIX", "ITM_PERIOD", AS506), ".lo", ),"MNU_", "-MNU_")</f>
        <v>ITM_op_i_char</v>
      </c>
      <c r="BE506" s="157" t="str" cm="1">
        <f t="array" ref="BE506">SUBSTITUTE(SUBSTITUTE(_xlfn.SWITCH(AT506, "ITM_T_HOME", "ITM_UP1", "ITM_T_END", "ITM_DOWN1", "DOCU_CHR_sub", "ITM_DOWN_ARROW", "DOCU_CHR_super", "ITM_UP_ARROW", "MNU_TAMALPHA", "ITM_alpha", "DOCU_CHR_caseFLIP", "ITM_NULL", "DOCU_CHR_numSET", "ITM_NULL", "DOCU_ITM_RADIX", "ITM_PERIOD", AT506), ".lo", ),"MNU_", "-MNU_")</f>
        <v>ITM_REG_A</v>
      </c>
      <c r="BG506" s="75"/>
      <c r="BI506" s="13" t="str">
        <f t="shared" ref="BI506:BI541" si="223">"  "&amp;AW506&amp;", "&amp;REPT(" ",$BH$54-LEN(AW506))&amp;
AX506&amp;", "&amp;REPT(" ",$BH$54-LEN(AX506))&amp;
AY506&amp;", "&amp;REPT(" ",$BH$54-LEN(AY506))&amp;
AZ506&amp;", "&amp;REPT(" ",$BH$54-LEN(AZ506))&amp;
BA506&amp;", "&amp;REPT(" ",$BH$54-LEN(BA506))&amp;
BB506&amp;", "&amp;REPT(" ",$BH$54-LEN(BB506))&amp;
BC506&amp;", "&amp;REPT(" ",$BH$54-LEN(BC506))&amp;
BD506&amp;", "&amp;REPT(" ",$BH$54-LEN(BD506))&amp;
BE506&amp;REPT(" ",$BH$54-LEN(BE506))&amp;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507" spans="24:61" ht="21" x14ac:dyDescent="0.2">
      <c r="X507" s="141" t="str">
        <f t="shared" si="213"/>
        <v>R47fgbk</v>
      </c>
      <c r="Y507" s="142">
        <v>2</v>
      </c>
      <c r="Z507" s="142">
        <v>2</v>
      </c>
      <c r="AA507" s="144" t="str">
        <f t="shared" si="211"/>
        <v>R47fgbk.22</v>
      </c>
      <c r="AB507" s="176" t="str">
        <f t="shared" ref="AB507:AD507" si="224">AB415</f>
        <v>√x</v>
      </c>
      <c r="AC507" s="149" t="str">
        <f t="shared" si="224"/>
        <v>i_pol</v>
      </c>
      <c r="AD507" s="150" t="str">
        <f t="shared" si="224"/>
        <v>-&gt;P</v>
      </c>
      <c r="AE507" s="3"/>
      <c r="AF507" s="52" t="str">
        <f t="shared" ref="AF507" si="225">AF415</f>
        <v>B</v>
      </c>
      <c r="AG507" s="77" t="b">
        <f t="shared" ref="AG507:AG542" si="226">AF507=AH507</f>
        <v>1</v>
      </c>
      <c r="AH507" s="83" t="str">
        <f t="shared" si="215"/>
        <v>b</v>
      </c>
      <c r="AI507" s="84" t="str">
        <f t="shared" si="216"/>
        <v>√</v>
      </c>
      <c r="AJ507" s="85" t="str">
        <f t="shared" si="217"/>
        <v>Reg B</v>
      </c>
      <c r="AK507" s="6"/>
      <c r="AL507" s="8" t="str">
        <f t="shared" si="218"/>
        <v>{22</v>
      </c>
      <c r="AM507" s="27" t="str">
        <f t="shared" si="219"/>
        <v>ITM_SQUAREROOTX</v>
      </c>
      <c r="AN507" s="27" t="str">
        <f t="shared" si="220"/>
        <v>ITM_op_j_pol</v>
      </c>
      <c r="AO507" s="27" t="str">
        <f t="shared" si="221"/>
        <v>ITM_toPOL2</v>
      </c>
      <c r="AP507" s="46" t="str">
        <f>IF(NOT(ISNA(MATCH(AM507,Lookups!E:E,))),VLOOKUP(AM507,Lookups!E:F,2,0),
IF(NOT(ISNA(MATCH(AN507,Lookups!E:E,))),VLOOKUP(AN507,Lookups!E:F,2,0),
IF(NOT(ISNA(MATCH(AO507,Lookups!E:E,))),VLOOKUP(AO507,Lookups!E:F,2,0),"ITM_NULL")))</f>
        <v>ITM_ROOT_SIGN</v>
      </c>
      <c r="AQ507" s="28" t="str">
        <f t="shared" si="222"/>
        <v>ITM_B</v>
      </c>
      <c r="AR507" s="195" t="s">
        <v>58</v>
      </c>
      <c r="AS507" s="186" t="s">
        <v>66</v>
      </c>
      <c r="AT507" s="255" t="s">
        <v>60</v>
      </c>
      <c r="AW507" s="14" t="str">
        <f t="shared" ref="AW507:AW542" si="227">AL507</f>
        <v>{22</v>
      </c>
      <c r="AX507" s="157" t="str" cm="1">
        <f t="array" ref="AX507">SUBSTITUTE(SUBSTITUTE(_xlfn.SWITCH(AM507, "ITM_T_HOME", "ITM_UP1", "ITM_T_END", "ITM_DOWN1", "DOCU_CHR_sub", "ITM_DOWN_ARROW", "DOCU_CHR_super", "ITM_UP_ARROW", "MNU_TAMALPHA", "ITM_alpha", "DOCU_CHR_caseFLIP", "ITM_NULL", "DOCU_CHR_numSET", "ITM_NULL", "DOCU_ITM_RADIX", "ITM_PERIOD", AM507), ".lo", ),"MNU_", "-MNU_")</f>
        <v>ITM_SQUAREROOTX</v>
      </c>
      <c r="AY507" s="157" t="str" cm="1">
        <f t="array" ref="AY507">SUBSTITUTE(SUBSTITUTE(_xlfn.SWITCH(AN507, "ITM_T_HOME", "ITM_UP1", "ITM_T_END", "ITM_DOWN1", "DOCU_CHR_sub", "ITM_DOWN_ARROW", "DOCU_CHR_super", "ITM_UP_ARROW", "MNU_TAMALPHA", "ITM_alpha", "DOCU_CHR_caseFLIP", "ITM_NULL", "DOCU_CHR_numSET", "ITM_NULL", "DOCU_ITM_RADIX", "ITM_PERIOD", AN507), ".lo", ),"MNU_", "-MNU_")</f>
        <v>ITM_op_j_pol</v>
      </c>
      <c r="AZ507" s="157" t="str" cm="1">
        <f t="array" ref="AZ507">SUBSTITUTE(SUBSTITUTE(_xlfn.SWITCH(AO507, "ITM_T_HOME", "ITM_UP1", "ITM_T_END", "ITM_DOWN1", "DOCU_CHR_sub", "ITM_DOWN_ARROW", "DOCU_CHR_super", "ITM_UP_ARROW", "MNU_TAMALPHA", "ITM_alpha", "DOCU_CHR_caseFLIP", "ITM_NULL", "DOCU_CHR_numSET", "ITM_NULL", "DOCU_ITM_RADIX", "ITM_PERIOD", AO507), ".lo", ),"MNU_", "-MNU_")</f>
        <v>ITM_toPOL2</v>
      </c>
      <c r="BA507" s="173" t="str" cm="1">
        <f t="array" ref="BA507">SUBSTITUTE(SUBSTITUTE(_xlfn.SWITCH(AP507, "ITM_T_HOME", "ITM_UP1", "ITM_T_END", "ITM_DOWN1", "DOCU_CHR_sub", "ITM_DOWN_ARROW", "DOCU_CHR_super", "ITM_UP_ARROW", "MNU_TAMALPHA", "ITM_alpha", "DOCU_CHR_caseFLIP", "ITM_NULL", "DOCU_CHR_numSET", "ITM_NULL", "DOCU_ITM_RADIX", "ITM_PERIOD", AP507), ".lo", ),"MNU_", "-MNU_")</f>
        <v>ITM_ROOT_SIGN</v>
      </c>
      <c r="BB507" s="157" t="str" cm="1">
        <f t="array" ref="BB507">SUBSTITUTE(SUBSTITUTE(_xlfn.SWITCH(AQ507, "ITM_T_HOME", "ITM_UP1", "ITM_T_END", "ITM_DOWN1", "DOCU_CHR_sub", "ITM_DOWN_ARROW", "DOCU_CHR_super", "ITM_UP_ARROW", "MNU_TAMALPHA", "ITM_alpha", "DOCU_CHR_caseFLIP", "ITM_NULL", "DOCU_CHR_numSET", "ITM_NULL", "DOCU_ITM_RADIX", "ITM_PERIOD", AQ507), ".lo", ),"MNU_", "-MNU_")</f>
        <v>ITM_B</v>
      </c>
      <c r="BC507" s="157" t="str" cm="1">
        <f t="array" ref="BC507">SUBSTITUTE(SUBSTITUTE(_xlfn.SWITCH(AR507, "ITM_T_HOME", "ITM_UP1", "ITM_T_END", "ITM_DOWN1", "DOCU_CHR_sub", "ITM_DOWN_ARROW", "DOCU_CHR_super", "ITM_UP_ARROW", "MNU_TAMALPHA", "ITM_alpha", "DOCU_CHR_caseFLIP", "ITM_NULL", "DOCU_CHR_numSET", "ITM_NULL", "DOCU_ITM_RADIX", "ITM_PERIOD", AR507), ".lo", ),"MNU_", "-MNU_")</f>
        <v>ITM_b</v>
      </c>
      <c r="BD507" s="157" t="str" cm="1">
        <f t="array" ref="BD507">SUBSTITUTE(SUBSTITUTE(_xlfn.SWITCH(AS507, "ITM_T_HOME", "ITM_UP1", "ITM_T_END", "ITM_DOWN1", "DOCU_CHR_sub", "ITM_DOWN_ARROW", "DOCU_CHR_super", "ITM_UP_ARROW", "MNU_TAMALPHA", "ITM_alpha", "DOCU_CHR_caseFLIP", "ITM_NULL", "DOCU_CHR_numSET", "ITM_NULL", "DOCU_ITM_RADIX", "ITM_PERIOD", AS507), ".lo", ),"MNU_", "-MNU_")</f>
        <v>ITM_ROOT_SIGN</v>
      </c>
      <c r="BE507" s="157" t="str" cm="1">
        <f t="array" ref="BE507">SUBSTITUTE(SUBSTITUTE(_xlfn.SWITCH(AT507, "ITM_T_HOME", "ITM_UP1", "ITM_T_END", "ITM_DOWN1", "DOCU_CHR_sub", "ITM_DOWN_ARROW", "DOCU_CHR_super", "ITM_UP_ARROW", "MNU_TAMALPHA", "ITM_alpha", "DOCU_CHR_caseFLIP", "ITM_NULL", "DOCU_CHR_numSET", "ITM_NULL", "DOCU_ITM_RADIX", "ITM_PERIOD", AT507), ".lo", ),"MNU_", "-MNU_")</f>
        <v>ITM_REG_B</v>
      </c>
      <c r="BG507" s="75"/>
      <c r="BI507" s="13" t="str">
        <f t="shared" si="223"/>
        <v xml:space="preserve">  {22,                  ITM_SQUAREROOTX,      ITM_op_j_pol,         ITM_toPOL2,           ITM_ROOT_SIGN,        ITM_B,                ITM_b,                ITM_ROOT_SIGN,        ITM_REG_B           },</v>
      </c>
    </row>
    <row r="508" spans="24:61" ht="21" x14ac:dyDescent="0.2">
      <c r="X508" s="141" t="str">
        <f t="shared" si="213"/>
        <v>R47fgbk</v>
      </c>
      <c r="Y508" s="142">
        <v>2</v>
      </c>
      <c r="Z508" s="142">
        <v>3</v>
      </c>
      <c r="AA508" s="144" t="str">
        <f t="shared" si="211"/>
        <v>R47fgbk.23</v>
      </c>
      <c r="AB508" s="176" t="str">
        <f t="shared" ref="AB508:AD508" si="228">AB416</f>
        <v>1/x</v>
      </c>
      <c r="AC508" s="149" t="str">
        <f t="shared" si="228"/>
        <v>x!</v>
      </c>
      <c r="AD508" s="150" t="str">
        <f t="shared" si="228"/>
        <v>.ms</v>
      </c>
      <c r="AE508" s="3"/>
      <c r="AF508" s="52" t="str">
        <f t="shared" ref="AF508" si="229">AF416</f>
        <v>C</v>
      </c>
      <c r="AG508" s="77" t="b">
        <f t="shared" si="226"/>
        <v>1</v>
      </c>
      <c r="AH508" s="83" t="str">
        <f t="shared" si="215"/>
        <v>c</v>
      </c>
      <c r="AI508" s="84" t="str">
        <f t="shared" si="216"/>
        <v>!</v>
      </c>
      <c r="AJ508" s="85" t="str">
        <f t="shared" si="217"/>
        <v>Reg C</v>
      </c>
      <c r="AK508" s="6"/>
      <c r="AL508" s="8" t="str">
        <f t="shared" si="218"/>
        <v>{23</v>
      </c>
      <c r="AM508" s="27" t="str">
        <f t="shared" si="219"/>
        <v>ITM_1ONX</v>
      </c>
      <c r="AN508" s="27" t="str">
        <f t="shared" si="220"/>
        <v>ITM_XFACT</v>
      </c>
      <c r="AO508" s="27" t="str">
        <f t="shared" si="221"/>
        <v>ITM_ms</v>
      </c>
      <c r="AP508" s="46" t="str">
        <f>IF(NOT(ISNA(MATCH(AM508,Lookups!E:E,))),VLOOKUP(AM508,Lookups!E:F,2,0),
IF(NOT(ISNA(MATCH(AN508,Lookups!E:E,))),VLOOKUP(AN508,Lookups!E:F,2,0),
IF(NOT(ISNA(MATCH(AO508,Lookups!E:E,))),VLOOKUP(AO508,Lookups!E:F,2,0),"ITM_NULL")))</f>
        <v>ITM_NULL</v>
      </c>
      <c r="AQ508" s="28" t="str">
        <f t="shared" si="222"/>
        <v>ITM_C</v>
      </c>
      <c r="AR508" s="195" t="s">
        <v>65</v>
      </c>
      <c r="AS508" s="186" t="s">
        <v>635</v>
      </c>
      <c r="AT508" s="255" t="s">
        <v>67</v>
      </c>
      <c r="AW508" s="14" t="str">
        <f t="shared" si="227"/>
        <v>{23</v>
      </c>
      <c r="AX508" s="157" t="str" cm="1">
        <f t="array" ref="AX508">SUBSTITUTE(SUBSTITUTE(_xlfn.SWITCH(AM508, "ITM_T_HOME", "ITM_UP1", "ITM_T_END", "ITM_DOWN1", "DOCU_CHR_sub", "ITM_DOWN_ARROW", "DOCU_CHR_super", "ITM_UP_ARROW", "MNU_TAMALPHA", "ITM_alpha", "DOCU_CHR_caseFLIP", "ITM_NULL", "DOCU_CHR_numSET", "ITM_NULL", "DOCU_ITM_RADIX", "ITM_PERIOD", AM508), ".lo", ),"MNU_", "-MNU_")</f>
        <v>ITM_1ONX</v>
      </c>
      <c r="AY508" s="157" t="str" cm="1">
        <f t="array" ref="AY508">SUBSTITUTE(SUBSTITUTE(_xlfn.SWITCH(AN508, "ITM_T_HOME", "ITM_UP1", "ITM_T_END", "ITM_DOWN1", "DOCU_CHR_sub", "ITM_DOWN_ARROW", "DOCU_CHR_super", "ITM_UP_ARROW", "MNU_TAMALPHA", "ITM_alpha", "DOCU_CHR_caseFLIP", "ITM_NULL", "DOCU_CHR_numSET", "ITM_NULL", "DOCU_ITM_RADIX", "ITM_PERIOD", AN508), ".lo", ),"MNU_", "-MNU_")</f>
        <v>ITM_XFACT</v>
      </c>
      <c r="AZ508" s="157" t="str" cm="1">
        <f t="array" ref="AZ508">SUBSTITUTE(SUBSTITUTE(_xlfn.SWITCH(AO508, "ITM_T_HOME", "ITM_UP1", "ITM_T_END", "ITM_DOWN1", "DOCU_CHR_sub", "ITM_DOWN_ARROW", "DOCU_CHR_super", "ITM_UP_ARROW", "MNU_TAMALPHA", "ITM_alpha", "DOCU_CHR_caseFLIP", "ITM_NULL", "DOCU_CHR_numSET", "ITM_NULL", "DOCU_ITM_RADIX", "ITM_PERIOD", AO508), ".lo", ),"MNU_", "-MNU_")</f>
        <v>ITM_ms</v>
      </c>
      <c r="BA508" s="173" t="str" cm="1">
        <f t="array" ref="BA508">SUBSTITUTE(SUBSTITUTE(_xlfn.SWITCH(AP508, "ITM_T_HOME", "ITM_UP1", "ITM_T_END", "ITM_DOWN1", "DOCU_CHR_sub", "ITM_DOWN_ARROW", "DOCU_CHR_super", "ITM_UP_ARROW", "MNU_TAMALPHA", "ITM_alpha", "DOCU_CHR_caseFLIP", "ITM_NULL", "DOCU_CHR_numSET", "ITM_NULL", "DOCU_ITM_RADIX", "ITM_PERIOD", AP508), ".lo", ),"MNU_", "-MNU_")</f>
        <v>ITM_NULL</v>
      </c>
      <c r="BB508" s="157" t="str" cm="1">
        <f t="array" ref="BB508">SUBSTITUTE(SUBSTITUTE(_xlfn.SWITCH(AQ508, "ITM_T_HOME", "ITM_UP1", "ITM_T_END", "ITM_DOWN1", "DOCU_CHR_sub", "ITM_DOWN_ARROW", "DOCU_CHR_super", "ITM_UP_ARROW", "MNU_TAMALPHA", "ITM_alpha", "DOCU_CHR_caseFLIP", "ITM_NULL", "DOCU_CHR_numSET", "ITM_NULL", "DOCU_ITM_RADIX", "ITM_PERIOD", AQ508), ".lo", ),"MNU_", "-MNU_")</f>
        <v>ITM_C</v>
      </c>
      <c r="BC508" s="157" t="str" cm="1">
        <f t="array" ref="BC508">SUBSTITUTE(SUBSTITUTE(_xlfn.SWITCH(AR508, "ITM_T_HOME", "ITM_UP1", "ITM_T_END", "ITM_DOWN1", "DOCU_CHR_sub", "ITM_DOWN_ARROW", "DOCU_CHR_super", "ITM_UP_ARROW", "MNU_TAMALPHA", "ITM_alpha", "DOCU_CHR_caseFLIP", "ITM_NULL", "DOCU_CHR_numSET", "ITM_NULL", "DOCU_ITM_RADIX", "ITM_PERIOD", AR508), ".lo", ),"MNU_", "-MNU_")</f>
        <v>ITM_c</v>
      </c>
      <c r="BD508" s="157" t="str" cm="1">
        <f t="array" ref="BD508">SUBSTITUTE(SUBSTITUTE(_xlfn.SWITCH(AS508, "ITM_T_HOME", "ITM_UP1", "ITM_T_END", "ITM_DOWN1", "DOCU_CHR_sub", "ITM_DOWN_ARROW", "DOCU_CHR_super", "ITM_UP_ARROW", "MNU_TAMALPHA", "ITM_alpha", "DOCU_CHR_caseFLIP", "ITM_NULL", "DOCU_CHR_numSET", "ITM_NULL", "DOCU_ITM_RADIX", "ITM_PERIOD", AS508), ".lo", ),"MNU_", "-MNU_")</f>
        <v>ITM_EXCLAMATION_MARK</v>
      </c>
      <c r="BE508" s="157" t="str" cm="1">
        <f t="array" ref="BE508">SUBSTITUTE(SUBSTITUTE(_xlfn.SWITCH(AT508, "ITM_T_HOME", "ITM_UP1", "ITM_T_END", "ITM_DOWN1", "DOCU_CHR_sub", "ITM_DOWN_ARROW", "DOCU_CHR_super", "ITM_UP_ARROW", "MNU_TAMALPHA", "ITM_alpha", "DOCU_CHR_caseFLIP", "ITM_NULL", "DOCU_CHR_numSET", "ITM_NULL", "DOCU_ITM_RADIX", "ITM_PERIOD", AT508), ".lo", ),"MNU_", "-MNU_")</f>
        <v>ITM_REG_C</v>
      </c>
      <c r="BG508" s="75"/>
      <c r="BI508" s="13" t="str">
        <f t="shared" si="223"/>
        <v xml:space="preserve">  {23,                  ITM_1ONX,             ITM_XFACT,            ITM_ms,               ITM_NULL,             ITM_C,                ITM_c,                ITM_EXCLAMATION_MARK, ITM_REG_C           },</v>
      </c>
    </row>
    <row r="509" spans="24:61" ht="21" x14ac:dyDescent="0.2">
      <c r="X509" s="141" t="str">
        <f t="shared" si="213"/>
        <v>R47fgbk</v>
      </c>
      <c r="Y509" s="142">
        <v>2</v>
      </c>
      <c r="Z509" s="142">
        <v>4</v>
      </c>
      <c r="AA509" s="144" t="str">
        <f t="shared" si="211"/>
        <v>R47fgbk.24</v>
      </c>
      <c r="AB509" s="176" t="str">
        <f t="shared" ref="AB509:AD509" si="230">AB417</f>
        <v>y^x</v>
      </c>
      <c r="AC509" s="149" t="str">
        <f t="shared" si="230"/>
        <v>x√y</v>
      </c>
      <c r="AD509" s="150" t="str">
        <f t="shared" si="230"/>
        <v>.d</v>
      </c>
      <c r="AE509" s="3"/>
      <c r="AF509" s="52" t="str">
        <f t="shared" ref="AF509" si="231">AF417</f>
        <v>D</v>
      </c>
      <c r="AG509" s="77" t="b">
        <f t="shared" si="226"/>
        <v>1</v>
      </c>
      <c r="AH509" s="83" t="str">
        <f t="shared" si="215"/>
        <v>d</v>
      </c>
      <c r="AI509" s="84" t="str">
        <f t="shared" si="216"/>
        <v>^</v>
      </c>
      <c r="AJ509" s="85" t="str">
        <f t="shared" si="217"/>
        <v>Reg D</v>
      </c>
      <c r="AK509" s="6"/>
      <c r="AL509" s="8" t="str">
        <f t="shared" si="218"/>
        <v>{24</v>
      </c>
      <c r="AM509" s="27" t="str">
        <f t="shared" si="219"/>
        <v>ITM_YX</v>
      </c>
      <c r="AN509" s="27" t="str">
        <f t="shared" si="220"/>
        <v>ITM_XTHROOT</v>
      </c>
      <c r="AO509" s="27" t="str">
        <f t="shared" si="221"/>
        <v>ITM_dotD</v>
      </c>
      <c r="AP509" s="46" t="str">
        <f>IF(NOT(ISNA(MATCH(AM509,Lookups!E:E,))),VLOOKUP(AM509,Lookups!E:F,2,0),
IF(NOT(ISNA(MATCH(AN509,Lookups!E:E,))),VLOOKUP(AN509,Lookups!E:F,2,0),
IF(NOT(ISNA(MATCH(AO509,Lookups!E:E,))),VLOOKUP(AO509,Lookups!E:F,2,0),"ITM_NULL")))</f>
        <v>ITM_NULL</v>
      </c>
      <c r="AQ509" s="28" t="str">
        <f t="shared" si="222"/>
        <v>ITM_D</v>
      </c>
      <c r="AR509" s="195" t="s">
        <v>72</v>
      </c>
      <c r="AS509" s="186" t="s">
        <v>59</v>
      </c>
      <c r="AT509" s="255" t="s">
        <v>74</v>
      </c>
      <c r="AW509" s="14" t="str">
        <f t="shared" si="227"/>
        <v>{24</v>
      </c>
      <c r="AX509" s="157" t="str" cm="1">
        <f t="array" ref="AX509">SUBSTITUTE(SUBSTITUTE(_xlfn.SWITCH(AM509, "ITM_T_HOME", "ITM_UP1", "ITM_T_END", "ITM_DOWN1", "DOCU_CHR_sub", "ITM_DOWN_ARROW", "DOCU_CHR_super", "ITM_UP_ARROW", "MNU_TAMALPHA", "ITM_alpha", "DOCU_CHR_caseFLIP", "ITM_NULL", "DOCU_CHR_numSET", "ITM_NULL", "DOCU_ITM_RADIX", "ITM_PERIOD", AM509), ".lo", ),"MNU_", "-MNU_")</f>
        <v>ITM_YX</v>
      </c>
      <c r="AY509" s="157" t="str" cm="1">
        <f t="array" ref="AY509">SUBSTITUTE(SUBSTITUTE(_xlfn.SWITCH(AN509, "ITM_T_HOME", "ITM_UP1", "ITM_T_END", "ITM_DOWN1", "DOCU_CHR_sub", "ITM_DOWN_ARROW", "DOCU_CHR_super", "ITM_UP_ARROW", "MNU_TAMALPHA", "ITM_alpha", "DOCU_CHR_caseFLIP", "ITM_NULL", "DOCU_CHR_numSET", "ITM_NULL", "DOCU_ITM_RADIX", "ITM_PERIOD", AN509), ".lo", ),"MNU_", "-MNU_")</f>
        <v>ITM_XTHROOT</v>
      </c>
      <c r="AZ509" s="157" t="str" cm="1">
        <f t="array" ref="AZ509">SUBSTITUTE(SUBSTITUTE(_xlfn.SWITCH(AO509, "ITM_T_HOME", "ITM_UP1", "ITM_T_END", "ITM_DOWN1", "DOCU_CHR_sub", "ITM_DOWN_ARROW", "DOCU_CHR_super", "ITM_UP_ARROW", "MNU_TAMALPHA", "ITM_alpha", "DOCU_CHR_caseFLIP", "ITM_NULL", "DOCU_CHR_numSET", "ITM_NULL", "DOCU_ITM_RADIX", "ITM_PERIOD", AO509), ".lo", ),"MNU_", "-MNU_")</f>
        <v>ITM_dotD</v>
      </c>
      <c r="BA509" s="173" t="str" cm="1">
        <f t="array" ref="BA509">SUBSTITUTE(SUBSTITUTE(_xlfn.SWITCH(AP509, "ITM_T_HOME", "ITM_UP1", "ITM_T_END", "ITM_DOWN1", "DOCU_CHR_sub", "ITM_DOWN_ARROW", "DOCU_CHR_super", "ITM_UP_ARROW", "MNU_TAMALPHA", "ITM_alpha", "DOCU_CHR_caseFLIP", "ITM_NULL", "DOCU_CHR_numSET", "ITM_NULL", "DOCU_ITM_RADIX", "ITM_PERIOD", AP509), ".lo", ),"MNU_", "-MNU_")</f>
        <v>ITM_NULL</v>
      </c>
      <c r="BB509" s="157" t="str" cm="1">
        <f t="array" ref="BB509">SUBSTITUTE(SUBSTITUTE(_xlfn.SWITCH(AQ509, "ITM_T_HOME", "ITM_UP1", "ITM_T_END", "ITM_DOWN1", "DOCU_CHR_sub", "ITM_DOWN_ARROW", "DOCU_CHR_super", "ITM_UP_ARROW", "MNU_TAMALPHA", "ITM_alpha", "DOCU_CHR_caseFLIP", "ITM_NULL", "DOCU_CHR_numSET", "ITM_NULL", "DOCU_ITM_RADIX", "ITM_PERIOD", AQ509), ".lo", ),"MNU_", "-MNU_")</f>
        <v>ITM_D</v>
      </c>
      <c r="BC509" s="157" t="str" cm="1">
        <f t="array" ref="BC509">SUBSTITUTE(SUBSTITUTE(_xlfn.SWITCH(AR509, "ITM_T_HOME", "ITM_UP1", "ITM_T_END", "ITM_DOWN1", "DOCU_CHR_sub", "ITM_DOWN_ARROW", "DOCU_CHR_super", "ITM_UP_ARROW", "MNU_TAMALPHA", "ITM_alpha", "DOCU_CHR_caseFLIP", "ITM_NULL", "DOCU_CHR_numSET", "ITM_NULL", "DOCU_ITM_RADIX", "ITM_PERIOD", AR509), ".lo", ),"MNU_", "-MNU_")</f>
        <v>ITM_d</v>
      </c>
      <c r="BD509" s="157" t="str" cm="1">
        <f t="array" ref="BD509">SUBSTITUTE(SUBSTITUTE(_xlfn.SWITCH(AS509, "ITM_T_HOME", "ITM_UP1", "ITM_T_END", "ITM_DOWN1", "DOCU_CHR_sub", "ITM_DOWN_ARROW", "DOCU_CHR_super", "ITM_UP_ARROW", "MNU_TAMALPHA", "ITM_alpha", "DOCU_CHR_caseFLIP", "ITM_NULL", "DOCU_CHR_numSET", "ITM_NULL", "DOCU_ITM_RADIX", "ITM_PERIOD", AS509), ".lo", ),"MNU_", "-MNU_")</f>
        <v>ITM_CIRCUMFLEX</v>
      </c>
      <c r="BE509" s="157" t="str" cm="1">
        <f t="array" ref="BE509">SUBSTITUTE(SUBSTITUTE(_xlfn.SWITCH(AT509, "ITM_T_HOME", "ITM_UP1", "ITM_T_END", "ITM_DOWN1", "DOCU_CHR_sub", "ITM_DOWN_ARROW", "DOCU_CHR_super", "ITM_UP_ARROW", "MNU_TAMALPHA", "ITM_alpha", "DOCU_CHR_caseFLIP", "ITM_NULL", "DOCU_CHR_numSET", "ITM_NULL", "DOCU_ITM_RADIX", "ITM_PERIOD", AT509), ".lo", ),"MNU_", "-MNU_")</f>
        <v>ITM_REG_D</v>
      </c>
      <c r="BG509" s="75"/>
      <c r="BI509" s="13" t="str">
        <f t="shared" si="223"/>
        <v xml:space="preserve">  {24,                  ITM_YX,               ITM_XTHROOT,          ITM_dotD,             ITM_NULL,             ITM_D,                ITM_d,                ITM_CIRCUMFLEX,       ITM_REG_D           },</v>
      </c>
    </row>
    <row r="510" spans="24:61" ht="21" x14ac:dyDescent="0.2">
      <c r="X510" s="141" t="str">
        <f t="shared" si="213"/>
        <v>R47fgbk</v>
      </c>
      <c r="Y510" s="142">
        <v>2</v>
      </c>
      <c r="Z510" s="142">
        <v>5</v>
      </c>
      <c r="AA510" s="144" t="str">
        <f t="shared" si="211"/>
        <v>R47fgbk.25</v>
      </c>
      <c r="AB510" s="176" t="str">
        <f t="shared" ref="AB510:AD510" si="232">AB418</f>
        <v>LOG</v>
      </c>
      <c r="AC510" s="149" t="str">
        <f t="shared" si="232"/>
        <v>10^x</v>
      </c>
      <c r="AD510" s="150" t="str">
        <f t="shared" si="232"/>
        <v>-&gt;I</v>
      </c>
      <c r="AE510" s="3"/>
      <c r="AF510" s="52" t="str">
        <f t="shared" ref="AF510" si="233">AF418</f>
        <v>E</v>
      </c>
      <c r="AG510" s="77" t="b">
        <f t="shared" si="226"/>
        <v>1</v>
      </c>
      <c r="AH510" s="83" t="str">
        <f t="shared" si="215"/>
        <v>e</v>
      </c>
      <c r="AI510" s="84" t="str">
        <f t="shared" si="216"/>
        <v>&lt;e&gt;</v>
      </c>
      <c r="AJ510" s="85" t="str">
        <f t="shared" si="217"/>
        <v>Reg E</v>
      </c>
      <c r="AK510" s="6"/>
      <c r="AL510" s="8" t="str">
        <f t="shared" si="218"/>
        <v>{25</v>
      </c>
      <c r="AM510" s="27" t="str">
        <f t="shared" si="219"/>
        <v>ITM_LOG10</v>
      </c>
      <c r="AN510" s="27" t="str">
        <f t="shared" si="220"/>
        <v>ITM_10x</v>
      </c>
      <c r="AO510" s="27" t="str">
        <f t="shared" si="221"/>
        <v>ITM_RI</v>
      </c>
      <c r="AP510" s="46" t="str">
        <f>IF(NOT(ISNA(MATCH(AM510,Lookups!E:E,))),VLOOKUP(AM510,Lookups!E:F,2,0),
IF(NOT(ISNA(MATCH(AN510,Lookups!E:E,))),VLOOKUP(AN510,Lookups!E:F,2,0),
IF(NOT(ISNA(MATCH(AO510,Lookups!E:E,))),VLOOKUP(AO510,Lookups!E:F,2,0),"ITM_NULL")))</f>
        <v>ITM_NULL</v>
      </c>
      <c r="AQ510" s="28" t="str">
        <f t="shared" si="222"/>
        <v>ITM_E</v>
      </c>
      <c r="AR510" s="195" t="s">
        <v>79</v>
      </c>
      <c r="AS510" s="186" t="s">
        <v>637</v>
      </c>
      <c r="AT510" s="255" t="s">
        <v>672</v>
      </c>
      <c r="AW510" s="14" t="str">
        <f t="shared" si="227"/>
        <v>{25</v>
      </c>
      <c r="AX510" s="157" t="str" cm="1">
        <f t="array" ref="AX510">SUBSTITUTE(SUBSTITUTE(_xlfn.SWITCH(AM510, "ITM_T_HOME", "ITM_UP1", "ITM_T_END", "ITM_DOWN1", "DOCU_CHR_sub", "ITM_DOWN_ARROW", "DOCU_CHR_super", "ITM_UP_ARROW", "MNU_TAMALPHA", "ITM_alpha", "DOCU_CHR_caseFLIP", "ITM_NULL", "DOCU_CHR_numSET", "ITM_NULL", "DOCU_ITM_RADIX", "ITM_PERIOD", AM510), ".lo", ),"MNU_", "-MNU_")</f>
        <v>ITM_LOG10</v>
      </c>
      <c r="AY510" s="157" t="str" cm="1">
        <f t="array" ref="AY510">SUBSTITUTE(SUBSTITUTE(_xlfn.SWITCH(AN510, "ITM_T_HOME", "ITM_UP1", "ITM_T_END", "ITM_DOWN1", "DOCU_CHR_sub", "ITM_DOWN_ARROW", "DOCU_CHR_super", "ITM_UP_ARROW", "MNU_TAMALPHA", "ITM_alpha", "DOCU_CHR_caseFLIP", "ITM_NULL", "DOCU_CHR_numSET", "ITM_NULL", "DOCU_ITM_RADIX", "ITM_PERIOD", AN510), ".lo", ),"MNU_", "-MNU_")</f>
        <v>ITM_10x</v>
      </c>
      <c r="AZ510" s="157" t="str" cm="1">
        <f t="array" ref="AZ510">SUBSTITUTE(SUBSTITUTE(_xlfn.SWITCH(AO510, "ITM_T_HOME", "ITM_UP1", "ITM_T_END", "ITM_DOWN1", "DOCU_CHR_sub", "ITM_DOWN_ARROW", "DOCU_CHR_super", "ITM_UP_ARROW", "MNU_TAMALPHA", "ITM_alpha", "DOCU_CHR_caseFLIP", "ITM_NULL", "DOCU_CHR_numSET", "ITM_NULL", "DOCU_ITM_RADIX", "ITM_PERIOD", AO510), ".lo", ),"MNU_", "-MNU_")</f>
        <v>ITM_RI</v>
      </c>
      <c r="BA510" s="173" t="str" cm="1">
        <f t="array" ref="BA510">SUBSTITUTE(SUBSTITUTE(_xlfn.SWITCH(AP510, "ITM_T_HOME", "ITM_UP1", "ITM_T_END", "ITM_DOWN1", "DOCU_CHR_sub", "ITM_DOWN_ARROW", "DOCU_CHR_super", "ITM_UP_ARROW", "MNU_TAMALPHA", "ITM_alpha", "DOCU_CHR_caseFLIP", "ITM_NULL", "DOCU_CHR_numSET", "ITM_NULL", "DOCU_ITM_RADIX", "ITM_PERIOD", AP510), ".lo", ),"MNU_", "-MNU_")</f>
        <v>ITM_NULL</v>
      </c>
      <c r="BB510" s="157" t="str" cm="1">
        <f t="array" ref="BB510">SUBSTITUTE(SUBSTITUTE(_xlfn.SWITCH(AQ510, "ITM_T_HOME", "ITM_UP1", "ITM_T_END", "ITM_DOWN1", "DOCU_CHR_sub", "ITM_DOWN_ARROW", "DOCU_CHR_super", "ITM_UP_ARROW", "MNU_TAMALPHA", "ITM_alpha", "DOCU_CHR_caseFLIP", "ITM_NULL", "DOCU_CHR_numSET", "ITM_NULL", "DOCU_ITM_RADIX", "ITM_PERIOD", AQ510), ".lo", ),"MNU_", "-MNU_")</f>
        <v>ITM_E</v>
      </c>
      <c r="BC510" s="157" t="str" cm="1">
        <f t="array" ref="BC510">SUBSTITUTE(SUBSTITUTE(_xlfn.SWITCH(AR510, "ITM_T_HOME", "ITM_UP1", "ITM_T_END", "ITM_DOWN1", "DOCU_CHR_sub", "ITM_DOWN_ARROW", "DOCU_CHR_super", "ITM_UP_ARROW", "MNU_TAMALPHA", "ITM_alpha", "DOCU_CHR_caseFLIP", "ITM_NULL", "DOCU_CHR_numSET", "ITM_NULL", "DOCU_ITM_RADIX", "ITM_PERIOD", AR510), ".lo", ),"MNU_", "-MNU_")</f>
        <v>ITM_e</v>
      </c>
      <c r="BD510" s="157" t="str" cm="1">
        <f t="array" ref="BD510">SUBSTITUTE(SUBSTITUTE(_xlfn.SWITCH(AS510, "ITM_T_HOME", "ITM_UP1", "ITM_T_END", "ITM_DOWN1", "DOCU_CHR_sub", "ITM_DOWN_ARROW", "DOCU_CHR_super", "ITM_UP_ARROW", "MNU_TAMALPHA", "ITM_alpha", "DOCU_CHR_caseFLIP", "ITM_NULL", "DOCU_CHR_numSET", "ITM_NULL", "DOCU_ITM_RADIX", "ITM_PERIOD", AS510), ".lo", ),"MNU_", "-MNU_")</f>
        <v>ITM_EulerE</v>
      </c>
      <c r="BE510" s="157" t="str" cm="1">
        <f t="array" ref="BE510">SUBSTITUTE(SUBSTITUTE(_xlfn.SWITCH(AT510, "ITM_T_HOME", "ITM_UP1", "ITM_T_END", "ITM_DOWN1", "DOCU_CHR_sub", "ITM_DOWN_ARROW", "DOCU_CHR_super", "ITM_UP_ARROW", "MNU_TAMALPHA", "ITM_alpha", "DOCU_CHR_caseFLIP", "ITM_NULL", "DOCU_CHR_numSET", "ITM_NULL", "DOCU_ITM_RADIX", "ITM_PERIOD", AT510), ".lo", ),"MNU_", "-MNU_")</f>
        <v>ITM_REG_E</v>
      </c>
      <c r="BG510" s="75"/>
      <c r="BI510" s="13" t="str">
        <f t="shared" si="223"/>
        <v xml:space="preserve">  {25,                  ITM_LOG10,            ITM_10x,              ITM_RI,               ITM_NULL,             ITM_E,                ITM_e,                ITM_EulerE,           ITM_REG_E           },</v>
      </c>
    </row>
    <row r="511" spans="24:61" ht="21" x14ac:dyDescent="0.2">
      <c r="X511" s="141" t="str">
        <f t="shared" si="213"/>
        <v>R47fgbk</v>
      </c>
      <c r="Y511" s="142">
        <v>2</v>
      </c>
      <c r="Z511" s="142">
        <v>6</v>
      </c>
      <c r="AA511" s="144" t="str">
        <f t="shared" si="211"/>
        <v>R47fgbk.26</v>
      </c>
      <c r="AB511" s="176" t="str">
        <f t="shared" ref="AB511:AD511" si="234">AB419</f>
        <v>LN</v>
      </c>
      <c r="AC511" s="149" t="str">
        <f t="shared" si="234"/>
        <v>e^x</v>
      </c>
      <c r="AD511" s="150" t="str">
        <f t="shared" si="234"/>
        <v>#</v>
      </c>
      <c r="AE511" s="3"/>
      <c r="AF511" s="52" t="str">
        <f t="shared" ref="AF511" si="235">AF419</f>
        <v>F</v>
      </c>
      <c r="AG511" s="77" t="b">
        <f t="shared" si="226"/>
        <v>1</v>
      </c>
      <c r="AH511" s="83" t="str">
        <f t="shared" si="215"/>
        <v>f</v>
      </c>
      <c r="AI511" s="84" t="str">
        <f t="shared" si="216"/>
        <v>#</v>
      </c>
      <c r="AJ511" s="85" t="str">
        <f t="shared" si="217"/>
        <v>Reg F</v>
      </c>
      <c r="AK511" s="6"/>
      <c r="AL511" s="8" t="str">
        <f t="shared" si="218"/>
        <v>{26</v>
      </c>
      <c r="AM511" s="27" t="str">
        <f t="shared" si="219"/>
        <v>ITM_LN</v>
      </c>
      <c r="AN511" s="27" t="str">
        <f t="shared" si="220"/>
        <v>ITM_EXP</v>
      </c>
      <c r="AO511" s="27" t="str">
        <f t="shared" si="221"/>
        <v>ITM_HASH_JM</v>
      </c>
      <c r="AP511" s="46" t="str">
        <f>IF(NOT(ISNA(MATCH(AM511,Lookups!E:E,))),VLOOKUP(AM511,Lookups!E:F,2,0),
IF(NOT(ISNA(MATCH(AN511,Lookups!E:E,))),VLOOKUP(AN511,Lookups!E:F,2,0),
IF(NOT(ISNA(MATCH(AO511,Lookups!E:E,))),VLOOKUP(AO511,Lookups!E:F,2,0),"ITM_NULL")))</f>
        <v>ITM_NUMBER_SIGN</v>
      </c>
      <c r="AQ511" s="28" t="str">
        <f t="shared" si="222"/>
        <v>ITM_F</v>
      </c>
      <c r="AR511" s="195" t="s">
        <v>86</v>
      </c>
      <c r="AS511" s="186" t="s">
        <v>283</v>
      </c>
      <c r="AT511" s="255" t="s">
        <v>676</v>
      </c>
      <c r="AW511" s="14" t="str">
        <f t="shared" si="227"/>
        <v>{26</v>
      </c>
      <c r="AX511" s="157" t="str" cm="1">
        <f t="array" ref="AX511">SUBSTITUTE(SUBSTITUTE(_xlfn.SWITCH(AM511, "ITM_T_HOME", "ITM_UP1", "ITM_T_END", "ITM_DOWN1", "DOCU_CHR_sub", "ITM_DOWN_ARROW", "DOCU_CHR_super", "ITM_UP_ARROW", "MNU_TAMALPHA", "ITM_alpha", "DOCU_CHR_caseFLIP", "ITM_NULL", "DOCU_CHR_numSET", "ITM_NULL", "DOCU_ITM_RADIX", "ITM_PERIOD", AM511), ".lo", ),"MNU_", "-MNU_")</f>
        <v>ITM_LN</v>
      </c>
      <c r="AY511" s="157" t="str" cm="1">
        <f t="array" ref="AY511">SUBSTITUTE(SUBSTITUTE(_xlfn.SWITCH(AN511, "ITM_T_HOME", "ITM_UP1", "ITM_T_END", "ITM_DOWN1", "DOCU_CHR_sub", "ITM_DOWN_ARROW", "DOCU_CHR_super", "ITM_UP_ARROW", "MNU_TAMALPHA", "ITM_alpha", "DOCU_CHR_caseFLIP", "ITM_NULL", "DOCU_CHR_numSET", "ITM_NULL", "DOCU_ITM_RADIX", "ITM_PERIOD", AN511), ".lo", ),"MNU_", "-MNU_")</f>
        <v>ITM_EXP</v>
      </c>
      <c r="AZ511" s="157" t="str" cm="1">
        <f t="array" ref="AZ511">SUBSTITUTE(SUBSTITUTE(_xlfn.SWITCH(AO511, "ITM_T_HOME", "ITM_UP1", "ITM_T_END", "ITM_DOWN1", "DOCU_CHR_sub", "ITM_DOWN_ARROW", "DOCU_CHR_super", "ITM_UP_ARROW", "MNU_TAMALPHA", "ITM_alpha", "DOCU_CHR_caseFLIP", "ITM_NULL", "DOCU_CHR_numSET", "ITM_NULL", "DOCU_ITM_RADIX", "ITM_PERIOD", AO511), ".lo", ),"MNU_", "-MNU_")</f>
        <v>ITM_HASH_JM</v>
      </c>
      <c r="BA511" s="173" t="str" cm="1">
        <f t="array" ref="BA511">SUBSTITUTE(SUBSTITUTE(_xlfn.SWITCH(AP511, "ITM_T_HOME", "ITM_UP1", "ITM_T_END", "ITM_DOWN1", "DOCU_CHR_sub", "ITM_DOWN_ARROW", "DOCU_CHR_super", "ITM_UP_ARROW", "MNU_TAMALPHA", "ITM_alpha", "DOCU_CHR_caseFLIP", "ITM_NULL", "DOCU_CHR_numSET", "ITM_NULL", "DOCU_ITM_RADIX", "ITM_PERIOD", AP511), ".lo", ),"MNU_", "-MNU_")</f>
        <v>ITM_NUMBER_SIGN</v>
      </c>
      <c r="BB511" s="157" t="str" cm="1">
        <f t="array" ref="BB511">SUBSTITUTE(SUBSTITUTE(_xlfn.SWITCH(AQ511, "ITM_T_HOME", "ITM_UP1", "ITM_T_END", "ITM_DOWN1", "DOCU_CHR_sub", "ITM_DOWN_ARROW", "DOCU_CHR_super", "ITM_UP_ARROW", "MNU_TAMALPHA", "ITM_alpha", "DOCU_CHR_caseFLIP", "ITM_NULL", "DOCU_CHR_numSET", "ITM_NULL", "DOCU_ITM_RADIX", "ITM_PERIOD", AQ511), ".lo", ),"MNU_", "-MNU_")</f>
        <v>ITM_F</v>
      </c>
      <c r="BC511" s="157" t="str" cm="1">
        <f t="array" ref="BC511">SUBSTITUTE(SUBSTITUTE(_xlfn.SWITCH(AR511, "ITM_T_HOME", "ITM_UP1", "ITM_T_END", "ITM_DOWN1", "DOCU_CHR_sub", "ITM_DOWN_ARROW", "DOCU_CHR_super", "ITM_UP_ARROW", "MNU_TAMALPHA", "ITM_alpha", "DOCU_CHR_caseFLIP", "ITM_NULL", "DOCU_CHR_numSET", "ITM_NULL", "DOCU_ITM_RADIX", "ITM_PERIOD", AR511), ".lo", ),"MNU_", "-MNU_")</f>
        <v>ITM_f</v>
      </c>
      <c r="BD511" s="157" t="str" cm="1">
        <f t="array" ref="BD511">SUBSTITUTE(SUBSTITUTE(_xlfn.SWITCH(AS511, "ITM_T_HOME", "ITM_UP1", "ITM_T_END", "ITM_DOWN1", "DOCU_CHR_sub", "ITM_DOWN_ARROW", "DOCU_CHR_super", "ITM_UP_ARROW", "MNU_TAMALPHA", "ITM_alpha", "DOCU_CHR_caseFLIP", "ITM_NULL", "DOCU_CHR_numSET", "ITM_NULL", "DOCU_ITM_RADIX", "ITM_PERIOD", AS511), ".lo", ),"MNU_", "-MNU_")</f>
        <v>ITM_NUMBER_SIGN</v>
      </c>
      <c r="BE511" s="157" t="str" cm="1">
        <f t="array" ref="BE511">SUBSTITUTE(SUBSTITUTE(_xlfn.SWITCH(AT511, "ITM_T_HOME", "ITM_UP1", "ITM_T_END", "ITM_DOWN1", "DOCU_CHR_sub", "ITM_DOWN_ARROW", "DOCU_CHR_super", "ITM_UP_ARROW", "MNU_TAMALPHA", "ITM_alpha", "DOCU_CHR_caseFLIP", "ITM_NULL", "DOCU_CHR_numSET", "ITM_NULL", "DOCU_ITM_RADIX", "ITM_PERIOD", AT511), ".lo", ),"MNU_", "-MNU_")</f>
        <v>ITM_REG_F</v>
      </c>
      <c r="BG511" s="75"/>
      <c r="BI511" s="13" t="str">
        <f t="shared" si="223"/>
        <v xml:space="preserve">  {26,                  ITM_LN,               ITM_EXP,              ITM_HASH_JM,          ITM_NUMBER_SIGN,      ITM_F,                ITM_f,                ITM_NUMBER_SIGN,      ITM_REG_F           },</v>
      </c>
    </row>
    <row r="512" spans="24:61" ht="21" x14ac:dyDescent="0.2">
      <c r="X512" s="141" t="str">
        <f t="shared" si="213"/>
        <v>R47fgbk</v>
      </c>
      <c r="Y512" s="138">
        <v>3</v>
      </c>
      <c r="Z512" s="138">
        <v>1</v>
      </c>
      <c r="AA512" s="144" t="str">
        <f t="shared" si="211"/>
        <v>R47fgbk.31</v>
      </c>
      <c r="AB512" s="148" t="str">
        <f t="shared" ref="AB512:AD512" si="236">AB420</f>
        <v>STO</v>
      </c>
      <c r="AC512" s="149" t="str">
        <f t="shared" si="236"/>
        <v>|x|</v>
      </c>
      <c r="AD512" s="150" t="str">
        <f t="shared" si="236"/>
        <v>angle</v>
      </c>
      <c r="AE512" s="3"/>
      <c r="AF512" s="52" t="str">
        <f t="shared" ref="AF512" si="237">AF420</f>
        <v>G</v>
      </c>
      <c r="AG512" s="77" t="b">
        <f t="shared" si="226"/>
        <v>1</v>
      </c>
      <c r="AH512" s="83" t="str">
        <f t="shared" si="215"/>
        <v>g</v>
      </c>
      <c r="AI512" s="84" t="str">
        <f t="shared" si="216"/>
        <v>|</v>
      </c>
      <c r="AJ512" s="85" t="str">
        <f t="shared" si="217"/>
        <v>Reg G</v>
      </c>
      <c r="AK512" s="6"/>
      <c r="AL512" s="8" t="str">
        <f t="shared" si="218"/>
        <v>{31</v>
      </c>
      <c r="AM512" s="27" t="str">
        <f t="shared" si="219"/>
        <v>ITM_STO</v>
      </c>
      <c r="AN512" s="27" t="str">
        <f t="shared" si="220"/>
        <v>ITM_MAGNITUDE</v>
      </c>
      <c r="AO512" s="27" t="str">
        <f t="shared" si="221"/>
        <v>ITM_ARG</v>
      </c>
      <c r="AP512" s="46" t="str">
        <f>IF(NOT(ISNA(MATCH(AM512,Lookups!E:E,))),VLOOKUP(AM512,Lookups!E:F,2,0),
IF(NOT(ISNA(MATCH(AN512,Lookups!E:E,))),VLOOKUP(AN512,Lookups!E:F,2,0),
IF(NOT(ISNA(MATCH(AO512,Lookups!E:E,))),VLOOKUP(AO512,Lookups!E:F,2,0),"ITM_NULL")))</f>
        <v>ITM_NULL</v>
      </c>
      <c r="AQ512" s="28" t="str">
        <f t="shared" si="222"/>
        <v>ITM_G</v>
      </c>
      <c r="AR512" s="195" t="s">
        <v>92</v>
      </c>
      <c r="AS512" s="186" t="s">
        <v>93</v>
      </c>
      <c r="AT512" s="255" t="s">
        <v>673</v>
      </c>
      <c r="AW512" s="14" t="str">
        <f t="shared" si="227"/>
        <v>{31</v>
      </c>
      <c r="AX512" s="157" t="str" cm="1">
        <f t="array" ref="AX512">SUBSTITUTE(SUBSTITUTE(_xlfn.SWITCH(AM512, "ITM_T_HOME", "ITM_UP1", "ITM_T_END", "ITM_DOWN1", "DOCU_CHR_sub", "ITM_DOWN_ARROW", "DOCU_CHR_super", "ITM_UP_ARROW", "MNU_TAMALPHA", "ITM_alpha", "DOCU_CHR_caseFLIP", "ITM_NULL", "DOCU_CHR_numSET", "ITM_NULL", "DOCU_ITM_RADIX", "ITM_PERIOD", AM512), ".lo", ),"MNU_", "-MNU_")</f>
        <v>ITM_STO</v>
      </c>
      <c r="AY512" s="157" t="str" cm="1">
        <f t="array" ref="AY512">SUBSTITUTE(SUBSTITUTE(_xlfn.SWITCH(AN512, "ITM_T_HOME", "ITM_UP1", "ITM_T_END", "ITM_DOWN1", "DOCU_CHR_sub", "ITM_DOWN_ARROW", "DOCU_CHR_super", "ITM_UP_ARROW", "MNU_TAMALPHA", "ITM_alpha", "DOCU_CHR_caseFLIP", "ITM_NULL", "DOCU_CHR_numSET", "ITM_NULL", "DOCU_ITM_RADIX", "ITM_PERIOD", AN512), ".lo", ),"MNU_", "-MNU_")</f>
        <v>ITM_MAGNITUDE</v>
      </c>
      <c r="AZ512" s="157" t="str" cm="1">
        <f t="array" ref="AZ512">SUBSTITUTE(SUBSTITUTE(_xlfn.SWITCH(AO512, "ITM_T_HOME", "ITM_UP1", "ITM_T_END", "ITM_DOWN1", "DOCU_CHR_sub", "ITM_DOWN_ARROW", "DOCU_CHR_super", "ITM_UP_ARROW", "MNU_TAMALPHA", "ITM_alpha", "DOCU_CHR_caseFLIP", "ITM_NULL", "DOCU_CHR_numSET", "ITM_NULL", "DOCU_ITM_RADIX", "ITM_PERIOD", AO512), ".lo", ),"MNU_", "-MNU_")</f>
        <v>ITM_ARG</v>
      </c>
      <c r="BA512" s="173" t="str" cm="1">
        <f t="array" ref="BA512">SUBSTITUTE(SUBSTITUTE(_xlfn.SWITCH(AP512, "ITM_T_HOME", "ITM_UP1", "ITM_T_END", "ITM_DOWN1", "DOCU_CHR_sub", "ITM_DOWN_ARROW", "DOCU_CHR_super", "ITM_UP_ARROW", "MNU_TAMALPHA", "ITM_alpha", "DOCU_CHR_caseFLIP", "ITM_NULL", "DOCU_CHR_numSET", "ITM_NULL", "DOCU_ITM_RADIX", "ITM_PERIOD", AP512), ".lo", ),"MNU_", "-MNU_")</f>
        <v>ITM_NULL</v>
      </c>
      <c r="BB512" s="157" t="str" cm="1">
        <f t="array" ref="BB512">SUBSTITUTE(SUBSTITUTE(_xlfn.SWITCH(AQ512, "ITM_T_HOME", "ITM_UP1", "ITM_T_END", "ITM_DOWN1", "DOCU_CHR_sub", "ITM_DOWN_ARROW", "DOCU_CHR_super", "ITM_UP_ARROW", "MNU_TAMALPHA", "ITM_alpha", "DOCU_CHR_caseFLIP", "ITM_NULL", "DOCU_CHR_numSET", "ITM_NULL", "DOCU_ITM_RADIX", "ITM_PERIOD", AQ512), ".lo", ),"MNU_", "-MNU_")</f>
        <v>ITM_G</v>
      </c>
      <c r="BC512" s="157" t="str" cm="1">
        <f t="array" ref="BC512">SUBSTITUTE(SUBSTITUTE(_xlfn.SWITCH(AR512, "ITM_T_HOME", "ITM_UP1", "ITM_T_END", "ITM_DOWN1", "DOCU_CHR_sub", "ITM_DOWN_ARROW", "DOCU_CHR_super", "ITM_UP_ARROW", "MNU_TAMALPHA", "ITM_alpha", "DOCU_CHR_caseFLIP", "ITM_NULL", "DOCU_CHR_numSET", "ITM_NULL", "DOCU_ITM_RADIX", "ITM_PERIOD", AR512), ".lo", ),"MNU_", "-MNU_")</f>
        <v>ITM_g</v>
      </c>
      <c r="BD512" s="157" t="str" cm="1">
        <f t="array" ref="BD512">SUBSTITUTE(SUBSTITUTE(_xlfn.SWITCH(AS512, "ITM_T_HOME", "ITM_UP1", "ITM_T_END", "ITM_DOWN1", "DOCU_CHR_sub", "ITM_DOWN_ARROW", "DOCU_CHR_super", "ITM_UP_ARROW", "MNU_TAMALPHA", "ITM_alpha", "DOCU_CHR_caseFLIP", "ITM_NULL", "DOCU_CHR_numSET", "ITM_NULL", "DOCU_ITM_RADIX", "ITM_PERIOD", AS512), ".lo", ),"MNU_", "-MNU_")</f>
        <v>ITM_VERTICAL_BAR</v>
      </c>
      <c r="BE512" s="157" t="str" cm="1">
        <f t="array" ref="BE512">SUBSTITUTE(SUBSTITUTE(_xlfn.SWITCH(AT512, "ITM_T_HOME", "ITM_UP1", "ITM_T_END", "ITM_DOWN1", "DOCU_CHR_sub", "ITM_DOWN_ARROW", "DOCU_CHR_super", "ITM_UP_ARROW", "MNU_TAMALPHA", "ITM_alpha", "DOCU_CHR_caseFLIP", "ITM_NULL", "DOCU_CHR_numSET", "ITM_NULL", "DOCU_ITM_RADIX", "ITM_PERIOD", AT512), ".lo", ),"MNU_", "-MNU_")</f>
        <v>ITM_REG_G</v>
      </c>
      <c r="BG512" s="75"/>
      <c r="BI512" s="13" t="str">
        <f t="shared" si="223"/>
        <v xml:space="preserve">  {31,                  ITM_STO,              ITM_MAGNITUDE,        ITM_ARG,              ITM_NULL,             ITM_G,                ITM_g,                ITM_VERTICAL_BAR,     ITM_REG_G           },</v>
      </c>
    </row>
    <row r="513" spans="24:61" ht="21" x14ac:dyDescent="0.2">
      <c r="X513" s="141" t="str">
        <f t="shared" si="213"/>
        <v>R47fgbk</v>
      </c>
      <c r="Y513" s="142">
        <v>3</v>
      </c>
      <c r="Z513" s="142">
        <v>2</v>
      </c>
      <c r="AA513" s="144" t="str">
        <f t="shared" si="211"/>
        <v>R47fgbk.32</v>
      </c>
      <c r="AB513" s="148" t="str">
        <f t="shared" ref="AB513:AD513" si="238">AB421</f>
        <v>RCL</v>
      </c>
      <c r="AC513" s="149" t="str">
        <f t="shared" si="238"/>
        <v>%</v>
      </c>
      <c r="AD513" s="150" t="str">
        <f t="shared" si="238"/>
        <v>Delta %</v>
      </c>
      <c r="AE513" s="3"/>
      <c r="AF513" s="52" t="str">
        <f t="shared" ref="AF513" si="239">AF421</f>
        <v>H</v>
      </c>
      <c r="AG513" s="77" t="b">
        <f t="shared" si="226"/>
        <v>1</v>
      </c>
      <c r="AH513" s="83" t="str">
        <f t="shared" si="215"/>
        <v>h</v>
      </c>
      <c r="AI513" s="84" t="str">
        <f t="shared" si="216"/>
        <v>Delta</v>
      </c>
      <c r="AJ513" s="85" t="str">
        <f t="shared" si="217"/>
        <v>Reg H</v>
      </c>
      <c r="AK513" s="6"/>
      <c r="AL513" s="8" t="str">
        <f t="shared" si="218"/>
        <v>{32</v>
      </c>
      <c r="AM513" s="27" t="str">
        <f t="shared" si="219"/>
        <v>ITM_RCL</v>
      </c>
      <c r="AN513" s="27" t="str">
        <f t="shared" si="220"/>
        <v>ITM_PC</v>
      </c>
      <c r="AO513" s="64" t="str">
        <f t="shared" si="221"/>
        <v>ITM_DELTAPC</v>
      </c>
      <c r="AP513" s="46" t="str">
        <f>IF(NOT(ISNA(MATCH(AM513,Lookups!E:E,))),VLOOKUP(AM513,Lookups!E:F,2,0),
IF(NOT(ISNA(MATCH(AN513,Lookups!E:E,))),VLOOKUP(AN513,Lookups!E:F,2,0),
IF(NOT(ISNA(MATCH(AO513,Lookups!E:E,))),VLOOKUP(AO513,Lookups!E:F,2,0),"ITM_NULL")))</f>
        <v>ITM_NULL</v>
      </c>
      <c r="AQ513" s="28" t="str">
        <f t="shared" si="222"/>
        <v>ITM_H</v>
      </c>
      <c r="AR513" s="195" t="s">
        <v>98</v>
      </c>
      <c r="AS513" s="186" t="s">
        <v>99</v>
      </c>
      <c r="AT513" s="255" t="s">
        <v>674</v>
      </c>
      <c r="AW513" s="14" t="str">
        <f t="shared" si="227"/>
        <v>{32</v>
      </c>
      <c r="AX513" s="157" t="str" cm="1">
        <f t="array" ref="AX513">SUBSTITUTE(SUBSTITUTE(_xlfn.SWITCH(AM513, "ITM_T_HOME", "ITM_UP1", "ITM_T_END", "ITM_DOWN1", "DOCU_CHR_sub", "ITM_DOWN_ARROW", "DOCU_CHR_super", "ITM_UP_ARROW", "MNU_TAMALPHA", "ITM_alpha", "DOCU_CHR_caseFLIP", "ITM_NULL", "DOCU_CHR_numSET", "ITM_NULL", "DOCU_ITM_RADIX", "ITM_PERIOD", AM513), ".lo", ),"MNU_", "-MNU_")</f>
        <v>ITM_RCL</v>
      </c>
      <c r="AY513" s="157" t="str" cm="1">
        <f t="array" ref="AY513">SUBSTITUTE(SUBSTITUTE(_xlfn.SWITCH(AN513, "ITM_T_HOME", "ITM_UP1", "ITM_T_END", "ITM_DOWN1", "DOCU_CHR_sub", "ITM_DOWN_ARROW", "DOCU_CHR_super", "ITM_UP_ARROW", "MNU_TAMALPHA", "ITM_alpha", "DOCU_CHR_caseFLIP", "ITM_NULL", "DOCU_CHR_numSET", "ITM_NULL", "DOCU_ITM_RADIX", "ITM_PERIOD", AN513), ".lo", ),"MNU_", "-MNU_")</f>
        <v>ITM_PC</v>
      </c>
      <c r="AZ513" s="157" t="str" cm="1">
        <f t="array" ref="AZ513">SUBSTITUTE(SUBSTITUTE(_xlfn.SWITCH(AO513, "ITM_T_HOME", "ITM_UP1", "ITM_T_END", "ITM_DOWN1", "DOCU_CHR_sub", "ITM_DOWN_ARROW", "DOCU_CHR_super", "ITM_UP_ARROW", "MNU_TAMALPHA", "ITM_alpha", "DOCU_CHR_caseFLIP", "ITM_NULL", "DOCU_CHR_numSET", "ITM_NULL", "DOCU_ITM_RADIX", "ITM_PERIOD", AO513), ".lo", ),"MNU_", "-MNU_")</f>
        <v>ITM_DELTAPC</v>
      </c>
      <c r="BA513" s="173" t="str" cm="1">
        <f t="array" ref="BA513">SUBSTITUTE(SUBSTITUTE(_xlfn.SWITCH(AP513, "ITM_T_HOME", "ITM_UP1", "ITM_T_END", "ITM_DOWN1", "DOCU_CHR_sub", "ITM_DOWN_ARROW", "DOCU_CHR_super", "ITM_UP_ARROW", "MNU_TAMALPHA", "ITM_alpha", "DOCU_CHR_caseFLIP", "ITM_NULL", "DOCU_CHR_numSET", "ITM_NULL", "DOCU_ITM_RADIX", "ITM_PERIOD", AP513), ".lo", ),"MNU_", "-MNU_")</f>
        <v>ITM_NULL</v>
      </c>
      <c r="BB513" s="157" t="str" cm="1">
        <f t="array" ref="BB513">SUBSTITUTE(SUBSTITUTE(_xlfn.SWITCH(AQ513, "ITM_T_HOME", "ITM_UP1", "ITM_T_END", "ITM_DOWN1", "DOCU_CHR_sub", "ITM_DOWN_ARROW", "DOCU_CHR_super", "ITM_UP_ARROW", "MNU_TAMALPHA", "ITM_alpha", "DOCU_CHR_caseFLIP", "ITM_NULL", "DOCU_CHR_numSET", "ITM_NULL", "DOCU_ITM_RADIX", "ITM_PERIOD", AQ513), ".lo", ),"MNU_", "-MNU_")</f>
        <v>ITM_H</v>
      </c>
      <c r="BC513" s="157" t="str" cm="1">
        <f t="array" ref="BC513">SUBSTITUTE(SUBSTITUTE(_xlfn.SWITCH(AR513, "ITM_T_HOME", "ITM_UP1", "ITM_T_END", "ITM_DOWN1", "DOCU_CHR_sub", "ITM_DOWN_ARROW", "DOCU_CHR_super", "ITM_UP_ARROW", "MNU_TAMALPHA", "ITM_alpha", "DOCU_CHR_caseFLIP", "ITM_NULL", "DOCU_CHR_numSET", "ITM_NULL", "DOCU_ITM_RADIX", "ITM_PERIOD", AR513), ".lo", ),"MNU_", "-MNU_")</f>
        <v>ITM_h</v>
      </c>
      <c r="BD513" s="157" t="str" cm="1">
        <f t="array" ref="BD513">SUBSTITUTE(SUBSTITUTE(_xlfn.SWITCH(AS513, "ITM_T_HOME", "ITM_UP1", "ITM_T_END", "ITM_DOWN1", "DOCU_CHR_sub", "ITM_DOWN_ARROW", "DOCU_CHR_super", "ITM_UP_ARROW", "MNU_TAMALPHA", "ITM_alpha", "DOCU_CHR_caseFLIP", "ITM_NULL", "DOCU_CHR_numSET", "ITM_NULL", "DOCU_ITM_RADIX", "ITM_PERIOD", AS513), ".lo", ),"MNU_", "-MNU_")</f>
        <v>ITM_DELTA</v>
      </c>
      <c r="BE513" s="157" t="str" cm="1">
        <f t="array" ref="BE513">SUBSTITUTE(SUBSTITUTE(_xlfn.SWITCH(AT513, "ITM_T_HOME", "ITM_UP1", "ITM_T_END", "ITM_DOWN1", "DOCU_CHR_sub", "ITM_DOWN_ARROW", "DOCU_CHR_super", "ITM_UP_ARROW", "MNU_TAMALPHA", "ITM_alpha", "DOCU_CHR_caseFLIP", "ITM_NULL", "DOCU_CHR_numSET", "ITM_NULL", "DOCU_ITM_RADIX", "ITM_PERIOD", AT513), ".lo", ),"MNU_", "-MNU_")</f>
        <v>ITM_REG_H</v>
      </c>
      <c r="BG513" s="75"/>
      <c r="BI513" s="13" t="str">
        <f t="shared" si="223"/>
        <v xml:space="preserve">  {32,                  ITM_RCL,              ITM_PC,               ITM_DELTAPC,          ITM_NULL,             ITM_H,                ITM_h,                ITM_DELTA,            ITM_REG_H           },</v>
      </c>
    </row>
    <row r="514" spans="24:61" ht="21" x14ac:dyDescent="0.2">
      <c r="X514" s="141" t="str">
        <f t="shared" si="213"/>
        <v>R47fgbk</v>
      </c>
      <c r="Y514" s="142">
        <v>3</v>
      </c>
      <c r="Z514" s="142">
        <v>3</v>
      </c>
      <c r="AA514" s="144" t="str">
        <f t="shared" si="211"/>
        <v>R47fgbk.33</v>
      </c>
      <c r="AB514" s="148" t="str">
        <f t="shared" ref="AB514:AD514" si="240">AB422</f>
        <v>RDN</v>
      </c>
      <c r="AC514" s="149" t="str">
        <f t="shared" si="240"/>
        <v>pi</v>
      </c>
      <c r="AD514" s="150" t="str">
        <f t="shared" si="240"/>
        <v>R Up</v>
      </c>
      <c r="AE514" s="3"/>
      <c r="AF514" s="52" t="str">
        <f t="shared" ref="AF514" si="241">AF422</f>
        <v>I</v>
      </c>
      <c r="AG514" s="77" t="b">
        <f t="shared" si="226"/>
        <v>1</v>
      </c>
      <c r="AH514" s="83" t="str">
        <f t="shared" si="215"/>
        <v>i</v>
      </c>
      <c r="AI514" s="84" t="str">
        <f t="shared" si="216"/>
        <v>pi</v>
      </c>
      <c r="AJ514" s="85" t="str">
        <f t="shared" si="217"/>
        <v>Reg I</v>
      </c>
      <c r="AK514" s="6"/>
      <c r="AL514" s="8" t="str">
        <f t="shared" si="218"/>
        <v>{33</v>
      </c>
      <c r="AM514" s="27" t="str">
        <f t="shared" si="219"/>
        <v>ITM_Rdown</v>
      </c>
      <c r="AN514" s="27" t="str">
        <f t="shared" si="220"/>
        <v>ITM_CONSTpi</v>
      </c>
      <c r="AO514" s="27" t="str">
        <f t="shared" si="221"/>
        <v>ITM_Rup</v>
      </c>
      <c r="AP514" s="46" t="str">
        <f>IF(NOT(ISNA(MATCH(AM514,Lookups!E:E,))),VLOOKUP(AM514,Lookups!E:F,2,0),
IF(NOT(ISNA(MATCH(AN514,Lookups!E:E,))),VLOOKUP(AN514,Lookups!E:F,2,0),
IF(NOT(ISNA(MATCH(AO514,Lookups!E:E,))),VLOOKUP(AO514,Lookups!E:F,2,0),"ITM_NULL")))</f>
        <v>ITM_NULL</v>
      </c>
      <c r="AQ514" s="28" t="str">
        <f t="shared" si="222"/>
        <v>ITM_I</v>
      </c>
      <c r="AR514" s="195" t="s">
        <v>105</v>
      </c>
      <c r="AS514" s="186" t="s">
        <v>106</v>
      </c>
      <c r="AT514" s="255" t="s">
        <v>107</v>
      </c>
      <c r="AW514" s="14" t="str">
        <f t="shared" si="227"/>
        <v>{33</v>
      </c>
      <c r="AX514" s="157" t="str" cm="1">
        <f t="array" ref="AX514">SUBSTITUTE(SUBSTITUTE(_xlfn.SWITCH(AM514, "ITM_T_HOME", "ITM_UP1", "ITM_T_END", "ITM_DOWN1", "DOCU_CHR_sub", "ITM_DOWN_ARROW", "DOCU_CHR_super", "ITM_UP_ARROW", "MNU_TAMALPHA", "ITM_alpha", "DOCU_CHR_caseFLIP", "ITM_NULL", "DOCU_CHR_numSET", "ITM_NULL", "DOCU_ITM_RADIX", "ITM_PERIOD", AM514), ".lo", ),"MNU_", "-MNU_")</f>
        <v>ITM_Rdown</v>
      </c>
      <c r="AY514" s="157" t="str" cm="1">
        <f t="array" ref="AY514">SUBSTITUTE(SUBSTITUTE(_xlfn.SWITCH(AN514, "ITM_T_HOME", "ITM_UP1", "ITM_T_END", "ITM_DOWN1", "DOCU_CHR_sub", "ITM_DOWN_ARROW", "DOCU_CHR_super", "ITM_UP_ARROW", "MNU_TAMALPHA", "ITM_alpha", "DOCU_CHR_caseFLIP", "ITM_NULL", "DOCU_CHR_numSET", "ITM_NULL", "DOCU_ITM_RADIX", "ITM_PERIOD", AN514), ".lo", ),"MNU_", "-MNU_")</f>
        <v>ITM_CONSTpi</v>
      </c>
      <c r="AZ514" s="157" t="str" cm="1">
        <f t="array" ref="AZ514">SUBSTITUTE(SUBSTITUTE(_xlfn.SWITCH(AO514, "ITM_T_HOME", "ITM_UP1", "ITM_T_END", "ITM_DOWN1", "DOCU_CHR_sub", "ITM_DOWN_ARROW", "DOCU_CHR_super", "ITM_UP_ARROW", "MNU_TAMALPHA", "ITM_alpha", "DOCU_CHR_caseFLIP", "ITM_NULL", "DOCU_CHR_numSET", "ITM_NULL", "DOCU_ITM_RADIX", "ITM_PERIOD", AO514), ".lo", ),"MNU_", "-MNU_")</f>
        <v>ITM_Rup</v>
      </c>
      <c r="BA514" s="173" t="str" cm="1">
        <f t="array" ref="BA514">SUBSTITUTE(SUBSTITUTE(_xlfn.SWITCH(AP514, "ITM_T_HOME", "ITM_UP1", "ITM_T_END", "ITM_DOWN1", "DOCU_CHR_sub", "ITM_DOWN_ARROW", "DOCU_CHR_super", "ITM_UP_ARROW", "MNU_TAMALPHA", "ITM_alpha", "DOCU_CHR_caseFLIP", "ITM_NULL", "DOCU_CHR_numSET", "ITM_NULL", "DOCU_ITM_RADIX", "ITM_PERIOD", AP514), ".lo", ),"MNU_", "-MNU_")</f>
        <v>ITM_NULL</v>
      </c>
      <c r="BB514" s="157" t="str" cm="1">
        <f t="array" ref="BB514">SUBSTITUTE(SUBSTITUTE(_xlfn.SWITCH(AQ514, "ITM_T_HOME", "ITM_UP1", "ITM_T_END", "ITM_DOWN1", "DOCU_CHR_sub", "ITM_DOWN_ARROW", "DOCU_CHR_super", "ITM_UP_ARROW", "MNU_TAMALPHA", "ITM_alpha", "DOCU_CHR_caseFLIP", "ITM_NULL", "DOCU_CHR_numSET", "ITM_NULL", "DOCU_ITM_RADIX", "ITM_PERIOD", AQ514), ".lo", ),"MNU_", "-MNU_")</f>
        <v>ITM_I</v>
      </c>
      <c r="BC514" s="157" t="str" cm="1">
        <f t="array" ref="BC514">SUBSTITUTE(SUBSTITUTE(_xlfn.SWITCH(AR514, "ITM_T_HOME", "ITM_UP1", "ITM_T_END", "ITM_DOWN1", "DOCU_CHR_sub", "ITM_DOWN_ARROW", "DOCU_CHR_super", "ITM_UP_ARROW", "MNU_TAMALPHA", "ITM_alpha", "DOCU_CHR_caseFLIP", "ITM_NULL", "DOCU_CHR_numSET", "ITM_NULL", "DOCU_ITM_RADIX", "ITM_PERIOD", AR514), ".lo", ),"MNU_", "-MNU_")</f>
        <v>ITM_i</v>
      </c>
      <c r="BD514" s="157" t="str" cm="1">
        <f t="array" ref="BD514">SUBSTITUTE(SUBSTITUTE(_xlfn.SWITCH(AS514, "ITM_T_HOME", "ITM_UP1", "ITM_T_END", "ITM_DOWN1", "DOCU_CHR_sub", "ITM_DOWN_ARROW", "DOCU_CHR_super", "ITM_UP_ARROW", "MNU_TAMALPHA", "ITM_alpha", "DOCU_CHR_caseFLIP", "ITM_NULL", "DOCU_CHR_numSET", "ITM_NULL", "DOCU_ITM_RADIX", "ITM_PERIOD", AS514), ".lo", ),"MNU_", "-MNU_")</f>
        <v>ITM_pi</v>
      </c>
      <c r="BE514" s="157" t="str" cm="1">
        <f t="array" ref="BE514">SUBSTITUTE(SUBSTITUTE(_xlfn.SWITCH(AT514, "ITM_T_HOME", "ITM_UP1", "ITM_T_END", "ITM_DOWN1", "DOCU_CHR_sub", "ITM_DOWN_ARROW", "DOCU_CHR_super", "ITM_UP_ARROW", "MNU_TAMALPHA", "ITM_alpha", "DOCU_CHR_caseFLIP", "ITM_NULL", "DOCU_CHR_numSET", "ITM_NULL", "DOCU_ITM_RADIX", "ITM_PERIOD", AT514), ".lo", ),"MNU_", "-MNU_")</f>
        <v>ITM_REG_I</v>
      </c>
      <c r="BG514" s="75"/>
      <c r="BI514" s="13" t="str">
        <f t="shared" si="223"/>
        <v xml:space="preserve">  {33,                  ITM_Rdown,            ITM_CONSTpi,          ITM_Rup,              ITM_NULL,             ITM_I,                ITM_i,                ITM_pi,               ITM_REG_I           },</v>
      </c>
    </row>
    <row r="515" spans="24:61" ht="21" x14ac:dyDescent="0.2">
      <c r="X515" s="141" t="str">
        <f t="shared" si="213"/>
        <v>R47fgbk</v>
      </c>
      <c r="Y515" s="142">
        <v>3</v>
      </c>
      <c r="Z515" s="142">
        <v>4</v>
      </c>
      <c r="AA515" s="144" t="str">
        <f t="shared" si="211"/>
        <v>R47fgbk.34</v>
      </c>
      <c r="AB515" s="148" t="str">
        <f t="shared" ref="AB515:AD515" si="242">AB423</f>
        <v>DRG</v>
      </c>
      <c r="AC515" s="149" t="str">
        <f t="shared" si="242"/>
        <v>USER</v>
      </c>
      <c r="AD515" s="150" t="str">
        <f t="shared" si="242"/>
        <v>ASN</v>
      </c>
      <c r="AE515" s="3"/>
      <c r="AF515" s="52" t="str">
        <f t="shared" ref="AF515" si="243">AF423</f>
        <v>J</v>
      </c>
      <c r="AG515" s="77" t="b">
        <f t="shared" si="226"/>
        <v>1</v>
      </c>
      <c r="AH515" s="83" t="str">
        <f t="shared" si="215"/>
        <v>j</v>
      </c>
      <c r="AI515" s="84" t="str">
        <f t="shared" si="216"/>
        <v>&lt;j&gt;</v>
      </c>
      <c r="AJ515" s="85" t="str">
        <f t="shared" si="217"/>
        <v>Reg J</v>
      </c>
      <c r="AK515" s="6"/>
      <c r="AL515" s="8" t="str">
        <f t="shared" si="218"/>
        <v>{34</v>
      </c>
      <c r="AM515" s="27" t="str">
        <f t="shared" si="219"/>
        <v>ITM_DRG</v>
      </c>
      <c r="AN515" s="27" t="str">
        <f t="shared" si="220"/>
        <v>ITM_USERMODE</v>
      </c>
      <c r="AO515" s="27" t="str">
        <f t="shared" si="221"/>
        <v>ITM_ASSIGN</v>
      </c>
      <c r="AP515" s="46" t="str">
        <f>IF(NOT(ISNA(MATCH(AM515,Lookups!E:E,))),VLOOKUP(AM515,Lookups!E:F,2,0),
IF(NOT(ISNA(MATCH(AN515,Lookups!E:E,))),VLOOKUP(AN515,Lookups!E:F,2,0),
IF(NOT(ISNA(MATCH(AO515,Lookups!E:E,))),VLOOKUP(AO515,Lookups!E:F,2,0),"ITM_NULL")))</f>
        <v>ITM_NULL</v>
      </c>
      <c r="AQ515" s="28" t="str">
        <f t="shared" si="222"/>
        <v>ITM_J</v>
      </c>
      <c r="AR515" s="195" t="s">
        <v>112</v>
      </c>
      <c r="AS515" s="186" t="s">
        <v>642</v>
      </c>
      <c r="AT515" s="255" t="s">
        <v>114</v>
      </c>
      <c r="AW515" s="14" t="str">
        <f t="shared" si="227"/>
        <v>{34</v>
      </c>
      <c r="AX515" s="157" t="str" cm="1">
        <f t="array" ref="AX515">SUBSTITUTE(SUBSTITUTE(_xlfn.SWITCH(AM515, "ITM_T_HOME", "ITM_UP1", "ITM_T_END", "ITM_DOWN1", "DOCU_CHR_sub", "ITM_DOWN_ARROW", "DOCU_CHR_super", "ITM_UP_ARROW", "MNU_TAMALPHA", "ITM_alpha", "DOCU_CHR_caseFLIP", "ITM_NULL", "DOCU_CHR_numSET", "ITM_NULL", "DOCU_ITM_RADIX", "ITM_PERIOD", AM515), ".lo", ),"MNU_", "-MNU_")</f>
        <v>ITM_DRG</v>
      </c>
      <c r="AY515" s="157" t="str" cm="1">
        <f t="array" ref="AY515">SUBSTITUTE(SUBSTITUTE(_xlfn.SWITCH(AN515, "ITM_T_HOME", "ITM_UP1", "ITM_T_END", "ITM_DOWN1", "DOCU_CHR_sub", "ITM_DOWN_ARROW", "DOCU_CHR_super", "ITM_UP_ARROW", "MNU_TAMALPHA", "ITM_alpha", "DOCU_CHR_caseFLIP", "ITM_NULL", "DOCU_CHR_numSET", "ITM_NULL", "DOCU_ITM_RADIX", "ITM_PERIOD", AN515), ".lo", ),"MNU_", "-MNU_")</f>
        <v>ITM_USERMODE</v>
      </c>
      <c r="AZ515" s="157" t="str" cm="1">
        <f t="array" ref="AZ515">SUBSTITUTE(SUBSTITUTE(_xlfn.SWITCH(AO515, "ITM_T_HOME", "ITM_UP1", "ITM_T_END", "ITM_DOWN1", "DOCU_CHR_sub", "ITM_DOWN_ARROW", "DOCU_CHR_super", "ITM_UP_ARROW", "MNU_TAMALPHA", "ITM_alpha", "DOCU_CHR_caseFLIP", "ITM_NULL", "DOCU_CHR_numSET", "ITM_NULL", "DOCU_ITM_RADIX", "ITM_PERIOD", AO515), ".lo", ),"MNU_", "-MNU_")</f>
        <v>ITM_ASSIGN</v>
      </c>
      <c r="BA515" s="173" t="str" cm="1">
        <f t="array" ref="BA515">SUBSTITUTE(SUBSTITUTE(_xlfn.SWITCH(AP515, "ITM_T_HOME", "ITM_UP1", "ITM_T_END", "ITM_DOWN1", "DOCU_CHR_sub", "ITM_DOWN_ARROW", "DOCU_CHR_super", "ITM_UP_ARROW", "MNU_TAMALPHA", "ITM_alpha", "DOCU_CHR_caseFLIP", "ITM_NULL", "DOCU_CHR_numSET", "ITM_NULL", "DOCU_ITM_RADIX", "ITM_PERIOD", AP515), ".lo", ),"MNU_", "-MNU_")</f>
        <v>ITM_NULL</v>
      </c>
      <c r="BB515" s="157" t="str" cm="1">
        <f t="array" ref="BB515">SUBSTITUTE(SUBSTITUTE(_xlfn.SWITCH(AQ515, "ITM_T_HOME", "ITM_UP1", "ITM_T_END", "ITM_DOWN1", "DOCU_CHR_sub", "ITM_DOWN_ARROW", "DOCU_CHR_super", "ITM_UP_ARROW", "MNU_TAMALPHA", "ITM_alpha", "DOCU_CHR_caseFLIP", "ITM_NULL", "DOCU_CHR_numSET", "ITM_NULL", "DOCU_ITM_RADIX", "ITM_PERIOD", AQ515), ".lo", ),"MNU_", "-MNU_")</f>
        <v>ITM_J</v>
      </c>
      <c r="BC515" s="157" t="str" cm="1">
        <f t="array" ref="BC515">SUBSTITUTE(SUBSTITUTE(_xlfn.SWITCH(AR515, "ITM_T_HOME", "ITM_UP1", "ITM_T_END", "ITM_DOWN1", "DOCU_CHR_sub", "ITM_DOWN_ARROW", "DOCU_CHR_super", "ITM_UP_ARROW", "MNU_TAMALPHA", "ITM_alpha", "DOCU_CHR_caseFLIP", "ITM_NULL", "DOCU_CHR_numSET", "ITM_NULL", "DOCU_ITM_RADIX", "ITM_PERIOD", AR515), ".lo", ),"MNU_", "-MNU_")</f>
        <v>ITM_j</v>
      </c>
      <c r="BD515" s="157" t="str" cm="1">
        <f t="array" ref="BD515">SUBSTITUTE(SUBSTITUTE(_xlfn.SWITCH(AS515, "ITM_T_HOME", "ITM_UP1", "ITM_T_END", "ITM_DOWN1", "DOCU_CHR_sub", "ITM_DOWN_ARROW", "DOCU_CHR_super", "ITM_UP_ARROW", "MNU_TAMALPHA", "ITM_alpha", "DOCU_CHR_caseFLIP", "ITM_NULL", "DOCU_CHR_numSET", "ITM_NULL", "DOCU_ITM_RADIX", "ITM_PERIOD", AS515), ".lo", ),"MNU_", "-MNU_")</f>
        <v>ITM_op_j_char</v>
      </c>
      <c r="BE515" s="157" t="str" cm="1">
        <f t="array" ref="BE515">SUBSTITUTE(SUBSTITUTE(_xlfn.SWITCH(AT515, "ITM_T_HOME", "ITM_UP1", "ITM_T_END", "ITM_DOWN1", "DOCU_CHR_sub", "ITM_DOWN_ARROW", "DOCU_CHR_super", "ITM_UP_ARROW", "MNU_TAMALPHA", "ITM_alpha", "DOCU_CHR_caseFLIP", "ITM_NULL", "DOCU_CHR_numSET", "ITM_NULL", "DOCU_ITM_RADIX", "ITM_PERIOD", AT515), ".lo", ),"MNU_", "-MNU_")</f>
        <v>ITM_REG_J</v>
      </c>
      <c r="BG515" s="75"/>
      <c r="BI515" s="13" t="str">
        <f t="shared" si="223"/>
        <v xml:space="preserve">  {34,                  ITM_DRG,              ITM_USERMODE,         ITM_ASSIGN,           ITM_NULL,             ITM_J,                ITM_j,                ITM_op_j_char,        ITM_REG_J           },</v>
      </c>
    </row>
    <row r="516" spans="24:61" ht="21" x14ac:dyDescent="0.2">
      <c r="X516" s="141" t="str">
        <f t="shared" si="213"/>
        <v>R47fgbk</v>
      </c>
      <c r="Y516" s="142">
        <v>3</v>
      </c>
      <c r="Z516" s="142">
        <v>5</v>
      </c>
      <c r="AA516" s="144" t="str">
        <f t="shared" si="211"/>
        <v>R47fgbk.35</v>
      </c>
      <c r="AB516" s="180" t="s">
        <v>217</v>
      </c>
      <c r="AC516" s="181" t="s">
        <v>218</v>
      </c>
      <c r="AD516" s="181" t="s">
        <v>218</v>
      </c>
      <c r="AE516" s="3"/>
      <c r="AF516" s="180" t="s">
        <v>217</v>
      </c>
      <c r="AG516" s="77" t="b">
        <f t="shared" si="226"/>
        <v>0</v>
      </c>
      <c r="AH516" s="83" t="str">
        <f t="shared" si="215"/>
        <v>(FlipChar)</v>
      </c>
      <c r="AI516" s="84" t="str">
        <f t="shared" si="216"/>
        <v xml:space="preserve"> </v>
      </c>
      <c r="AJ516" s="85" t="str">
        <f t="shared" si="217"/>
        <v>f/g</v>
      </c>
      <c r="AK516" s="6"/>
      <c r="AL516" s="8" t="str">
        <f t="shared" si="218"/>
        <v>{35</v>
      </c>
      <c r="AM516" s="27" t="str">
        <f t="shared" si="219"/>
        <v>KEY_fg</v>
      </c>
      <c r="AN516" s="27" t="str">
        <f t="shared" si="220"/>
        <v>ITM_NULL</v>
      </c>
      <c r="AO516" s="27" t="str">
        <f t="shared" si="221"/>
        <v>ITM_NULL</v>
      </c>
      <c r="AP516" s="46" t="str">
        <f>IF(NOT(ISNA(MATCH(AM516,Lookups!E:E,))),VLOOKUP(AM516,Lookups!E:F,2,0),
IF(NOT(ISNA(MATCH(AN516,Lookups!E:E,))),VLOOKUP(AN516,Lookups!E:F,2,0),
IF(NOT(ISNA(MATCH(AO516,Lookups!E:E,))),VLOOKUP(AO516,Lookups!E:F,2,0),"ITM_NULL")))</f>
        <v>KEY_fg</v>
      </c>
      <c r="AQ516" s="28" t="str">
        <f t="shared" si="222"/>
        <v>KEY_fg</v>
      </c>
      <c r="AR516" s="219" t="s">
        <v>219</v>
      </c>
      <c r="AS516" s="220" t="s">
        <v>81</v>
      </c>
      <c r="AT516" s="256" t="s">
        <v>221</v>
      </c>
      <c r="AW516" s="14" t="str">
        <f t="shared" si="227"/>
        <v>{35</v>
      </c>
      <c r="AX516" s="157" t="str" cm="1">
        <f t="array" ref="AX516">SUBSTITUTE(SUBSTITUTE(_xlfn.SWITCH(AM516, "ITM_T_HOME", "ITM_UP1", "ITM_T_END", "ITM_DOWN1", "DOCU_CHR_sub", "ITM_DOWN_ARROW", "DOCU_CHR_super", "ITM_UP_ARROW", "MNU_TAMALPHA", "ITM_alpha", "DOCU_CHR_caseFLIP", "ITM_NULL", "DOCU_CHR_numSET", "ITM_NULL", "DOCU_ITM_RADIX", "ITM_PERIOD", AM516), ".lo", ),"MNU_", "-MNU_")</f>
        <v>KEY_fg</v>
      </c>
      <c r="AY516" s="157" t="str" cm="1">
        <f t="array" ref="AY516">SUBSTITUTE(SUBSTITUTE(_xlfn.SWITCH(AN516, "ITM_T_HOME", "ITM_UP1", "ITM_T_END", "ITM_DOWN1", "DOCU_CHR_sub", "ITM_DOWN_ARROW", "DOCU_CHR_super", "ITM_UP_ARROW", "MNU_TAMALPHA", "ITM_alpha", "DOCU_CHR_caseFLIP", "ITM_NULL", "DOCU_CHR_numSET", "ITM_NULL", "DOCU_ITM_RADIX", "ITM_PERIOD", AN516), ".lo", ),"MNU_", "-MNU_")</f>
        <v>ITM_NULL</v>
      </c>
      <c r="AZ516" s="157" t="str" cm="1">
        <f t="array" ref="AZ516">SUBSTITUTE(SUBSTITUTE(_xlfn.SWITCH(AO516, "ITM_T_HOME", "ITM_UP1", "ITM_T_END", "ITM_DOWN1", "DOCU_CHR_sub", "ITM_DOWN_ARROW", "DOCU_CHR_super", "ITM_UP_ARROW", "MNU_TAMALPHA", "ITM_alpha", "DOCU_CHR_caseFLIP", "ITM_NULL", "DOCU_CHR_numSET", "ITM_NULL", "DOCU_ITM_RADIX", "ITM_PERIOD", AO516), ".lo", ),"MNU_", "-MNU_")</f>
        <v>ITM_NULL</v>
      </c>
      <c r="BA516" s="173" t="str" cm="1">
        <f t="array" ref="BA516">SUBSTITUTE(SUBSTITUTE(_xlfn.SWITCH(AP516, "ITM_T_HOME", "ITM_UP1", "ITM_T_END", "ITM_DOWN1", "DOCU_CHR_sub", "ITM_DOWN_ARROW", "DOCU_CHR_super", "ITM_UP_ARROW", "MNU_TAMALPHA", "ITM_alpha", "DOCU_CHR_caseFLIP", "ITM_NULL", "DOCU_CHR_numSET", "ITM_NULL", "DOCU_ITM_RADIX", "ITM_PERIOD", AP516), ".lo", ),"MNU_", "-MNU_")</f>
        <v>KEY_fg</v>
      </c>
      <c r="BB516" s="157" t="str" cm="1">
        <f t="array" ref="BB516">SUBSTITUTE(SUBSTITUTE(_xlfn.SWITCH(AQ516, "ITM_T_HOME", "ITM_UP1", "ITM_T_END", "ITM_DOWN1", "DOCU_CHR_sub", "ITM_DOWN_ARROW", "DOCU_CHR_super", "ITM_UP_ARROW", "MNU_TAMALPHA", "ITM_alpha", "DOCU_CHR_caseFLIP", "ITM_NULL", "DOCU_CHR_numSET", "ITM_NULL", "DOCU_ITM_RADIX", "ITM_PERIOD", AQ516), ".lo", ),"MNU_", "-MNU_")</f>
        <v>KEY_fg</v>
      </c>
      <c r="BC516" s="157" t="str" cm="1">
        <f t="array" ref="BC516">SUBSTITUTE(SUBSTITUTE(_xlfn.SWITCH(AR516, "ITM_T_HOME", "ITM_UP1", "ITM_T_END", "ITM_DOWN1", "DOCU_CHR_sub", "ITM_DOWN_ARROW", "DOCU_CHR_super", "ITM_UP_ARROW", "MNU_TAMALPHA", "ITM_alpha", "DOCU_CHR_caseFLIP", "ITM_NULL", "DOCU_CHR_numSET", "ITM_NULL", "DOCU_ITM_RADIX", "ITM_PERIOD", AR516), ".lo", ),"MNU_", "-MNU_")</f>
        <v>ITM_NULL</v>
      </c>
      <c r="BD516" s="157" t="str" cm="1">
        <f t="array" ref="BD516">SUBSTITUTE(SUBSTITUTE(_xlfn.SWITCH(AS516, "ITM_T_HOME", "ITM_UP1", "ITM_T_END", "ITM_DOWN1", "DOCU_CHR_sub", "ITM_DOWN_ARROW", "DOCU_CHR_super", "ITM_UP_ARROW", "MNU_TAMALPHA", "ITM_alpha", "DOCU_CHR_caseFLIP", "ITM_NULL", "DOCU_CHR_numSET", "ITM_NULL", "DOCU_ITM_RADIX", "ITM_PERIOD", AS516), ".lo", ),"MNU_", "-MNU_")</f>
        <v>ITM_NULL</v>
      </c>
      <c r="BE516" s="157" t="str" cm="1">
        <f t="array" ref="BE516">SUBSTITUTE(SUBSTITUTE(_xlfn.SWITCH(AT516, "ITM_T_HOME", "ITM_UP1", "ITM_T_END", "ITM_DOWN1", "DOCU_CHR_sub", "ITM_DOWN_ARROW", "DOCU_CHR_super", "ITM_UP_ARROW", "MNU_TAMALPHA", "ITM_alpha", "DOCU_CHR_caseFLIP", "ITM_NULL", "DOCU_CHR_numSET", "ITM_NULL", "DOCU_ITM_RADIX", "ITM_PERIOD", AT516), ".lo", ),"MNU_", "-MNU_")</f>
        <v>KEY_fg</v>
      </c>
      <c r="BG516" s="75"/>
      <c r="BI516" s="13" t="str">
        <f t="shared" si="223"/>
        <v xml:space="preserve">  {35,                  KEY_fg,               ITM_NULL,             ITM_NULL,             KEY_fg,               KEY_fg,               ITM_NULL,             ITM_NULL,             KEY_fg              },</v>
      </c>
    </row>
    <row r="517" spans="24:61" ht="21" x14ac:dyDescent="0.2">
      <c r="X517" s="141" t="str">
        <f t="shared" si="213"/>
        <v>R47fgbk</v>
      </c>
      <c r="Y517" s="142">
        <v>3</v>
      </c>
      <c r="Z517" s="142">
        <v>6</v>
      </c>
      <c r="AA517" s="144" t="str">
        <f t="shared" si="211"/>
        <v>R47fgbk.36</v>
      </c>
      <c r="AB517" s="121" t="s">
        <v>218</v>
      </c>
      <c r="AC517" s="182" t="s">
        <v>218</v>
      </c>
      <c r="AD517" s="182" t="s">
        <v>218</v>
      </c>
      <c r="AE517" s="3"/>
      <c r="AF517" s="121" t="s">
        <v>218</v>
      </c>
      <c r="AG517" s="77" t="b">
        <f t="shared" si="226"/>
        <v>1</v>
      </c>
      <c r="AH517" s="83" t="str">
        <f t="shared" si="215"/>
        <v xml:space="preserve"> </v>
      </c>
      <c r="AI517" s="84" t="str">
        <f t="shared" si="216"/>
        <v xml:space="preserve"> </v>
      </c>
      <c r="AJ517" s="85" t="str">
        <f t="shared" si="217"/>
        <v xml:space="preserve"> </v>
      </c>
      <c r="AK517" s="6"/>
      <c r="AL517" s="8" t="str">
        <f t="shared" si="218"/>
        <v>{36</v>
      </c>
      <c r="AM517" s="27" t="str">
        <f t="shared" si="219"/>
        <v>ITM_NULL</v>
      </c>
      <c r="AN517" s="27" t="str">
        <f t="shared" si="220"/>
        <v>ITM_NULL</v>
      </c>
      <c r="AO517" s="27" t="str">
        <f t="shared" si="221"/>
        <v>ITM_NULL</v>
      </c>
      <c r="AP517" s="46" t="str">
        <f>IF(NOT(ISNA(MATCH(AM517,Lookups!E:E,))),VLOOKUP(AM517,Lookups!E:F,2,0),
IF(NOT(ISNA(MATCH(AN517,Lookups!E:E,))),VLOOKUP(AN517,Lookups!E:F,2,0),
IF(NOT(ISNA(MATCH(AO517,Lookups!E:E,))),VLOOKUP(AO517,Lookups!E:F,2,0),"ITM_NULL")))</f>
        <v>ITM_NULL</v>
      </c>
      <c r="AQ517" s="28" t="str">
        <f t="shared" si="222"/>
        <v>ITM_NULL</v>
      </c>
      <c r="AR517" s="219" t="s">
        <v>81</v>
      </c>
      <c r="AS517" s="220" t="s">
        <v>81</v>
      </c>
      <c r="AT517" s="256" t="s">
        <v>81</v>
      </c>
      <c r="AW517" s="14" t="str">
        <f t="shared" si="227"/>
        <v>{36</v>
      </c>
      <c r="AX517" s="157" t="str" cm="1">
        <f t="array" ref="AX517">SUBSTITUTE(SUBSTITUTE(_xlfn.SWITCH(AM517, "ITM_T_HOME", "ITM_UP1", "ITM_T_END", "ITM_DOWN1", "DOCU_CHR_sub", "ITM_DOWN_ARROW", "DOCU_CHR_super", "ITM_UP_ARROW", "MNU_TAMALPHA", "ITM_alpha", "DOCU_CHR_caseFLIP", "ITM_NULL", "DOCU_CHR_numSET", "ITM_NULL", "DOCU_ITM_RADIX", "ITM_PERIOD", AM517), ".lo", ),"MNU_", "-MNU_")</f>
        <v>ITM_NULL</v>
      </c>
      <c r="AY517" s="157" t="str" cm="1">
        <f t="array" ref="AY517">SUBSTITUTE(SUBSTITUTE(_xlfn.SWITCH(AN517, "ITM_T_HOME", "ITM_UP1", "ITM_T_END", "ITM_DOWN1", "DOCU_CHR_sub", "ITM_DOWN_ARROW", "DOCU_CHR_super", "ITM_UP_ARROW", "MNU_TAMALPHA", "ITM_alpha", "DOCU_CHR_caseFLIP", "ITM_NULL", "DOCU_CHR_numSET", "ITM_NULL", "DOCU_ITM_RADIX", "ITM_PERIOD", AN517), ".lo", ),"MNU_", "-MNU_")</f>
        <v>ITM_NULL</v>
      </c>
      <c r="AZ517" s="157" t="str" cm="1">
        <f t="array" ref="AZ517">SUBSTITUTE(SUBSTITUTE(_xlfn.SWITCH(AO517, "ITM_T_HOME", "ITM_UP1", "ITM_T_END", "ITM_DOWN1", "DOCU_CHR_sub", "ITM_DOWN_ARROW", "DOCU_CHR_super", "ITM_UP_ARROW", "MNU_TAMALPHA", "ITM_alpha", "DOCU_CHR_caseFLIP", "ITM_NULL", "DOCU_CHR_numSET", "ITM_NULL", "DOCU_ITM_RADIX", "ITM_PERIOD", AO517), ".lo", ),"MNU_", "-MNU_")</f>
        <v>ITM_NULL</v>
      </c>
      <c r="BA517" s="173" t="str" cm="1">
        <f t="array" ref="BA517">SUBSTITUTE(SUBSTITUTE(_xlfn.SWITCH(AP517, "ITM_T_HOME", "ITM_UP1", "ITM_T_END", "ITM_DOWN1", "DOCU_CHR_sub", "ITM_DOWN_ARROW", "DOCU_CHR_super", "ITM_UP_ARROW", "MNU_TAMALPHA", "ITM_alpha", "DOCU_CHR_caseFLIP", "ITM_NULL", "DOCU_CHR_numSET", "ITM_NULL", "DOCU_ITM_RADIX", "ITM_PERIOD", AP517), ".lo", ),"MNU_", "-MNU_")</f>
        <v>ITM_NULL</v>
      </c>
      <c r="BB517" s="157" t="str" cm="1">
        <f t="array" ref="BB517">SUBSTITUTE(SUBSTITUTE(_xlfn.SWITCH(AQ517, "ITM_T_HOME", "ITM_UP1", "ITM_T_END", "ITM_DOWN1", "DOCU_CHR_sub", "ITM_DOWN_ARROW", "DOCU_CHR_super", "ITM_UP_ARROW", "MNU_TAMALPHA", "ITM_alpha", "DOCU_CHR_caseFLIP", "ITM_NULL", "DOCU_CHR_numSET", "ITM_NULL", "DOCU_ITM_RADIX", "ITM_PERIOD", AQ517), ".lo", ),"MNU_", "-MNU_")</f>
        <v>ITM_NULL</v>
      </c>
      <c r="BC517" s="157" t="str" cm="1">
        <f t="array" ref="BC517">SUBSTITUTE(SUBSTITUTE(_xlfn.SWITCH(AR517, "ITM_T_HOME", "ITM_UP1", "ITM_T_END", "ITM_DOWN1", "DOCU_CHR_sub", "ITM_DOWN_ARROW", "DOCU_CHR_super", "ITM_UP_ARROW", "MNU_TAMALPHA", "ITM_alpha", "DOCU_CHR_caseFLIP", "ITM_NULL", "DOCU_CHR_numSET", "ITM_NULL", "DOCU_ITM_RADIX", "ITM_PERIOD", AR517), ".lo", ),"MNU_", "-MNU_")</f>
        <v>ITM_NULL</v>
      </c>
      <c r="BD517" s="157" t="str" cm="1">
        <f t="array" ref="BD517">SUBSTITUTE(SUBSTITUTE(_xlfn.SWITCH(AS517, "ITM_T_HOME", "ITM_UP1", "ITM_T_END", "ITM_DOWN1", "DOCU_CHR_sub", "ITM_DOWN_ARROW", "DOCU_CHR_super", "ITM_UP_ARROW", "MNU_TAMALPHA", "ITM_alpha", "DOCU_CHR_caseFLIP", "ITM_NULL", "DOCU_CHR_numSET", "ITM_NULL", "DOCU_ITM_RADIX", "ITM_PERIOD", AS517), ".lo", ),"MNU_", "-MNU_")</f>
        <v>ITM_NULL</v>
      </c>
      <c r="BE517" s="157" t="str" cm="1">
        <f t="array" ref="BE517">SUBSTITUTE(SUBSTITUTE(_xlfn.SWITCH(AT517, "ITM_T_HOME", "ITM_UP1", "ITM_T_END", "ITM_DOWN1", "DOCU_CHR_sub", "ITM_DOWN_ARROW", "DOCU_CHR_super", "ITM_UP_ARROW", "MNU_TAMALPHA", "ITM_alpha", "DOCU_CHR_caseFLIP", "ITM_NULL", "DOCU_CHR_numSET", "ITM_NULL", "DOCU_ITM_RADIX", "ITM_PERIOD", AT517), ".lo", ),"MNU_", "-MNU_")</f>
        <v>ITM_NULL</v>
      </c>
      <c r="BG517" s="75"/>
      <c r="BI517" s="13" t="str">
        <f t="shared" si="223"/>
        <v xml:space="preserve">  {36,                  ITM_NULL,             ITM_NULL,             ITM_NULL,             ITM_NULL,             ITM_NULL,             ITM_NULL,             ITM_NULL,             ITM_NULL            },</v>
      </c>
    </row>
    <row r="518" spans="24:61" ht="21" x14ac:dyDescent="0.2">
      <c r="X518" s="141" t="str">
        <f t="shared" si="213"/>
        <v>R47fgbk</v>
      </c>
      <c r="Y518" s="138">
        <v>4</v>
      </c>
      <c r="Z518" s="138">
        <v>1</v>
      </c>
      <c r="AA518" s="144" t="str">
        <f t="shared" si="211"/>
        <v>R47fgbk.41</v>
      </c>
      <c r="AB518" s="148" t="str">
        <f t="shared" ref="AB518:AD518" si="244">AB426</f>
        <v>ENTER</v>
      </c>
      <c r="AC518" s="149" t="str">
        <f t="shared" si="244"/>
        <v>COMPLEX</v>
      </c>
      <c r="AD518" s="150" t="str">
        <f t="shared" si="244"/>
        <v>[ CPX ]</v>
      </c>
      <c r="AE518" s="3"/>
      <c r="AF518" s="52" t="str">
        <f t="shared" ref="AF518" si="245">AF426</f>
        <v>ENTER</v>
      </c>
      <c r="AG518" s="77" t="b">
        <f t="shared" si="226"/>
        <v>0</v>
      </c>
      <c r="AH518" s="83" t="str">
        <f t="shared" si="215"/>
        <v>X.SWAP</v>
      </c>
      <c r="AI518" s="84" t="str">
        <f t="shared" si="216"/>
        <v>a.PARSE</v>
      </c>
      <c r="AJ518" s="85" t="str">
        <f t="shared" si="217"/>
        <v>ENTER</v>
      </c>
      <c r="AK518" s="6"/>
      <c r="AL518" s="8" t="str">
        <f t="shared" si="218"/>
        <v>{41</v>
      </c>
      <c r="AM518" s="27" t="str">
        <f t="shared" si="219"/>
        <v>ITM_ENTER</v>
      </c>
      <c r="AN518" s="27" t="str">
        <f t="shared" si="220"/>
        <v>KEY_COMPLEX</v>
      </c>
      <c r="AO518" s="27" t="str">
        <f t="shared" si="221"/>
        <v>MNU_CPX</v>
      </c>
      <c r="AP518" s="46" t="str">
        <f>IF(NOT(ISNA(MATCH(AM518,Lookups!E:E,))),VLOOKUP(AM518,Lookups!E:F,2,0),
IF(NOT(ISNA(MATCH(AN518,Lookups!E:E,))),VLOOKUP(AN518,Lookups!E:F,2,0),
IF(NOT(ISNA(MATCH(AO518,Lookups!E:E,))),VLOOKUP(AO518,Lookups!E:F,2,0),"ITM_NULL")))</f>
        <v>ITM_ENTER</v>
      </c>
      <c r="AQ518" s="28" t="str">
        <f t="shared" si="222"/>
        <v>ITM_ENTER</v>
      </c>
      <c r="AR518" s="198" t="s">
        <v>132</v>
      </c>
      <c r="AS518" s="186" t="s">
        <v>133</v>
      </c>
      <c r="AT518" s="255" t="s">
        <v>134</v>
      </c>
      <c r="AW518" s="14" t="str">
        <f t="shared" si="227"/>
        <v>{41</v>
      </c>
      <c r="AX518" s="157" t="str" cm="1">
        <f t="array" ref="AX518">SUBSTITUTE(SUBSTITUTE(_xlfn.SWITCH(AM518, "ITM_T_HOME", "ITM_UP1", "ITM_T_END", "ITM_DOWN1", "DOCU_CHR_sub", "ITM_DOWN_ARROW", "DOCU_CHR_super", "ITM_UP_ARROW", "MNU_TAMALPHA", "ITM_alpha", "DOCU_CHR_caseFLIP", "ITM_NULL", "DOCU_CHR_numSET", "ITM_NULL", "DOCU_ITM_RADIX", "ITM_PERIOD", AM518), ".lo", ),"MNU_", "-MNU_")</f>
        <v>ITM_ENTER</v>
      </c>
      <c r="AY518" s="157" t="str" cm="1">
        <f t="array" ref="AY518">SUBSTITUTE(SUBSTITUTE(_xlfn.SWITCH(AN518, "ITM_T_HOME", "ITM_UP1", "ITM_T_END", "ITM_DOWN1", "DOCU_CHR_sub", "ITM_DOWN_ARROW", "DOCU_CHR_super", "ITM_UP_ARROW", "MNU_TAMALPHA", "ITM_alpha", "DOCU_CHR_caseFLIP", "ITM_NULL", "DOCU_CHR_numSET", "ITM_NULL", "DOCU_ITM_RADIX", "ITM_PERIOD", AN518), ".lo", ),"MNU_", "-MNU_")</f>
        <v>KEY_COMPLEX</v>
      </c>
      <c r="AZ518" s="157" t="str" cm="1">
        <f t="array" ref="AZ518">SUBSTITUTE(SUBSTITUTE(_xlfn.SWITCH(AO518, "ITM_T_HOME", "ITM_UP1", "ITM_T_END", "ITM_DOWN1", "DOCU_CHR_sub", "ITM_DOWN_ARROW", "DOCU_CHR_super", "ITM_UP_ARROW", "MNU_TAMALPHA", "ITM_alpha", "DOCU_CHR_caseFLIP", "ITM_NULL", "DOCU_CHR_numSET", "ITM_NULL", "DOCU_ITM_RADIX", "ITM_PERIOD", AO518), ".lo", ),"MNU_", "-MNU_")</f>
        <v>-MNU_CPX</v>
      </c>
      <c r="BA518" s="173" t="str" cm="1">
        <f t="array" ref="BA518">SUBSTITUTE(SUBSTITUTE(_xlfn.SWITCH(AP518, "ITM_T_HOME", "ITM_UP1", "ITM_T_END", "ITM_DOWN1", "DOCU_CHR_sub", "ITM_DOWN_ARROW", "DOCU_CHR_super", "ITM_UP_ARROW", "MNU_TAMALPHA", "ITM_alpha", "DOCU_CHR_caseFLIP", "ITM_NULL", "DOCU_CHR_numSET", "ITM_NULL", "DOCU_ITM_RADIX", "ITM_PERIOD", AP518), ".lo", ),"MNU_", "-MNU_")</f>
        <v>ITM_ENTER</v>
      </c>
      <c r="BB518" s="157" t="str" cm="1">
        <f t="array" ref="BB518">SUBSTITUTE(SUBSTITUTE(_xlfn.SWITCH(AQ518, "ITM_T_HOME", "ITM_UP1", "ITM_T_END", "ITM_DOWN1", "DOCU_CHR_sub", "ITM_DOWN_ARROW", "DOCU_CHR_super", "ITM_UP_ARROW", "MNU_TAMALPHA", "ITM_alpha", "DOCU_CHR_caseFLIP", "ITM_NULL", "DOCU_CHR_numSET", "ITM_NULL", "DOCU_ITM_RADIX", "ITM_PERIOD", AQ518), ".lo", ),"MNU_", "-MNU_")</f>
        <v>ITM_ENTER</v>
      </c>
      <c r="BC518" s="157" t="str" cm="1">
        <f t="array" ref="BC518">SUBSTITUTE(SUBSTITUTE(_xlfn.SWITCH(AR518, "ITM_T_HOME", "ITM_UP1", "ITM_T_END", "ITM_DOWN1", "DOCU_CHR_sub", "ITM_DOWN_ARROW", "DOCU_CHR_super", "ITM_UP_ARROW", "MNU_TAMALPHA", "ITM_alpha", "DOCU_CHR_caseFLIP", "ITM_NULL", "DOCU_CHR_numSET", "ITM_NULL", "DOCU_ITM_RADIX", "ITM_PERIOD", AR518), ".lo", ),"MNU_", "-MNU_")</f>
        <v>ITM_XSWAP</v>
      </c>
      <c r="BD518" s="157" t="str" cm="1">
        <f t="array" ref="BD518">SUBSTITUTE(SUBSTITUTE(_xlfn.SWITCH(AS518, "ITM_T_HOME", "ITM_UP1", "ITM_T_END", "ITM_DOWN1", "DOCU_CHR_sub", "ITM_DOWN_ARROW", "DOCU_CHR_super", "ITM_UP_ARROW", "MNU_TAMALPHA", "ITM_alpha", "DOCU_CHR_caseFLIP", "ITM_NULL", "DOCU_CHR_numSET", "ITM_NULL", "DOCU_ITM_RADIX", "ITM_PERIOD", AS518), ".lo", ),"MNU_", "-MNU_")</f>
        <v>ITM_XPARSE</v>
      </c>
      <c r="BE518" s="157" t="str" cm="1">
        <f t="array" ref="BE518">SUBSTITUTE(SUBSTITUTE(_xlfn.SWITCH(AT518, "ITM_T_HOME", "ITM_UP1", "ITM_T_END", "ITM_DOWN1", "DOCU_CHR_sub", "ITM_DOWN_ARROW", "DOCU_CHR_super", "ITM_UP_ARROW", "MNU_TAMALPHA", "ITM_alpha", "DOCU_CHR_caseFLIP", "ITM_NULL", "DOCU_CHR_numSET", "ITM_NULL", "DOCU_ITM_RADIX", "ITM_PERIOD", AT518), ".lo", ),"MNU_", "-MNU_")</f>
        <v>ITM_ENTER</v>
      </c>
      <c r="BG518" s="75"/>
      <c r="BI518" s="13" t="str">
        <f t="shared" si="223"/>
        <v xml:space="preserve">  {41,                  ITM_ENTER,            KEY_COMPLEX,          -MNU_CPX,             ITM_ENTER,            ITM_ENTER,            ITM_XSWAP,            ITM_XPARSE,           ITM_ENTER           },</v>
      </c>
    </row>
    <row r="519" spans="24:61" ht="21" x14ac:dyDescent="0.2">
      <c r="X519" s="141" t="str">
        <f t="shared" si="213"/>
        <v>R47fgbk</v>
      </c>
      <c r="Y519" s="142">
        <v>4</v>
      </c>
      <c r="Z519" s="142">
        <v>2</v>
      </c>
      <c r="AA519" s="144" t="str">
        <f t="shared" si="211"/>
        <v>R47fgbk.42</v>
      </c>
      <c r="AB519" s="148" t="str">
        <f t="shared" ref="AB519:AD519" si="246">AB427</f>
        <v>x &lt;&gt; y</v>
      </c>
      <c r="AC519" s="149" t="str">
        <f t="shared" si="246"/>
        <v>LASTx</v>
      </c>
      <c r="AD519" s="150" t="str">
        <f t="shared" si="246"/>
        <v>[ STK ]</v>
      </c>
      <c r="AE519" s="3"/>
      <c r="AF519" s="52" t="str">
        <f t="shared" ref="AF519" si="247">AF427</f>
        <v>K</v>
      </c>
      <c r="AG519" s="77" t="b">
        <f t="shared" si="226"/>
        <v>1</v>
      </c>
      <c r="AH519" s="83" t="str">
        <f t="shared" si="215"/>
        <v>k</v>
      </c>
      <c r="AI519" s="84" t="str">
        <f t="shared" si="216"/>
        <v>&lt;&gt;</v>
      </c>
      <c r="AJ519" s="85" t="str">
        <f t="shared" si="217"/>
        <v>Reg K</v>
      </c>
      <c r="AK519" s="6"/>
      <c r="AL519" s="8" t="str">
        <f t="shared" si="218"/>
        <v>{42</v>
      </c>
      <c r="AM519" s="27" t="str">
        <f t="shared" si="219"/>
        <v>ITM_XexY</v>
      </c>
      <c r="AN519" s="27" t="str">
        <f t="shared" si="220"/>
        <v>ITM_LASTX</v>
      </c>
      <c r="AO519" s="27" t="str">
        <f t="shared" si="221"/>
        <v>MNU_STK</v>
      </c>
      <c r="AP519" s="46" t="str">
        <f>IF(NOT(ISNA(MATCH(AM519,Lookups!E:E,))),VLOOKUP(AM519,Lookups!E:F,2,0),
IF(NOT(ISNA(MATCH(AN519,Lookups!E:E,))),VLOOKUP(AN519,Lookups!E:F,2,0),
IF(NOT(ISNA(MATCH(AO519,Lookups!E:E,))),VLOOKUP(AO519,Lookups!E:F,2,0),"ITM_NULL")))</f>
        <v>ITM_ex</v>
      </c>
      <c r="AQ519" s="28" t="str">
        <f t="shared" si="222"/>
        <v>ITM_K</v>
      </c>
      <c r="AR519" s="195" t="s">
        <v>119</v>
      </c>
      <c r="AS519" s="186" t="s">
        <v>140</v>
      </c>
      <c r="AT519" s="255" t="s">
        <v>121</v>
      </c>
      <c r="AW519" s="14" t="str">
        <f t="shared" si="227"/>
        <v>{42</v>
      </c>
      <c r="AX519" s="157" t="str" cm="1">
        <f t="array" ref="AX519">SUBSTITUTE(SUBSTITUTE(_xlfn.SWITCH(AM519, "ITM_T_HOME", "ITM_UP1", "ITM_T_END", "ITM_DOWN1", "DOCU_CHR_sub", "ITM_DOWN_ARROW", "DOCU_CHR_super", "ITM_UP_ARROW", "MNU_TAMALPHA", "ITM_alpha", "DOCU_CHR_caseFLIP", "ITM_NULL", "DOCU_CHR_numSET", "ITM_NULL", "DOCU_ITM_RADIX", "ITM_PERIOD", AM519), ".lo", ),"MNU_", "-MNU_")</f>
        <v>ITM_XexY</v>
      </c>
      <c r="AY519" s="157" t="str" cm="1">
        <f t="array" ref="AY519">SUBSTITUTE(SUBSTITUTE(_xlfn.SWITCH(AN519, "ITM_T_HOME", "ITM_UP1", "ITM_T_END", "ITM_DOWN1", "DOCU_CHR_sub", "ITM_DOWN_ARROW", "DOCU_CHR_super", "ITM_UP_ARROW", "MNU_TAMALPHA", "ITM_alpha", "DOCU_CHR_caseFLIP", "ITM_NULL", "DOCU_CHR_numSET", "ITM_NULL", "DOCU_ITM_RADIX", "ITM_PERIOD", AN519), ".lo", ),"MNU_", "-MNU_")</f>
        <v>ITM_LASTX</v>
      </c>
      <c r="AZ519" s="157" t="str" cm="1">
        <f t="array" ref="AZ519">SUBSTITUTE(SUBSTITUTE(_xlfn.SWITCH(AO519, "ITM_T_HOME", "ITM_UP1", "ITM_T_END", "ITM_DOWN1", "DOCU_CHR_sub", "ITM_DOWN_ARROW", "DOCU_CHR_super", "ITM_UP_ARROW", "MNU_TAMALPHA", "ITM_alpha", "DOCU_CHR_caseFLIP", "ITM_NULL", "DOCU_CHR_numSET", "ITM_NULL", "DOCU_ITM_RADIX", "ITM_PERIOD", AO519), ".lo", ),"MNU_", "-MNU_")</f>
        <v>-MNU_STK</v>
      </c>
      <c r="BA519" s="173" t="str" cm="1">
        <f t="array" ref="BA519">SUBSTITUTE(SUBSTITUTE(_xlfn.SWITCH(AP519, "ITM_T_HOME", "ITM_UP1", "ITM_T_END", "ITM_DOWN1", "DOCU_CHR_sub", "ITM_DOWN_ARROW", "DOCU_CHR_super", "ITM_UP_ARROW", "MNU_TAMALPHA", "ITM_alpha", "DOCU_CHR_caseFLIP", "ITM_NULL", "DOCU_CHR_numSET", "ITM_NULL", "DOCU_ITM_RADIX", "ITM_PERIOD", AP519), ".lo", ),"MNU_", "-MNU_")</f>
        <v>ITM_ex</v>
      </c>
      <c r="BB519" s="157" t="str" cm="1">
        <f t="array" ref="BB519">SUBSTITUTE(SUBSTITUTE(_xlfn.SWITCH(AQ519, "ITM_T_HOME", "ITM_UP1", "ITM_T_END", "ITM_DOWN1", "DOCU_CHR_sub", "ITM_DOWN_ARROW", "DOCU_CHR_super", "ITM_UP_ARROW", "MNU_TAMALPHA", "ITM_alpha", "DOCU_CHR_caseFLIP", "ITM_NULL", "DOCU_CHR_numSET", "ITM_NULL", "DOCU_ITM_RADIX", "ITM_PERIOD", AQ519), ".lo", ),"MNU_", "-MNU_")</f>
        <v>ITM_K</v>
      </c>
      <c r="BC519" s="157" t="str" cm="1">
        <f t="array" ref="BC519">SUBSTITUTE(SUBSTITUTE(_xlfn.SWITCH(AR519, "ITM_T_HOME", "ITM_UP1", "ITM_T_END", "ITM_DOWN1", "DOCU_CHR_sub", "ITM_DOWN_ARROW", "DOCU_CHR_super", "ITM_UP_ARROW", "MNU_TAMALPHA", "ITM_alpha", "DOCU_CHR_caseFLIP", "ITM_NULL", "DOCU_CHR_numSET", "ITM_NULL", "DOCU_ITM_RADIX", "ITM_PERIOD", AR519), ".lo", ),"MNU_", "-MNU_")</f>
        <v>ITM_k</v>
      </c>
      <c r="BD519" s="157" t="str" cm="1">
        <f t="array" ref="BD519">SUBSTITUTE(SUBSTITUTE(_xlfn.SWITCH(AS519, "ITM_T_HOME", "ITM_UP1", "ITM_T_END", "ITM_DOWN1", "DOCU_CHR_sub", "ITM_DOWN_ARROW", "DOCU_CHR_super", "ITM_UP_ARROW", "MNU_TAMALPHA", "ITM_alpha", "DOCU_CHR_caseFLIP", "ITM_NULL", "DOCU_CHR_numSET", "ITM_NULL", "DOCU_ITM_RADIX", "ITM_PERIOD", AS519), ".lo", ),"MNU_", "-MNU_")</f>
        <v>ITM_ex</v>
      </c>
      <c r="BE519" s="157" t="str" cm="1">
        <f t="array" ref="BE519">SUBSTITUTE(SUBSTITUTE(_xlfn.SWITCH(AT519, "ITM_T_HOME", "ITM_UP1", "ITM_T_END", "ITM_DOWN1", "DOCU_CHR_sub", "ITM_DOWN_ARROW", "DOCU_CHR_super", "ITM_UP_ARROW", "MNU_TAMALPHA", "ITM_alpha", "DOCU_CHR_caseFLIP", "ITM_NULL", "DOCU_CHR_numSET", "ITM_NULL", "DOCU_ITM_RADIX", "ITM_PERIOD", AT519), ".lo", ),"MNU_", "-MNU_")</f>
        <v>ITM_REG_K</v>
      </c>
      <c r="BG519" s="75"/>
      <c r="BI519" s="13" t="str">
        <f t="shared" si="223"/>
        <v xml:space="preserve">  {42,                  ITM_XexY,             ITM_LASTX,            -MNU_STK,             ITM_ex,               ITM_K,                ITM_k,                ITM_ex,               ITM_REG_K           },</v>
      </c>
    </row>
    <row r="520" spans="24:61" ht="21" x14ac:dyDescent="0.2">
      <c r="X520" s="141" t="str">
        <f t="shared" si="213"/>
        <v>R47fgbk</v>
      </c>
      <c r="Y520" s="142">
        <v>4</v>
      </c>
      <c r="Z520" s="142">
        <v>3</v>
      </c>
      <c r="AA520" s="144" t="str">
        <f t="shared" si="211"/>
        <v>R47fgbk.43</v>
      </c>
      <c r="AB520" s="148" t="str">
        <f t="shared" ref="AB520:AD520" si="248">AB428</f>
        <v>CHS</v>
      </c>
      <c r="AC520" s="149" t="str">
        <f t="shared" si="248"/>
        <v>[ DISP ]</v>
      </c>
      <c r="AD520" s="150" t="str">
        <f t="shared" si="248"/>
        <v>[ TRG_D47 ]</v>
      </c>
      <c r="AE520" s="3"/>
      <c r="AF520" s="52" t="str">
        <f t="shared" ref="AF520" si="249">AF428</f>
        <v>L</v>
      </c>
      <c r="AG520" s="77" t="b">
        <f t="shared" si="226"/>
        <v>1</v>
      </c>
      <c r="AH520" s="83" t="str">
        <f t="shared" si="215"/>
        <v>l</v>
      </c>
      <c r="AI520" s="84" t="str">
        <f t="shared" si="216"/>
        <v>+/-</v>
      </c>
      <c r="AJ520" s="85" t="str">
        <f t="shared" si="217"/>
        <v>Reg L</v>
      </c>
      <c r="AK520" s="6"/>
      <c r="AL520" s="8" t="str">
        <f t="shared" si="218"/>
        <v>{43</v>
      </c>
      <c r="AM520" s="27" t="str">
        <f t="shared" si="219"/>
        <v>ITM_CHS</v>
      </c>
      <c r="AN520" s="27" t="str">
        <f t="shared" si="220"/>
        <v>MNU_DISP</v>
      </c>
      <c r="AO520" s="27" t="str">
        <f t="shared" si="221"/>
        <v>MNU_TRG</v>
      </c>
      <c r="AP520" s="46" t="str">
        <f>IF(NOT(ISNA(MATCH(AM520,Lookups!E:E,))),VLOOKUP(AM520,Lookups!E:F,2,0),
IF(NOT(ISNA(MATCH(AN520,Lookups!E:E,))),VLOOKUP(AN520,Lookups!E:F,2,0),
IF(NOT(ISNA(MATCH(AO520,Lookups!E:E,))),VLOOKUP(AO520,Lookups!E:F,2,0),"ITM_NULL")))</f>
        <v>ITM_PLUS_MINUS</v>
      </c>
      <c r="AQ520" s="28" t="str">
        <f t="shared" si="222"/>
        <v>ITM_L</v>
      </c>
      <c r="AR520" s="195" t="s">
        <v>126</v>
      </c>
      <c r="AS520" s="186" t="s">
        <v>146</v>
      </c>
      <c r="AT520" s="255" t="s">
        <v>128</v>
      </c>
      <c r="AW520" s="14" t="str">
        <f t="shared" si="227"/>
        <v>{43</v>
      </c>
      <c r="AX520" s="157" t="str" cm="1">
        <f t="array" ref="AX520">SUBSTITUTE(SUBSTITUTE(_xlfn.SWITCH(AM520, "ITM_T_HOME", "ITM_UP1", "ITM_T_END", "ITM_DOWN1", "DOCU_CHR_sub", "ITM_DOWN_ARROW", "DOCU_CHR_super", "ITM_UP_ARROW", "MNU_TAMALPHA", "ITM_alpha", "DOCU_CHR_caseFLIP", "ITM_NULL", "DOCU_CHR_numSET", "ITM_NULL", "DOCU_ITM_RADIX", "ITM_PERIOD", AM520), ".lo", ),"MNU_", "-MNU_")</f>
        <v>ITM_CHS</v>
      </c>
      <c r="AY520" s="157" t="str" cm="1">
        <f t="array" ref="AY520">SUBSTITUTE(SUBSTITUTE(_xlfn.SWITCH(AN520, "ITM_T_HOME", "ITM_UP1", "ITM_T_END", "ITM_DOWN1", "DOCU_CHR_sub", "ITM_DOWN_ARROW", "DOCU_CHR_super", "ITM_UP_ARROW", "MNU_TAMALPHA", "ITM_alpha", "DOCU_CHR_caseFLIP", "ITM_NULL", "DOCU_CHR_numSET", "ITM_NULL", "DOCU_ITM_RADIX", "ITM_PERIOD", AN520), ".lo", ),"MNU_", "-MNU_")</f>
        <v>-MNU_DISP</v>
      </c>
      <c r="AZ520" s="157" t="str" cm="1">
        <f t="array" ref="AZ520">SUBSTITUTE(SUBSTITUTE(_xlfn.SWITCH(AO520, "ITM_T_HOME", "ITM_UP1", "ITM_T_END", "ITM_DOWN1", "DOCU_CHR_sub", "ITM_DOWN_ARROW", "DOCU_CHR_super", "ITM_UP_ARROW", "MNU_TAMALPHA", "ITM_alpha", "DOCU_CHR_caseFLIP", "ITM_NULL", "DOCU_CHR_numSET", "ITM_NULL", "DOCU_ITM_RADIX", "ITM_PERIOD", AO520), ".lo", ),"MNU_", "-MNU_")</f>
        <v>-MNU_TRG</v>
      </c>
      <c r="BA520" s="173" t="str" cm="1">
        <f t="array" ref="BA520">SUBSTITUTE(SUBSTITUTE(_xlfn.SWITCH(AP520, "ITM_T_HOME", "ITM_UP1", "ITM_T_END", "ITM_DOWN1", "DOCU_CHR_sub", "ITM_DOWN_ARROW", "DOCU_CHR_super", "ITM_UP_ARROW", "MNU_TAMALPHA", "ITM_alpha", "DOCU_CHR_caseFLIP", "ITM_NULL", "DOCU_CHR_numSET", "ITM_NULL", "DOCU_ITM_RADIX", "ITM_PERIOD", AP520), ".lo", ),"MNU_", "-MNU_")</f>
        <v>ITM_PLUS_MINUS</v>
      </c>
      <c r="BB520" s="157" t="str" cm="1">
        <f t="array" ref="BB520">SUBSTITUTE(SUBSTITUTE(_xlfn.SWITCH(AQ520, "ITM_T_HOME", "ITM_UP1", "ITM_T_END", "ITM_DOWN1", "DOCU_CHR_sub", "ITM_DOWN_ARROW", "DOCU_CHR_super", "ITM_UP_ARROW", "MNU_TAMALPHA", "ITM_alpha", "DOCU_CHR_caseFLIP", "ITM_NULL", "DOCU_CHR_numSET", "ITM_NULL", "DOCU_ITM_RADIX", "ITM_PERIOD", AQ520), ".lo", ),"MNU_", "-MNU_")</f>
        <v>ITM_L</v>
      </c>
      <c r="BC520" s="157" t="str" cm="1">
        <f t="array" ref="BC520">SUBSTITUTE(SUBSTITUTE(_xlfn.SWITCH(AR520, "ITM_T_HOME", "ITM_UP1", "ITM_T_END", "ITM_DOWN1", "DOCU_CHR_sub", "ITM_DOWN_ARROW", "DOCU_CHR_super", "ITM_UP_ARROW", "MNU_TAMALPHA", "ITM_alpha", "DOCU_CHR_caseFLIP", "ITM_NULL", "DOCU_CHR_numSET", "ITM_NULL", "DOCU_ITM_RADIX", "ITM_PERIOD", AR520), ".lo", ),"MNU_", "-MNU_")</f>
        <v>ITM_l</v>
      </c>
      <c r="BD520" s="157" t="str" cm="1">
        <f t="array" ref="BD520">SUBSTITUTE(SUBSTITUTE(_xlfn.SWITCH(AS520, "ITM_T_HOME", "ITM_UP1", "ITM_T_END", "ITM_DOWN1", "DOCU_CHR_sub", "ITM_DOWN_ARROW", "DOCU_CHR_super", "ITM_UP_ARROW", "MNU_TAMALPHA", "ITM_alpha", "DOCU_CHR_caseFLIP", "ITM_NULL", "DOCU_CHR_numSET", "ITM_NULL", "DOCU_ITM_RADIX", "ITM_PERIOD", AS520), ".lo", ),"MNU_", "-MNU_")</f>
        <v>ITM_PLUS_MINUS</v>
      </c>
      <c r="BE520" s="157" t="str" cm="1">
        <f t="array" ref="BE520">SUBSTITUTE(SUBSTITUTE(_xlfn.SWITCH(AT520, "ITM_T_HOME", "ITM_UP1", "ITM_T_END", "ITM_DOWN1", "DOCU_CHR_sub", "ITM_DOWN_ARROW", "DOCU_CHR_super", "ITM_UP_ARROW", "MNU_TAMALPHA", "ITM_alpha", "DOCU_CHR_caseFLIP", "ITM_NULL", "DOCU_CHR_numSET", "ITM_NULL", "DOCU_ITM_RADIX", "ITM_PERIOD", AT520), ".lo", ),"MNU_", "-MNU_")</f>
        <v>ITM_REG_L</v>
      </c>
      <c r="BG520" s="75"/>
      <c r="BI520" s="13" t="str">
        <f t="shared" si="223"/>
        <v xml:space="preserve">  {43,                  ITM_CHS,              -MNU_DISP,            -MNU_TRG,             ITM_PLUS_MINUS,       ITM_L,                ITM_l,                ITM_PLUS_MINUS,       ITM_REG_L           },</v>
      </c>
    </row>
    <row r="521" spans="24:61" ht="21" x14ac:dyDescent="0.2">
      <c r="X521" s="141" t="str">
        <f t="shared" si="213"/>
        <v>R47fgbk</v>
      </c>
      <c r="Y521" s="142">
        <v>4</v>
      </c>
      <c r="Z521" s="142">
        <v>4</v>
      </c>
      <c r="AA521" s="144" t="str">
        <f t="shared" si="211"/>
        <v>R47fgbk.44</v>
      </c>
      <c r="AB521" s="148" t="str">
        <f t="shared" ref="AB521:AD521" si="250">AB429</f>
        <v>EEX</v>
      </c>
      <c r="AC521" s="149" t="str">
        <f t="shared" si="250"/>
        <v>[ PFX ]</v>
      </c>
      <c r="AD521" s="150" t="str">
        <f t="shared" si="250"/>
        <v>[ EXP ]</v>
      </c>
      <c r="AE521" s="3"/>
      <c r="AF521" s="52" t="str">
        <f t="shared" ref="AF521" si="251">AF429</f>
        <v>M</v>
      </c>
      <c r="AG521" s="77" t="b">
        <f t="shared" si="226"/>
        <v>1</v>
      </c>
      <c r="AH521" s="83" t="str">
        <f t="shared" si="215"/>
        <v>m</v>
      </c>
      <c r="AI521" s="84" t="str">
        <f t="shared" si="216"/>
        <v>&lt;E&gt;</v>
      </c>
      <c r="AJ521" s="85" t="str">
        <f t="shared" si="217"/>
        <v>Reg M</v>
      </c>
      <c r="AK521" s="6"/>
      <c r="AL521" s="8" t="str">
        <f t="shared" si="218"/>
        <v>{44</v>
      </c>
      <c r="AM521" s="27" t="str">
        <f t="shared" si="219"/>
        <v>ITM_EXPONENT</v>
      </c>
      <c r="AN521" s="27" t="str">
        <f t="shared" si="220"/>
        <v>MNU_PREFIX</v>
      </c>
      <c r="AO521" s="27" t="str">
        <f t="shared" si="221"/>
        <v>MNU_EXP</v>
      </c>
      <c r="AP521" s="46" t="str">
        <f>IF(NOT(ISNA(MATCH(AM521,Lookups!E:E,))),VLOOKUP(AM521,Lookups!E:F,2,0),
IF(NOT(ISNA(MATCH(AN521,Lookups!E:E,))),VLOOKUP(AN521,Lookups!E:F,2,0),
IF(NOT(ISNA(MATCH(AO521,Lookups!E:E,))),VLOOKUP(AO521,Lookups!E:F,2,0),"ITM_NULL")))</f>
        <v>ITM_NULL</v>
      </c>
      <c r="AQ521" s="28" t="str">
        <f t="shared" si="222"/>
        <v>ITM_M</v>
      </c>
      <c r="AR521" s="195" t="s">
        <v>139</v>
      </c>
      <c r="AS521" s="186" t="s">
        <v>152</v>
      </c>
      <c r="AT521" s="255" t="s">
        <v>654</v>
      </c>
      <c r="AW521" s="14" t="str">
        <f t="shared" si="227"/>
        <v>{44</v>
      </c>
      <c r="AX521" s="157" t="str" cm="1">
        <f t="array" ref="AX521">SUBSTITUTE(SUBSTITUTE(_xlfn.SWITCH(AM521, "ITM_T_HOME", "ITM_UP1", "ITM_T_END", "ITM_DOWN1", "DOCU_CHR_sub", "ITM_DOWN_ARROW", "DOCU_CHR_super", "ITM_UP_ARROW", "MNU_TAMALPHA", "ITM_alpha", "DOCU_CHR_caseFLIP", "ITM_NULL", "DOCU_CHR_numSET", "ITM_NULL", "DOCU_ITM_RADIX", "ITM_PERIOD", AM521), ".lo", ),"MNU_", "-MNU_")</f>
        <v>ITM_EXPONENT</v>
      </c>
      <c r="AY521" s="157" t="str" cm="1">
        <f t="array" ref="AY521">SUBSTITUTE(SUBSTITUTE(_xlfn.SWITCH(AN521, "ITM_T_HOME", "ITM_UP1", "ITM_T_END", "ITM_DOWN1", "DOCU_CHR_sub", "ITM_DOWN_ARROW", "DOCU_CHR_super", "ITM_UP_ARROW", "MNU_TAMALPHA", "ITM_alpha", "DOCU_CHR_caseFLIP", "ITM_NULL", "DOCU_CHR_numSET", "ITM_NULL", "DOCU_ITM_RADIX", "ITM_PERIOD", AN521), ".lo", ),"MNU_", "-MNU_")</f>
        <v>-MNU_PREFIX</v>
      </c>
      <c r="AZ521" s="157" t="str" cm="1">
        <f t="array" ref="AZ521">SUBSTITUTE(SUBSTITUTE(_xlfn.SWITCH(AO521, "ITM_T_HOME", "ITM_UP1", "ITM_T_END", "ITM_DOWN1", "DOCU_CHR_sub", "ITM_DOWN_ARROW", "DOCU_CHR_super", "ITM_UP_ARROW", "MNU_TAMALPHA", "ITM_alpha", "DOCU_CHR_caseFLIP", "ITM_NULL", "DOCU_CHR_numSET", "ITM_NULL", "DOCU_ITM_RADIX", "ITM_PERIOD", AO521), ".lo", ),"MNU_", "-MNU_")</f>
        <v>-MNU_EXP</v>
      </c>
      <c r="BA521" s="173" t="str" cm="1">
        <f t="array" ref="BA521">SUBSTITUTE(SUBSTITUTE(_xlfn.SWITCH(AP521, "ITM_T_HOME", "ITM_UP1", "ITM_T_END", "ITM_DOWN1", "DOCU_CHR_sub", "ITM_DOWN_ARROW", "DOCU_CHR_super", "ITM_UP_ARROW", "MNU_TAMALPHA", "ITM_alpha", "DOCU_CHR_caseFLIP", "ITM_NULL", "DOCU_CHR_numSET", "ITM_NULL", "DOCU_ITM_RADIX", "ITM_PERIOD", AP521), ".lo", ),"MNU_", "-MNU_")</f>
        <v>ITM_NULL</v>
      </c>
      <c r="BB521" s="157" t="str" cm="1">
        <f t="array" ref="BB521">SUBSTITUTE(SUBSTITUTE(_xlfn.SWITCH(AQ521, "ITM_T_HOME", "ITM_UP1", "ITM_T_END", "ITM_DOWN1", "DOCU_CHR_sub", "ITM_DOWN_ARROW", "DOCU_CHR_super", "ITM_UP_ARROW", "MNU_TAMALPHA", "ITM_alpha", "DOCU_CHR_caseFLIP", "ITM_NULL", "DOCU_CHR_numSET", "ITM_NULL", "DOCU_ITM_RADIX", "ITM_PERIOD", AQ521), ".lo", ),"MNU_", "-MNU_")</f>
        <v>ITM_M</v>
      </c>
      <c r="BC521" s="157" t="str" cm="1">
        <f t="array" ref="BC521">SUBSTITUTE(SUBSTITUTE(_xlfn.SWITCH(AR521, "ITM_T_HOME", "ITM_UP1", "ITM_T_END", "ITM_DOWN1", "DOCU_CHR_sub", "ITM_DOWN_ARROW", "DOCU_CHR_super", "ITM_UP_ARROW", "MNU_TAMALPHA", "ITM_alpha", "DOCU_CHR_caseFLIP", "ITM_NULL", "DOCU_CHR_numSET", "ITM_NULL", "DOCU_ITM_RADIX", "ITM_PERIOD", AR521), ".lo", ),"MNU_", "-MNU_")</f>
        <v>ITM_m</v>
      </c>
      <c r="BD521" s="157" t="str" cm="1">
        <f t="array" ref="BD521">SUBSTITUTE(SUBSTITUTE(_xlfn.SWITCH(AS521, "ITM_T_HOME", "ITM_UP1", "ITM_T_END", "ITM_DOWN1", "DOCU_CHR_sub", "ITM_DOWN_ARROW", "DOCU_CHR_super", "ITM_UP_ARROW", "MNU_TAMALPHA", "ITM_alpha", "DOCU_CHR_caseFLIP", "ITM_NULL", "DOCU_CHR_numSET", "ITM_NULL", "DOCU_ITM_RADIX", "ITM_PERIOD", AS521), ".lo", ),"MNU_", "-MNU_")</f>
        <v>ITM_EEXCHR</v>
      </c>
      <c r="BE521" s="157" t="str" cm="1">
        <f t="array" ref="BE521">SUBSTITUTE(SUBSTITUTE(_xlfn.SWITCH(AT521, "ITM_T_HOME", "ITM_UP1", "ITM_T_END", "ITM_DOWN1", "DOCU_CHR_sub", "ITM_DOWN_ARROW", "DOCU_CHR_super", "ITM_UP_ARROW", "MNU_TAMALPHA", "ITM_alpha", "DOCU_CHR_caseFLIP", "ITM_NULL", "DOCU_CHR_numSET", "ITM_NULL", "DOCU_ITM_RADIX", "ITM_PERIOD", AT521), ".lo", ),"MNU_", "-MNU_")</f>
        <v>ITM_REG_M</v>
      </c>
      <c r="BG521" s="75"/>
      <c r="BI521" s="13" t="str">
        <f t="shared" si="223"/>
        <v xml:space="preserve">  {44,                  ITM_EXPONENT,         -MNU_PREFIX,          -MNU_EXP,             ITM_NULL,             ITM_M,                ITM_m,                ITM_EEXCHR,           ITM_REG_M           },</v>
      </c>
    </row>
    <row r="522" spans="24:61" ht="21" x14ac:dyDescent="0.2">
      <c r="X522" s="141" t="str">
        <f t="shared" si="213"/>
        <v>R47fgbk</v>
      </c>
      <c r="Y522" s="142">
        <v>4</v>
      </c>
      <c r="Z522" s="142">
        <v>5</v>
      </c>
      <c r="AA522" s="144" t="str">
        <f t="shared" si="211"/>
        <v>R47fgbk.45</v>
      </c>
      <c r="AB522" s="148" t="str">
        <f t="shared" ref="AB522:AD522" si="252">AB430</f>
        <v>&lt;=</v>
      </c>
      <c r="AC522" s="149" t="str">
        <f t="shared" si="252"/>
        <v>Undo</v>
      </c>
      <c r="AD522" s="150" t="str">
        <f t="shared" si="252"/>
        <v>[ CLR ]</v>
      </c>
      <c r="AE522" s="3"/>
      <c r="AF522" s="52" t="str">
        <f t="shared" ref="AF522" si="253">AF430</f>
        <v>&lt;=</v>
      </c>
      <c r="AG522" s="77" t="b">
        <f t="shared" si="226"/>
        <v>0</v>
      </c>
      <c r="AH522" s="83" t="str">
        <f t="shared" si="215"/>
        <v>CLA</v>
      </c>
      <c r="AI522" s="84" t="str">
        <f t="shared" si="216"/>
        <v>CLA</v>
      </c>
      <c r="AJ522" s="85" t="str">
        <f t="shared" si="217"/>
        <v>&lt;=</v>
      </c>
      <c r="AK522" s="6"/>
      <c r="AL522" s="8" t="str">
        <f t="shared" si="218"/>
        <v>{45</v>
      </c>
      <c r="AM522" s="27" t="str">
        <f t="shared" si="219"/>
        <v>ITM_BACKSPACE</v>
      </c>
      <c r="AN522" s="27" t="str">
        <f t="shared" si="220"/>
        <v>ITM_UNDO</v>
      </c>
      <c r="AO522" s="27" t="str">
        <f t="shared" si="221"/>
        <v>MNU_CLR</v>
      </c>
      <c r="AP522" s="46" t="str">
        <f>IF(NOT(ISNA(MATCH(AM522,Lookups!E:E,))),VLOOKUP(AM522,Lookups!E:F,2,0),
IF(NOT(ISNA(MATCH(AN522,Lookups!E:E,))),VLOOKUP(AN522,Lookups!E:F,2,0),
IF(NOT(ISNA(MATCH(AO522,Lookups!E:E,))),VLOOKUP(AO522,Lookups!E:F,2,0),"ITM_NULL")))</f>
        <v>ITM_BACKSPACE</v>
      </c>
      <c r="AQ522" s="28" t="str">
        <f t="shared" si="222"/>
        <v>ITM_BACKSPACE</v>
      </c>
      <c r="AR522" s="198" t="s">
        <v>157</v>
      </c>
      <c r="AS522" s="186" t="s">
        <v>157</v>
      </c>
      <c r="AT522" s="255" t="s">
        <v>158</v>
      </c>
      <c r="AW522" s="14" t="str">
        <f t="shared" si="227"/>
        <v>{45</v>
      </c>
      <c r="AX522" s="157" t="str" cm="1">
        <f t="array" ref="AX522">SUBSTITUTE(SUBSTITUTE(_xlfn.SWITCH(AM522, "ITM_T_HOME", "ITM_UP1", "ITM_T_END", "ITM_DOWN1", "DOCU_CHR_sub", "ITM_DOWN_ARROW", "DOCU_CHR_super", "ITM_UP_ARROW", "MNU_TAMALPHA", "ITM_alpha", "DOCU_CHR_caseFLIP", "ITM_NULL", "DOCU_CHR_numSET", "ITM_NULL", "DOCU_ITM_RADIX", "ITM_PERIOD", AM522), ".lo", ),"MNU_", "-MNU_")</f>
        <v>ITM_BACKSPACE</v>
      </c>
      <c r="AY522" s="157" t="str" cm="1">
        <f t="array" ref="AY522">SUBSTITUTE(SUBSTITUTE(_xlfn.SWITCH(AN522, "ITM_T_HOME", "ITM_UP1", "ITM_T_END", "ITM_DOWN1", "DOCU_CHR_sub", "ITM_DOWN_ARROW", "DOCU_CHR_super", "ITM_UP_ARROW", "MNU_TAMALPHA", "ITM_alpha", "DOCU_CHR_caseFLIP", "ITM_NULL", "DOCU_CHR_numSET", "ITM_NULL", "DOCU_ITM_RADIX", "ITM_PERIOD", AN522), ".lo", ),"MNU_", "-MNU_")</f>
        <v>ITM_UNDO</v>
      </c>
      <c r="AZ522" s="157" t="str" cm="1">
        <f t="array" ref="AZ522">SUBSTITUTE(SUBSTITUTE(_xlfn.SWITCH(AO522, "ITM_T_HOME", "ITM_UP1", "ITM_T_END", "ITM_DOWN1", "DOCU_CHR_sub", "ITM_DOWN_ARROW", "DOCU_CHR_super", "ITM_UP_ARROW", "MNU_TAMALPHA", "ITM_alpha", "DOCU_CHR_caseFLIP", "ITM_NULL", "DOCU_CHR_numSET", "ITM_NULL", "DOCU_ITM_RADIX", "ITM_PERIOD", AO522), ".lo", ),"MNU_", "-MNU_")</f>
        <v>-MNU_CLR</v>
      </c>
      <c r="BA522" s="173" t="str" cm="1">
        <f t="array" ref="BA522">SUBSTITUTE(SUBSTITUTE(_xlfn.SWITCH(AP522, "ITM_T_HOME", "ITM_UP1", "ITM_T_END", "ITM_DOWN1", "DOCU_CHR_sub", "ITM_DOWN_ARROW", "DOCU_CHR_super", "ITM_UP_ARROW", "MNU_TAMALPHA", "ITM_alpha", "DOCU_CHR_caseFLIP", "ITM_NULL", "DOCU_CHR_numSET", "ITM_NULL", "DOCU_ITM_RADIX", "ITM_PERIOD", AP522), ".lo", ),"MNU_", "-MNU_")</f>
        <v>ITM_BACKSPACE</v>
      </c>
      <c r="BB522" s="157" t="str" cm="1">
        <f t="array" ref="BB522">SUBSTITUTE(SUBSTITUTE(_xlfn.SWITCH(AQ522, "ITM_T_HOME", "ITM_UP1", "ITM_T_END", "ITM_DOWN1", "DOCU_CHR_sub", "ITM_DOWN_ARROW", "DOCU_CHR_super", "ITM_UP_ARROW", "MNU_TAMALPHA", "ITM_alpha", "DOCU_CHR_caseFLIP", "ITM_NULL", "DOCU_CHR_numSET", "ITM_NULL", "DOCU_ITM_RADIX", "ITM_PERIOD", AQ522), ".lo", ),"MNU_", "-MNU_")</f>
        <v>ITM_BACKSPACE</v>
      </c>
      <c r="BC522" s="157" t="str" cm="1">
        <f t="array" ref="BC522">SUBSTITUTE(SUBSTITUTE(_xlfn.SWITCH(AR522, "ITM_T_HOME", "ITM_UP1", "ITM_T_END", "ITM_DOWN1", "DOCU_CHR_sub", "ITM_DOWN_ARROW", "DOCU_CHR_super", "ITM_UP_ARROW", "MNU_TAMALPHA", "ITM_alpha", "DOCU_CHR_caseFLIP", "ITM_NULL", "DOCU_CHR_numSET", "ITM_NULL", "DOCU_ITM_RADIX", "ITM_PERIOD", AR522), ".lo", ),"MNU_", "-MNU_")</f>
        <v>ITM_CLA</v>
      </c>
      <c r="BD522" s="157" t="str" cm="1">
        <f t="array" ref="BD522">SUBSTITUTE(SUBSTITUTE(_xlfn.SWITCH(AS522, "ITM_T_HOME", "ITM_UP1", "ITM_T_END", "ITM_DOWN1", "DOCU_CHR_sub", "ITM_DOWN_ARROW", "DOCU_CHR_super", "ITM_UP_ARROW", "MNU_TAMALPHA", "ITM_alpha", "DOCU_CHR_caseFLIP", "ITM_NULL", "DOCU_CHR_numSET", "ITM_NULL", "DOCU_ITM_RADIX", "ITM_PERIOD", AS522), ".lo", ),"MNU_", "-MNU_")</f>
        <v>ITM_CLA</v>
      </c>
      <c r="BE522" s="157" t="str" cm="1">
        <f t="array" ref="BE522">SUBSTITUTE(SUBSTITUTE(_xlfn.SWITCH(AT522, "ITM_T_HOME", "ITM_UP1", "ITM_T_END", "ITM_DOWN1", "DOCU_CHR_sub", "ITM_DOWN_ARROW", "DOCU_CHR_super", "ITM_UP_ARROW", "MNU_TAMALPHA", "ITM_alpha", "DOCU_CHR_caseFLIP", "ITM_NULL", "DOCU_CHR_numSET", "ITM_NULL", "DOCU_ITM_RADIX", "ITM_PERIOD", AT522), ".lo", ),"MNU_", "-MNU_")</f>
        <v>ITM_BACKSPACE</v>
      </c>
      <c r="BG522" s="75"/>
      <c r="BI522" s="13" t="str">
        <f t="shared" si="223"/>
        <v xml:space="preserve">  {45,                  ITM_BACKSPACE,        ITM_UNDO,             -MNU_CLR,             ITM_BACKSPACE,        ITM_BACKSPACE,        ITM_CLA,              ITM_CLA,              ITM_BACKSPACE       },</v>
      </c>
    </row>
    <row r="523" spans="24:61" ht="21" x14ac:dyDescent="0.2">
      <c r="X523" s="141" t="str">
        <f t="shared" si="213"/>
        <v>R47fgbk</v>
      </c>
      <c r="Y523" s="138">
        <v>5</v>
      </c>
      <c r="Z523" s="138">
        <v>1</v>
      </c>
      <c r="AA523" s="144" t="str">
        <f t="shared" si="211"/>
        <v>R47fgbk.51</v>
      </c>
      <c r="AB523" s="148" t="str">
        <f t="shared" ref="AB523:AD523" si="254">AB431</f>
        <v>XEQ</v>
      </c>
      <c r="AC523" s="118" t="str">
        <f t="shared" si="254"/>
        <v>[ alpha ]</v>
      </c>
      <c r="AD523" s="150" t="str">
        <f t="shared" si="254"/>
        <v>GTO</v>
      </c>
      <c r="AE523" s="3"/>
      <c r="AF523" s="49" t="str">
        <f t="shared" ref="AF523" si="255">AF431</f>
        <v>_</v>
      </c>
      <c r="AG523" s="77" t="b">
        <f t="shared" si="226"/>
        <v>0</v>
      </c>
      <c r="AH523" s="83" t="str">
        <f t="shared" si="215"/>
        <v>alpha</v>
      </c>
      <c r="AI523" s="84" t="str">
        <f t="shared" si="216"/>
        <v>Sigma</v>
      </c>
      <c r="AJ523" s="85" t="str">
        <f t="shared" si="217"/>
        <v>[TAMALPHA]</v>
      </c>
      <c r="AK523" s="6"/>
      <c r="AL523" s="8" t="str">
        <f t="shared" si="218"/>
        <v>{51</v>
      </c>
      <c r="AM523" s="27" t="str">
        <f t="shared" si="219"/>
        <v>ITM_XEQ</v>
      </c>
      <c r="AN523" s="27" t="str">
        <f t="shared" si="220"/>
        <v>ITM_AIM</v>
      </c>
      <c r="AO523" s="27" t="str">
        <f t="shared" si="221"/>
        <v>ITM_GTO</v>
      </c>
      <c r="AP523" s="46" t="str">
        <f>IF(NOT(ISNA(MATCH(AM523,Lookups!E:E,))),VLOOKUP(AM523,Lookups!E:F,2,0),
IF(NOT(ISNA(MATCH(AN523,Lookups!E:E,))),VLOOKUP(AN523,Lookups!E:F,2,0),
IF(NOT(ISNA(MATCH(AO523,Lookups!E:E,))),VLOOKUP(AO523,Lookups!E:F,2,0),"ITM_NULL")))</f>
        <v>ITM_NULL</v>
      </c>
      <c r="AQ523" s="28" t="str">
        <f t="shared" si="222"/>
        <v>ITM_UNDERSCORE</v>
      </c>
      <c r="AR523" s="219" t="s">
        <v>87</v>
      </c>
      <c r="AS523" s="220" t="s">
        <v>52</v>
      </c>
      <c r="AT523" s="255" t="s">
        <v>622</v>
      </c>
      <c r="AW523" s="14" t="str">
        <f t="shared" si="227"/>
        <v>{51</v>
      </c>
      <c r="AX523" s="157" t="str" cm="1">
        <f t="array" ref="AX523">SUBSTITUTE(SUBSTITUTE(_xlfn.SWITCH(AM523, "ITM_T_HOME", "ITM_UP1", "ITM_T_END", "ITM_DOWN1", "DOCU_CHR_sub", "ITM_DOWN_ARROW", "DOCU_CHR_super", "ITM_UP_ARROW", "MNU_TAMALPHA", "ITM_alpha", "DOCU_CHR_caseFLIP", "ITM_NULL", "DOCU_CHR_numSET", "ITM_NULL", "DOCU_ITM_RADIX", "ITM_PERIOD", AM523), ".lo", ),"MNU_", "-MNU_")</f>
        <v>ITM_XEQ</v>
      </c>
      <c r="AY523" s="157" t="str" cm="1">
        <f t="array" ref="AY523">SUBSTITUTE(SUBSTITUTE(_xlfn.SWITCH(AN523, "ITM_T_HOME", "ITM_UP1", "ITM_T_END", "ITM_DOWN1", "DOCU_CHR_sub", "ITM_DOWN_ARROW", "DOCU_CHR_super", "ITM_UP_ARROW", "MNU_TAMALPHA", "ITM_alpha", "DOCU_CHR_caseFLIP", "ITM_NULL", "DOCU_CHR_numSET", "ITM_NULL", "DOCU_ITM_RADIX", "ITM_PERIOD", AN523), ".lo", ),"MNU_", "-MNU_")</f>
        <v>ITM_AIM</v>
      </c>
      <c r="AZ523" s="157" t="str" cm="1">
        <f t="array" ref="AZ523">SUBSTITUTE(SUBSTITUTE(_xlfn.SWITCH(AO523, "ITM_T_HOME", "ITM_UP1", "ITM_T_END", "ITM_DOWN1", "DOCU_CHR_sub", "ITM_DOWN_ARROW", "DOCU_CHR_super", "ITM_UP_ARROW", "MNU_TAMALPHA", "ITM_alpha", "DOCU_CHR_caseFLIP", "ITM_NULL", "DOCU_CHR_numSET", "ITM_NULL", "DOCU_ITM_RADIX", "ITM_PERIOD", AO523), ".lo", ),"MNU_", "-MNU_")</f>
        <v>ITM_GTO</v>
      </c>
      <c r="BA523" s="173" t="str" cm="1">
        <f t="array" ref="BA523">SUBSTITUTE(SUBSTITUTE(_xlfn.SWITCH(AP523, "ITM_T_HOME", "ITM_UP1", "ITM_T_END", "ITM_DOWN1", "DOCU_CHR_sub", "ITM_DOWN_ARROW", "DOCU_CHR_super", "ITM_UP_ARROW", "MNU_TAMALPHA", "ITM_alpha", "DOCU_CHR_caseFLIP", "ITM_NULL", "DOCU_CHR_numSET", "ITM_NULL", "DOCU_ITM_RADIX", "ITM_PERIOD", AP523), ".lo", ),"MNU_", "-MNU_")</f>
        <v>ITM_NULL</v>
      </c>
      <c r="BB523" s="157" t="str" cm="1">
        <f t="array" ref="BB523">SUBSTITUTE(SUBSTITUTE(_xlfn.SWITCH(AQ523, "ITM_T_HOME", "ITM_UP1", "ITM_T_END", "ITM_DOWN1", "DOCU_CHR_sub", "ITM_DOWN_ARROW", "DOCU_CHR_super", "ITM_UP_ARROW", "MNU_TAMALPHA", "ITM_alpha", "DOCU_CHR_caseFLIP", "ITM_NULL", "DOCU_CHR_numSET", "ITM_NULL", "DOCU_ITM_RADIX", "ITM_PERIOD", AQ523), ".lo", ),"MNU_", "-MNU_")</f>
        <v>ITM_UNDERSCORE</v>
      </c>
      <c r="BC523" s="157" t="str" cm="1">
        <f t="array" ref="BC523">SUBSTITUTE(SUBSTITUTE(_xlfn.SWITCH(AR523, "ITM_T_HOME", "ITM_UP1", "ITM_T_END", "ITM_DOWN1", "DOCU_CHR_sub", "ITM_DOWN_ARROW", "DOCU_CHR_super", "ITM_UP_ARROW", "MNU_TAMALPHA", "ITM_alpha", "DOCU_CHR_caseFLIP", "ITM_NULL", "DOCU_CHR_numSET", "ITM_NULL", "DOCU_ITM_RADIX", "ITM_PERIOD", AR523), ".lo", ),"MNU_", "-MNU_")</f>
        <v>ITM_alpha</v>
      </c>
      <c r="BD523" s="157" t="str" cm="1">
        <f t="array" ref="BD523">SUBSTITUTE(SUBSTITUTE(_xlfn.SWITCH(AS523, "ITM_T_HOME", "ITM_UP1", "ITM_T_END", "ITM_DOWN1", "DOCU_CHR_sub", "ITM_DOWN_ARROW", "DOCU_CHR_super", "ITM_UP_ARROW", "MNU_TAMALPHA", "ITM_alpha", "DOCU_CHR_caseFLIP", "ITM_NULL", "DOCU_CHR_numSET", "ITM_NULL", "DOCU_ITM_RADIX", "ITM_PERIOD", AS523), ".lo", ),"MNU_", "-MNU_")</f>
        <v>ITM_SIGMA</v>
      </c>
      <c r="BE523" s="157" t="str" cm="1">
        <f t="array" ref="BE523">SUBSTITUTE(SUBSTITUTE(_xlfn.SWITCH(AT523, "ITM_T_HOME", "ITM_UP1", "ITM_T_END", "ITM_DOWN1", "DOCU_CHR_sub", "ITM_DOWN_ARROW", "DOCU_CHR_super", "ITM_UP_ARROW", "MNU_TAMALPHA", "ITM_alpha", "DOCU_CHR_caseFLIP", "ITM_NULL", "DOCU_CHR_numSET", "ITM_NULL", "DOCU_ITM_RADIX", "ITM_PERIOD", AT523), ".lo", ),"MNU_", "-MNU_")</f>
        <v>ITM_alpha</v>
      </c>
      <c r="BG523" s="75"/>
      <c r="BI523" s="13" t="str">
        <f t="shared" si="223"/>
        <v xml:space="preserve">  {51,                  ITM_XEQ,              ITM_AIM,              ITM_GTO,              ITM_NULL,             ITM_UNDERSCORE,       ITM_alpha,            ITM_SIGMA,            ITM_alpha           },</v>
      </c>
    </row>
    <row r="524" spans="24:61" ht="21" x14ac:dyDescent="0.2">
      <c r="X524" s="141" t="str">
        <f t="shared" si="213"/>
        <v>R47fgbk</v>
      </c>
      <c r="Y524" s="142">
        <v>5</v>
      </c>
      <c r="Z524" s="142">
        <v>2</v>
      </c>
      <c r="AA524" s="144" t="str">
        <f t="shared" si="211"/>
        <v>R47fgbk.52</v>
      </c>
      <c r="AB524" s="148">
        <f t="shared" ref="AB524:AD524" si="256">AB432</f>
        <v>7</v>
      </c>
      <c r="AC524" s="149" t="str">
        <f t="shared" si="256"/>
        <v>SIN</v>
      </c>
      <c r="AD524" s="150" t="str">
        <f t="shared" si="256"/>
        <v>ASIN</v>
      </c>
      <c r="AE524" s="3"/>
      <c r="AF524" s="52" t="str">
        <f t="shared" ref="AF524" si="257">AF432</f>
        <v>N</v>
      </c>
      <c r="AG524" s="77" t="b">
        <f t="shared" si="226"/>
        <v>1</v>
      </c>
      <c r="AH524" s="83" t="str">
        <f t="shared" si="215"/>
        <v>n</v>
      </c>
      <c r="AI524" s="84">
        <f t="shared" si="216"/>
        <v>7</v>
      </c>
      <c r="AJ524" s="85">
        <f t="shared" si="217"/>
        <v>7</v>
      </c>
      <c r="AK524" s="6"/>
      <c r="AL524" s="8" t="str">
        <f t="shared" si="218"/>
        <v>{52</v>
      </c>
      <c r="AM524" s="27" t="str">
        <f t="shared" si="219"/>
        <v>ITM_7</v>
      </c>
      <c r="AN524" s="27" t="str">
        <f t="shared" si="220"/>
        <v>ITM_sin</v>
      </c>
      <c r="AO524" s="27" t="str">
        <f t="shared" si="221"/>
        <v>ITM_arcsin</v>
      </c>
      <c r="AP524" s="46" t="str">
        <f>IF(NOT(ISNA(MATCH(AM524,Lookups!E:E,))),VLOOKUP(AM524,Lookups!E:F,2,0),
IF(NOT(ISNA(MATCH(AN524,Lookups!E:E,))),VLOOKUP(AN524,Lookups!E:F,2,0),
IF(NOT(ISNA(MATCH(AO524,Lookups!E:E,))),VLOOKUP(AO524,Lookups!E:F,2,0),"ITM_NULL")))</f>
        <v>ITM_7</v>
      </c>
      <c r="AQ524" s="28" t="str">
        <f t="shared" si="222"/>
        <v>ITM_N</v>
      </c>
      <c r="AR524" s="195" t="s">
        <v>145</v>
      </c>
      <c r="AS524" s="186" t="s">
        <v>170</v>
      </c>
      <c r="AT524" s="197" t="s">
        <v>170</v>
      </c>
      <c r="AW524" s="14" t="str">
        <f t="shared" si="227"/>
        <v>{52</v>
      </c>
      <c r="AX524" s="157" t="str" cm="1">
        <f t="array" ref="AX524">SUBSTITUTE(SUBSTITUTE(_xlfn.SWITCH(AM524, "ITM_T_HOME", "ITM_UP1", "ITM_T_END", "ITM_DOWN1", "DOCU_CHR_sub", "ITM_DOWN_ARROW", "DOCU_CHR_super", "ITM_UP_ARROW", "MNU_TAMALPHA", "ITM_alpha", "DOCU_CHR_caseFLIP", "ITM_NULL", "DOCU_CHR_numSET", "ITM_NULL", "DOCU_ITM_RADIX", "ITM_PERIOD", AM524), ".lo", ),"MNU_", "-MNU_")</f>
        <v>ITM_7</v>
      </c>
      <c r="AY524" s="157" t="str" cm="1">
        <f t="array" ref="AY524">SUBSTITUTE(SUBSTITUTE(_xlfn.SWITCH(AN524, "ITM_T_HOME", "ITM_UP1", "ITM_T_END", "ITM_DOWN1", "DOCU_CHR_sub", "ITM_DOWN_ARROW", "DOCU_CHR_super", "ITM_UP_ARROW", "MNU_TAMALPHA", "ITM_alpha", "DOCU_CHR_caseFLIP", "ITM_NULL", "DOCU_CHR_numSET", "ITM_NULL", "DOCU_ITM_RADIX", "ITM_PERIOD", AN524), ".lo", ),"MNU_", "-MNU_")</f>
        <v>ITM_sin</v>
      </c>
      <c r="AZ524" s="157" t="str" cm="1">
        <f t="array" ref="AZ524">SUBSTITUTE(SUBSTITUTE(_xlfn.SWITCH(AO524, "ITM_T_HOME", "ITM_UP1", "ITM_T_END", "ITM_DOWN1", "DOCU_CHR_sub", "ITM_DOWN_ARROW", "DOCU_CHR_super", "ITM_UP_ARROW", "MNU_TAMALPHA", "ITM_alpha", "DOCU_CHR_caseFLIP", "ITM_NULL", "DOCU_CHR_numSET", "ITM_NULL", "DOCU_ITM_RADIX", "ITM_PERIOD", AO524), ".lo", ),"MNU_", "-MNU_")</f>
        <v>ITM_arcsin</v>
      </c>
      <c r="BA524" s="173" t="str" cm="1">
        <f t="array" ref="BA524">SUBSTITUTE(SUBSTITUTE(_xlfn.SWITCH(AP524, "ITM_T_HOME", "ITM_UP1", "ITM_T_END", "ITM_DOWN1", "DOCU_CHR_sub", "ITM_DOWN_ARROW", "DOCU_CHR_super", "ITM_UP_ARROW", "MNU_TAMALPHA", "ITM_alpha", "DOCU_CHR_caseFLIP", "ITM_NULL", "DOCU_CHR_numSET", "ITM_NULL", "DOCU_ITM_RADIX", "ITM_PERIOD", AP524), ".lo", ),"MNU_", "-MNU_")</f>
        <v>ITM_7</v>
      </c>
      <c r="BB524" s="157" t="str" cm="1">
        <f t="array" ref="BB524">SUBSTITUTE(SUBSTITUTE(_xlfn.SWITCH(AQ524, "ITM_T_HOME", "ITM_UP1", "ITM_T_END", "ITM_DOWN1", "DOCU_CHR_sub", "ITM_DOWN_ARROW", "DOCU_CHR_super", "ITM_UP_ARROW", "MNU_TAMALPHA", "ITM_alpha", "DOCU_CHR_caseFLIP", "ITM_NULL", "DOCU_CHR_numSET", "ITM_NULL", "DOCU_ITM_RADIX", "ITM_PERIOD", AQ524), ".lo", ),"MNU_", "-MNU_")</f>
        <v>ITM_N</v>
      </c>
      <c r="BC524" s="157" t="str" cm="1">
        <f t="array" ref="BC524">SUBSTITUTE(SUBSTITUTE(_xlfn.SWITCH(AR524, "ITM_T_HOME", "ITM_UP1", "ITM_T_END", "ITM_DOWN1", "DOCU_CHR_sub", "ITM_DOWN_ARROW", "DOCU_CHR_super", "ITM_UP_ARROW", "MNU_TAMALPHA", "ITM_alpha", "DOCU_CHR_caseFLIP", "ITM_NULL", "DOCU_CHR_numSET", "ITM_NULL", "DOCU_ITM_RADIX", "ITM_PERIOD", AR524), ".lo", ),"MNU_", "-MNU_")</f>
        <v>ITM_n</v>
      </c>
      <c r="BD524" s="157" t="str" cm="1">
        <f t="array" ref="BD524">SUBSTITUTE(SUBSTITUTE(_xlfn.SWITCH(AS524, "ITM_T_HOME", "ITM_UP1", "ITM_T_END", "ITM_DOWN1", "DOCU_CHR_sub", "ITM_DOWN_ARROW", "DOCU_CHR_super", "ITM_UP_ARROW", "MNU_TAMALPHA", "ITM_alpha", "DOCU_CHR_caseFLIP", "ITM_NULL", "DOCU_CHR_numSET", "ITM_NULL", "DOCU_ITM_RADIX", "ITM_PERIOD", AS524), ".lo", ),"MNU_", "-MNU_")</f>
        <v>ITM_7</v>
      </c>
      <c r="BE524" s="157" t="str" cm="1">
        <f t="array" ref="BE524">SUBSTITUTE(SUBSTITUTE(_xlfn.SWITCH(AT524, "ITM_T_HOME", "ITM_UP1", "ITM_T_END", "ITM_DOWN1", "DOCU_CHR_sub", "ITM_DOWN_ARROW", "DOCU_CHR_super", "ITM_UP_ARROW", "MNU_TAMALPHA", "ITM_alpha", "DOCU_CHR_caseFLIP", "ITM_NULL", "DOCU_CHR_numSET", "ITM_NULL", "DOCU_ITM_RADIX", "ITM_PERIOD", AT524), ".lo", ),"MNU_", "-MNU_")</f>
        <v>ITM_7</v>
      </c>
      <c r="BG524" s="75"/>
      <c r="BI524" s="13" t="str">
        <f t="shared" si="223"/>
        <v xml:space="preserve">  {52,                  ITM_7,                ITM_sin,              ITM_arcsin,           ITM_7,                ITM_N,                ITM_n,                ITM_7,                ITM_7               },</v>
      </c>
    </row>
    <row r="525" spans="24:61" ht="21" x14ac:dyDescent="0.2">
      <c r="X525" s="141" t="str">
        <f t="shared" si="213"/>
        <v>R47fgbk</v>
      </c>
      <c r="Y525" s="142">
        <v>5</v>
      </c>
      <c r="Z525" s="142">
        <v>3</v>
      </c>
      <c r="AA525" s="144" t="str">
        <f t="shared" si="211"/>
        <v>R47fgbk.53</v>
      </c>
      <c r="AB525" s="148">
        <f t="shared" ref="AB525:AD525" si="258">AB433</f>
        <v>8</v>
      </c>
      <c r="AC525" s="152" t="str">
        <f t="shared" si="258"/>
        <v>COS</v>
      </c>
      <c r="AD525" s="150" t="str">
        <f t="shared" si="258"/>
        <v>ACOS</v>
      </c>
      <c r="AE525" s="3"/>
      <c r="AF525" s="52" t="str">
        <f t="shared" ref="AF525" si="259">AF433</f>
        <v>O</v>
      </c>
      <c r="AG525" s="77" t="b">
        <f t="shared" si="226"/>
        <v>1</v>
      </c>
      <c r="AH525" s="83" t="str">
        <f t="shared" si="215"/>
        <v>o</v>
      </c>
      <c r="AI525" s="84">
        <f t="shared" si="216"/>
        <v>8</v>
      </c>
      <c r="AJ525" s="85">
        <f t="shared" si="217"/>
        <v>8</v>
      </c>
      <c r="AK525" s="6"/>
      <c r="AL525" s="8" t="str">
        <f t="shared" si="218"/>
        <v>{53</v>
      </c>
      <c r="AM525" s="27" t="str">
        <f t="shared" si="219"/>
        <v>ITM_8</v>
      </c>
      <c r="AN525" s="27" t="str">
        <f t="shared" si="220"/>
        <v>ITM_cos</v>
      </c>
      <c r="AO525" s="27" t="str">
        <f t="shared" si="221"/>
        <v>ITM_arccos</v>
      </c>
      <c r="AP525" s="46" t="str">
        <f>IF(NOT(ISNA(MATCH(AM525,Lookups!E:E,))),VLOOKUP(AM525,Lookups!E:F,2,0),
IF(NOT(ISNA(MATCH(AN525,Lookups!E:E,))),VLOOKUP(AN525,Lookups!E:F,2,0),
IF(NOT(ISNA(MATCH(AO525,Lookups!E:E,))),VLOOKUP(AO525,Lookups!E:F,2,0),"ITM_NULL")))</f>
        <v>ITM_8</v>
      </c>
      <c r="AQ525" s="28" t="str">
        <f t="shared" si="222"/>
        <v>ITM_O</v>
      </c>
      <c r="AR525" s="195" t="s">
        <v>151</v>
      </c>
      <c r="AS525" s="186" t="s">
        <v>175</v>
      </c>
      <c r="AT525" s="197" t="s">
        <v>175</v>
      </c>
      <c r="AW525" s="14" t="str">
        <f t="shared" si="227"/>
        <v>{53</v>
      </c>
      <c r="AX525" s="157" t="str" cm="1">
        <f t="array" ref="AX525">SUBSTITUTE(SUBSTITUTE(_xlfn.SWITCH(AM525, "ITM_T_HOME", "ITM_UP1", "ITM_T_END", "ITM_DOWN1", "DOCU_CHR_sub", "ITM_DOWN_ARROW", "DOCU_CHR_super", "ITM_UP_ARROW", "MNU_TAMALPHA", "ITM_alpha", "DOCU_CHR_caseFLIP", "ITM_NULL", "DOCU_CHR_numSET", "ITM_NULL", "DOCU_ITM_RADIX", "ITM_PERIOD", AM525), ".lo", ),"MNU_", "-MNU_")</f>
        <v>ITM_8</v>
      </c>
      <c r="AY525" s="157" t="str" cm="1">
        <f t="array" ref="AY525">SUBSTITUTE(SUBSTITUTE(_xlfn.SWITCH(AN525, "ITM_T_HOME", "ITM_UP1", "ITM_T_END", "ITM_DOWN1", "DOCU_CHR_sub", "ITM_DOWN_ARROW", "DOCU_CHR_super", "ITM_UP_ARROW", "MNU_TAMALPHA", "ITM_alpha", "DOCU_CHR_caseFLIP", "ITM_NULL", "DOCU_CHR_numSET", "ITM_NULL", "DOCU_ITM_RADIX", "ITM_PERIOD", AN525), ".lo", ),"MNU_", "-MNU_")</f>
        <v>ITM_cos</v>
      </c>
      <c r="AZ525" s="157" t="str" cm="1">
        <f t="array" ref="AZ525">SUBSTITUTE(SUBSTITUTE(_xlfn.SWITCH(AO525, "ITM_T_HOME", "ITM_UP1", "ITM_T_END", "ITM_DOWN1", "DOCU_CHR_sub", "ITM_DOWN_ARROW", "DOCU_CHR_super", "ITM_UP_ARROW", "MNU_TAMALPHA", "ITM_alpha", "DOCU_CHR_caseFLIP", "ITM_NULL", "DOCU_CHR_numSET", "ITM_NULL", "DOCU_ITM_RADIX", "ITM_PERIOD", AO525), ".lo", ),"MNU_", "-MNU_")</f>
        <v>ITM_arccos</v>
      </c>
      <c r="BA525" s="173" t="str" cm="1">
        <f t="array" ref="BA525">SUBSTITUTE(SUBSTITUTE(_xlfn.SWITCH(AP525, "ITM_T_HOME", "ITM_UP1", "ITM_T_END", "ITM_DOWN1", "DOCU_CHR_sub", "ITM_DOWN_ARROW", "DOCU_CHR_super", "ITM_UP_ARROW", "MNU_TAMALPHA", "ITM_alpha", "DOCU_CHR_caseFLIP", "ITM_NULL", "DOCU_CHR_numSET", "ITM_NULL", "DOCU_ITM_RADIX", "ITM_PERIOD", AP525), ".lo", ),"MNU_", "-MNU_")</f>
        <v>ITM_8</v>
      </c>
      <c r="BB525" s="157" t="str" cm="1">
        <f t="array" ref="BB525">SUBSTITUTE(SUBSTITUTE(_xlfn.SWITCH(AQ525, "ITM_T_HOME", "ITM_UP1", "ITM_T_END", "ITM_DOWN1", "DOCU_CHR_sub", "ITM_DOWN_ARROW", "DOCU_CHR_super", "ITM_UP_ARROW", "MNU_TAMALPHA", "ITM_alpha", "DOCU_CHR_caseFLIP", "ITM_NULL", "DOCU_CHR_numSET", "ITM_NULL", "DOCU_ITM_RADIX", "ITM_PERIOD", AQ525), ".lo", ),"MNU_", "-MNU_")</f>
        <v>ITM_O</v>
      </c>
      <c r="BC525" s="157" t="str" cm="1">
        <f t="array" ref="BC525">SUBSTITUTE(SUBSTITUTE(_xlfn.SWITCH(AR525, "ITM_T_HOME", "ITM_UP1", "ITM_T_END", "ITM_DOWN1", "DOCU_CHR_sub", "ITM_DOWN_ARROW", "DOCU_CHR_super", "ITM_UP_ARROW", "MNU_TAMALPHA", "ITM_alpha", "DOCU_CHR_caseFLIP", "ITM_NULL", "DOCU_CHR_numSET", "ITM_NULL", "DOCU_ITM_RADIX", "ITM_PERIOD", AR525), ".lo", ),"MNU_", "-MNU_")</f>
        <v>ITM_o</v>
      </c>
      <c r="BD525" s="157" t="str" cm="1">
        <f t="array" ref="BD525">SUBSTITUTE(SUBSTITUTE(_xlfn.SWITCH(AS525, "ITM_T_HOME", "ITM_UP1", "ITM_T_END", "ITM_DOWN1", "DOCU_CHR_sub", "ITM_DOWN_ARROW", "DOCU_CHR_super", "ITM_UP_ARROW", "MNU_TAMALPHA", "ITM_alpha", "DOCU_CHR_caseFLIP", "ITM_NULL", "DOCU_CHR_numSET", "ITM_NULL", "DOCU_ITM_RADIX", "ITM_PERIOD", AS525), ".lo", ),"MNU_", "-MNU_")</f>
        <v>ITM_8</v>
      </c>
      <c r="BE525" s="157" t="str" cm="1">
        <f t="array" ref="BE525">SUBSTITUTE(SUBSTITUTE(_xlfn.SWITCH(AT525, "ITM_T_HOME", "ITM_UP1", "ITM_T_END", "ITM_DOWN1", "DOCU_CHR_sub", "ITM_DOWN_ARROW", "DOCU_CHR_super", "ITM_UP_ARROW", "MNU_TAMALPHA", "ITM_alpha", "DOCU_CHR_caseFLIP", "ITM_NULL", "DOCU_CHR_numSET", "ITM_NULL", "DOCU_ITM_RADIX", "ITM_PERIOD", AT525), ".lo", ),"MNU_", "-MNU_")</f>
        <v>ITM_8</v>
      </c>
      <c r="BG525" s="75"/>
      <c r="BI525" s="13" t="str">
        <f t="shared" si="223"/>
        <v xml:space="preserve">  {53,                  ITM_8,                ITM_cos,              ITM_arccos,           ITM_8,                ITM_O,                ITM_o,                ITM_8,                ITM_8               },</v>
      </c>
    </row>
    <row r="526" spans="24:61" ht="21" x14ac:dyDescent="0.2">
      <c r="X526" s="141" t="str">
        <f t="shared" si="213"/>
        <v>R47fgbk</v>
      </c>
      <c r="Y526" s="142">
        <v>5</v>
      </c>
      <c r="Z526" s="142">
        <v>4</v>
      </c>
      <c r="AA526" s="144" t="str">
        <f t="shared" si="211"/>
        <v>R47fgbk.54</v>
      </c>
      <c r="AB526" s="148">
        <f t="shared" ref="AB526:AD526" si="260">AB434</f>
        <v>9</v>
      </c>
      <c r="AC526" s="149" t="str">
        <f t="shared" si="260"/>
        <v>TAN</v>
      </c>
      <c r="AD526" s="150" t="str">
        <f t="shared" si="260"/>
        <v>ATAN</v>
      </c>
      <c r="AE526" s="3"/>
      <c r="AF526" s="52" t="str">
        <f t="shared" ref="AF526" si="261">AF434</f>
        <v>P</v>
      </c>
      <c r="AG526" s="77" t="b">
        <f t="shared" si="226"/>
        <v>1</v>
      </c>
      <c r="AH526" s="83" t="str">
        <f t="shared" si="215"/>
        <v>p</v>
      </c>
      <c r="AI526" s="84">
        <f t="shared" si="216"/>
        <v>9</v>
      </c>
      <c r="AJ526" s="85">
        <f t="shared" si="217"/>
        <v>9</v>
      </c>
      <c r="AK526" s="6"/>
      <c r="AL526" s="8" t="str">
        <f t="shared" si="218"/>
        <v>{54</v>
      </c>
      <c r="AM526" s="27" t="str">
        <f t="shared" si="219"/>
        <v>ITM_9</v>
      </c>
      <c r="AN526" s="27" t="str">
        <f t="shared" si="220"/>
        <v>ITM_tan</v>
      </c>
      <c r="AO526" s="27" t="str">
        <f t="shared" si="221"/>
        <v>ITM_arctan</v>
      </c>
      <c r="AP526" s="46" t="str">
        <f>IF(NOT(ISNA(MATCH(AM526,Lookups!E:E,))),VLOOKUP(AM526,Lookups!E:F,2,0),
IF(NOT(ISNA(MATCH(AN526,Lookups!E:E,))),VLOOKUP(AN526,Lookups!E:F,2,0),
IF(NOT(ISNA(MATCH(AO526,Lookups!E:E,))),VLOOKUP(AO526,Lookups!E:F,2,0),"ITM_NULL")))</f>
        <v>ITM_9</v>
      </c>
      <c r="AQ526" s="28" t="str">
        <f t="shared" si="222"/>
        <v>ITM_P</v>
      </c>
      <c r="AR526" s="195" t="s">
        <v>169</v>
      </c>
      <c r="AS526" s="186" t="s">
        <v>180</v>
      </c>
      <c r="AT526" s="197" t="s">
        <v>180</v>
      </c>
      <c r="AW526" s="14" t="str">
        <f t="shared" si="227"/>
        <v>{54</v>
      </c>
      <c r="AX526" s="157" t="str" cm="1">
        <f t="array" ref="AX526">SUBSTITUTE(SUBSTITUTE(_xlfn.SWITCH(AM526, "ITM_T_HOME", "ITM_UP1", "ITM_T_END", "ITM_DOWN1", "DOCU_CHR_sub", "ITM_DOWN_ARROW", "DOCU_CHR_super", "ITM_UP_ARROW", "MNU_TAMALPHA", "ITM_alpha", "DOCU_CHR_caseFLIP", "ITM_NULL", "DOCU_CHR_numSET", "ITM_NULL", "DOCU_ITM_RADIX", "ITM_PERIOD", AM526), ".lo", ),"MNU_", "-MNU_")</f>
        <v>ITM_9</v>
      </c>
      <c r="AY526" s="157" t="str" cm="1">
        <f t="array" ref="AY526">SUBSTITUTE(SUBSTITUTE(_xlfn.SWITCH(AN526, "ITM_T_HOME", "ITM_UP1", "ITM_T_END", "ITM_DOWN1", "DOCU_CHR_sub", "ITM_DOWN_ARROW", "DOCU_CHR_super", "ITM_UP_ARROW", "MNU_TAMALPHA", "ITM_alpha", "DOCU_CHR_caseFLIP", "ITM_NULL", "DOCU_CHR_numSET", "ITM_NULL", "DOCU_ITM_RADIX", "ITM_PERIOD", AN526), ".lo", ),"MNU_", "-MNU_")</f>
        <v>ITM_tan</v>
      </c>
      <c r="AZ526" s="157" t="str" cm="1">
        <f t="array" ref="AZ526">SUBSTITUTE(SUBSTITUTE(_xlfn.SWITCH(AO526, "ITM_T_HOME", "ITM_UP1", "ITM_T_END", "ITM_DOWN1", "DOCU_CHR_sub", "ITM_DOWN_ARROW", "DOCU_CHR_super", "ITM_UP_ARROW", "MNU_TAMALPHA", "ITM_alpha", "DOCU_CHR_caseFLIP", "ITM_NULL", "DOCU_CHR_numSET", "ITM_NULL", "DOCU_ITM_RADIX", "ITM_PERIOD", AO526), ".lo", ),"MNU_", "-MNU_")</f>
        <v>ITM_arctan</v>
      </c>
      <c r="BA526" s="173" t="str" cm="1">
        <f t="array" ref="BA526">SUBSTITUTE(SUBSTITUTE(_xlfn.SWITCH(AP526, "ITM_T_HOME", "ITM_UP1", "ITM_T_END", "ITM_DOWN1", "DOCU_CHR_sub", "ITM_DOWN_ARROW", "DOCU_CHR_super", "ITM_UP_ARROW", "MNU_TAMALPHA", "ITM_alpha", "DOCU_CHR_caseFLIP", "ITM_NULL", "DOCU_CHR_numSET", "ITM_NULL", "DOCU_ITM_RADIX", "ITM_PERIOD", AP526), ".lo", ),"MNU_", "-MNU_")</f>
        <v>ITM_9</v>
      </c>
      <c r="BB526" s="157" t="str" cm="1">
        <f t="array" ref="BB526">SUBSTITUTE(SUBSTITUTE(_xlfn.SWITCH(AQ526, "ITM_T_HOME", "ITM_UP1", "ITM_T_END", "ITM_DOWN1", "DOCU_CHR_sub", "ITM_DOWN_ARROW", "DOCU_CHR_super", "ITM_UP_ARROW", "MNU_TAMALPHA", "ITM_alpha", "DOCU_CHR_caseFLIP", "ITM_NULL", "DOCU_CHR_numSET", "ITM_NULL", "DOCU_ITM_RADIX", "ITM_PERIOD", AQ526), ".lo", ),"MNU_", "-MNU_")</f>
        <v>ITM_P</v>
      </c>
      <c r="BC526" s="157" t="str" cm="1">
        <f t="array" ref="BC526">SUBSTITUTE(SUBSTITUTE(_xlfn.SWITCH(AR526, "ITM_T_HOME", "ITM_UP1", "ITM_T_END", "ITM_DOWN1", "DOCU_CHR_sub", "ITM_DOWN_ARROW", "DOCU_CHR_super", "ITM_UP_ARROW", "MNU_TAMALPHA", "ITM_alpha", "DOCU_CHR_caseFLIP", "ITM_NULL", "DOCU_CHR_numSET", "ITM_NULL", "DOCU_ITM_RADIX", "ITM_PERIOD", AR526), ".lo", ),"MNU_", "-MNU_")</f>
        <v>ITM_p</v>
      </c>
      <c r="BD526" s="157" t="str" cm="1">
        <f t="array" ref="BD526">SUBSTITUTE(SUBSTITUTE(_xlfn.SWITCH(AS526, "ITM_T_HOME", "ITM_UP1", "ITM_T_END", "ITM_DOWN1", "DOCU_CHR_sub", "ITM_DOWN_ARROW", "DOCU_CHR_super", "ITM_UP_ARROW", "MNU_TAMALPHA", "ITM_alpha", "DOCU_CHR_caseFLIP", "ITM_NULL", "DOCU_CHR_numSET", "ITM_NULL", "DOCU_ITM_RADIX", "ITM_PERIOD", AS526), ".lo", ),"MNU_", "-MNU_")</f>
        <v>ITM_9</v>
      </c>
      <c r="BE526" s="157" t="str" cm="1">
        <f t="array" ref="BE526">SUBSTITUTE(SUBSTITUTE(_xlfn.SWITCH(AT526, "ITM_T_HOME", "ITM_UP1", "ITM_T_END", "ITM_DOWN1", "DOCU_CHR_sub", "ITM_DOWN_ARROW", "DOCU_CHR_super", "ITM_UP_ARROW", "MNU_TAMALPHA", "ITM_alpha", "DOCU_CHR_caseFLIP", "ITM_NULL", "DOCU_CHR_numSET", "ITM_NULL", "DOCU_ITM_RADIX", "ITM_PERIOD", AT526), ".lo", ),"MNU_", "-MNU_")</f>
        <v>ITM_9</v>
      </c>
      <c r="BG526" s="75"/>
      <c r="BI526" s="13" t="str">
        <f t="shared" si="223"/>
        <v xml:space="preserve">  {54,                  ITM_9,                ITM_tan,              ITM_arctan,           ITM_9,                ITM_P,                ITM_p,                ITM_9,                ITM_9               },</v>
      </c>
    </row>
    <row r="527" spans="24:61" ht="21" x14ac:dyDescent="0.2">
      <c r="X527" s="141" t="str">
        <f t="shared" si="213"/>
        <v>R47fgbk</v>
      </c>
      <c r="Y527" s="142">
        <v>5</v>
      </c>
      <c r="Z527" s="142">
        <v>5</v>
      </c>
      <c r="AA527" s="144" t="str">
        <f t="shared" si="211"/>
        <v>R47fgbk.55</v>
      </c>
      <c r="AB527" s="153" t="str">
        <f t="shared" ref="AB527:AD527" si="262">AB435</f>
        <v>÷</v>
      </c>
      <c r="AC527" s="149" t="str">
        <f t="shared" si="262"/>
        <v>[ STAT ]</v>
      </c>
      <c r="AD527" s="150" t="str">
        <f t="shared" si="262"/>
        <v>[ PLOT ]</v>
      </c>
      <c r="AE527" s="3"/>
      <c r="AF527" s="52" t="str">
        <f t="shared" ref="AF527" si="263">AF435</f>
        <v>Q</v>
      </c>
      <c r="AG527" s="77" t="b">
        <f t="shared" si="226"/>
        <v>1</v>
      </c>
      <c r="AH527" s="83" t="str">
        <f t="shared" si="215"/>
        <v>q</v>
      </c>
      <c r="AI527" s="84" t="str">
        <f t="shared" si="216"/>
        <v>÷</v>
      </c>
      <c r="AJ527" s="85" t="str">
        <f t="shared" si="217"/>
        <v>÷</v>
      </c>
      <c r="AK527" s="6"/>
      <c r="AL527" s="8" t="str">
        <f t="shared" si="218"/>
        <v>{55</v>
      </c>
      <c r="AM527" s="27" t="str">
        <f t="shared" si="219"/>
        <v>ITM_DIV</v>
      </c>
      <c r="AN527" s="27" t="str">
        <f t="shared" si="220"/>
        <v>MNU_STAT</v>
      </c>
      <c r="AO527" s="27" t="str">
        <f t="shared" si="221"/>
        <v>MNU_PLOTTING</v>
      </c>
      <c r="AP527" s="46" t="str">
        <f>IF(NOT(ISNA(MATCH(AM527,Lookups!E:E,))),VLOOKUP(AM527,Lookups!E:F,2,0),
IF(NOT(ISNA(MATCH(AN527,Lookups!E:E,))),VLOOKUP(AN527,Lookups!E:F,2,0),
IF(NOT(ISNA(MATCH(AO527,Lookups!E:E,))),VLOOKUP(AO527,Lookups!E:F,2,0),"ITM_NULL")))</f>
        <v>ITM_OBELUS</v>
      </c>
      <c r="AQ527" s="28" t="str">
        <f t="shared" si="222"/>
        <v>ITM_Q</v>
      </c>
      <c r="AR527" s="195" t="s">
        <v>174</v>
      </c>
      <c r="AS527" s="186" t="s">
        <v>186</v>
      </c>
      <c r="AT527" s="197" t="s">
        <v>187</v>
      </c>
      <c r="AW527" s="14" t="str">
        <f t="shared" si="227"/>
        <v>{55</v>
      </c>
      <c r="AX527" s="157" t="str" cm="1">
        <f t="array" ref="AX527">SUBSTITUTE(SUBSTITUTE(_xlfn.SWITCH(AM527, "ITM_T_HOME", "ITM_UP1", "ITM_T_END", "ITM_DOWN1", "DOCU_CHR_sub", "ITM_DOWN_ARROW", "DOCU_CHR_super", "ITM_UP_ARROW", "MNU_TAMALPHA", "ITM_alpha", "DOCU_CHR_caseFLIP", "ITM_NULL", "DOCU_CHR_numSET", "ITM_NULL", "DOCU_ITM_RADIX", "ITM_PERIOD", AM527), ".lo", ),"MNU_", "-MNU_")</f>
        <v>ITM_DIV</v>
      </c>
      <c r="AY527" s="157" t="str" cm="1">
        <f t="array" ref="AY527">SUBSTITUTE(SUBSTITUTE(_xlfn.SWITCH(AN527, "ITM_T_HOME", "ITM_UP1", "ITM_T_END", "ITM_DOWN1", "DOCU_CHR_sub", "ITM_DOWN_ARROW", "DOCU_CHR_super", "ITM_UP_ARROW", "MNU_TAMALPHA", "ITM_alpha", "DOCU_CHR_caseFLIP", "ITM_NULL", "DOCU_CHR_numSET", "ITM_NULL", "DOCU_ITM_RADIX", "ITM_PERIOD", AN527), ".lo", ),"MNU_", "-MNU_")</f>
        <v>-MNU_STAT</v>
      </c>
      <c r="AZ527" s="157" t="str" cm="1">
        <f t="array" ref="AZ527">SUBSTITUTE(SUBSTITUTE(_xlfn.SWITCH(AO527, "ITM_T_HOME", "ITM_UP1", "ITM_T_END", "ITM_DOWN1", "DOCU_CHR_sub", "ITM_DOWN_ARROW", "DOCU_CHR_super", "ITM_UP_ARROW", "MNU_TAMALPHA", "ITM_alpha", "DOCU_CHR_caseFLIP", "ITM_NULL", "DOCU_CHR_numSET", "ITM_NULL", "DOCU_ITM_RADIX", "ITM_PERIOD", AO527), ".lo", ),"MNU_", "-MNU_")</f>
        <v>-MNU_PLOTTING</v>
      </c>
      <c r="BA527" s="173" t="str" cm="1">
        <f t="array" ref="BA527">SUBSTITUTE(SUBSTITUTE(_xlfn.SWITCH(AP527, "ITM_T_HOME", "ITM_UP1", "ITM_T_END", "ITM_DOWN1", "DOCU_CHR_sub", "ITM_DOWN_ARROW", "DOCU_CHR_super", "ITM_UP_ARROW", "MNU_TAMALPHA", "ITM_alpha", "DOCU_CHR_caseFLIP", "ITM_NULL", "DOCU_CHR_numSET", "ITM_NULL", "DOCU_ITM_RADIX", "ITM_PERIOD", AP527), ".lo", ),"MNU_", "-MNU_")</f>
        <v>ITM_OBELUS</v>
      </c>
      <c r="BB527" s="157" t="str" cm="1">
        <f t="array" ref="BB527">SUBSTITUTE(SUBSTITUTE(_xlfn.SWITCH(AQ527, "ITM_T_HOME", "ITM_UP1", "ITM_T_END", "ITM_DOWN1", "DOCU_CHR_sub", "ITM_DOWN_ARROW", "DOCU_CHR_super", "ITM_UP_ARROW", "MNU_TAMALPHA", "ITM_alpha", "DOCU_CHR_caseFLIP", "ITM_NULL", "DOCU_CHR_numSET", "ITM_NULL", "DOCU_ITM_RADIX", "ITM_PERIOD", AQ527), ".lo", ),"MNU_", "-MNU_")</f>
        <v>ITM_Q</v>
      </c>
      <c r="BC527" s="157" t="str" cm="1">
        <f t="array" ref="BC527">SUBSTITUTE(SUBSTITUTE(_xlfn.SWITCH(AR527, "ITM_T_HOME", "ITM_UP1", "ITM_T_END", "ITM_DOWN1", "DOCU_CHR_sub", "ITM_DOWN_ARROW", "DOCU_CHR_super", "ITM_UP_ARROW", "MNU_TAMALPHA", "ITM_alpha", "DOCU_CHR_caseFLIP", "ITM_NULL", "DOCU_CHR_numSET", "ITM_NULL", "DOCU_ITM_RADIX", "ITM_PERIOD", AR527), ".lo", ),"MNU_", "-MNU_")</f>
        <v>ITM_q</v>
      </c>
      <c r="BD527" s="157" t="str" cm="1">
        <f t="array" ref="BD527">SUBSTITUTE(SUBSTITUTE(_xlfn.SWITCH(AS527, "ITM_T_HOME", "ITM_UP1", "ITM_T_END", "ITM_DOWN1", "DOCU_CHR_sub", "ITM_DOWN_ARROW", "DOCU_CHR_super", "ITM_UP_ARROW", "MNU_TAMALPHA", "ITM_alpha", "DOCU_CHR_caseFLIP", "ITM_NULL", "DOCU_CHR_numSET", "ITM_NULL", "DOCU_ITM_RADIX", "ITM_PERIOD", AS527), ".lo", ),"MNU_", "-MNU_")</f>
        <v>ITM_OBELUS</v>
      </c>
      <c r="BE527" s="157" t="str" cm="1">
        <f t="array" ref="BE527">SUBSTITUTE(SUBSTITUTE(_xlfn.SWITCH(AT527, "ITM_T_HOME", "ITM_UP1", "ITM_T_END", "ITM_DOWN1", "DOCU_CHR_sub", "ITM_DOWN_ARROW", "DOCU_CHR_super", "ITM_UP_ARROW", "MNU_TAMALPHA", "ITM_alpha", "DOCU_CHR_caseFLIP", "ITM_NULL", "DOCU_CHR_numSET", "ITM_NULL", "DOCU_ITM_RADIX", "ITM_PERIOD", AT527), ".lo", ),"MNU_", "-MNU_")</f>
        <v>ITM_DIV</v>
      </c>
      <c r="BG527" s="75"/>
      <c r="BI527" s="13" t="str">
        <f t="shared" si="223"/>
        <v xml:space="preserve">  {55,                  ITM_DIV,              -MNU_STAT,            -MNU_PLOTTING,        ITM_OBELUS,           ITM_Q,                ITM_q,                ITM_OBELUS,           ITM_DIV             },</v>
      </c>
    </row>
    <row r="528" spans="24:61" ht="21" x14ac:dyDescent="0.2">
      <c r="X528" s="141" t="str">
        <f t="shared" si="213"/>
        <v>R47fgbk</v>
      </c>
      <c r="Y528" s="138">
        <v>6</v>
      </c>
      <c r="Z528" s="138">
        <v>1</v>
      </c>
      <c r="AA528" s="144" t="str">
        <f t="shared" si="211"/>
        <v>R47fgbk.61</v>
      </c>
      <c r="AB528" s="148" t="str">
        <f t="shared" ref="AB528:AD528" si="264">AB436</f>
        <v>Up</v>
      </c>
      <c r="AC528" s="149" t="str">
        <f t="shared" si="264"/>
        <v>Scroll Up</v>
      </c>
      <c r="AD528" s="150" t="str">
        <f t="shared" si="264"/>
        <v>REGS</v>
      </c>
      <c r="AE528" s="3"/>
      <c r="AF528" s="52" t="str">
        <f t="shared" ref="AF528" si="265">AF436</f>
        <v>&lt;-HOME</v>
      </c>
      <c r="AG528" s="77" t="b">
        <f t="shared" si="226"/>
        <v>0</v>
      </c>
      <c r="AH528" s="83" t="str">
        <f t="shared" si="215"/>
        <v>CASE UP</v>
      </c>
      <c r="AI528" s="84" t="str">
        <f t="shared" si="216"/>
        <v>Super</v>
      </c>
      <c r="AJ528" s="85" t="str">
        <f t="shared" si="217"/>
        <v>Up</v>
      </c>
      <c r="AK528" s="6"/>
      <c r="AL528" s="8" t="str">
        <f t="shared" si="218"/>
        <v>{61</v>
      </c>
      <c r="AM528" s="27" t="str">
        <f t="shared" si="219"/>
        <v>ITM_UP1</v>
      </c>
      <c r="AN528" s="27" t="str">
        <f t="shared" si="220"/>
        <v>ITM_BST</v>
      </c>
      <c r="AO528" s="27" t="str">
        <f t="shared" si="221"/>
        <v>ITM_RBR</v>
      </c>
      <c r="AP528" s="46" t="str">
        <f>IF(NOT(ISNA(MATCH(AM528,Lookups!E:E,))),VLOOKUP(AM528,Lookups!E:F,2,0),
IF(NOT(ISNA(MATCH(AN528,Lookups!E:E,))),VLOOKUP(AN528,Lookups!E:F,2,0),
IF(NOT(ISNA(MATCH(AO528,Lookups!E:E,))),VLOOKUP(AO528,Lookups!E:F,2,0),"ITM_NULL")))</f>
        <v>ITM_UP1</v>
      </c>
      <c r="AQ528" s="28" t="str">
        <f t="shared" si="222"/>
        <v>ITM_T_HOME</v>
      </c>
      <c r="AR528" s="198" t="s">
        <v>163</v>
      </c>
      <c r="AS528" s="186" t="s">
        <v>164</v>
      </c>
      <c r="AT528" s="197" t="s">
        <v>165</v>
      </c>
      <c r="AW528" s="14" t="str">
        <f t="shared" si="227"/>
        <v>{61</v>
      </c>
      <c r="AX528" s="157" t="str" cm="1">
        <f t="array" ref="AX528">SUBSTITUTE(SUBSTITUTE(_xlfn.SWITCH(AM528, "ITM_T_HOME", "ITM_UP1", "ITM_T_END", "ITM_DOWN1", "DOCU_CHR_sub", "ITM_DOWN_ARROW", "DOCU_CHR_super", "ITM_UP_ARROW", "MNU_TAMALPHA", "ITM_alpha", "DOCU_CHR_caseFLIP", "ITM_NULL", "DOCU_CHR_numSET", "ITM_NULL", "DOCU_ITM_RADIX", "ITM_PERIOD", AM528), ".lo", ),"MNU_", "-MNU_")</f>
        <v>ITM_UP1</v>
      </c>
      <c r="AY528" s="157" t="str" cm="1">
        <f t="array" ref="AY528">SUBSTITUTE(SUBSTITUTE(_xlfn.SWITCH(AN528, "ITM_T_HOME", "ITM_UP1", "ITM_T_END", "ITM_DOWN1", "DOCU_CHR_sub", "ITM_DOWN_ARROW", "DOCU_CHR_super", "ITM_UP_ARROW", "MNU_TAMALPHA", "ITM_alpha", "DOCU_CHR_caseFLIP", "ITM_NULL", "DOCU_CHR_numSET", "ITM_NULL", "DOCU_ITM_RADIX", "ITM_PERIOD", AN528), ".lo", ),"MNU_", "-MNU_")</f>
        <v>ITM_BST</v>
      </c>
      <c r="AZ528" s="157" t="str" cm="1">
        <f t="array" ref="AZ528">SUBSTITUTE(SUBSTITUTE(_xlfn.SWITCH(AO528, "ITM_T_HOME", "ITM_UP1", "ITM_T_END", "ITM_DOWN1", "DOCU_CHR_sub", "ITM_DOWN_ARROW", "DOCU_CHR_super", "ITM_UP_ARROW", "MNU_TAMALPHA", "ITM_alpha", "DOCU_CHR_caseFLIP", "ITM_NULL", "DOCU_CHR_numSET", "ITM_NULL", "DOCU_ITM_RADIX", "ITM_PERIOD", AO528), ".lo", ),"MNU_", "-MNU_")</f>
        <v>ITM_RBR</v>
      </c>
      <c r="BA528" s="173" t="str" cm="1">
        <f t="array" ref="BA528">SUBSTITUTE(SUBSTITUTE(_xlfn.SWITCH(AP528, "ITM_T_HOME", "ITM_UP1", "ITM_T_END", "ITM_DOWN1", "DOCU_CHR_sub", "ITM_DOWN_ARROW", "DOCU_CHR_super", "ITM_UP_ARROW", "MNU_TAMALPHA", "ITM_alpha", "DOCU_CHR_caseFLIP", "ITM_NULL", "DOCU_CHR_numSET", "ITM_NULL", "DOCU_ITM_RADIX", "ITM_PERIOD", AP528), ".lo", ),"MNU_", "-MNU_")</f>
        <v>ITM_UP1</v>
      </c>
      <c r="BB528" s="157" t="str" cm="1">
        <f t="array" ref="BB528">SUBSTITUTE(SUBSTITUTE(_xlfn.SWITCH(AQ528, "ITM_T_HOME", "ITM_UP1", "ITM_T_END", "ITM_DOWN1", "DOCU_CHR_sub", "ITM_DOWN_ARROW", "DOCU_CHR_super", "ITM_UP_ARROW", "MNU_TAMALPHA", "ITM_alpha", "DOCU_CHR_caseFLIP", "ITM_NULL", "DOCU_CHR_numSET", "ITM_NULL", "DOCU_ITM_RADIX", "ITM_PERIOD", AQ528), ".lo", ),"MNU_", "-MNU_")</f>
        <v>ITM_UP1</v>
      </c>
      <c r="BC528" s="157" t="str" cm="1">
        <f t="array" ref="BC528">SUBSTITUTE(SUBSTITUTE(_xlfn.SWITCH(AR528, "ITM_T_HOME", "ITM_UP1", "ITM_T_END", "ITM_DOWN1", "DOCU_CHR_sub", "ITM_DOWN_ARROW", "DOCU_CHR_super", "ITM_UP_ARROW", "MNU_TAMALPHA", "ITM_alpha", "DOCU_CHR_caseFLIP", "ITM_NULL", "DOCU_CHR_numSET", "ITM_NULL", "DOCU_ITM_RADIX", "ITM_PERIOD", AR528), ".lo", ),"MNU_", "-MNU_")</f>
        <v>CHR_caseUP</v>
      </c>
      <c r="BD528" s="157" t="str" cm="1">
        <f t="array" ref="BD528">SUBSTITUTE(SUBSTITUTE(_xlfn.SWITCH(AS528, "ITM_T_HOME", "ITM_UP1", "ITM_T_END", "ITM_DOWN1", "DOCU_CHR_sub", "ITM_DOWN_ARROW", "DOCU_CHR_super", "ITM_UP_ARROW", "MNU_TAMALPHA", "ITM_alpha", "DOCU_CHR_caseFLIP", "ITM_NULL", "DOCU_CHR_numSET", "ITM_NULL", "DOCU_ITM_RADIX", "ITM_PERIOD", AS528), ".lo", ),"MNU_", "-MNU_")</f>
        <v>ITM_UP_ARROW</v>
      </c>
      <c r="BE528" s="157" t="str" cm="1">
        <f t="array" ref="BE528">SUBSTITUTE(SUBSTITUTE(_xlfn.SWITCH(AT528, "ITM_T_HOME", "ITM_UP1", "ITM_T_END", "ITM_DOWN1", "DOCU_CHR_sub", "ITM_DOWN_ARROW", "DOCU_CHR_super", "ITM_UP_ARROW", "MNU_TAMALPHA", "ITM_alpha", "DOCU_CHR_caseFLIP", "ITM_NULL", "DOCU_CHR_numSET", "ITM_NULL", "DOCU_ITM_RADIX", "ITM_PERIOD", AT528), ".lo", ),"MNU_", "-MNU_")</f>
        <v>ITM_UP1</v>
      </c>
      <c r="BG528" s="75"/>
      <c r="BI528" s="13" t="str">
        <f t="shared" si="223"/>
        <v xml:space="preserve">  {61,                  ITM_UP1,              ITM_BST,              ITM_RBR,              ITM_UP1,              ITM_UP1,              CHR_caseUP,           ITM_UP_ARROW,         ITM_UP1             },</v>
      </c>
    </row>
    <row r="529" spans="24:61" ht="21" x14ac:dyDescent="0.2">
      <c r="X529" s="141" t="str">
        <f t="shared" si="213"/>
        <v>R47fgbk</v>
      </c>
      <c r="Y529" s="142">
        <v>6</v>
      </c>
      <c r="Z529" s="142">
        <v>2</v>
      </c>
      <c r="AA529" s="144" t="str">
        <f t="shared" si="211"/>
        <v>R47fgbk.62</v>
      </c>
      <c r="AB529" s="148">
        <f t="shared" ref="AB529:AD529" si="266">AB437</f>
        <v>4</v>
      </c>
      <c r="AC529" s="149" t="str">
        <f t="shared" si="266"/>
        <v>[ BASE ]</v>
      </c>
      <c r="AD529" s="150" t="str">
        <f t="shared" si="266"/>
        <v>[ BITS ]</v>
      </c>
      <c r="AE529" s="3"/>
      <c r="AF529" s="52" t="str">
        <f t="shared" ref="AF529" si="267">AF437</f>
        <v>R</v>
      </c>
      <c r="AG529" s="77" t="b">
        <f t="shared" si="226"/>
        <v>1</v>
      </c>
      <c r="AH529" s="83" t="str">
        <f t="shared" si="215"/>
        <v>r</v>
      </c>
      <c r="AI529" s="84">
        <f t="shared" si="216"/>
        <v>4</v>
      </c>
      <c r="AJ529" s="85">
        <f t="shared" si="217"/>
        <v>4</v>
      </c>
      <c r="AK529" s="6"/>
      <c r="AL529" s="8" t="str">
        <f t="shared" si="218"/>
        <v>{62</v>
      </c>
      <c r="AM529" s="27" t="str">
        <f t="shared" si="219"/>
        <v>ITM_4</v>
      </c>
      <c r="AN529" s="27" t="str">
        <f t="shared" si="220"/>
        <v>MNU_BASE</v>
      </c>
      <c r="AO529" s="27" t="str">
        <f t="shared" si="221"/>
        <v>MNU_BITS</v>
      </c>
      <c r="AP529" s="46" t="str">
        <f>IF(NOT(ISNA(MATCH(AM529,Lookups!E:E,))),VLOOKUP(AM529,Lookups!E:F,2,0),
IF(NOT(ISNA(MATCH(AN529,Lookups!E:E,))),VLOOKUP(AN529,Lookups!E:F,2,0),
IF(NOT(ISNA(MATCH(AO529,Lookups!E:E,))),VLOOKUP(AO529,Lookups!E:F,2,0),"ITM_NULL")))</f>
        <v>ITM_4</v>
      </c>
      <c r="AQ529" s="28" t="str">
        <f t="shared" si="222"/>
        <v>ITM_R</v>
      </c>
      <c r="AR529" s="195" t="s">
        <v>179</v>
      </c>
      <c r="AS529" s="186" t="s">
        <v>199</v>
      </c>
      <c r="AT529" s="197" t="s">
        <v>199</v>
      </c>
      <c r="AW529" s="14" t="str">
        <f t="shared" si="227"/>
        <v>{62</v>
      </c>
      <c r="AX529" s="157" t="str" cm="1">
        <f t="array" ref="AX529">SUBSTITUTE(SUBSTITUTE(_xlfn.SWITCH(AM529, "ITM_T_HOME", "ITM_UP1", "ITM_T_END", "ITM_DOWN1", "DOCU_CHR_sub", "ITM_DOWN_ARROW", "DOCU_CHR_super", "ITM_UP_ARROW", "MNU_TAMALPHA", "ITM_alpha", "DOCU_CHR_caseFLIP", "ITM_NULL", "DOCU_CHR_numSET", "ITM_NULL", "DOCU_ITM_RADIX", "ITM_PERIOD", AM529), ".lo", ),"MNU_", "-MNU_")</f>
        <v>ITM_4</v>
      </c>
      <c r="AY529" s="157" t="str" cm="1">
        <f t="array" ref="AY529">SUBSTITUTE(SUBSTITUTE(_xlfn.SWITCH(AN529, "ITM_T_HOME", "ITM_UP1", "ITM_T_END", "ITM_DOWN1", "DOCU_CHR_sub", "ITM_DOWN_ARROW", "DOCU_CHR_super", "ITM_UP_ARROW", "MNU_TAMALPHA", "ITM_alpha", "DOCU_CHR_caseFLIP", "ITM_NULL", "DOCU_CHR_numSET", "ITM_NULL", "DOCU_ITM_RADIX", "ITM_PERIOD", AN529), ".lo", ),"MNU_", "-MNU_")</f>
        <v>-MNU_BASE</v>
      </c>
      <c r="AZ529" s="157" t="str" cm="1">
        <f t="array" ref="AZ529">SUBSTITUTE(SUBSTITUTE(_xlfn.SWITCH(AO529, "ITM_T_HOME", "ITM_UP1", "ITM_T_END", "ITM_DOWN1", "DOCU_CHR_sub", "ITM_DOWN_ARROW", "DOCU_CHR_super", "ITM_UP_ARROW", "MNU_TAMALPHA", "ITM_alpha", "DOCU_CHR_caseFLIP", "ITM_NULL", "DOCU_CHR_numSET", "ITM_NULL", "DOCU_ITM_RADIX", "ITM_PERIOD", AO529), ".lo", ),"MNU_", "-MNU_")</f>
        <v>-MNU_BITS</v>
      </c>
      <c r="BA529" s="173" t="str" cm="1">
        <f t="array" ref="BA529">SUBSTITUTE(SUBSTITUTE(_xlfn.SWITCH(AP529, "ITM_T_HOME", "ITM_UP1", "ITM_T_END", "ITM_DOWN1", "DOCU_CHR_sub", "ITM_DOWN_ARROW", "DOCU_CHR_super", "ITM_UP_ARROW", "MNU_TAMALPHA", "ITM_alpha", "DOCU_CHR_caseFLIP", "ITM_NULL", "DOCU_CHR_numSET", "ITM_NULL", "DOCU_ITM_RADIX", "ITM_PERIOD", AP529), ".lo", ),"MNU_", "-MNU_")</f>
        <v>ITM_4</v>
      </c>
      <c r="BB529" s="157" t="str" cm="1">
        <f t="array" ref="BB529">SUBSTITUTE(SUBSTITUTE(_xlfn.SWITCH(AQ529, "ITM_T_HOME", "ITM_UP1", "ITM_T_END", "ITM_DOWN1", "DOCU_CHR_sub", "ITM_DOWN_ARROW", "DOCU_CHR_super", "ITM_UP_ARROW", "MNU_TAMALPHA", "ITM_alpha", "DOCU_CHR_caseFLIP", "ITM_NULL", "DOCU_CHR_numSET", "ITM_NULL", "DOCU_ITM_RADIX", "ITM_PERIOD", AQ529), ".lo", ),"MNU_", "-MNU_")</f>
        <v>ITM_R</v>
      </c>
      <c r="BC529" s="157" t="str" cm="1">
        <f t="array" ref="BC529">SUBSTITUTE(SUBSTITUTE(_xlfn.SWITCH(AR529, "ITM_T_HOME", "ITM_UP1", "ITM_T_END", "ITM_DOWN1", "DOCU_CHR_sub", "ITM_DOWN_ARROW", "DOCU_CHR_super", "ITM_UP_ARROW", "MNU_TAMALPHA", "ITM_alpha", "DOCU_CHR_caseFLIP", "ITM_NULL", "DOCU_CHR_numSET", "ITM_NULL", "DOCU_ITM_RADIX", "ITM_PERIOD", AR529), ".lo", ),"MNU_", "-MNU_")</f>
        <v>ITM_r</v>
      </c>
      <c r="BD529" s="157" t="str" cm="1">
        <f t="array" ref="BD529">SUBSTITUTE(SUBSTITUTE(_xlfn.SWITCH(AS529, "ITM_T_HOME", "ITM_UP1", "ITM_T_END", "ITM_DOWN1", "DOCU_CHR_sub", "ITM_DOWN_ARROW", "DOCU_CHR_super", "ITM_UP_ARROW", "MNU_TAMALPHA", "ITM_alpha", "DOCU_CHR_caseFLIP", "ITM_NULL", "DOCU_CHR_numSET", "ITM_NULL", "DOCU_ITM_RADIX", "ITM_PERIOD", AS529), ".lo", ),"MNU_", "-MNU_")</f>
        <v>ITM_4</v>
      </c>
      <c r="BE529" s="157" t="str" cm="1">
        <f t="array" ref="BE529">SUBSTITUTE(SUBSTITUTE(_xlfn.SWITCH(AT529, "ITM_T_HOME", "ITM_UP1", "ITM_T_END", "ITM_DOWN1", "DOCU_CHR_sub", "ITM_DOWN_ARROW", "DOCU_CHR_super", "ITM_UP_ARROW", "MNU_TAMALPHA", "ITM_alpha", "DOCU_CHR_caseFLIP", "ITM_NULL", "DOCU_CHR_numSET", "ITM_NULL", "DOCU_ITM_RADIX", "ITM_PERIOD", AT529), ".lo", ),"MNU_", "-MNU_")</f>
        <v>ITM_4</v>
      </c>
      <c r="BG529" s="75"/>
      <c r="BI529" s="13" t="str">
        <f t="shared" si="223"/>
        <v xml:space="preserve">  {62,                  ITM_4,                -MNU_BASE,            -MNU_BITS,            ITM_4,                ITM_R,                ITM_r,                ITM_4,                ITM_4               },</v>
      </c>
    </row>
    <row r="530" spans="24:61" ht="21" x14ac:dyDescent="0.2">
      <c r="X530" s="141" t="str">
        <f t="shared" si="213"/>
        <v>R47fgbk</v>
      </c>
      <c r="Y530" s="142">
        <v>6</v>
      </c>
      <c r="Z530" s="142">
        <v>3</v>
      </c>
      <c r="AA530" s="144" t="str">
        <f t="shared" si="211"/>
        <v>R47fgbk.63</v>
      </c>
      <c r="AB530" s="148">
        <f t="shared" ref="AB530:AD530" si="268">AB438</f>
        <v>5</v>
      </c>
      <c r="AC530" s="149" t="str">
        <f t="shared" si="268"/>
        <v>[ INTS ]</v>
      </c>
      <c r="AD530" s="150" t="str">
        <f t="shared" si="268"/>
        <v>[ REAL ]</v>
      </c>
      <c r="AE530" s="3"/>
      <c r="AF530" s="52" t="str">
        <f t="shared" ref="AF530" si="269">AF438</f>
        <v>S</v>
      </c>
      <c r="AG530" s="77" t="b">
        <f t="shared" si="226"/>
        <v>1</v>
      </c>
      <c r="AH530" s="83" t="str">
        <f t="shared" si="215"/>
        <v>s</v>
      </c>
      <c r="AI530" s="84">
        <f t="shared" si="216"/>
        <v>5</v>
      </c>
      <c r="AJ530" s="85">
        <f t="shared" si="217"/>
        <v>5</v>
      </c>
      <c r="AK530" s="6"/>
      <c r="AL530" s="8" t="str">
        <f t="shared" si="218"/>
        <v>{63</v>
      </c>
      <c r="AM530" s="27" t="str">
        <f t="shared" si="219"/>
        <v>ITM_5</v>
      </c>
      <c r="AN530" s="27" t="str">
        <f t="shared" si="220"/>
        <v>MNU_INTS</v>
      </c>
      <c r="AO530" s="27" t="str">
        <f t="shared" si="221"/>
        <v>MNU_PARTS</v>
      </c>
      <c r="AP530" s="46" t="str">
        <f>IF(NOT(ISNA(MATCH(AM530,Lookups!E:E,))),VLOOKUP(AM530,Lookups!E:F,2,0),
IF(NOT(ISNA(MATCH(AN530,Lookups!E:E,))),VLOOKUP(AN530,Lookups!E:F,2,0),
IF(NOT(ISNA(MATCH(AO530,Lookups!E:E,))),VLOOKUP(AO530,Lookups!E:F,2,0),"ITM_NULL")))</f>
        <v>ITM_5</v>
      </c>
      <c r="AQ530" s="28" t="str">
        <f t="shared" si="222"/>
        <v>ITM_S</v>
      </c>
      <c r="AR530" s="195" t="s">
        <v>185</v>
      </c>
      <c r="AS530" s="186" t="s">
        <v>204</v>
      </c>
      <c r="AT530" s="197" t="s">
        <v>204</v>
      </c>
      <c r="AW530" s="14" t="str">
        <f t="shared" si="227"/>
        <v>{63</v>
      </c>
      <c r="AX530" s="157" t="str" cm="1">
        <f t="array" ref="AX530">SUBSTITUTE(SUBSTITUTE(_xlfn.SWITCH(AM530, "ITM_T_HOME", "ITM_UP1", "ITM_T_END", "ITM_DOWN1", "DOCU_CHR_sub", "ITM_DOWN_ARROW", "DOCU_CHR_super", "ITM_UP_ARROW", "MNU_TAMALPHA", "ITM_alpha", "DOCU_CHR_caseFLIP", "ITM_NULL", "DOCU_CHR_numSET", "ITM_NULL", "DOCU_ITM_RADIX", "ITM_PERIOD", AM530), ".lo", ),"MNU_", "-MNU_")</f>
        <v>ITM_5</v>
      </c>
      <c r="AY530" s="157" t="str" cm="1">
        <f t="array" ref="AY530">SUBSTITUTE(SUBSTITUTE(_xlfn.SWITCH(AN530, "ITM_T_HOME", "ITM_UP1", "ITM_T_END", "ITM_DOWN1", "DOCU_CHR_sub", "ITM_DOWN_ARROW", "DOCU_CHR_super", "ITM_UP_ARROW", "MNU_TAMALPHA", "ITM_alpha", "DOCU_CHR_caseFLIP", "ITM_NULL", "DOCU_CHR_numSET", "ITM_NULL", "DOCU_ITM_RADIX", "ITM_PERIOD", AN530), ".lo", ),"MNU_", "-MNU_")</f>
        <v>-MNU_INTS</v>
      </c>
      <c r="AZ530" s="157" t="str" cm="1">
        <f t="array" ref="AZ530">SUBSTITUTE(SUBSTITUTE(_xlfn.SWITCH(AO530, "ITM_T_HOME", "ITM_UP1", "ITM_T_END", "ITM_DOWN1", "DOCU_CHR_sub", "ITM_DOWN_ARROW", "DOCU_CHR_super", "ITM_UP_ARROW", "MNU_TAMALPHA", "ITM_alpha", "DOCU_CHR_caseFLIP", "ITM_NULL", "DOCU_CHR_numSET", "ITM_NULL", "DOCU_ITM_RADIX", "ITM_PERIOD", AO530), ".lo", ),"MNU_", "-MNU_")</f>
        <v>-MNU_PARTS</v>
      </c>
      <c r="BA530" s="173" t="str" cm="1">
        <f t="array" ref="BA530">SUBSTITUTE(SUBSTITUTE(_xlfn.SWITCH(AP530, "ITM_T_HOME", "ITM_UP1", "ITM_T_END", "ITM_DOWN1", "DOCU_CHR_sub", "ITM_DOWN_ARROW", "DOCU_CHR_super", "ITM_UP_ARROW", "MNU_TAMALPHA", "ITM_alpha", "DOCU_CHR_caseFLIP", "ITM_NULL", "DOCU_CHR_numSET", "ITM_NULL", "DOCU_ITM_RADIX", "ITM_PERIOD", AP530), ".lo", ),"MNU_", "-MNU_")</f>
        <v>ITM_5</v>
      </c>
      <c r="BB530" s="157" t="str" cm="1">
        <f t="array" ref="BB530">SUBSTITUTE(SUBSTITUTE(_xlfn.SWITCH(AQ530, "ITM_T_HOME", "ITM_UP1", "ITM_T_END", "ITM_DOWN1", "DOCU_CHR_sub", "ITM_DOWN_ARROW", "DOCU_CHR_super", "ITM_UP_ARROW", "MNU_TAMALPHA", "ITM_alpha", "DOCU_CHR_caseFLIP", "ITM_NULL", "DOCU_CHR_numSET", "ITM_NULL", "DOCU_ITM_RADIX", "ITM_PERIOD", AQ530), ".lo", ),"MNU_", "-MNU_")</f>
        <v>ITM_S</v>
      </c>
      <c r="BC530" s="157" t="str" cm="1">
        <f t="array" ref="BC530">SUBSTITUTE(SUBSTITUTE(_xlfn.SWITCH(AR530, "ITM_T_HOME", "ITM_UP1", "ITM_T_END", "ITM_DOWN1", "DOCU_CHR_sub", "ITM_DOWN_ARROW", "DOCU_CHR_super", "ITM_UP_ARROW", "MNU_TAMALPHA", "ITM_alpha", "DOCU_CHR_caseFLIP", "ITM_NULL", "DOCU_CHR_numSET", "ITM_NULL", "DOCU_ITM_RADIX", "ITM_PERIOD", AR530), ".lo", ),"MNU_", "-MNU_")</f>
        <v>ITM_s</v>
      </c>
      <c r="BD530" s="157" t="str" cm="1">
        <f t="array" ref="BD530">SUBSTITUTE(SUBSTITUTE(_xlfn.SWITCH(AS530, "ITM_T_HOME", "ITM_UP1", "ITM_T_END", "ITM_DOWN1", "DOCU_CHR_sub", "ITM_DOWN_ARROW", "DOCU_CHR_super", "ITM_UP_ARROW", "MNU_TAMALPHA", "ITM_alpha", "DOCU_CHR_caseFLIP", "ITM_NULL", "DOCU_CHR_numSET", "ITM_NULL", "DOCU_ITM_RADIX", "ITM_PERIOD", AS530), ".lo", ),"MNU_", "-MNU_")</f>
        <v>ITM_5</v>
      </c>
      <c r="BE530" s="157" t="str" cm="1">
        <f t="array" ref="BE530">SUBSTITUTE(SUBSTITUTE(_xlfn.SWITCH(AT530, "ITM_T_HOME", "ITM_UP1", "ITM_T_END", "ITM_DOWN1", "DOCU_CHR_sub", "ITM_DOWN_ARROW", "DOCU_CHR_super", "ITM_UP_ARROW", "MNU_TAMALPHA", "ITM_alpha", "DOCU_CHR_caseFLIP", "ITM_NULL", "DOCU_CHR_numSET", "ITM_NULL", "DOCU_ITM_RADIX", "ITM_PERIOD", AT530), ".lo", ),"MNU_", "-MNU_")</f>
        <v>ITM_5</v>
      </c>
      <c r="BG530" s="75"/>
      <c r="BI530" s="13" t="str">
        <f t="shared" si="223"/>
        <v xml:space="preserve">  {63,                  ITM_5,                -MNU_INTS,            -MNU_PARTS,           ITM_5,                ITM_S,                ITM_s,                ITM_5,                ITM_5               },</v>
      </c>
    </row>
    <row r="531" spans="24:61" ht="21" x14ac:dyDescent="0.2">
      <c r="X531" s="141" t="str">
        <f t="shared" si="213"/>
        <v>R47fgbk</v>
      </c>
      <c r="Y531" s="142">
        <v>6</v>
      </c>
      <c r="Z531" s="142">
        <v>4</v>
      </c>
      <c r="AA531" s="144" t="str">
        <f t="shared" si="211"/>
        <v>R47fgbk.64</v>
      </c>
      <c r="AB531" s="148">
        <f t="shared" ref="AB531:AD531" si="270">AB439</f>
        <v>6</v>
      </c>
      <c r="AC531" s="149" t="str">
        <f t="shared" si="270"/>
        <v>[ MATX ]</v>
      </c>
      <c r="AD531" s="150" t="str">
        <f t="shared" si="270"/>
        <v>[ X.FN ]</v>
      </c>
      <c r="AE531" s="3"/>
      <c r="AF531" s="52" t="str">
        <f t="shared" ref="AF531" si="271">AF439</f>
        <v>T</v>
      </c>
      <c r="AG531" s="77" t="b">
        <f t="shared" si="226"/>
        <v>1</v>
      </c>
      <c r="AH531" s="83" t="str">
        <f t="shared" si="215"/>
        <v>t</v>
      </c>
      <c r="AI531" s="84">
        <f t="shared" si="216"/>
        <v>6</v>
      </c>
      <c r="AJ531" s="85">
        <f t="shared" si="217"/>
        <v>6</v>
      </c>
      <c r="AK531" s="6"/>
      <c r="AL531" s="8" t="str">
        <f t="shared" si="218"/>
        <v>{64</v>
      </c>
      <c r="AM531" s="27" t="str">
        <f t="shared" si="219"/>
        <v>ITM_6</v>
      </c>
      <c r="AN531" s="27" t="str">
        <f t="shared" si="220"/>
        <v>MNU_MATX</v>
      </c>
      <c r="AO531" s="27" t="str">
        <f t="shared" si="221"/>
        <v>MNU_XFN</v>
      </c>
      <c r="AP531" s="46" t="str">
        <f>IF(NOT(ISNA(MATCH(AM531,Lookups!E:E,))),VLOOKUP(AM531,Lookups!E:F,2,0),
IF(NOT(ISNA(MATCH(AN531,Lookups!E:E,))),VLOOKUP(AN531,Lookups!E:F,2,0),
IF(NOT(ISNA(MATCH(AO531,Lookups!E:E,))),VLOOKUP(AO531,Lookups!E:F,2,0),"ITM_NULL")))</f>
        <v>ITM_6</v>
      </c>
      <c r="AQ531" s="28" t="str">
        <f t="shared" si="222"/>
        <v>ITM_T</v>
      </c>
      <c r="AR531" s="195" t="s">
        <v>198</v>
      </c>
      <c r="AS531" s="186" t="s">
        <v>209</v>
      </c>
      <c r="AT531" s="197" t="s">
        <v>209</v>
      </c>
      <c r="AW531" s="14" t="str">
        <f t="shared" si="227"/>
        <v>{64</v>
      </c>
      <c r="AX531" s="157" t="str" cm="1">
        <f t="array" ref="AX531">SUBSTITUTE(SUBSTITUTE(_xlfn.SWITCH(AM531, "ITM_T_HOME", "ITM_UP1", "ITM_T_END", "ITM_DOWN1", "DOCU_CHR_sub", "ITM_DOWN_ARROW", "DOCU_CHR_super", "ITM_UP_ARROW", "MNU_TAMALPHA", "ITM_alpha", "DOCU_CHR_caseFLIP", "ITM_NULL", "DOCU_CHR_numSET", "ITM_NULL", "DOCU_ITM_RADIX", "ITM_PERIOD", AM531), ".lo", ),"MNU_", "-MNU_")</f>
        <v>ITM_6</v>
      </c>
      <c r="AY531" s="157" t="str" cm="1">
        <f t="array" ref="AY531">SUBSTITUTE(SUBSTITUTE(_xlfn.SWITCH(AN531, "ITM_T_HOME", "ITM_UP1", "ITM_T_END", "ITM_DOWN1", "DOCU_CHR_sub", "ITM_DOWN_ARROW", "DOCU_CHR_super", "ITM_UP_ARROW", "MNU_TAMALPHA", "ITM_alpha", "DOCU_CHR_caseFLIP", "ITM_NULL", "DOCU_CHR_numSET", "ITM_NULL", "DOCU_ITM_RADIX", "ITM_PERIOD", AN531), ".lo", ),"MNU_", "-MNU_")</f>
        <v>-MNU_MATX</v>
      </c>
      <c r="AZ531" s="157" t="str" cm="1">
        <f t="array" ref="AZ531">SUBSTITUTE(SUBSTITUTE(_xlfn.SWITCH(AO531, "ITM_T_HOME", "ITM_UP1", "ITM_T_END", "ITM_DOWN1", "DOCU_CHR_sub", "ITM_DOWN_ARROW", "DOCU_CHR_super", "ITM_UP_ARROW", "MNU_TAMALPHA", "ITM_alpha", "DOCU_CHR_caseFLIP", "ITM_NULL", "DOCU_CHR_numSET", "ITM_NULL", "DOCU_ITM_RADIX", "ITM_PERIOD", AO531), ".lo", ),"MNU_", "-MNU_")</f>
        <v>-MNU_XFN</v>
      </c>
      <c r="BA531" s="173" t="str" cm="1">
        <f t="array" ref="BA531">SUBSTITUTE(SUBSTITUTE(_xlfn.SWITCH(AP531, "ITM_T_HOME", "ITM_UP1", "ITM_T_END", "ITM_DOWN1", "DOCU_CHR_sub", "ITM_DOWN_ARROW", "DOCU_CHR_super", "ITM_UP_ARROW", "MNU_TAMALPHA", "ITM_alpha", "DOCU_CHR_caseFLIP", "ITM_NULL", "DOCU_CHR_numSET", "ITM_NULL", "DOCU_ITM_RADIX", "ITM_PERIOD", AP531), ".lo", ),"MNU_", "-MNU_")</f>
        <v>ITM_6</v>
      </c>
      <c r="BB531" s="157" t="str" cm="1">
        <f t="array" ref="BB531">SUBSTITUTE(SUBSTITUTE(_xlfn.SWITCH(AQ531, "ITM_T_HOME", "ITM_UP1", "ITM_T_END", "ITM_DOWN1", "DOCU_CHR_sub", "ITM_DOWN_ARROW", "DOCU_CHR_super", "ITM_UP_ARROW", "MNU_TAMALPHA", "ITM_alpha", "DOCU_CHR_caseFLIP", "ITM_NULL", "DOCU_CHR_numSET", "ITM_NULL", "DOCU_ITM_RADIX", "ITM_PERIOD", AQ531), ".lo", ),"MNU_", "-MNU_")</f>
        <v>ITM_T</v>
      </c>
      <c r="BC531" s="157" t="str" cm="1">
        <f t="array" ref="BC531">SUBSTITUTE(SUBSTITUTE(_xlfn.SWITCH(AR531, "ITM_T_HOME", "ITM_UP1", "ITM_T_END", "ITM_DOWN1", "DOCU_CHR_sub", "ITM_DOWN_ARROW", "DOCU_CHR_super", "ITM_UP_ARROW", "MNU_TAMALPHA", "ITM_alpha", "DOCU_CHR_caseFLIP", "ITM_NULL", "DOCU_CHR_numSET", "ITM_NULL", "DOCU_ITM_RADIX", "ITM_PERIOD", AR531), ".lo", ),"MNU_", "-MNU_")</f>
        <v>ITM_t</v>
      </c>
      <c r="BD531" s="157" t="str" cm="1">
        <f t="array" ref="BD531">SUBSTITUTE(SUBSTITUTE(_xlfn.SWITCH(AS531, "ITM_T_HOME", "ITM_UP1", "ITM_T_END", "ITM_DOWN1", "DOCU_CHR_sub", "ITM_DOWN_ARROW", "DOCU_CHR_super", "ITM_UP_ARROW", "MNU_TAMALPHA", "ITM_alpha", "DOCU_CHR_caseFLIP", "ITM_NULL", "DOCU_CHR_numSET", "ITM_NULL", "DOCU_ITM_RADIX", "ITM_PERIOD", AS531), ".lo", ),"MNU_", "-MNU_")</f>
        <v>ITM_6</v>
      </c>
      <c r="BE531" s="157" t="str" cm="1">
        <f t="array" ref="BE531">SUBSTITUTE(SUBSTITUTE(_xlfn.SWITCH(AT531, "ITM_T_HOME", "ITM_UP1", "ITM_T_END", "ITM_DOWN1", "DOCU_CHR_sub", "ITM_DOWN_ARROW", "DOCU_CHR_super", "ITM_UP_ARROW", "MNU_TAMALPHA", "ITM_alpha", "DOCU_CHR_caseFLIP", "ITM_NULL", "DOCU_CHR_numSET", "ITM_NULL", "DOCU_ITM_RADIX", "ITM_PERIOD", AT531), ".lo", ),"MNU_", "-MNU_")</f>
        <v>ITM_6</v>
      </c>
      <c r="BG531" s="75"/>
      <c r="BI531" s="13" t="str">
        <f t="shared" si="223"/>
        <v xml:space="preserve">  {64,                  ITM_6,                -MNU_MATX,            -MNU_XFN,             ITM_6,                ITM_T,                ITM_t,                ITM_6,                ITM_6               },</v>
      </c>
    </row>
    <row r="532" spans="24:61" ht="21" x14ac:dyDescent="0.2">
      <c r="X532" s="141" t="str">
        <f t="shared" si="213"/>
        <v>R47fgbk</v>
      </c>
      <c r="Y532" s="142">
        <v>6</v>
      </c>
      <c r="Z532" s="142">
        <v>5</v>
      </c>
      <c r="AA532" s="144" t="str">
        <f t="shared" si="211"/>
        <v>R47fgbk.65</v>
      </c>
      <c r="AB532" s="153" t="str">
        <f t="shared" ref="AB532:AD532" si="272">AB440</f>
        <v>✕</v>
      </c>
      <c r="AC532" s="149" t="str">
        <f t="shared" si="272"/>
        <v>[ EQN ]</v>
      </c>
      <c r="AD532" s="150" t="str">
        <f t="shared" si="272"/>
        <v>[ ADV ]</v>
      </c>
      <c r="AE532" s="3"/>
      <c r="AF532" s="52" t="str">
        <f t="shared" ref="AF532" si="273">AF440</f>
        <v>U</v>
      </c>
      <c r="AG532" s="77" t="b">
        <f t="shared" si="226"/>
        <v>1</v>
      </c>
      <c r="AH532" s="83" t="str">
        <f t="shared" si="215"/>
        <v>u</v>
      </c>
      <c r="AI532" s="84" t="str">
        <f t="shared" si="216"/>
        <v>✕</v>
      </c>
      <c r="AJ532" s="85" t="str">
        <f t="shared" si="217"/>
        <v>✕</v>
      </c>
      <c r="AK532" s="6"/>
      <c r="AL532" s="8" t="str">
        <f t="shared" si="218"/>
        <v>{65</v>
      </c>
      <c r="AM532" s="27" t="str">
        <f t="shared" si="219"/>
        <v>ITM_MULT</v>
      </c>
      <c r="AN532" s="27" t="str">
        <f t="shared" si="220"/>
        <v>MNU_EQN</v>
      </c>
      <c r="AO532" s="27" t="str">
        <f t="shared" si="221"/>
        <v>MNU_ADV</v>
      </c>
      <c r="AP532" s="46" t="str">
        <f>IF(NOT(ISNA(MATCH(AM532,Lookups!E:E,))),VLOOKUP(AM532,Lookups!E:F,2,0),
IF(NOT(ISNA(MATCH(AN532,Lookups!E:E,))),VLOOKUP(AN532,Lookups!E:F,2,0),
IF(NOT(ISNA(MATCH(AO532,Lookups!E:E,))),VLOOKUP(AO532,Lookups!E:F,2,0),"ITM_NULL")))</f>
        <v>ITM_CROSS</v>
      </c>
      <c r="AQ532" s="28" t="str">
        <f t="shared" si="222"/>
        <v>ITM_U</v>
      </c>
      <c r="AR532" s="195" t="s">
        <v>203</v>
      </c>
      <c r="AS532" s="186" t="s">
        <v>215</v>
      </c>
      <c r="AT532" s="197" t="s">
        <v>216</v>
      </c>
      <c r="AW532" s="14" t="str">
        <f t="shared" si="227"/>
        <v>{65</v>
      </c>
      <c r="AX532" s="157" t="str" cm="1">
        <f t="array" ref="AX532">SUBSTITUTE(SUBSTITUTE(_xlfn.SWITCH(AM532, "ITM_T_HOME", "ITM_UP1", "ITM_T_END", "ITM_DOWN1", "DOCU_CHR_sub", "ITM_DOWN_ARROW", "DOCU_CHR_super", "ITM_UP_ARROW", "MNU_TAMALPHA", "ITM_alpha", "DOCU_CHR_caseFLIP", "ITM_NULL", "DOCU_CHR_numSET", "ITM_NULL", "DOCU_ITM_RADIX", "ITM_PERIOD", AM532), ".lo", ),"MNU_", "-MNU_")</f>
        <v>ITM_MULT</v>
      </c>
      <c r="AY532" s="157" t="str" cm="1">
        <f t="array" ref="AY532">SUBSTITUTE(SUBSTITUTE(_xlfn.SWITCH(AN532, "ITM_T_HOME", "ITM_UP1", "ITM_T_END", "ITM_DOWN1", "DOCU_CHR_sub", "ITM_DOWN_ARROW", "DOCU_CHR_super", "ITM_UP_ARROW", "MNU_TAMALPHA", "ITM_alpha", "DOCU_CHR_caseFLIP", "ITM_NULL", "DOCU_CHR_numSET", "ITM_NULL", "DOCU_ITM_RADIX", "ITM_PERIOD", AN532), ".lo", ),"MNU_", "-MNU_")</f>
        <v>-MNU_EQN</v>
      </c>
      <c r="AZ532" s="157" t="str" cm="1">
        <f t="array" ref="AZ532">SUBSTITUTE(SUBSTITUTE(_xlfn.SWITCH(AO532, "ITM_T_HOME", "ITM_UP1", "ITM_T_END", "ITM_DOWN1", "DOCU_CHR_sub", "ITM_DOWN_ARROW", "DOCU_CHR_super", "ITM_UP_ARROW", "MNU_TAMALPHA", "ITM_alpha", "DOCU_CHR_caseFLIP", "ITM_NULL", "DOCU_CHR_numSET", "ITM_NULL", "DOCU_ITM_RADIX", "ITM_PERIOD", AO532), ".lo", ),"MNU_", "-MNU_")</f>
        <v>-MNU_ADV</v>
      </c>
      <c r="BA532" s="173" t="str" cm="1">
        <f t="array" ref="BA532">SUBSTITUTE(SUBSTITUTE(_xlfn.SWITCH(AP532, "ITM_T_HOME", "ITM_UP1", "ITM_T_END", "ITM_DOWN1", "DOCU_CHR_sub", "ITM_DOWN_ARROW", "DOCU_CHR_super", "ITM_UP_ARROW", "MNU_TAMALPHA", "ITM_alpha", "DOCU_CHR_caseFLIP", "ITM_NULL", "DOCU_CHR_numSET", "ITM_NULL", "DOCU_ITM_RADIX", "ITM_PERIOD", AP532), ".lo", ),"MNU_", "-MNU_")</f>
        <v>ITM_CROSS</v>
      </c>
      <c r="BB532" s="157" t="str" cm="1">
        <f t="array" ref="BB532">SUBSTITUTE(SUBSTITUTE(_xlfn.SWITCH(AQ532, "ITM_T_HOME", "ITM_UP1", "ITM_T_END", "ITM_DOWN1", "DOCU_CHR_sub", "ITM_DOWN_ARROW", "DOCU_CHR_super", "ITM_UP_ARROW", "MNU_TAMALPHA", "ITM_alpha", "DOCU_CHR_caseFLIP", "ITM_NULL", "DOCU_CHR_numSET", "ITM_NULL", "DOCU_ITM_RADIX", "ITM_PERIOD", AQ532), ".lo", ),"MNU_", "-MNU_")</f>
        <v>ITM_U</v>
      </c>
      <c r="BC532" s="157" t="str" cm="1">
        <f t="array" ref="BC532">SUBSTITUTE(SUBSTITUTE(_xlfn.SWITCH(AR532, "ITM_T_HOME", "ITM_UP1", "ITM_T_END", "ITM_DOWN1", "DOCU_CHR_sub", "ITM_DOWN_ARROW", "DOCU_CHR_super", "ITM_UP_ARROW", "MNU_TAMALPHA", "ITM_alpha", "DOCU_CHR_caseFLIP", "ITM_NULL", "DOCU_CHR_numSET", "ITM_NULL", "DOCU_ITM_RADIX", "ITM_PERIOD", AR532), ".lo", ),"MNU_", "-MNU_")</f>
        <v>ITM_u</v>
      </c>
      <c r="BD532" s="157" t="str" cm="1">
        <f t="array" ref="BD532">SUBSTITUTE(SUBSTITUTE(_xlfn.SWITCH(AS532, "ITM_T_HOME", "ITM_UP1", "ITM_T_END", "ITM_DOWN1", "DOCU_CHR_sub", "ITM_DOWN_ARROW", "DOCU_CHR_super", "ITM_UP_ARROW", "MNU_TAMALPHA", "ITM_alpha", "DOCU_CHR_caseFLIP", "ITM_NULL", "DOCU_CHR_numSET", "ITM_NULL", "DOCU_ITM_RADIX", "ITM_PERIOD", AS532), ".lo", ),"MNU_", "-MNU_")</f>
        <v>ITM_CROSS</v>
      </c>
      <c r="BE532" s="157" t="str" cm="1">
        <f t="array" ref="BE532">SUBSTITUTE(SUBSTITUTE(_xlfn.SWITCH(AT532, "ITM_T_HOME", "ITM_UP1", "ITM_T_END", "ITM_DOWN1", "DOCU_CHR_sub", "ITM_DOWN_ARROW", "DOCU_CHR_super", "ITM_UP_ARROW", "MNU_TAMALPHA", "ITM_alpha", "DOCU_CHR_caseFLIP", "ITM_NULL", "DOCU_CHR_numSET", "ITM_NULL", "DOCU_ITM_RADIX", "ITM_PERIOD", AT532), ".lo", ),"MNU_", "-MNU_")</f>
        <v>ITM_MULT</v>
      </c>
      <c r="BG532" s="75"/>
      <c r="BI532" s="13" t="str">
        <f t="shared" si="223"/>
        <v xml:space="preserve">  {65,                  ITM_MULT,             -MNU_EQN,             -MNU_ADV,             ITM_CROSS,            ITM_U,                ITM_u,                ITM_CROSS,            ITM_MULT            },</v>
      </c>
    </row>
    <row r="533" spans="24:61" ht="21" x14ac:dyDescent="0.2">
      <c r="X533" s="141" t="str">
        <f t="shared" si="213"/>
        <v>R47fgbk</v>
      </c>
      <c r="Y533" s="138">
        <v>7</v>
      </c>
      <c r="Z533" s="138">
        <v>1</v>
      </c>
      <c r="AA533" s="144" t="str">
        <f t="shared" si="211"/>
        <v>R47fgbk.71</v>
      </c>
      <c r="AB533" s="148" t="str">
        <f t="shared" ref="AB533:AD533" si="274">AB441</f>
        <v>Dn</v>
      </c>
      <c r="AC533" s="149" t="str">
        <f t="shared" si="274"/>
        <v>Scroll Dn</v>
      </c>
      <c r="AD533" s="150" t="str">
        <f t="shared" si="274"/>
        <v>FLGS</v>
      </c>
      <c r="AE533" s="3"/>
      <c r="AF533" s="52" t="str">
        <f t="shared" ref="AF533" si="275">AF441</f>
        <v>END-&gt;</v>
      </c>
      <c r="AG533" s="77" t="b">
        <f t="shared" si="226"/>
        <v>0</v>
      </c>
      <c r="AH533" s="83" t="str">
        <f t="shared" si="215"/>
        <v>CASE DN</v>
      </c>
      <c r="AI533" s="84" t="str">
        <f t="shared" si="216"/>
        <v>Sub</v>
      </c>
      <c r="AJ533" s="85" t="str">
        <f t="shared" si="217"/>
        <v>Dn</v>
      </c>
      <c r="AK533" s="6"/>
      <c r="AL533" s="8" t="str">
        <f t="shared" si="218"/>
        <v>{71</v>
      </c>
      <c r="AM533" s="27" t="str">
        <f t="shared" si="219"/>
        <v>ITM_DOWN1</v>
      </c>
      <c r="AN533" s="27" t="str">
        <f t="shared" si="220"/>
        <v>ITM_SST</v>
      </c>
      <c r="AO533" s="27" t="str">
        <f t="shared" si="221"/>
        <v>ITM_FLGSV</v>
      </c>
      <c r="AP533" s="46" t="str">
        <f>IF(NOT(ISNA(MATCH(AM533,Lookups!E:E,))),VLOOKUP(AM533,Lookups!E:F,2,0),
IF(NOT(ISNA(MATCH(AN533,Lookups!E:E,))),VLOOKUP(AN533,Lookups!E:F,2,0),
IF(NOT(ISNA(MATCH(AO533,Lookups!E:E,))),VLOOKUP(AO533,Lookups!E:F,2,0),"ITM_NULL")))</f>
        <v>ITM_DOWN1</v>
      </c>
      <c r="AQ533" s="28" t="str">
        <f>VLOOKUP(AF533,labelitem,2,0)</f>
        <v>ITM_T_END</v>
      </c>
      <c r="AR533" s="198" t="s">
        <v>192</v>
      </c>
      <c r="AS533" s="186" t="s">
        <v>193</v>
      </c>
      <c r="AT533" s="197" t="s">
        <v>194</v>
      </c>
      <c r="AW533" s="14" t="str">
        <f t="shared" si="227"/>
        <v>{71</v>
      </c>
      <c r="AX533" s="157" t="str" cm="1">
        <f t="array" ref="AX533">SUBSTITUTE(SUBSTITUTE(_xlfn.SWITCH(AM533, "ITM_T_HOME", "ITM_UP1", "ITM_T_END", "ITM_DOWN1", "DOCU_CHR_sub", "ITM_DOWN_ARROW", "DOCU_CHR_super", "ITM_UP_ARROW", "MNU_TAMALPHA", "ITM_alpha", "DOCU_CHR_caseFLIP", "ITM_NULL", "DOCU_CHR_numSET", "ITM_NULL", "DOCU_ITM_RADIX", "ITM_PERIOD", AM533), ".lo", ),"MNU_", "-MNU_")</f>
        <v>ITM_DOWN1</v>
      </c>
      <c r="AY533" s="157" t="str" cm="1">
        <f t="array" ref="AY533">SUBSTITUTE(SUBSTITUTE(_xlfn.SWITCH(AN533, "ITM_T_HOME", "ITM_UP1", "ITM_T_END", "ITM_DOWN1", "DOCU_CHR_sub", "ITM_DOWN_ARROW", "DOCU_CHR_super", "ITM_UP_ARROW", "MNU_TAMALPHA", "ITM_alpha", "DOCU_CHR_caseFLIP", "ITM_NULL", "DOCU_CHR_numSET", "ITM_NULL", "DOCU_ITM_RADIX", "ITM_PERIOD", AN533), ".lo", ),"MNU_", "-MNU_")</f>
        <v>ITM_SST</v>
      </c>
      <c r="AZ533" s="157" t="str" cm="1">
        <f t="array" ref="AZ533">SUBSTITUTE(SUBSTITUTE(_xlfn.SWITCH(AO533, "ITM_T_HOME", "ITM_UP1", "ITM_T_END", "ITM_DOWN1", "DOCU_CHR_sub", "ITM_DOWN_ARROW", "DOCU_CHR_super", "ITM_UP_ARROW", "MNU_TAMALPHA", "ITM_alpha", "DOCU_CHR_caseFLIP", "ITM_NULL", "DOCU_CHR_numSET", "ITM_NULL", "DOCU_ITM_RADIX", "ITM_PERIOD", AO533), ".lo", ),"MNU_", "-MNU_")</f>
        <v>ITM_FLGSV</v>
      </c>
      <c r="BA533" s="173" t="str" cm="1">
        <f t="array" ref="BA533">SUBSTITUTE(SUBSTITUTE(_xlfn.SWITCH(AP533, "ITM_T_HOME", "ITM_UP1", "ITM_T_END", "ITM_DOWN1", "DOCU_CHR_sub", "ITM_DOWN_ARROW", "DOCU_CHR_super", "ITM_UP_ARROW", "MNU_TAMALPHA", "ITM_alpha", "DOCU_CHR_caseFLIP", "ITM_NULL", "DOCU_CHR_numSET", "ITM_NULL", "DOCU_ITM_RADIX", "ITM_PERIOD", AP533), ".lo", ),"MNU_", "-MNU_")</f>
        <v>ITM_DOWN1</v>
      </c>
      <c r="BB533" s="157" t="str" cm="1">
        <f t="array" ref="BB533">SUBSTITUTE(SUBSTITUTE(_xlfn.SWITCH(AQ533, "ITM_T_HOME", "ITM_UP1", "ITM_T_END", "ITM_DOWN1", "DOCU_CHR_sub", "ITM_DOWN_ARROW", "DOCU_CHR_super", "ITM_UP_ARROW", "MNU_TAMALPHA", "ITM_alpha", "DOCU_CHR_caseFLIP", "ITM_NULL", "DOCU_CHR_numSET", "ITM_NULL", "DOCU_ITM_RADIX", "ITM_PERIOD", AQ533), ".lo", ),"MNU_", "-MNU_")</f>
        <v>ITM_DOWN1</v>
      </c>
      <c r="BC533" s="157" t="str" cm="1">
        <f t="array" ref="BC533">SUBSTITUTE(SUBSTITUTE(_xlfn.SWITCH(AR533, "ITM_T_HOME", "ITM_UP1", "ITM_T_END", "ITM_DOWN1", "DOCU_CHR_sub", "ITM_DOWN_ARROW", "DOCU_CHR_super", "ITM_UP_ARROW", "MNU_TAMALPHA", "ITM_alpha", "DOCU_CHR_caseFLIP", "ITM_NULL", "DOCU_CHR_numSET", "ITM_NULL", "DOCU_ITM_RADIX", "ITM_PERIOD", AR533), ".lo", ),"MNU_", "-MNU_")</f>
        <v>CHR_caseDN</v>
      </c>
      <c r="BD533" s="157" t="str" cm="1">
        <f t="array" ref="BD533">SUBSTITUTE(SUBSTITUTE(_xlfn.SWITCH(AS533, "ITM_T_HOME", "ITM_UP1", "ITM_T_END", "ITM_DOWN1", "DOCU_CHR_sub", "ITM_DOWN_ARROW", "DOCU_CHR_super", "ITM_UP_ARROW", "MNU_TAMALPHA", "ITM_alpha", "DOCU_CHR_caseFLIP", "ITM_NULL", "DOCU_CHR_numSET", "ITM_NULL", "DOCU_ITM_RADIX", "ITM_PERIOD", AS533), ".lo", ),"MNU_", "-MNU_")</f>
        <v>ITM_DOWN_ARROW</v>
      </c>
      <c r="BE533" s="157" t="str" cm="1">
        <f t="array" ref="BE533">SUBSTITUTE(SUBSTITUTE(_xlfn.SWITCH(AT533, "ITM_T_HOME", "ITM_UP1", "ITM_T_END", "ITM_DOWN1", "DOCU_CHR_sub", "ITM_DOWN_ARROW", "DOCU_CHR_super", "ITM_UP_ARROW", "MNU_TAMALPHA", "ITM_alpha", "DOCU_CHR_caseFLIP", "ITM_NULL", "DOCU_CHR_numSET", "ITM_NULL", "DOCU_ITM_RADIX", "ITM_PERIOD", AT533), ".lo", ),"MNU_", "-MNU_")</f>
        <v>ITM_DOWN1</v>
      </c>
      <c r="BG533" s="75"/>
      <c r="BI533" s="13" t="str">
        <f t="shared" si="223"/>
        <v xml:space="preserve">  {71,                  ITM_DOWN1,            ITM_SST,              ITM_FLGSV,            ITM_DOWN1,            ITM_DOWN1,            CHR_caseDN,           ITM_DOWN_ARROW,       ITM_DOWN1           },</v>
      </c>
    </row>
    <row r="534" spans="24:61" ht="21" x14ac:dyDescent="0.2">
      <c r="X534" s="141" t="str">
        <f t="shared" si="213"/>
        <v>R47fgbk</v>
      </c>
      <c r="Y534" s="142">
        <v>7</v>
      </c>
      <c r="Z534" s="142">
        <v>2</v>
      </c>
      <c r="AA534" s="144" t="str">
        <f t="shared" si="211"/>
        <v>R47fgbk.72</v>
      </c>
      <c r="AB534" s="148">
        <f t="shared" ref="AB534:AD534" si="276">AB442</f>
        <v>1</v>
      </c>
      <c r="AC534" s="149" t="str">
        <f t="shared" si="276"/>
        <v>[ SETUP ]</v>
      </c>
      <c r="AD534" s="150" t="str">
        <f t="shared" si="276"/>
        <v>[ KEYS ]</v>
      </c>
      <c r="AE534" s="3"/>
      <c r="AF534" s="52" t="str">
        <f t="shared" ref="AF534" si="277">AF442</f>
        <v>V</v>
      </c>
      <c r="AG534" s="77" t="b">
        <f t="shared" si="226"/>
        <v>1</v>
      </c>
      <c r="AH534" s="83" t="str">
        <f t="shared" si="215"/>
        <v>v</v>
      </c>
      <c r="AI534" s="84">
        <f t="shared" si="216"/>
        <v>1</v>
      </c>
      <c r="AJ534" s="85">
        <f t="shared" si="217"/>
        <v>1</v>
      </c>
      <c r="AK534" s="6"/>
      <c r="AL534" s="8" t="str">
        <f t="shared" si="218"/>
        <v>{72</v>
      </c>
      <c r="AM534" s="27" t="str">
        <f t="shared" si="219"/>
        <v>ITM_1</v>
      </c>
      <c r="AN534" s="27" t="str">
        <f t="shared" si="220"/>
        <v>MNU_SETUP</v>
      </c>
      <c r="AO534" s="27" t="str">
        <f t="shared" si="221"/>
        <v>MNU_KEYS</v>
      </c>
      <c r="AP534" s="46" t="str">
        <f>IF(NOT(ISNA(MATCH(AM534,Lookups!E:E,))),VLOOKUP(AM534,Lookups!E:F,2,0),
IF(NOT(ISNA(MATCH(AN534,Lookups!E:E,))),VLOOKUP(AN534,Lookups!E:F,2,0),
IF(NOT(ISNA(MATCH(AO534,Lookups!E:E,))),VLOOKUP(AO534,Lookups!E:F,2,0),"ITM_NULL")))</f>
        <v>ITM_1</v>
      </c>
      <c r="AQ534" s="28" t="str">
        <f t="shared" ref="AQ534:AQ542" si="278">VLOOKUP(AF534,labelitem,2,0)</f>
        <v>ITM_V</v>
      </c>
      <c r="AR534" s="195" t="s">
        <v>208</v>
      </c>
      <c r="AS534" s="186" t="s">
        <v>226</v>
      </c>
      <c r="AT534" s="197" t="s">
        <v>226</v>
      </c>
      <c r="AW534" s="14" t="str">
        <f t="shared" si="227"/>
        <v>{72</v>
      </c>
      <c r="AX534" s="157" t="str" cm="1">
        <f t="array" ref="AX534">SUBSTITUTE(SUBSTITUTE(_xlfn.SWITCH(AM534, "ITM_T_HOME", "ITM_UP1", "ITM_T_END", "ITM_DOWN1", "DOCU_CHR_sub", "ITM_DOWN_ARROW", "DOCU_CHR_super", "ITM_UP_ARROW", "MNU_TAMALPHA", "ITM_alpha", "DOCU_CHR_caseFLIP", "ITM_NULL", "DOCU_CHR_numSET", "ITM_NULL", "DOCU_ITM_RADIX", "ITM_PERIOD", AM534), ".lo", ),"MNU_", "-MNU_")</f>
        <v>ITM_1</v>
      </c>
      <c r="AY534" s="157" t="str" cm="1">
        <f t="array" ref="AY534">SUBSTITUTE(SUBSTITUTE(_xlfn.SWITCH(AN534, "ITM_T_HOME", "ITM_UP1", "ITM_T_END", "ITM_DOWN1", "DOCU_CHR_sub", "ITM_DOWN_ARROW", "DOCU_CHR_super", "ITM_UP_ARROW", "MNU_TAMALPHA", "ITM_alpha", "DOCU_CHR_caseFLIP", "ITM_NULL", "DOCU_CHR_numSET", "ITM_NULL", "DOCU_ITM_RADIX", "ITM_PERIOD", AN534), ".lo", ),"MNU_", "-MNU_")</f>
        <v>-MNU_SETUP</v>
      </c>
      <c r="AZ534" s="157" t="str" cm="1">
        <f t="array" ref="AZ534">SUBSTITUTE(SUBSTITUTE(_xlfn.SWITCH(AO534, "ITM_T_HOME", "ITM_UP1", "ITM_T_END", "ITM_DOWN1", "DOCU_CHR_sub", "ITM_DOWN_ARROW", "DOCU_CHR_super", "ITM_UP_ARROW", "MNU_TAMALPHA", "ITM_alpha", "DOCU_CHR_caseFLIP", "ITM_NULL", "DOCU_CHR_numSET", "ITM_NULL", "DOCU_ITM_RADIX", "ITM_PERIOD", AO534), ".lo", ),"MNU_", "-MNU_")</f>
        <v>-MNU_KEYS</v>
      </c>
      <c r="BA534" s="173" t="str" cm="1">
        <f t="array" ref="BA534">SUBSTITUTE(SUBSTITUTE(_xlfn.SWITCH(AP534, "ITM_T_HOME", "ITM_UP1", "ITM_T_END", "ITM_DOWN1", "DOCU_CHR_sub", "ITM_DOWN_ARROW", "DOCU_CHR_super", "ITM_UP_ARROW", "MNU_TAMALPHA", "ITM_alpha", "DOCU_CHR_caseFLIP", "ITM_NULL", "DOCU_CHR_numSET", "ITM_NULL", "DOCU_ITM_RADIX", "ITM_PERIOD", AP534), ".lo", ),"MNU_", "-MNU_")</f>
        <v>ITM_1</v>
      </c>
      <c r="BB534" s="157" t="str" cm="1">
        <f t="array" ref="BB534">SUBSTITUTE(SUBSTITUTE(_xlfn.SWITCH(AQ534, "ITM_T_HOME", "ITM_UP1", "ITM_T_END", "ITM_DOWN1", "DOCU_CHR_sub", "ITM_DOWN_ARROW", "DOCU_CHR_super", "ITM_UP_ARROW", "MNU_TAMALPHA", "ITM_alpha", "DOCU_CHR_caseFLIP", "ITM_NULL", "DOCU_CHR_numSET", "ITM_NULL", "DOCU_ITM_RADIX", "ITM_PERIOD", AQ534), ".lo", ),"MNU_", "-MNU_")</f>
        <v>ITM_V</v>
      </c>
      <c r="BC534" s="157" t="str" cm="1">
        <f t="array" ref="BC534">SUBSTITUTE(SUBSTITUTE(_xlfn.SWITCH(AR534, "ITM_T_HOME", "ITM_UP1", "ITM_T_END", "ITM_DOWN1", "DOCU_CHR_sub", "ITM_DOWN_ARROW", "DOCU_CHR_super", "ITM_UP_ARROW", "MNU_TAMALPHA", "ITM_alpha", "DOCU_CHR_caseFLIP", "ITM_NULL", "DOCU_CHR_numSET", "ITM_NULL", "DOCU_ITM_RADIX", "ITM_PERIOD", AR534), ".lo", ),"MNU_", "-MNU_")</f>
        <v>ITM_v</v>
      </c>
      <c r="BD534" s="157" t="str" cm="1">
        <f t="array" ref="BD534">SUBSTITUTE(SUBSTITUTE(_xlfn.SWITCH(AS534, "ITM_T_HOME", "ITM_UP1", "ITM_T_END", "ITM_DOWN1", "DOCU_CHR_sub", "ITM_DOWN_ARROW", "DOCU_CHR_super", "ITM_UP_ARROW", "MNU_TAMALPHA", "ITM_alpha", "DOCU_CHR_caseFLIP", "ITM_NULL", "DOCU_CHR_numSET", "ITM_NULL", "DOCU_ITM_RADIX", "ITM_PERIOD", AS534), ".lo", ),"MNU_", "-MNU_")</f>
        <v>ITM_1</v>
      </c>
      <c r="BE534" s="157" t="str" cm="1">
        <f t="array" ref="BE534">SUBSTITUTE(SUBSTITUTE(_xlfn.SWITCH(AT534, "ITM_T_HOME", "ITM_UP1", "ITM_T_END", "ITM_DOWN1", "DOCU_CHR_sub", "ITM_DOWN_ARROW", "DOCU_CHR_super", "ITM_UP_ARROW", "MNU_TAMALPHA", "ITM_alpha", "DOCU_CHR_caseFLIP", "ITM_NULL", "DOCU_CHR_numSET", "ITM_NULL", "DOCU_ITM_RADIX", "ITM_PERIOD", AT534), ".lo", ),"MNU_", "-MNU_")</f>
        <v>ITM_1</v>
      </c>
      <c r="BG534" s="75"/>
      <c r="BI534" s="13" t="str">
        <f t="shared" si="223"/>
        <v xml:space="preserve">  {72,                  ITM_1,                -MNU_SETUP,           -MNU_KEYS,            ITM_1,                ITM_V,                ITM_v,                ITM_1,                ITM_1               },</v>
      </c>
    </row>
    <row r="535" spans="24:61" ht="21" x14ac:dyDescent="0.2">
      <c r="X535" s="141" t="str">
        <f t="shared" si="213"/>
        <v>R47fgbk</v>
      </c>
      <c r="Y535" s="142">
        <v>7</v>
      </c>
      <c r="Z535" s="142">
        <v>3</v>
      </c>
      <c r="AA535" s="144" t="str">
        <f t="shared" si="211"/>
        <v>R47fgbk.73</v>
      </c>
      <c r="AB535" s="148">
        <f t="shared" ref="AB535:AD535" si="279">AB443</f>
        <v>2</v>
      </c>
      <c r="AC535" s="152" t="str">
        <f t="shared" si="279"/>
        <v>[ CONV ]</v>
      </c>
      <c r="AD535" s="119" t="str">
        <f t="shared" si="279"/>
        <v>[ CLK ]</v>
      </c>
      <c r="AE535" s="3"/>
      <c r="AF535" s="52" t="str">
        <f t="shared" ref="AF535" si="280">AF443</f>
        <v>W</v>
      </c>
      <c r="AG535" s="77" t="b">
        <f t="shared" si="226"/>
        <v>1</v>
      </c>
      <c r="AH535" s="83" t="str">
        <f t="shared" si="215"/>
        <v>w</v>
      </c>
      <c r="AI535" s="84">
        <f t="shared" si="216"/>
        <v>2</v>
      </c>
      <c r="AJ535" s="85">
        <f t="shared" si="217"/>
        <v>2</v>
      </c>
      <c r="AK535" s="6"/>
      <c r="AL535" s="8" t="str">
        <f t="shared" si="218"/>
        <v>{73</v>
      </c>
      <c r="AM535" s="27" t="str">
        <f t="shared" si="219"/>
        <v>ITM_2</v>
      </c>
      <c r="AN535" s="27" t="str">
        <f t="shared" si="220"/>
        <v>MNU_UNITCONV</v>
      </c>
      <c r="AO535" s="27" t="str">
        <f t="shared" si="221"/>
        <v>MNU_CLK</v>
      </c>
      <c r="AP535" s="46" t="str">
        <f>IF(NOT(ISNA(MATCH(AM535,Lookups!E:E,))),VLOOKUP(AM535,Lookups!E:F,2,0),
IF(NOT(ISNA(MATCH(AN535,Lookups!E:E,))),VLOOKUP(AN535,Lookups!E:F,2,0),
IF(NOT(ISNA(MATCH(AO535,Lookups!E:E,))),VLOOKUP(AO535,Lookups!E:F,2,0),"ITM_NULL")))</f>
        <v>ITM_2</v>
      </c>
      <c r="AQ535" s="28" t="str">
        <f t="shared" si="278"/>
        <v>ITM_W</v>
      </c>
      <c r="AR535" s="195" t="s">
        <v>214</v>
      </c>
      <c r="AS535" s="186" t="s">
        <v>230</v>
      </c>
      <c r="AT535" s="197" t="s">
        <v>230</v>
      </c>
      <c r="AW535" s="14" t="str">
        <f t="shared" si="227"/>
        <v>{73</v>
      </c>
      <c r="AX535" s="157" t="str" cm="1">
        <f t="array" ref="AX535">SUBSTITUTE(SUBSTITUTE(_xlfn.SWITCH(AM535, "ITM_T_HOME", "ITM_UP1", "ITM_T_END", "ITM_DOWN1", "DOCU_CHR_sub", "ITM_DOWN_ARROW", "DOCU_CHR_super", "ITM_UP_ARROW", "MNU_TAMALPHA", "ITM_alpha", "DOCU_CHR_caseFLIP", "ITM_NULL", "DOCU_CHR_numSET", "ITM_NULL", "DOCU_ITM_RADIX", "ITM_PERIOD", AM535), ".lo", ),"MNU_", "-MNU_")</f>
        <v>ITM_2</v>
      </c>
      <c r="AY535" s="157" t="str" cm="1">
        <f t="array" ref="AY535">SUBSTITUTE(SUBSTITUTE(_xlfn.SWITCH(AN535, "ITM_T_HOME", "ITM_UP1", "ITM_T_END", "ITM_DOWN1", "DOCU_CHR_sub", "ITM_DOWN_ARROW", "DOCU_CHR_super", "ITM_UP_ARROW", "MNU_TAMALPHA", "ITM_alpha", "DOCU_CHR_caseFLIP", "ITM_NULL", "DOCU_CHR_numSET", "ITM_NULL", "DOCU_ITM_RADIX", "ITM_PERIOD", AN535), ".lo", ),"MNU_", "-MNU_")</f>
        <v>-MNU_UNITCONV</v>
      </c>
      <c r="AZ535" s="157" t="str" cm="1">
        <f t="array" ref="AZ535">SUBSTITUTE(SUBSTITUTE(_xlfn.SWITCH(AO535, "ITM_T_HOME", "ITM_UP1", "ITM_T_END", "ITM_DOWN1", "DOCU_CHR_sub", "ITM_DOWN_ARROW", "DOCU_CHR_super", "ITM_UP_ARROW", "MNU_TAMALPHA", "ITM_alpha", "DOCU_CHR_caseFLIP", "ITM_NULL", "DOCU_CHR_numSET", "ITM_NULL", "DOCU_ITM_RADIX", "ITM_PERIOD", AO535), ".lo", ),"MNU_", "-MNU_")</f>
        <v>-MNU_CLK</v>
      </c>
      <c r="BA535" s="173" t="str" cm="1">
        <f t="array" ref="BA535">SUBSTITUTE(SUBSTITUTE(_xlfn.SWITCH(AP535, "ITM_T_HOME", "ITM_UP1", "ITM_T_END", "ITM_DOWN1", "DOCU_CHR_sub", "ITM_DOWN_ARROW", "DOCU_CHR_super", "ITM_UP_ARROW", "MNU_TAMALPHA", "ITM_alpha", "DOCU_CHR_caseFLIP", "ITM_NULL", "DOCU_CHR_numSET", "ITM_NULL", "DOCU_ITM_RADIX", "ITM_PERIOD", AP535), ".lo", ),"MNU_", "-MNU_")</f>
        <v>ITM_2</v>
      </c>
      <c r="BB535" s="157" t="str" cm="1">
        <f t="array" ref="BB535">SUBSTITUTE(SUBSTITUTE(_xlfn.SWITCH(AQ535, "ITM_T_HOME", "ITM_UP1", "ITM_T_END", "ITM_DOWN1", "DOCU_CHR_sub", "ITM_DOWN_ARROW", "DOCU_CHR_super", "ITM_UP_ARROW", "MNU_TAMALPHA", "ITM_alpha", "DOCU_CHR_caseFLIP", "ITM_NULL", "DOCU_CHR_numSET", "ITM_NULL", "DOCU_ITM_RADIX", "ITM_PERIOD", AQ535), ".lo", ),"MNU_", "-MNU_")</f>
        <v>ITM_W</v>
      </c>
      <c r="BC535" s="157" t="str" cm="1">
        <f t="array" ref="BC535">SUBSTITUTE(SUBSTITUTE(_xlfn.SWITCH(AR535, "ITM_T_HOME", "ITM_UP1", "ITM_T_END", "ITM_DOWN1", "DOCU_CHR_sub", "ITM_DOWN_ARROW", "DOCU_CHR_super", "ITM_UP_ARROW", "MNU_TAMALPHA", "ITM_alpha", "DOCU_CHR_caseFLIP", "ITM_NULL", "DOCU_CHR_numSET", "ITM_NULL", "DOCU_ITM_RADIX", "ITM_PERIOD", AR535), ".lo", ),"MNU_", "-MNU_")</f>
        <v>ITM_w</v>
      </c>
      <c r="BD535" s="157" t="str" cm="1">
        <f t="array" ref="BD535">SUBSTITUTE(SUBSTITUTE(_xlfn.SWITCH(AS535, "ITM_T_HOME", "ITM_UP1", "ITM_T_END", "ITM_DOWN1", "DOCU_CHR_sub", "ITM_DOWN_ARROW", "DOCU_CHR_super", "ITM_UP_ARROW", "MNU_TAMALPHA", "ITM_alpha", "DOCU_CHR_caseFLIP", "ITM_NULL", "DOCU_CHR_numSET", "ITM_NULL", "DOCU_ITM_RADIX", "ITM_PERIOD", AS535), ".lo", ),"MNU_", "-MNU_")</f>
        <v>ITM_2</v>
      </c>
      <c r="BE535" s="157" t="str" cm="1">
        <f t="array" ref="BE535">SUBSTITUTE(SUBSTITUTE(_xlfn.SWITCH(AT535, "ITM_T_HOME", "ITM_UP1", "ITM_T_END", "ITM_DOWN1", "DOCU_CHR_sub", "ITM_DOWN_ARROW", "DOCU_CHR_super", "ITM_UP_ARROW", "MNU_TAMALPHA", "ITM_alpha", "DOCU_CHR_caseFLIP", "ITM_NULL", "DOCU_CHR_numSET", "ITM_NULL", "DOCU_ITM_RADIX", "ITM_PERIOD", AT535), ".lo", ),"MNU_", "-MNU_")</f>
        <v>ITM_2</v>
      </c>
      <c r="BG535" s="75"/>
      <c r="BI535" s="13" t="str">
        <f t="shared" si="223"/>
        <v xml:space="preserve">  {73,                  ITM_2,                -MNU_UNITCONV,        -MNU_CLK,             ITM_2,                ITM_W,                ITM_w,                ITM_2,                ITM_2               },</v>
      </c>
    </row>
    <row r="536" spans="24:61" ht="21" x14ac:dyDescent="0.2">
      <c r="X536" s="141" t="str">
        <f t="shared" si="213"/>
        <v>R47fgbk</v>
      </c>
      <c r="Y536" s="142">
        <v>7</v>
      </c>
      <c r="Z536" s="142">
        <v>4</v>
      </c>
      <c r="AA536" s="144" t="str">
        <f t="shared" si="211"/>
        <v>R47fgbk.74</v>
      </c>
      <c r="AB536" s="148">
        <f t="shared" ref="AB536:AD536" si="281">AB444</f>
        <v>3</v>
      </c>
      <c r="AC536" s="149" t="str">
        <f t="shared" si="281"/>
        <v>[ FLAG ]</v>
      </c>
      <c r="AD536" s="150" t="str">
        <f t="shared" si="281"/>
        <v>[ a.FN ]</v>
      </c>
      <c r="AE536" s="3"/>
      <c r="AF536" s="52" t="str">
        <f t="shared" ref="AF536" si="282">AF444</f>
        <v>X</v>
      </c>
      <c r="AG536" s="77" t="b">
        <f t="shared" si="226"/>
        <v>1</v>
      </c>
      <c r="AH536" s="83" t="str">
        <f t="shared" si="215"/>
        <v>x</v>
      </c>
      <c r="AI536" s="84">
        <f t="shared" si="216"/>
        <v>3</v>
      </c>
      <c r="AJ536" s="85">
        <f t="shared" si="217"/>
        <v>3</v>
      </c>
      <c r="AK536" s="6"/>
      <c r="AL536" s="8" t="str">
        <f t="shared" si="218"/>
        <v>{74</v>
      </c>
      <c r="AM536" s="27" t="str">
        <f t="shared" si="219"/>
        <v>ITM_3</v>
      </c>
      <c r="AN536" s="27" t="str">
        <f t="shared" si="220"/>
        <v>MNU_FLAGS</v>
      </c>
      <c r="AO536" s="27" t="str">
        <f t="shared" si="221"/>
        <v>MNU_ALPHAFN</v>
      </c>
      <c r="AP536" s="46" t="str">
        <f>IF(NOT(ISNA(MATCH(AM536,Lookups!E:E,))),VLOOKUP(AM536,Lookups!E:F,2,0),
IF(NOT(ISNA(MATCH(AN536,Lookups!E:E,))),VLOOKUP(AN536,Lookups!E:F,2,0),
IF(NOT(ISNA(MATCH(AO536,Lookups!E:E,))),VLOOKUP(AO536,Lookups!E:F,2,0),"ITM_NULL")))</f>
        <v>ITM_3</v>
      </c>
      <c r="AQ536" s="28" t="str">
        <f t="shared" si="278"/>
        <v>ITM_X</v>
      </c>
      <c r="AR536" s="195" t="s">
        <v>225</v>
      </c>
      <c r="AS536" s="186" t="s">
        <v>235</v>
      </c>
      <c r="AT536" s="197" t="s">
        <v>235</v>
      </c>
      <c r="AW536" s="14" t="str">
        <f t="shared" si="227"/>
        <v>{74</v>
      </c>
      <c r="AX536" s="157" t="str" cm="1">
        <f t="array" ref="AX536">SUBSTITUTE(SUBSTITUTE(_xlfn.SWITCH(AM536, "ITM_T_HOME", "ITM_UP1", "ITM_T_END", "ITM_DOWN1", "DOCU_CHR_sub", "ITM_DOWN_ARROW", "DOCU_CHR_super", "ITM_UP_ARROW", "MNU_TAMALPHA", "ITM_alpha", "DOCU_CHR_caseFLIP", "ITM_NULL", "DOCU_CHR_numSET", "ITM_NULL", "DOCU_ITM_RADIX", "ITM_PERIOD", AM536), ".lo", ),"MNU_", "-MNU_")</f>
        <v>ITM_3</v>
      </c>
      <c r="AY536" s="157" t="str" cm="1">
        <f t="array" ref="AY536">SUBSTITUTE(SUBSTITUTE(_xlfn.SWITCH(AN536, "ITM_T_HOME", "ITM_UP1", "ITM_T_END", "ITM_DOWN1", "DOCU_CHR_sub", "ITM_DOWN_ARROW", "DOCU_CHR_super", "ITM_UP_ARROW", "MNU_TAMALPHA", "ITM_alpha", "DOCU_CHR_caseFLIP", "ITM_NULL", "DOCU_CHR_numSET", "ITM_NULL", "DOCU_ITM_RADIX", "ITM_PERIOD", AN536), ".lo", ),"MNU_", "-MNU_")</f>
        <v>-MNU_FLAGS</v>
      </c>
      <c r="AZ536" s="157" t="str" cm="1">
        <f t="array" ref="AZ536">SUBSTITUTE(SUBSTITUTE(_xlfn.SWITCH(AO536, "ITM_T_HOME", "ITM_UP1", "ITM_T_END", "ITM_DOWN1", "DOCU_CHR_sub", "ITM_DOWN_ARROW", "DOCU_CHR_super", "ITM_UP_ARROW", "MNU_TAMALPHA", "ITM_alpha", "DOCU_CHR_caseFLIP", "ITM_NULL", "DOCU_CHR_numSET", "ITM_NULL", "DOCU_ITM_RADIX", "ITM_PERIOD", AO536), ".lo", ),"MNU_", "-MNU_")</f>
        <v>-MNU_ALPHAFN</v>
      </c>
      <c r="BA536" s="173" t="str" cm="1">
        <f t="array" ref="BA536">SUBSTITUTE(SUBSTITUTE(_xlfn.SWITCH(AP536, "ITM_T_HOME", "ITM_UP1", "ITM_T_END", "ITM_DOWN1", "DOCU_CHR_sub", "ITM_DOWN_ARROW", "DOCU_CHR_super", "ITM_UP_ARROW", "MNU_TAMALPHA", "ITM_alpha", "DOCU_CHR_caseFLIP", "ITM_NULL", "DOCU_CHR_numSET", "ITM_NULL", "DOCU_ITM_RADIX", "ITM_PERIOD", AP536), ".lo", ),"MNU_", "-MNU_")</f>
        <v>ITM_3</v>
      </c>
      <c r="BB536" s="157" t="str" cm="1">
        <f t="array" ref="BB536">SUBSTITUTE(SUBSTITUTE(_xlfn.SWITCH(AQ536, "ITM_T_HOME", "ITM_UP1", "ITM_T_END", "ITM_DOWN1", "DOCU_CHR_sub", "ITM_DOWN_ARROW", "DOCU_CHR_super", "ITM_UP_ARROW", "MNU_TAMALPHA", "ITM_alpha", "DOCU_CHR_caseFLIP", "ITM_NULL", "DOCU_CHR_numSET", "ITM_NULL", "DOCU_ITM_RADIX", "ITM_PERIOD", AQ536), ".lo", ),"MNU_", "-MNU_")</f>
        <v>ITM_X</v>
      </c>
      <c r="BC536" s="157" t="str" cm="1">
        <f t="array" ref="BC536">SUBSTITUTE(SUBSTITUTE(_xlfn.SWITCH(AR536, "ITM_T_HOME", "ITM_UP1", "ITM_T_END", "ITM_DOWN1", "DOCU_CHR_sub", "ITM_DOWN_ARROW", "DOCU_CHR_super", "ITM_UP_ARROW", "MNU_TAMALPHA", "ITM_alpha", "DOCU_CHR_caseFLIP", "ITM_NULL", "DOCU_CHR_numSET", "ITM_NULL", "DOCU_ITM_RADIX", "ITM_PERIOD", AR536), ".lo", ),"MNU_", "-MNU_")</f>
        <v>ITM_x</v>
      </c>
      <c r="BD536" s="157" t="str" cm="1">
        <f t="array" ref="BD536">SUBSTITUTE(SUBSTITUTE(_xlfn.SWITCH(AS536, "ITM_T_HOME", "ITM_UP1", "ITM_T_END", "ITM_DOWN1", "DOCU_CHR_sub", "ITM_DOWN_ARROW", "DOCU_CHR_super", "ITM_UP_ARROW", "MNU_TAMALPHA", "ITM_alpha", "DOCU_CHR_caseFLIP", "ITM_NULL", "DOCU_CHR_numSET", "ITM_NULL", "DOCU_ITM_RADIX", "ITM_PERIOD", AS536), ".lo", ),"MNU_", "-MNU_")</f>
        <v>ITM_3</v>
      </c>
      <c r="BE536" s="157" t="str" cm="1">
        <f t="array" ref="BE536">SUBSTITUTE(SUBSTITUTE(_xlfn.SWITCH(AT536, "ITM_T_HOME", "ITM_UP1", "ITM_T_END", "ITM_DOWN1", "DOCU_CHR_sub", "ITM_DOWN_ARROW", "DOCU_CHR_super", "ITM_UP_ARROW", "MNU_TAMALPHA", "ITM_alpha", "DOCU_CHR_caseFLIP", "ITM_NULL", "DOCU_CHR_numSET", "ITM_NULL", "DOCU_ITM_RADIX", "ITM_PERIOD", AT536), ".lo", ),"MNU_", "-MNU_")</f>
        <v>ITM_3</v>
      </c>
      <c r="BG536" s="75"/>
      <c r="BI536" s="13" t="str">
        <f t="shared" si="223"/>
        <v xml:space="preserve">  {74,                  ITM_3,                -MNU_FLAGS,           -MNU_ALPHAFN,         ITM_3,                ITM_X,                ITM_x,                ITM_3,                ITM_3               },</v>
      </c>
    </row>
    <row r="537" spans="24:61" ht="21" x14ac:dyDescent="0.2">
      <c r="X537" s="141" t="str">
        <f t="shared" si="213"/>
        <v>R47fgbk</v>
      </c>
      <c r="Y537" s="142">
        <v>7</v>
      </c>
      <c r="Z537" s="142">
        <v>5</v>
      </c>
      <c r="AA537" s="144" t="str">
        <f t="shared" si="211"/>
        <v>R47fgbk.75</v>
      </c>
      <c r="AB537" s="148" t="str">
        <f t="shared" ref="AB537:AD537" si="283">AB445</f>
        <v>-</v>
      </c>
      <c r="AC537" s="149" t="str">
        <f t="shared" si="283"/>
        <v>[ PROB ]</v>
      </c>
      <c r="AD537" s="150" t="str">
        <f t="shared" si="283"/>
        <v>[ FIN ]</v>
      </c>
      <c r="AE537" s="3"/>
      <c r="AF537" s="52" t="str">
        <f t="shared" ref="AF537" si="284">AF445</f>
        <v>Y</v>
      </c>
      <c r="AG537" s="77" t="b">
        <f t="shared" si="226"/>
        <v>1</v>
      </c>
      <c r="AH537" s="83" t="str">
        <f t="shared" si="215"/>
        <v>y</v>
      </c>
      <c r="AI537" s="84" t="str">
        <f t="shared" si="216"/>
        <v>-</v>
      </c>
      <c r="AJ537" s="85" t="str">
        <f t="shared" si="217"/>
        <v>-</v>
      </c>
      <c r="AK537" s="6"/>
      <c r="AL537" s="8" t="str">
        <f t="shared" si="218"/>
        <v>{75</v>
      </c>
      <c r="AM537" s="27" t="str">
        <f t="shared" si="219"/>
        <v>ITM_SUB</v>
      </c>
      <c r="AN537" s="27" t="str">
        <f t="shared" si="220"/>
        <v>MNU_PROB</v>
      </c>
      <c r="AO537" s="27" t="str">
        <f t="shared" si="221"/>
        <v>MNU_FIN</v>
      </c>
      <c r="AP537" s="46" t="str">
        <f>IF(NOT(ISNA(MATCH(AM537,Lookups!E:E,))),VLOOKUP(AM537,Lookups!E:F,2,0),
IF(NOT(ISNA(MATCH(AN537,Lookups!E:E,))),VLOOKUP(AN537,Lookups!E:F,2,0),
IF(NOT(ISNA(MATCH(AO537,Lookups!E:E,))),VLOOKUP(AO537,Lookups!E:F,2,0),"ITM_NULL")))</f>
        <v>ITM_MINUS</v>
      </c>
      <c r="AQ537" s="28" t="str">
        <f t="shared" si="278"/>
        <v>ITM_Y</v>
      </c>
      <c r="AR537" s="195" t="s">
        <v>229</v>
      </c>
      <c r="AS537" s="186" t="s">
        <v>240</v>
      </c>
      <c r="AT537" s="197" t="s">
        <v>241</v>
      </c>
      <c r="AW537" s="14" t="str">
        <f t="shared" si="227"/>
        <v>{75</v>
      </c>
      <c r="AX537" s="157" t="str" cm="1">
        <f t="array" ref="AX537">SUBSTITUTE(SUBSTITUTE(_xlfn.SWITCH(AM537, "ITM_T_HOME", "ITM_UP1", "ITM_T_END", "ITM_DOWN1", "DOCU_CHR_sub", "ITM_DOWN_ARROW", "DOCU_CHR_super", "ITM_UP_ARROW", "MNU_TAMALPHA", "ITM_alpha", "DOCU_CHR_caseFLIP", "ITM_NULL", "DOCU_CHR_numSET", "ITM_NULL", "DOCU_ITM_RADIX", "ITM_PERIOD", AM537), ".lo", ),"MNU_", "-MNU_")</f>
        <v>ITM_SUB</v>
      </c>
      <c r="AY537" s="157" t="str" cm="1">
        <f t="array" ref="AY537">SUBSTITUTE(SUBSTITUTE(_xlfn.SWITCH(AN537, "ITM_T_HOME", "ITM_UP1", "ITM_T_END", "ITM_DOWN1", "DOCU_CHR_sub", "ITM_DOWN_ARROW", "DOCU_CHR_super", "ITM_UP_ARROW", "MNU_TAMALPHA", "ITM_alpha", "DOCU_CHR_caseFLIP", "ITM_NULL", "DOCU_CHR_numSET", "ITM_NULL", "DOCU_ITM_RADIX", "ITM_PERIOD", AN537), ".lo", ),"MNU_", "-MNU_")</f>
        <v>-MNU_PROB</v>
      </c>
      <c r="AZ537" s="157" t="str" cm="1">
        <f t="array" ref="AZ537">SUBSTITUTE(SUBSTITUTE(_xlfn.SWITCH(AO537, "ITM_T_HOME", "ITM_UP1", "ITM_T_END", "ITM_DOWN1", "DOCU_CHR_sub", "ITM_DOWN_ARROW", "DOCU_CHR_super", "ITM_UP_ARROW", "MNU_TAMALPHA", "ITM_alpha", "DOCU_CHR_caseFLIP", "ITM_NULL", "DOCU_CHR_numSET", "ITM_NULL", "DOCU_ITM_RADIX", "ITM_PERIOD", AO537), ".lo", ),"MNU_", "-MNU_")</f>
        <v>-MNU_FIN</v>
      </c>
      <c r="BA537" s="173" t="str" cm="1">
        <f t="array" ref="BA537">SUBSTITUTE(SUBSTITUTE(_xlfn.SWITCH(AP537, "ITM_T_HOME", "ITM_UP1", "ITM_T_END", "ITM_DOWN1", "DOCU_CHR_sub", "ITM_DOWN_ARROW", "DOCU_CHR_super", "ITM_UP_ARROW", "MNU_TAMALPHA", "ITM_alpha", "DOCU_CHR_caseFLIP", "ITM_NULL", "DOCU_CHR_numSET", "ITM_NULL", "DOCU_ITM_RADIX", "ITM_PERIOD", AP537), ".lo", ),"MNU_", "-MNU_")</f>
        <v>ITM_MINUS</v>
      </c>
      <c r="BB537" s="157" t="str" cm="1">
        <f t="array" ref="BB537">SUBSTITUTE(SUBSTITUTE(_xlfn.SWITCH(AQ537, "ITM_T_HOME", "ITM_UP1", "ITM_T_END", "ITM_DOWN1", "DOCU_CHR_sub", "ITM_DOWN_ARROW", "DOCU_CHR_super", "ITM_UP_ARROW", "MNU_TAMALPHA", "ITM_alpha", "DOCU_CHR_caseFLIP", "ITM_NULL", "DOCU_CHR_numSET", "ITM_NULL", "DOCU_ITM_RADIX", "ITM_PERIOD", AQ537), ".lo", ),"MNU_", "-MNU_")</f>
        <v>ITM_Y</v>
      </c>
      <c r="BC537" s="157" t="str" cm="1">
        <f t="array" ref="BC537">SUBSTITUTE(SUBSTITUTE(_xlfn.SWITCH(AR537, "ITM_T_HOME", "ITM_UP1", "ITM_T_END", "ITM_DOWN1", "DOCU_CHR_sub", "ITM_DOWN_ARROW", "DOCU_CHR_super", "ITM_UP_ARROW", "MNU_TAMALPHA", "ITM_alpha", "DOCU_CHR_caseFLIP", "ITM_NULL", "DOCU_CHR_numSET", "ITM_NULL", "DOCU_ITM_RADIX", "ITM_PERIOD", AR537), ".lo", ),"MNU_", "-MNU_")</f>
        <v>ITM_y</v>
      </c>
      <c r="BD537" s="157" t="str" cm="1">
        <f t="array" ref="BD537">SUBSTITUTE(SUBSTITUTE(_xlfn.SWITCH(AS537, "ITM_T_HOME", "ITM_UP1", "ITM_T_END", "ITM_DOWN1", "DOCU_CHR_sub", "ITM_DOWN_ARROW", "DOCU_CHR_super", "ITM_UP_ARROW", "MNU_TAMALPHA", "ITM_alpha", "DOCU_CHR_caseFLIP", "ITM_NULL", "DOCU_CHR_numSET", "ITM_NULL", "DOCU_ITM_RADIX", "ITM_PERIOD", AS537), ".lo", ),"MNU_", "-MNU_")</f>
        <v>ITM_MINUS</v>
      </c>
      <c r="BE537" s="157" t="str" cm="1">
        <f t="array" ref="BE537">SUBSTITUTE(SUBSTITUTE(_xlfn.SWITCH(AT537, "ITM_T_HOME", "ITM_UP1", "ITM_T_END", "ITM_DOWN1", "DOCU_CHR_sub", "ITM_DOWN_ARROW", "DOCU_CHR_super", "ITM_UP_ARROW", "MNU_TAMALPHA", "ITM_alpha", "DOCU_CHR_caseFLIP", "ITM_NULL", "DOCU_CHR_numSET", "ITM_NULL", "DOCU_ITM_RADIX", "ITM_PERIOD", AT537), ".lo", ),"MNU_", "-MNU_")</f>
        <v>ITM_SUB</v>
      </c>
      <c r="BG537" s="75"/>
      <c r="BI537" s="13" t="str">
        <f t="shared" si="223"/>
        <v xml:space="preserve">  {75,                  ITM_SUB,              -MNU_PROB,            -MNU_FIN,             ITM_MINUS,            ITM_Y,                ITM_y,                ITM_MINUS,            ITM_SUB             },</v>
      </c>
    </row>
    <row r="538" spans="24:61" ht="21" x14ac:dyDescent="0.2">
      <c r="X538" s="141" t="str">
        <f t="shared" si="213"/>
        <v>R47fgbk</v>
      </c>
      <c r="Y538" s="138">
        <v>8</v>
      </c>
      <c r="Z538" s="138">
        <v>1</v>
      </c>
      <c r="AA538" s="144" t="str">
        <f t="shared" si="211"/>
        <v>R47fgbk.81</v>
      </c>
      <c r="AB538" s="148" t="str">
        <f t="shared" ref="AB538:AD538" si="285">AB446</f>
        <v>EXIT</v>
      </c>
      <c r="AC538" s="149" t="str">
        <f t="shared" si="285"/>
        <v>OFF</v>
      </c>
      <c r="AD538" s="150" t="str">
        <f t="shared" si="285"/>
        <v>SNAP</v>
      </c>
      <c r="AE538" s="3"/>
      <c r="AF538" s="52" t="str">
        <f t="shared" ref="AF538" si="286">AF446</f>
        <v>EXIT</v>
      </c>
      <c r="AG538" s="77" t="b">
        <f t="shared" si="226"/>
        <v>0</v>
      </c>
      <c r="AH538" s="83" t="str">
        <f t="shared" si="215"/>
        <v>OFF</v>
      </c>
      <c r="AI538" s="84" t="str">
        <f t="shared" si="216"/>
        <v>SNAP</v>
      </c>
      <c r="AJ538" s="85" t="str">
        <f t="shared" si="217"/>
        <v>EXIT</v>
      </c>
      <c r="AK538" s="6"/>
      <c r="AL538" s="8" t="str">
        <f t="shared" si="218"/>
        <v>{81</v>
      </c>
      <c r="AM538" s="27" t="str">
        <f t="shared" si="219"/>
        <v>ITM_EXIT1</v>
      </c>
      <c r="AN538" s="27" t="str">
        <f t="shared" si="220"/>
        <v>ITM_OFF</v>
      </c>
      <c r="AO538" s="27" t="str">
        <f t="shared" si="221"/>
        <v>ITM_SNAP</v>
      </c>
      <c r="AP538" s="46" t="str">
        <f>IF(NOT(ISNA(MATCH(AM538,Lookups!E:E,))),VLOOKUP(AM538,Lookups!E:F,2,0),
IF(NOT(ISNA(MATCH(AN538,Lookups!E:E,))),VLOOKUP(AN538,Lookups!E:F,2,0),
IF(NOT(ISNA(MATCH(AO538,Lookups!E:E,))),VLOOKUP(AO538,Lookups!E:F,2,0),"ITM_NULL")))</f>
        <v>ITM_EXIT1</v>
      </c>
      <c r="AQ538" s="28" t="str">
        <f t="shared" si="278"/>
        <v>ITM_EXIT1</v>
      </c>
      <c r="AR538" s="198" t="s">
        <v>245</v>
      </c>
      <c r="AS538" s="186" t="s">
        <v>246</v>
      </c>
      <c r="AT538" s="197" t="s">
        <v>247</v>
      </c>
      <c r="AW538" s="14" t="str">
        <f t="shared" si="227"/>
        <v>{81</v>
      </c>
      <c r="AX538" s="157" t="str" cm="1">
        <f t="array" ref="AX538">SUBSTITUTE(SUBSTITUTE(_xlfn.SWITCH(AM538, "ITM_T_HOME", "ITM_UP1", "ITM_T_END", "ITM_DOWN1", "DOCU_CHR_sub", "ITM_DOWN_ARROW", "DOCU_CHR_super", "ITM_UP_ARROW", "MNU_TAMALPHA", "ITM_alpha", "DOCU_CHR_caseFLIP", "ITM_NULL", "DOCU_CHR_numSET", "ITM_NULL", "DOCU_ITM_RADIX", "ITM_PERIOD", AM538), ".lo", ),"MNU_", "-MNU_")</f>
        <v>ITM_EXIT1</v>
      </c>
      <c r="AY538" s="157" t="str" cm="1">
        <f t="array" ref="AY538">SUBSTITUTE(SUBSTITUTE(_xlfn.SWITCH(AN538, "ITM_T_HOME", "ITM_UP1", "ITM_T_END", "ITM_DOWN1", "DOCU_CHR_sub", "ITM_DOWN_ARROW", "DOCU_CHR_super", "ITM_UP_ARROW", "MNU_TAMALPHA", "ITM_alpha", "DOCU_CHR_caseFLIP", "ITM_NULL", "DOCU_CHR_numSET", "ITM_NULL", "DOCU_ITM_RADIX", "ITM_PERIOD", AN538), ".lo", ),"MNU_", "-MNU_")</f>
        <v>ITM_OFF</v>
      </c>
      <c r="AZ538" s="157" t="str" cm="1">
        <f t="array" ref="AZ538">SUBSTITUTE(SUBSTITUTE(_xlfn.SWITCH(AO538, "ITM_T_HOME", "ITM_UP1", "ITM_T_END", "ITM_DOWN1", "DOCU_CHR_sub", "ITM_DOWN_ARROW", "DOCU_CHR_super", "ITM_UP_ARROW", "MNU_TAMALPHA", "ITM_alpha", "DOCU_CHR_caseFLIP", "ITM_NULL", "DOCU_CHR_numSET", "ITM_NULL", "DOCU_ITM_RADIX", "ITM_PERIOD", AO538), ".lo", ),"MNU_", "-MNU_")</f>
        <v>ITM_SNAP</v>
      </c>
      <c r="BA538" s="173" t="str" cm="1">
        <f t="array" ref="BA538">SUBSTITUTE(SUBSTITUTE(_xlfn.SWITCH(AP538, "ITM_T_HOME", "ITM_UP1", "ITM_T_END", "ITM_DOWN1", "DOCU_CHR_sub", "ITM_DOWN_ARROW", "DOCU_CHR_super", "ITM_UP_ARROW", "MNU_TAMALPHA", "ITM_alpha", "DOCU_CHR_caseFLIP", "ITM_NULL", "DOCU_CHR_numSET", "ITM_NULL", "DOCU_ITM_RADIX", "ITM_PERIOD", AP538), ".lo", ),"MNU_", "-MNU_")</f>
        <v>ITM_EXIT1</v>
      </c>
      <c r="BB538" s="157" t="str" cm="1">
        <f t="array" ref="BB538">SUBSTITUTE(SUBSTITUTE(_xlfn.SWITCH(AQ538, "ITM_T_HOME", "ITM_UP1", "ITM_T_END", "ITM_DOWN1", "DOCU_CHR_sub", "ITM_DOWN_ARROW", "DOCU_CHR_super", "ITM_UP_ARROW", "MNU_TAMALPHA", "ITM_alpha", "DOCU_CHR_caseFLIP", "ITM_NULL", "DOCU_CHR_numSET", "ITM_NULL", "DOCU_ITM_RADIX", "ITM_PERIOD", AQ538), ".lo", ),"MNU_", "-MNU_")</f>
        <v>ITM_EXIT1</v>
      </c>
      <c r="BC538" s="157" t="str" cm="1">
        <f t="array" ref="BC538">SUBSTITUTE(SUBSTITUTE(_xlfn.SWITCH(AR538, "ITM_T_HOME", "ITM_UP1", "ITM_T_END", "ITM_DOWN1", "DOCU_CHR_sub", "ITM_DOWN_ARROW", "DOCU_CHR_super", "ITM_UP_ARROW", "MNU_TAMALPHA", "ITM_alpha", "DOCU_CHR_caseFLIP", "ITM_NULL", "DOCU_CHR_numSET", "ITM_NULL", "DOCU_ITM_RADIX", "ITM_PERIOD", AR538), ".lo", ),"MNU_", "-MNU_")</f>
        <v>ITM_OFF</v>
      </c>
      <c r="BD538" s="157" t="str" cm="1">
        <f t="array" ref="BD538">SUBSTITUTE(SUBSTITUTE(_xlfn.SWITCH(AS538, "ITM_T_HOME", "ITM_UP1", "ITM_T_END", "ITM_DOWN1", "DOCU_CHR_sub", "ITM_DOWN_ARROW", "DOCU_CHR_super", "ITM_UP_ARROW", "MNU_TAMALPHA", "ITM_alpha", "DOCU_CHR_caseFLIP", "ITM_NULL", "DOCU_CHR_numSET", "ITM_NULL", "DOCU_ITM_RADIX", "ITM_PERIOD", AS538), ".lo", ),"MNU_", "-MNU_")</f>
        <v>ITM_SNAP</v>
      </c>
      <c r="BE538" s="157" t="str" cm="1">
        <f t="array" ref="BE538">SUBSTITUTE(SUBSTITUTE(_xlfn.SWITCH(AT538, "ITM_T_HOME", "ITM_UP1", "ITM_T_END", "ITM_DOWN1", "DOCU_CHR_sub", "ITM_DOWN_ARROW", "DOCU_CHR_super", "ITM_UP_ARROW", "MNU_TAMALPHA", "ITM_alpha", "DOCU_CHR_caseFLIP", "ITM_NULL", "DOCU_CHR_numSET", "ITM_NULL", "DOCU_ITM_RADIX", "ITM_PERIOD", AT538), ".lo", ),"MNU_", "-MNU_")</f>
        <v>ITM_EXIT1</v>
      </c>
      <c r="BG538" s="75"/>
      <c r="BI538" s="13" t="str">
        <f t="shared" si="223"/>
        <v xml:space="preserve">  {81,                  ITM_EXIT1,            ITM_OFF,              ITM_SNAP,             ITM_EXIT1,            ITM_EXIT1,            ITM_OFF,              ITM_SNAP,             ITM_EXIT1           },</v>
      </c>
    </row>
    <row r="539" spans="24:61" ht="21" x14ac:dyDescent="0.2">
      <c r="X539" s="141" t="str">
        <f t="shared" si="213"/>
        <v>R47fgbk</v>
      </c>
      <c r="Y539" s="142">
        <v>8</v>
      </c>
      <c r="Z539" s="142">
        <v>2</v>
      </c>
      <c r="AA539" s="144" t="str">
        <f t="shared" si="211"/>
        <v>R47fgbk.82</v>
      </c>
      <c r="AB539" s="148">
        <f t="shared" ref="AB539:AD539" si="287">AB447</f>
        <v>0</v>
      </c>
      <c r="AC539" s="149" t="str">
        <f t="shared" si="287"/>
        <v>VIEW</v>
      </c>
      <c r="AD539" s="150" t="str">
        <f t="shared" si="287"/>
        <v>[ I/O ]</v>
      </c>
      <c r="AE539" s="3"/>
      <c r="AF539" s="52" t="str">
        <f t="shared" ref="AF539" si="288">AF447</f>
        <v>Z</v>
      </c>
      <c r="AG539" s="77" t="b">
        <f t="shared" si="226"/>
        <v>1</v>
      </c>
      <c r="AH539" s="83" t="str">
        <f t="shared" si="215"/>
        <v>z</v>
      </c>
      <c r="AI539" s="84">
        <f t="shared" si="216"/>
        <v>0</v>
      </c>
      <c r="AJ539" s="85">
        <f t="shared" si="217"/>
        <v>0</v>
      </c>
      <c r="AK539" s="6"/>
      <c r="AL539" s="8" t="str">
        <f t="shared" si="218"/>
        <v>{82</v>
      </c>
      <c r="AM539" s="27" t="str">
        <f t="shared" si="219"/>
        <v>ITM_0</v>
      </c>
      <c r="AN539" s="27" t="str">
        <f t="shared" si="220"/>
        <v>ITM_VIEW</v>
      </c>
      <c r="AO539" s="27" t="str">
        <f t="shared" si="221"/>
        <v>MNU_IO</v>
      </c>
      <c r="AP539" s="46" t="str">
        <f>IF(NOT(ISNA(MATCH(AM539,Lookups!E:E,))),VLOOKUP(AM539,Lookups!E:F,2,0),
IF(NOT(ISNA(MATCH(AN539,Lookups!E:E,))),VLOOKUP(AN539,Lookups!E:F,2,0),
IF(NOT(ISNA(MATCH(AO539,Lookups!E:E,))),VLOOKUP(AO539,Lookups!E:F,2,0),"ITM_NULL")))</f>
        <v>ITM_0</v>
      </c>
      <c r="AQ539" s="28" t="str">
        <f t="shared" si="278"/>
        <v>ITM_Z</v>
      </c>
      <c r="AR539" s="195" t="s">
        <v>234</v>
      </c>
      <c r="AS539" s="186" t="s">
        <v>252</v>
      </c>
      <c r="AT539" s="197" t="s">
        <v>252</v>
      </c>
      <c r="AW539" s="14" t="str">
        <f t="shared" si="227"/>
        <v>{82</v>
      </c>
      <c r="AX539" s="157" t="str" cm="1">
        <f t="array" ref="AX539">SUBSTITUTE(SUBSTITUTE(_xlfn.SWITCH(AM539, "ITM_T_HOME", "ITM_UP1", "ITM_T_END", "ITM_DOWN1", "DOCU_CHR_sub", "ITM_DOWN_ARROW", "DOCU_CHR_super", "ITM_UP_ARROW", "MNU_TAMALPHA", "ITM_alpha", "DOCU_CHR_caseFLIP", "ITM_NULL", "DOCU_CHR_numSET", "ITM_NULL", "DOCU_ITM_RADIX", "ITM_PERIOD", AM539), ".lo", ),"MNU_", "-MNU_")</f>
        <v>ITM_0</v>
      </c>
      <c r="AY539" s="157" t="str" cm="1">
        <f t="array" ref="AY539">SUBSTITUTE(SUBSTITUTE(_xlfn.SWITCH(AN539, "ITM_T_HOME", "ITM_UP1", "ITM_T_END", "ITM_DOWN1", "DOCU_CHR_sub", "ITM_DOWN_ARROW", "DOCU_CHR_super", "ITM_UP_ARROW", "MNU_TAMALPHA", "ITM_alpha", "DOCU_CHR_caseFLIP", "ITM_NULL", "DOCU_CHR_numSET", "ITM_NULL", "DOCU_ITM_RADIX", "ITM_PERIOD", AN539), ".lo", ),"MNU_", "-MNU_")</f>
        <v>ITM_VIEW</v>
      </c>
      <c r="AZ539" s="157" t="str" cm="1">
        <f t="array" ref="AZ539">SUBSTITUTE(SUBSTITUTE(_xlfn.SWITCH(AO539, "ITM_T_HOME", "ITM_UP1", "ITM_T_END", "ITM_DOWN1", "DOCU_CHR_sub", "ITM_DOWN_ARROW", "DOCU_CHR_super", "ITM_UP_ARROW", "MNU_TAMALPHA", "ITM_alpha", "DOCU_CHR_caseFLIP", "ITM_NULL", "DOCU_CHR_numSET", "ITM_NULL", "DOCU_ITM_RADIX", "ITM_PERIOD", AO539), ".lo", ),"MNU_", "-MNU_")</f>
        <v>-MNU_IO</v>
      </c>
      <c r="BA539" s="173" t="str" cm="1">
        <f t="array" ref="BA539">SUBSTITUTE(SUBSTITUTE(_xlfn.SWITCH(AP539, "ITM_T_HOME", "ITM_UP1", "ITM_T_END", "ITM_DOWN1", "DOCU_CHR_sub", "ITM_DOWN_ARROW", "DOCU_CHR_super", "ITM_UP_ARROW", "MNU_TAMALPHA", "ITM_alpha", "DOCU_CHR_caseFLIP", "ITM_NULL", "DOCU_CHR_numSET", "ITM_NULL", "DOCU_ITM_RADIX", "ITM_PERIOD", AP539), ".lo", ),"MNU_", "-MNU_")</f>
        <v>ITM_0</v>
      </c>
      <c r="BB539" s="157" t="str" cm="1">
        <f t="array" ref="BB539">SUBSTITUTE(SUBSTITUTE(_xlfn.SWITCH(AQ539, "ITM_T_HOME", "ITM_UP1", "ITM_T_END", "ITM_DOWN1", "DOCU_CHR_sub", "ITM_DOWN_ARROW", "DOCU_CHR_super", "ITM_UP_ARROW", "MNU_TAMALPHA", "ITM_alpha", "DOCU_CHR_caseFLIP", "ITM_NULL", "DOCU_CHR_numSET", "ITM_NULL", "DOCU_ITM_RADIX", "ITM_PERIOD", AQ539), ".lo", ),"MNU_", "-MNU_")</f>
        <v>ITM_Z</v>
      </c>
      <c r="BC539" s="157" t="str" cm="1">
        <f t="array" ref="BC539">SUBSTITUTE(SUBSTITUTE(_xlfn.SWITCH(AR539, "ITM_T_HOME", "ITM_UP1", "ITM_T_END", "ITM_DOWN1", "DOCU_CHR_sub", "ITM_DOWN_ARROW", "DOCU_CHR_super", "ITM_UP_ARROW", "MNU_TAMALPHA", "ITM_alpha", "DOCU_CHR_caseFLIP", "ITM_NULL", "DOCU_CHR_numSET", "ITM_NULL", "DOCU_ITM_RADIX", "ITM_PERIOD", AR539), ".lo", ),"MNU_", "-MNU_")</f>
        <v>ITM_z</v>
      </c>
      <c r="BD539" s="157" t="str" cm="1">
        <f t="array" ref="BD539">SUBSTITUTE(SUBSTITUTE(_xlfn.SWITCH(AS539, "ITM_T_HOME", "ITM_UP1", "ITM_T_END", "ITM_DOWN1", "DOCU_CHR_sub", "ITM_DOWN_ARROW", "DOCU_CHR_super", "ITM_UP_ARROW", "MNU_TAMALPHA", "ITM_alpha", "DOCU_CHR_caseFLIP", "ITM_NULL", "DOCU_CHR_numSET", "ITM_NULL", "DOCU_ITM_RADIX", "ITM_PERIOD", AS539), ".lo", ),"MNU_", "-MNU_")</f>
        <v>ITM_0</v>
      </c>
      <c r="BE539" s="157" t="str" cm="1">
        <f t="array" ref="BE539">SUBSTITUTE(SUBSTITUTE(_xlfn.SWITCH(AT539, "ITM_T_HOME", "ITM_UP1", "ITM_T_END", "ITM_DOWN1", "DOCU_CHR_sub", "ITM_DOWN_ARROW", "DOCU_CHR_super", "ITM_UP_ARROW", "MNU_TAMALPHA", "ITM_alpha", "DOCU_CHR_caseFLIP", "ITM_NULL", "DOCU_CHR_numSET", "ITM_NULL", "DOCU_ITM_RADIX", "ITM_PERIOD", AT539), ".lo", ),"MNU_", "-MNU_")</f>
        <v>ITM_0</v>
      </c>
      <c r="BG539" s="75"/>
      <c r="BI539" s="13" t="str">
        <f t="shared" si="223"/>
        <v xml:space="preserve">  {82,                  ITM_0,                ITM_VIEW,             -MNU_IO,              ITM_0,                ITM_Z,                ITM_z,                ITM_0,                ITM_0               },</v>
      </c>
    </row>
    <row r="540" spans="24:61" ht="21" x14ac:dyDescent="0.2">
      <c r="X540" s="141" t="str">
        <f t="shared" si="213"/>
        <v>R47fgbk</v>
      </c>
      <c r="Y540" s="142">
        <v>8</v>
      </c>
      <c r="Z540" s="142">
        <v>3</v>
      </c>
      <c r="AA540" s="144" t="str">
        <f t="shared" si="211"/>
        <v>R47fgbk.83</v>
      </c>
      <c r="AB540" s="117" t="str">
        <f t="shared" ref="AB540:AD540" si="289">AB448</f>
        <v>•</v>
      </c>
      <c r="AC540" s="149" t="str">
        <f t="shared" si="289"/>
        <v>SHOW</v>
      </c>
      <c r="AD540" s="150" t="str">
        <f t="shared" si="289"/>
        <v>a b/c</v>
      </c>
      <c r="AE540" s="3"/>
      <c r="AF540" s="52" t="str">
        <f t="shared" ref="AF540" si="290">AF448</f>
        <v>,</v>
      </c>
      <c r="AG540" s="77" t="b">
        <f t="shared" si="226"/>
        <v>0</v>
      </c>
      <c r="AH540" s="83" t="str">
        <f t="shared" si="215"/>
        <v>;</v>
      </c>
      <c r="AI540" s="84" t="str">
        <f t="shared" si="216"/>
        <v>.</v>
      </c>
      <c r="AJ540" s="85" t="str">
        <f t="shared" si="217"/>
        <v>.</v>
      </c>
      <c r="AK540" s="6"/>
      <c r="AL540" s="8" t="str">
        <f t="shared" si="218"/>
        <v>{83</v>
      </c>
      <c r="AM540" s="27" t="str">
        <f t="shared" si="219"/>
        <v>DOCU_ITM_RADIX</v>
      </c>
      <c r="AN540" s="27" t="str">
        <f t="shared" si="220"/>
        <v>ITM_SHOW</v>
      </c>
      <c r="AO540" s="27" t="str">
        <f t="shared" si="221"/>
        <v>ITM_TGLFRT</v>
      </c>
      <c r="AP540" s="46" t="str">
        <f>IF(NOT(ISNA(MATCH(AM540,Lookups!E:E,))),VLOOKUP(AM540,Lookups!E:F,2,0),
IF(NOT(ISNA(MATCH(AN540,Lookups!E:E,))),VLOOKUP(AN540,Lookups!E:F,2,0),
IF(NOT(ISNA(MATCH(AO540,Lookups!E:E,))),VLOOKUP(AO540,Lookups!E:F,2,0),"ITM_NULL")))</f>
        <v>ITM_PERIOD</v>
      </c>
      <c r="AQ540" s="28" t="str">
        <f t="shared" si="278"/>
        <v>ITM_COMMA</v>
      </c>
      <c r="AR540" s="213" t="s">
        <v>251</v>
      </c>
      <c r="AS540" s="207" t="s">
        <v>257</v>
      </c>
      <c r="AT540" s="197" t="s">
        <v>257</v>
      </c>
      <c r="AW540" s="14" t="str">
        <f t="shared" si="227"/>
        <v>{83</v>
      </c>
      <c r="AX540" s="157" t="str" cm="1">
        <f t="array" ref="AX540">SUBSTITUTE(SUBSTITUTE(_xlfn.SWITCH(AM540, "ITM_T_HOME", "ITM_UP1", "ITM_T_END", "ITM_DOWN1", "DOCU_CHR_sub", "ITM_DOWN_ARROW", "DOCU_CHR_super", "ITM_UP_ARROW", "MNU_TAMALPHA", "ITM_alpha", "DOCU_CHR_caseFLIP", "ITM_NULL", "DOCU_CHR_numSET", "ITM_NULL", "DOCU_ITM_RADIX", "ITM_PERIOD", AM540), ".lo", ),"MNU_", "-MNU_")</f>
        <v>ITM_PERIOD</v>
      </c>
      <c r="AY540" s="157" t="str" cm="1">
        <f t="array" ref="AY540">SUBSTITUTE(SUBSTITUTE(_xlfn.SWITCH(AN540, "ITM_T_HOME", "ITM_UP1", "ITM_T_END", "ITM_DOWN1", "DOCU_CHR_sub", "ITM_DOWN_ARROW", "DOCU_CHR_super", "ITM_UP_ARROW", "MNU_TAMALPHA", "ITM_alpha", "DOCU_CHR_caseFLIP", "ITM_NULL", "DOCU_CHR_numSET", "ITM_NULL", "DOCU_ITM_RADIX", "ITM_PERIOD", AN540), ".lo", ),"MNU_", "-MNU_")</f>
        <v>ITM_SHOW</v>
      </c>
      <c r="AZ540" s="157" t="str" cm="1">
        <f t="array" ref="AZ540">SUBSTITUTE(SUBSTITUTE(_xlfn.SWITCH(AO540, "ITM_T_HOME", "ITM_UP1", "ITM_T_END", "ITM_DOWN1", "DOCU_CHR_sub", "ITM_DOWN_ARROW", "DOCU_CHR_super", "ITM_UP_ARROW", "MNU_TAMALPHA", "ITM_alpha", "DOCU_CHR_caseFLIP", "ITM_NULL", "DOCU_CHR_numSET", "ITM_NULL", "DOCU_ITM_RADIX", "ITM_PERIOD", AO540), ".lo", ),"MNU_", "-MNU_")</f>
        <v>ITM_TGLFRT</v>
      </c>
      <c r="BA540" s="173" t="str" cm="1">
        <f t="array" ref="BA540">SUBSTITUTE(SUBSTITUTE(_xlfn.SWITCH(AP540, "ITM_T_HOME", "ITM_UP1", "ITM_T_END", "ITM_DOWN1", "DOCU_CHR_sub", "ITM_DOWN_ARROW", "DOCU_CHR_super", "ITM_UP_ARROW", "MNU_TAMALPHA", "ITM_alpha", "DOCU_CHR_caseFLIP", "ITM_NULL", "DOCU_CHR_numSET", "ITM_NULL", "DOCU_ITM_RADIX", "ITM_PERIOD", AP540), ".lo", ),"MNU_", "-MNU_")</f>
        <v>ITM_PERIOD</v>
      </c>
      <c r="BB540" s="157" t="str" cm="1">
        <f t="array" ref="BB540">SUBSTITUTE(SUBSTITUTE(_xlfn.SWITCH(AQ540, "ITM_T_HOME", "ITM_UP1", "ITM_T_END", "ITM_DOWN1", "DOCU_CHR_sub", "ITM_DOWN_ARROW", "DOCU_CHR_super", "ITM_UP_ARROW", "MNU_TAMALPHA", "ITM_alpha", "DOCU_CHR_caseFLIP", "ITM_NULL", "DOCU_CHR_numSET", "ITM_NULL", "DOCU_ITM_RADIX", "ITM_PERIOD", AQ540), ".lo", ),"MNU_", "-MNU_")</f>
        <v>ITM_COMMA</v>
      </c>
      <c r="BC540" s="216" t="str" cm="1">
        <f t="array" ref="BC540">SUBSTITUTE(SUBSTITUTE(_xlfn.SWITCH(AR540, "ITM_T_HOME", "ITM_UP1", "ITM_T_END", "ITM_DOWN1", "DOCU_CHR_sub", "ITM_DOWN_ARROW", "DOCU_CHR_super", "ITM_UP_ARROW", "MNU_TAMALPHA", "ITM_alpha", "DOCU_CHR_caseFLIP", "ITM_NULL", "DOCU_CHR_numSET", "ITM_NULL", "DOCU_ITM_RADIX", "ITM_PERIOD", AR540), ".lo", ),"MNU_", "-MNU_")</f>
        <v>ITM_SEMICOLON</v>
      </c>
      <c r="BD540" s="157" t="str" cm="1">
        <f t="array" ref="BD540">SUBSTITUTE(SUBSTITUTE(_xlfn.SWITCH(AS540, "ITM_T_HOME", "ITM_UP1", "ITM_T_END", "ITM_DOWN1", "DOCU_CHR_sub", "ITM_DOWN_ARROW", "DOCU_CHR_super", "ITM_UP_ARROW", "MNU_TAMALPHA", "ITM_alpha", "DOCU_CHR_caseFLIP", "ITM_NULL", "DOCU_CHR_numSET", "ITM_NULL", "DOCU_ITM_RADIX", "ITM_PERIOD", AS540), ".lo", ),"MNU_", "-MNU_")</f>
        <v>ITM_PERIOD</v>
      </c>
      <c r="BE540" s="157" t="str" cm="1">
        <f t="array" ref="BE540">SUBSTITUTE(SUBSTITUTE(_xlfn.SWITCH(AT540, "ITM_T_HOME", "ITM_UP1", "ITM_T_END", "ITM_DOWN1", "DOCU_CHR_sub", "ITM_DOWN_ARROW", "DOCU_CHR_super", "ITM_UP_ARROW", "MNU_TAMALPHA", "ITM_alpha", "DOCU_CHR_caseFLIP", "ITM_NULL", "DOCU_CHR_numSET", "ITM_NULL", "DOCU_ITM_RADIX", "ITM_PERIOD", AT540), ".lo", ),"MNU_", "-MNU_")</f>
        <v>ITM_PERIOD</v>
      </c>
      <c r="BG540" s="75"/>
      <c r="BI540" s="13" t="str">
        <f t="shared" si="223"/>
        <v xml:space="preserve">  {83,                  ITM_PERIOD,           ITM_SHOW,             ITM_TGLFRT,           ITM_PERIOD,           ITM_COMMA,            ITM_SEMICOLON,        ITM_PERIOD,           ITM_PERIOD          },</v>
      </c>
    </row>
    <row r="541" spans="24:61" ht="21" x14ac:dyDescent="0.2">
      <c r="X541" s="141" t="str">
        <f t="shared" si="213"/>
        <v>R47fgbk</v>
      </c>
      <c r="Y541" s="142">
        <v>8</v>
      </c>
      <c r="Z541" s="142">
        <v>4</v>
      </c>
      <c r="AA541" s="144" t="str">
        <f t="shared" si="211"/>
        <v>R47fgbk.84</v>
      </c>
      <c r="AB541" s="148" t="str">
        <f t="shared" ref="AB541:AD541" si="291">AB449</f>
        <v>R/S</v>
      </c>
      <c r="AC541" s="149" t="str">
        <f t="shared" si="291"/>
        <v>PRGM</v>
      </c>
      <c r="AD541" s="150" t="str">
        <f t="shared" si="291"/>
        <v>[ P.FN ]</v>
      </c>
      <c r="AE541" s="3"/>
      <c r="AF541" s="53" t="str">
        <f t="shared" ref="AF541" si="292">AF449</f>
        <v>？</v>
      </c>
      <c r="AG541" s="77" t="b">
        <f t="shared" si="226"/>
        <v>0</v>
      </c>
      <c r="AH541" s="83" t="str">
        <f t="shared" si="215"/>
        <v>:</v>
      </c>
      <c r="AI541" s="84" t="str">
        <f t="shared" si="216"/>
        <v>/</v>
      </c>
      <c r="AJ541" s="85" t="str">
        <f t="shared" si="217"/>
        <v xml:space="preserve"> </v>
      </c>
      <c r="AK541" s="6"/>
      <c r="AL541" s="8" t="str">
        <f t="shared" si="218"/>
        <v>{84</v>
      </c>
      <c r="AM541" s="27" t="str">
        <f t="shared" si="219"/>
        <v>ITM_RS</v>
      </c>
      <c r="AN541" s="27" t="str">
        <f t="shared" si="220"/>
        <v>ITM_PR</v>
      </c>
      <c r="AO541" s="27" t="str">
        <f t="shared" si="221"/>
        <v>MNU_PFN</v>
      </c>
      <c r="AP541" s="46" t="str">
        <f>IF(NOT(ISNA(MATCH(AM541,Lookups!E:E,))),VLOOKUP(AM541,Lookups!E:F,2,0),
IF(NOT(ISNA(MATCH(AN541,Lookups!E:E,))),VLOOKUP(AN541,Lookups!E:F,2,0),
IF(NOT(ISNA(MATCH(AO541,Lookups!E:E,))),VLOOKUP(AO541,Lookups!E:F,2,0),"ITM_NULL")))</f>
        <v>ITM_NULL</v>
      </c>
      <c r="AQ541" s="28" t="str">
        <f t="shared" si="278"/>
        <v>ITM_QUESTION_MARK</v>
      </c>
      <c r="AR541" s="211" t="s">
        <v>484</v>
      </c>
      <c r="AS541" s="207" t="s">
        <v>262</v>
      </c>
      <c r="AT541" s="197" t="s">
        <v>81</v>
      </c>
      <c r="AW541" s="14" t="str">
        <f t="shared" si="227"/>
        <v>{84</v>
      </c>
      <c r="AX541" s="157" t="str" cm="1">
        <f t="array" ref="AX541">SUBSTITUTE(SUBSTITUTE(_xlfn.SWITCH(AM541, "ITM_T_HOME", "ITM_UP1", "ITM_T_END", "ITM_DOWN1", "DOCU_CHR_sub", "ITM_DOWN_ARROW", "DOCU_CHR_super", "ITM_UP_ARROW", "MNU_TAMALPHA", "ITM_alpha", "DOCU_CHR_caseFLIP", "ITM_NULL", "DOCU_CHR_numSET", "ITM_NULL", "DOCU_ITM_RADIX", "ITM_PERIOD", AM541), ".lo", ),"MNU_", "-MNU_")</f>
        <v>ITM_RS</v>
      </c>
      <c r="AY541" s="157" t="str" cm="1">
        <f t="array" ref="AY541">SUBSTITUTE(SUBSTITUTE(_xlfn.SWITCH(AN541, "ITM_T_HOME", "ITM_UP1", "ITM_T_END", "ITM_DOWN1", "DOCU_CHR_sub", "ITM_DOWN_ARROW", "DOCU_CHR_super", "ITM_UP_ARROW", "MNU_TAMALPHA", "ITM_alpha", "DOCU_CHR_caseFLIP", "ITM_NULL", "DOCU_CHR_numSET", "ITM_NULL", "DOCU_ITM_RADIX", "ITM_PERIOD", AN541), ".lo", ),"MNU_", "-MNU_")</f>
        <v>ITM_PR</v>
      </c>
      <c r="AZ541" s="157" t="str" cm="1">
        <f t="array" ref="AZ541">SUBSTITUTE(SUBSTITUTE(_xlfn.SWITCH(AO541, "ITM_T_HOME", "ITM_UP1", "ITM_T_END", "ITM_DOWN1", "DOCU_CHR_sub", "ITM_DOWN_ARROW", "DOCU_CHR_super", "ITM_UP_ARROW", "MNU_TAMALPHA", "ITM_alpha", "DOCU_CHR_caseFLIP", "ITM_NULL", "DOCU_CHR_numSET", "ITM_NULL", "DOCU_ITM_RADIX", "ITM_PERIOD", AO541), ".lo", ),"MNU_", "-MNU_")</f>
        <v>-MNU_PFN</v>
      </c>
      <c r="BA541" s="173" t="str" cm="1">
        <f t="array" ref="BA541">SUBSTITUTE(SUBSTITUTE(_xlfn.SWITCH(AP541, "ITM_T_HOME", "ITM_UP1", "ITM_T_END", "ITM_DOWN1", "DOCU_CHR_sub", "ITM_DOWN_ARROW", "DOCU_CHR_super", "ITM_UP_ARROW", "MNU_TAMALPHA", "ITM_alpha", "DOCU_CHR_caseFLIP", "ITM_NULL", "DOCU_CHR_numSET", "ITM_NULL", "DOCU_ITM_RADIX", "ITM_PERIOD", AP541), ".lo", ),"MNU_", "-MNU_")</f>
        <v>ITM_NULL</v>
      </c>
      <c r="BB541" s="157" t="str" cm="1">
        <f t="array" ref="BB541">SUBSTITUTE(SUBSTITUTE(_xlfn.SWITCH(AQ541, "ITM_T_HOME", "ITM_UP1", "ITM_T_END", "ITM_DOWN1", "DOCU_CHR_sub", "ITM_DOWN_ARROW", "DOCU_CHR_super", "ITM_UP_ARROW", "MNU_TAMALPHA", "ITM_alpha", "DOCU_CHR_caseFLIP", "ITM_NULL", "DOCU_CHR_numSET", "ITM_NULL", "DOCU_ITM_RADIX", "ITM_PERIOD", AQ541), ".lo", ),"MNU_", "-MNU_")</f>
        <v>ITM_QUESTION_MARK</v>
      </c>
      <c r="BC541" s="157" t="str" cm="1">
        <f t="array" ref="BC541">SUBSTITUTE(SUBSTITUTE(_xlfn.SWITCH(AR541, "ITM_T_HOME", "ITM_UP1", "ITM_T_END", "ITM_DOWN1", "DOCU_CHR_sub", "ITM_DOWN_ARROW", "DOCU_CHR_super", "ITM_UP_ARROW", "MNU_TAMALPHA", "ITM_alpha", "DOCU_CHR_caseFLIP", "ITM_NULL", "DOCU_CHR_numSET", "ITM_NULL", "DOCU_ITM_RADIX", "ITM_PERIOD", AR541), ".lo", ),"MNU_", "-MNU_")</f>
        <v>ITM_COLON</v>
      </c>
      <c r="BD541" s="157" t="str" cm="1">
        <f t="array" ref="BD541">SUBSTITUTE(SUBSTITUTE(_xlfn.SWITCH(AS541, "ITM_T_HOME", "ITM_UP1", "ITM_T_END", "ITM_DOWN1", "DOCU_CHR_sub", "ITM_DOWN_ARROW", "DOCU_CHR_super", "ITM_UP_ARROW", "MNU_TAMALPHA", "ITM_alpha", "DOCU_CHR_caseFLIP", "ITM_NULL", "DOCU_CHR_numSET", "ITM_NULL", "DOCU_ITM_RADIX", "ITM_PERIOD", AS541), ".lo", ),"MNU_", "-MNU_")</f>
        <v>ITM_SLASH</v>
      </c>
      <c r="BE541" s="157" t="str" cm="1">
        <f t="array" ref="BE541">SUBSTITUTE(SUBSTITUTE(_xlfn.SWITCH(AT541, "ITM_T_HOME", "ITM_UP1", "ITM_T_END", "ITM_DOWN1", "DOCU_CHR_sub", "ITM_DOWN_ARROW", "DOCU_CHR_super", "ITM_UP_ARROW", "MNU_TAMALPHA", "ITM_alpha", "DOCU_CHR_caseFLIP", "ITM_NULL", "DOCU_CHR_numSET", "ITM_NULL", "DOCU_ITM_RADIX", "ITM_PERIOD", AT541), ".lo", ),"MNU_", "-MNU_")</f>
        <v>ITM_NULL</v>
      </c>
      <c r="BG541" s="75"/>
      <c r="BI541" s="13" t="str">
        <f t="shared" si="223"/>
        <v xml:space="preserve">  {84,                  ITM_RS,               ITM_PR,               -MNU_PFN,             ITM_NULL,             ITM_QUESTION_MARK,    ITM_COLON,            ITM_SLASH,            ITM_NULL            },</v>
      </c>
    </row>
    <row r="542" spans="24:61" ht="22" thickBot="1" x14ac:dyDescent="0.25">
      <c r="X542" s="141" t="str">
        <f t="shared" si="213"/>
        <v>R47fgbk</v>
      </c>
      <c r="Y542" s="142">
        <v>8</v>
      </c>
      <c r="Z542" s="142">
        <v>5</v>
      </c>
      <c r="AA542" s="144" t="str">
        <f t="shared" si="211"/>
        <v>R47fgbk.85</v>
      </c>
      <c r="AB542" s="154" t="str">
        <f t="shared" ref="AB542:AD542" si="293">AB450</f>
        <v>+</v>
      </c>
      <c r="AC542" s="155" t="str">
        <f t="shared" si="293"/>
        <v>[ CAT ]</v>
      </c>
      <c r="AD542" s="156" t="str">
        <f t="shared" si="293"/>
        <v>[ CNST ]</v>
      </c>
      <c r="AE542" s="125"/>
      <c r="AF542" s="54" t="str">
        <f t="shared" ref="AF542" si="294">AF450</f>
        <v>spc</v>
      </c>
      <c r="AG542" s="77" t="b">
        <f t="shared" si="226"/>
        <v>0</v>
      </c>
      <c r="AH542" s="86" t="str">
        <f t="shared" si="215"/>
        <v>=</v>
      </c>
      <c r="AI542" s="87" t="str">
        <f t="shared" si="216"/>
        <v>+</v>
      </c>
      <c r="AJ542" s="88" t="str">
        <f t="shared" si="217"/>
        <v>+</v>
      </c>
      <c r="AK542" s="6"/>
      <c r="AL542" s="8" t="str">
        <f t="shared" si="218"/>
        <v>{85</v>
      </c>
      <c r="AM542" s="27" t="str">
        <f t="shared" si="219"/>
        <v>ITM_ADD</v>
      </c>
      <c r="AN542" s="27" t="str">
        <f t="shared" si="220"/>
        <v>MNU_CATALOG</v>
      </c>
      <c r="AO542" s="27" t="str">
        <f t="shared" si="221"/>
        <v>MNU_CONST</v>
      </c>
      <c r="AP542" s="46" t="str">
        <f>IF(NOT(ISNA(MATCH(AM542,Lookups!E:E,))),VLOOKUP(AM542,Lookups!E:F,2,0),
IF(NOT(ISNA(MATCH(AN542,Lookups!E:E,))),VLOOKUP(AN542,Lookups!E:F,2,0),
IF(NOT(ISNA(MATCH(AO542,Lookups!E:E,))),VLOOKUP(AO542,Lookups!E:F,2,0),"ITM_NULL")))</f>
        <v>ITM_PLUS</v>
      </c>
      <c r="AQ542" s="28" t="str">
        <f t="shared" si="278"/>
        <v>ITM_SPACE</v>
      </c>
      <c r="AR542" s="212" t="s">
        <v>650</v>
      </c>
      <c r="AS542" s="208" t="s">
        <v>267</v>
      </c>
      <c r="AT542" s="201" t="s">
        <v>268</v>
      </c>
      <c r="AW542" s="14" t="str">
        <f t="shared" si="227"/>
        <v>{85</v>
      </c>
      <c r="AX542" s="157" t="str" cm="1">
        <f t="array" ref="AX542">SUBSTITUTE(SUBSTITUTE(_xlfn.SWITCH(AM542, "ITM_T_HOME", "ITM_UP1", "ITM_T_END", "ITM_DOWN1", "DOCU_CHR_sub", "ITM_DOWN_ARROW", "DOCU_CHR_super", "ITM_UP_ARROW", "MNU_TAMALPHA", "ITM_alpha", "DOCU_CHR_caseFLIP", "ITM_NULL", "DOCU_CHR_numSET", "ITM_NULL", "DOCU_ITM_RADIX", "ITM_PERIOD", AM542), ".lo", ),"MNU_", "-MNU_")</f>
        <v>ITM_ADD</v>
      </c>
      <c r="AY542" s="157" t="str" cm="1">
        <f t="array" ref="AY542">SUBSTITUTE(SUBSTITUTE(_xlfn.SWITCH(AN542, "ITM_T_HOME", "ITM_UP1", "ITM_T_END", "ITM_DOWN1", "DOCU_CHR_sub", "ITM_DOWN_ARROW", "DOCU_CHR_super", "ITM_UP_ARROW", "MNU_TAMALPHA", "ITM_alpha", "DOCU_CHR_caseFLIP", "ITM_NULL", "DOCU_CHR_numSET", "ITM_NULL", "DOCU_ITM_RADIX", "ITM_PERIOD", AN542), ".lo", ),"MNU_", "-MNU_")</f>
        <v>-MNU_CATALOG</v>
      </c>
      <c r="AZ542" s="157" t="str" cm="1">
        <f t="array" ref="AZ542">SUBSTITUTE(SUBSTITUTE(_xlfn.SWITCH(AO542, "ITM_T_HOME", "ITM_UP1", "ITM_T_END", "ITM_DOWN1", "DOCU_CHR_sub", "ITM_DOWN_ARROW", "DOCU_CHR_super", "ITM_UP_ARROW", "MNU_TAMALPHA", "ITM_alpha", "DOCU_CHR_caseFLIP", "ITM_NULL", "DOCU_CHR_numSET", "ITM_NULL", "DOCU_ITM_RADIX", "ITM_PERIOD", AO542), ".lo", ),"MNU_", "-MNU_")</f>
        <v>-MNU_CONST</v>
      </c>
      <c r="BA542" s="173" t="str" cm="1">
        <f t="array" ref="BA542">SUBSTITUTE(SUBSTITUTE(_xlfn.SWITCH(AP542, "ITM_T_HOME", "ITM_UP1", "ITM_T_END", "ITM_DOWN1", "DOCU_CHR_sub", "ITM_DOWN_ARROW", "DOCU_CHR_super", "ITM_UP_ARROW", "MNU_TAMALPHA", "ITM_alpha", "DOCU_CHR_caseFLIP", "ITM_NULL", "DOCU_CHR_numSET", "ITM_NULL", "DOCU_ITM_RADIX", "ITM_PERIOD", AP542), ".lo", ),"MNU_", "-MNU_")</f>
        <v>ITM_PLUS</v>
      </c>
      <c r="BB542" s="157" t="str" cm="1">
        <f t="array" ref="BB542">SUBSTITUTE(SUBSTITUTE(_xlfn.SWITCH(AQ542, "ITM_T_HOME", "ITM_UP1", "ITM_T_END", "ITM_DOWN1", "DOCU_CHR_sub", "ITM_DOWN_ARROW", "DOCU_CHR_super", "ITM_UP_ARROW", "MNU_TAMALPHA", "ITM_alpha", "DOCU_CHR_caseFLIP", "ITM_NULL", "DOCU_CHR_numSET", "ITM_NULL", "DOCU_ITM_RADIX", "ITM_PERIOD", AQ542), ".lo", ),"MNU_", "-MNU_")</f>
        <v>ITM_SPACE</v>
      </c>
      <c r="BC542" s="157" t="str" cm="1">
        <f t="array" ref="BC542">SUBSTITUTE(SUBSTITUTE(_xlfn.SWITCH(AR542, "ITM_T_HOME", "ITM_UP1", "ITM_T_END", "ITM_DOWN1", "DOCU_CHR_sub", "ITM_DOWN_ARROW", "DOCU_CHR_super", "ITM_UP_ARROW", "MNU_TAMALPHA", "ITM_alpha", "DOCU_CHR_caseFLIP", "ITM_NULL", "DOCU_CHR_numSET", "ITM_NULL", "DOCU_ITM_RADIX", "ITM_PERIOD", AR542), ".lo", ),"MNU_", "-MNU_")</f>
        <v>ITM_EQUAL</v>
      </c>
      <c r="BD542" s="157" t="str" cm="1">
        <f t="array" ref="BD542">SUBSTITUTE(SUBSTITUTE(_xlfn.SWITCH(AS542, "ITM_T_HOME", "ITM_UP1", "ITM_T_END", "ITM_DOWN1", "DOCU_CHR_sub", "ITM_DOWN_ARROW", "DOCU_CHR_super", "ITM_UP_ARROW", "MNU_TAMALPHA", "ITM_alpha", "DOCU_CHR_caseFLIP", "ITM_NULL", "DOCU_CHR_numSET", "ITM_NULL", "DOCU_ITM_RADIX", "ITM_PERIOD", AS542), ".lo", ),"MNU_", "-MNU_")</f>
        <v>ITM_PLUS</v>
      </c>
      <c r="BE542" s="157" t="str" cm="1">
        <f t="array" ref="BE542">SUBSTITUTE(SUBSTITUTE(_xlfn.SWITCH(AT542, "ITM_T_HOME", "ITM_UP1", "ITM_T_END", "ITM_DOWN1", "DOCU_CHR_sub", "ITM_DOWN_ARROW", "DOCU_CHR_super", "ITM_UP_ARROW", "MNU_TAMALPHA", "ITM_alpha", "DOCU_CHR_caseFLIP", "ITM_NULL", "DOCU_CHR_numSET", "ITM_NULL", "DOCU_ITM_RADIX", "ITM_PERIOD", AT542), ".lo", ),"MNU_", "-MNU_")</f>
        <v>ITM_ADD</v>
      </c>
      <c r="BG542" s="75"/>
      <c r="BI542" s="73" t="str">
        <f>"  "&amp;AW542&amp;", "&amp;REPT(" ",$BH$54-LEN(AW542))&amp;
AX542&amp;", "&amp;REPT(" ",$BH$54-LEN(AX542))&amp;
AY542&amp;", "&amp;REPT(" ",$BH$54-LEN(AY542))&amp;
AZ542&amp;", "&amp;REPT(" ",$BH$54-LEN(AZ542))&amp;
BA542&amp;", "&amp;REPT(" ",$BH$54-LEN(BA542))&amp;
BB542&amp;", "&amp;REPT(" ",$BH$54-LEN(BB542))&amp;
BC542&amp;", "&amp;REPT(" ",$BH$54-LEN(BC542))&amp;
BD542&amp;", "&amp;REPT(" ",$BH$54-LEN(BD542))&amp;
BE542&amp;REPT(" ",$BH$54-LEN(BE542))&amp;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543" spans="24:61" ht="21" x14ac:dyDescent="0.2">
      <c r="AK543" s="6"/>
      <c r="AL543" s="111"/>
      <c r="AM543" s="29"/>
      <c r="AN543" s="29"/>
      <c r="AO543" s="29"/>
      <c r="AP543" s="47"/>
      <c r="AQ543" s="29"/>
      <c r="AR543" s="202"/>
      <c r="AS543" s="202"/>
      <c r="AT543" s="202"/>
      <c r="BG543" s="75"/>
      <c r="BI543" s="16" t="s">
        <v>269</v>
      </c>
    </row>
    <row r="544" spans="24:61" x14ac:dyDescent="0.2">
      <c r="BG544" s="75"/>
      <c r="BI544" s="13" t="s">
        <v>270</v>
      </c>
    </row>
    <row r="545" spans="24:61" x14ac:dyDescent="0.2">
      <c r="BI545" s="13"/>
    </row>
    <row r="546" spans="24:61" ht="17" thickBot="1" x14ac:dyDescent="0.25">
      <c r="BI546" s="13"/>
    </row>
    <row r="547" spans="24:61" ht="22" thickBot="1" x14ac:dyDescent="0.25">
      <c r="X547" s="137" t="s">
        <v>648</v>
      </c>
      <c r="Y547" s="138">
        <v>1</v>
      </c>
      <c r="Z547" s="138">
        <v>1</v>
      </c>
      <c r="AA547" s="139" t="str">
        <f t="shared" ref="AA547:AA589" si="295">X547&amp;"."&amp;Y547&amp;Z547</f>
        <v>R47fg_g.11</v>
      </c>
      <c r="AB547" s="179" t="str">
        <f t="shared" ref="AB547:AB552" si="296">AB408</f>
        <v>F1</v>
      </c>
      <c r="AC547" s="18"/>
      <c r="AD547" s="18"/>
      <c r="AF547" s="18"/>
      <c r="AH547" s="95"/>
      <c r="AI547" s="95"/>
      <c r="AJ547" s="95"/>
      <c r="AK547" s="6"/>
      <c r="AQ547" s="29"/>
      <c r="AR547" s="202"/>
    </row>
    <row r="548" spans="24:61" ht="22" thickBot="1" x14ac:dyDescent="0.25">
      <c r="X548" s="141" t="str">
        <f>X547</f>
        <v>R47fg_g</v>
      </c>
      <c r="Y548" s="142">
        <v>1</v>
      </c>
      <c r="Z548" s="142">
        <v>2</v>
      </c>
      <c r="AA548" s="139" t="str">
        <f t="shared" si="295"/>
        <v>R47fg_g.12</v>
      </c>
      <c r="AB548" s="179" t="str">
        <f t="shared" si="296"/>
        <v>F2</v>
      </c>
      <c r="AC548" s="18"/>
      <c r="AD548" s="18"/>
      <c r="AF548" s="18"/>
      <c r="AH548" s="95"/>
      <c r="AI548" s="95"/>
      <c r="AJ548" s="95"/>
      <c r="AK548" s="6"/>
    </row>
    <row r="549" spans="24:61" ht="22" thickBot="1" x14ac:dyDescent="0.25">
      <c r="X549" s="141" t="str">
        <f t="shared" ref="X549:X589" si="297">X548</f>
        <v>R47fg_g</v>
      </c>
      <c r="Y549" s="142">
        <v>1</v>
      </c>
      <c r="Z549" s="142">
        <v>3</v>
      </c>
      <c r="AA549" s="139" t="str">
        <f t="shared" si="295"/>
        <v>R47fg_g.13</v>
      </c>
      <c r="AB549" s="179" t="str">
        <f t="shared" si="296"/>
        <v>F3</v>
      </c>
      <c r="AC549" s="18"/>
      <c r="AD549" s="18"/>
      <c r="AF549" s="18"/>
      <c r="AH549" s="95"/>
      <c r="AI549" s="95"/>
      <c r="AJ549" s="95"/>
      <c r="AK549" s="6"/>
      <c r="AM549" s="72" t="s">
        <v>34</v>
      </c>
      <c r="AX549" s="72" t="s">
        <v>35</v>
      </c>
      <c r="AY549" s="27" t="s">
        <v>36</v>
      </c>
      <c r="BG549" s="75"/>
      <c r="BI549" s="17" t="str">
        <f>"// "&amp;X549&amp;" Layout from Layout_template_automation template: Do not change manually"</f>
        <v>// R47fg_g Layout from Layout_template_automation template: Do not change manually</v>
      </c>
    </row>
    <row r="550" spans="24:61" ht="22" thickBot="1" x14ac:dyDescent="0.25">
      <c r="X550" s="141" t="str">
        <f t="shared" si="297"/>
        <v>R47fg_g</v>
      </c>
      <c r="Y550" s="142">
        <v>1</v>
      </c>
      <c r="Z550" s="142">
        <v>4</v>
      </c>
      <c r="AA550" s="139" t="str">
        <f t="shared" si="295"/>
        <v>R47fg_g.14</v>
      </c>
      <c r="AB550" s="179" t="str">
        <f t="shared" si="296"/>
        <v>F4</v>
      </c>
      <c r="AC550" s="18"/>
      <c r="AD550" s="18"/>
      <c r="AF550" s="18"/>
      <c r="AH550" s="95"/>
      <c r="AI550" s="95"/>
      <c r="AJ550" s="95"/>
      <c r="AK550" s="6"/>
      <c r="BG550" s="75"/>
      <c r="BI550" s="16" t="s">
        <v>38</v>
      </c>
    </row>
    <row r="551" spans="24:61" ht="22" thickBot="1" x14ac:dyDescent="0.25">
      <c r="X551" s="141" t="str">
        <f t="shared" si="297"/>
        <v>R47fg_g</v>
      </c>
      <c r="Y551" s="142">
        <v>1</v>
      </c>
      <c r="Z551" s="142">
        <v>5</v>
      </c>
      <c r="AA551" s="139" t="str">
        <f t="shared" si="295"/>
        <v>R47fg_g.15</v>
      </c>
      <c r="AB551" s="179" t="str">
        <f t="shared" si="296"/>
        <v>F4</v>
      </c>
      <c r="AC551" s="18"/>
      <c r="AD551" s="18"/>
      <c r="AF551" s="18"/>
      <c r="AH551" s="95"/>
      <c r="AI551" s="95"/>
      <c r="AJ551" s="95"/>
      <c r="AK551" s="6"/>
      <c r="AL551" s="185" t="str">
        <f>X551</f>
        <v>R47fg_g</v>
      </c>
      <c r="AM551" s="224" t="s">
        <v>39</v>
      </c>
      <c r="AN551" s="224"/>
      <c r="AO551" s="224"/>
      <c r="AP551" s="71" t="s">
        <v>40</v>
      </c>
      <c r="AQ551" s="31" t="s">
        <v>41</v>
      </c>
      <c r="AR551" s="189" t="s">
        <v>42</v>
      </c>
      <c r="AS551" s="190" t="s">
        <v>42</v>
      </c>
      <c r="AT551" s="191" t="s">
        <v>42</v>
      </c>
      <c r="BG551" s="75"/>
      <c r="BI551" s="16" t="str">
        <f>"TO_QSPI const calcKey_t kbd_std_"&amp;X552&amp;"[37] = {"</f>
        <v>TO_QSPI const calcKey_t kbd_std_R47fg_g[37] = {</v>
      </c>
    </row>
    <row r="552" spans="24:61" ht="22" thickBot="1" x14ac:dyDescent="0.25">
      <c r="X552" s="141" t="str">
        <f t="shared" si="297"/>
        <v>R47fg_g</v>
      </c>
      <c r="Y552" s="142">
        <v>1</v>
      </c>
      <c r="Z552" s="142">
        <v>6</v>
      </c>
      <c r="AA552" s="139" t="str">
        <f t="shared" si="295"/>
        <v>R47fg_g.16</v>
      </c>
      <c r="AB552" s="179" t="str">
        <f t="shared" si="296"/>
        <v>F6</v>
      </c>
      <c r="AC552" s="44"/>
      <c r="AD552" s="44"/>
      <c r="AF552" s="44"/>
      <c r="AH552" s="96"/>
      <c r="AI552" s="96"/>
      <c r="AJ552" s="96"/>
      <c r="AK552" s="6"/>
      <c r="BG552" s="75"/>
      <c r="BI552" s="16" t="s">
        <v>44</v>
      </c>
    </row>
    <row r="553" spans="24:61" ht="21" x14ac:dyDescent="0.2">
      <c r="X553" s="141" t="str">
        <f t="shared" si="297"/>
        <v>R47fg_g</v>
      </c>
      <c r="Y553" s="138">
        <v>2</v>
      </c>
      <c r="Z553" s="138">
        <v>1</v>
      </c>
      <c r="AA553" s="144" t="str">
        <f t="shared" si="295"/>
        <v>R47fg_g.21</v>
      </c>
      <c r="AB553" s="179" t="str">
        <f>AB414</f>
        <v>x^2</v>
      </c>
      <c r="AC553" s="146" t="str">
        <f t="shared" ref="AC553:AF553" si="298">AC414</f>
        <v>op_i</v>
      </c>
      <c r="AD553" s="147" t="str">
        <f t="shared" si="298"/>
        <v>-&gt;R</v>
      </c>
      <c r="AE553" s="116"/>
      <c r="AF553" s="51" t="str">
        <f t="shared" si="298"/>
        <v>A</v>
      </c>
      <c r="AG553" s="77" t="b">
        <f>AF553=AH553</f>
        <v>1</v>
      </c>
      <c r="AH553" s="80" t="str">
        <f t="shared" ref="AH553:AH589" si="299">INDEX(labelitem,MATCH(AR553,items,0),1)</f>
        <v>a</v>
      </c>
      <c r="AI553" s="81" t="str">
        <f t="shared" ref="AI553:AI589" si="300">INDEX(labelitem,MATCH(AS553,items,0),1)</f>
        <v>&lt;i&gt;</v>
      </c>
      <c r="AJ553" s="82" t="str">
        <f t="shared" ref="AJ553:AJ589" si="301">INDEX(labelitem,MATCH(AT553,items,0),1)</f>
        <v>Reg A</v>
      </c>
      <c r="AK553" s="6"/>
      <c r="AL553" s="8" t="str">
        <f t="shared" ref="AL553:AL589" si="302">"{"&amp;Y553*10+Z553</f>
        <v>{21</v>
      </c>
      <c r="AM553" s="27" t="str">
        <f t="shared" ref="AM553:AM589" si="303">VLOOKUP(AB553,labelitem,2,0)</f>
        <v>ITM_SQUARE</v>
      </c>
      <c r="AN553" s="27" t="str">
        <f t="shared" ref="AN553:AN589" si="304">VLOOKUP(AC553,labelitem,2,0)</f>
        <v>ITM_op_j</v>
      </c>
      <c r="AO553" s="27" t="str">
        <f t="shared" ref="AO553:AO589" si="305">VLOOKUP(AD553,labelitem,2,0)</f>
        <v>ITM_toREC2</v>
      </c>
      <c r="AP553" s="46" t="str">
        <f>IF(NOT(ISNA(MATCH(AM553,Lookups!E:E,))),VLOOKUP(AM553,Lookups!E:F,2,0),
IF(NOT(ISNA(MATCH(AN553,Lookups!E:E,))),VLOOKUP(AN553,Lookups!E:F,2,0),
IF(NOT(ISNA(MATCH(AO553,Lookups!E:E,))),VLOOKUP(AO553,Lookups!E:F,2,0),"ITM_NULL")))</f>
        <v>ITM_NULL</v>
      </c>
      <c r="AQ553" s="28" t="str">
        <f t="shared" ref="AQ553:AQ579" si="306">VLOOKUP(AF553,labelitem,2,0)</f>
        <v>ITM_A</v>
      </c>
      <c r="AR553" s="192" t="s">
        <v>51</v>
      </c>
      <c r="AS553" s="193" t="s">
        <v>638</v>
      </c>
      <c r="AT553" s="257" t="s">
        <v>53</v>
      </c>
      <c r="AW553" s="14" t="str">
        <f>AL553</f>
        <v>{21</v>
      </c>
      <c r="AX553" s="157" t="str" cm="1">
        <f t="array" ref="AX553">SUBSTITUTE(SUBSTITUTE(_xlfn.SWITCH(AM553, "ITM_T_HOME", "ITM_UP1", "ITM_T_END", "ITM_DOWN1", "DOCU_CHR_sub", "ITM_DOWN_ARROW", "DOCU_CHR_super", "ITM_UP_ARROW", "MNU_TAMALPHA", "ITM_alpha", "DOCU_CHR_caseFLIP", "ITM_NULL", "DOCU_CHR_numSET", "ITM_NULL", "DOCU_ITM_RADIX", "ITM_PERIOD", AM553), ".lo", ),"MNU_", "-MNU_")</f>
        <v>ITM_SQUARE</v>
      </c>
      <c r="AY553" s="157" t="str" cm="1">
        <f t="array" ref="AY553">SUBSTITUTE(SUBSTITUTE(_xlfn.SWITCH(AN553, "ITM_T_HOME", "ITM_UP1", "ITM_T_END", "ITM_DOWN1", "DOCU_CHR_sub", "ITM_DOWN_ARROW", "DOCU_CHR_super", "ITM_UP_ARROW", "MNU_TAMALPHA", "ITM_alpha", "DOCU_CHR_caseFLIP", "ITM_NULL", "DOCU_CHR_numSET", "ITM_NULL", "DOCU_ITM_RADIX", "ITM_PERIOD", AN553), ".lo", ),"MNU_", "-MNU_")</f>
        <v>ITM_op_j</v>
      </c>
      <c r="AZ553" s="157" t="str" cm="1">
        <f t="array" ref="AZ553">SUBSTITUTE(SUBSTITUTE(_xlfn.SWITCH(AO553, "ITM_T_HOME", "ITM_UP1", "ITM_T_END", "ITM_DOWN1", "DOCU_CHR_sub", "ITM_DOWN_ARROW", "DOCU_CHR_super", "ITM_UP_ARROW", "MNU_TAMALPHA", "ITM_alpha", "DOCU_CHR_caseFLIP", "ITM_NULL", "DOCU_CHR_numSET", "ITM_NULL", "DOCU_ITM_RADIX", "ITM_PERIOD", AO553), ".lo", ),"MNU_", "-MNU_")</f>
        <v>ITM_toREC2</v>
      </c>
      <c r="BA553" s="173" t="str" cm="1">
        <f t="array" ref="BA553">SUBSTITUTE(SUBSTITUTE(_xlfn.SWITCH(AP553, "ITM_T_HOME", "ITM_UP1", "ITM_T_END", "ITM_DOWN1", "DOCU_CHR_sub", "ITM_DOWN_ARROW", "DOCU_CHR_super", "ITM_UP_ARROW", "MNU_TAMALPHA", "ITM_alpha", "DOCU_CHR_caseFLIP", "ITM_NULL", "DOCU_CHR_numSET", "ITM_NULL", "DOCU_ITM_RADIX", "ITM_PERIOD", AP553), ".lo", ),"MNU_", "-MNU_")</f>
        <v>ITM_NULL</v>
      </c>
      <c r="BB553" s="157" t="str" cm="1">
        <f t="array" ref="BB553">SUBSTITUTE(SUBSTITUTE(_xlfn.SWITCH(AQ553, "ITM_T_HOME", "ITM_UP1", "ITM_T_END", "ITM_DOWN1", "DOCU_CHR_sub", "ITM_DOWN_ARROW", "DOCU_CHR_super", "ITM_UP_ARROW", "MNU_TAMALPHA", "ITM_alpha", "DOCU_CHR_caseFLIP", "ITM_NULL", "DOCU_CHR_numSET", "ITM_NULL", "DOCU_ITM_RADIX", "ITM_PERIOD", AQ553), ".lo", ),"MNU_", "-MNU_")</f>
        <v>ITM_A</v>
      </c>
      <c r="BC553" s="157" t="str" cm="1">
        <f t="array" ref="BC553">SUBSTITUTE(SUBSTITUTE(_xlfn.SWITCH(AR553, "ITM_T_HOME", "ITM_UP1", "ITM_T_END", "ITM_DOWN1", "DOCU_CHR_sub", "ITM_DOWN_ARROW", "DOCU_CHR_super", "ITM_UP_ARROW", "MNU_TAMALPHA", "ITM_alpha", "DOCU_CHR_caseFLIP", "ITM_NULL", "DOCU_CHR_numSET", "ITM_NULL", "DOCU_ITM_RADIX", "ITM_PERIOD", AR553), ".lo", ),"MNU_", "-MNU_")</f>
        <v>ITM_a</v>
      </c>
      <c r="BD553" s="157" t="str" cm="1">
        <f t="array" ref="BD553">SUBSTITUTE(SUBSTITUTE(_xlfn.SWITCH(AS553, "ITM_T_HOME", "ITM_UP1", "ITM_T_END", "ITM_DOWN1", "DOCU_CHR_sub", "ITM_DOWN_ARROW", "DOCU_CHR_super", "ITM_UP_ARROW", "MNU_TAMALPHA", "ITM_alpha", "DOCU_CHR_caseFLIP", "ITM_NULL", "DOCU_CHR_numSET", "ITM_NULL", "DOCU_ITM_RADIX", "ITM_PERIOD", AS553), ".lo", ),"MNU_", "-MNU_")</f>
        <v>ITM_op_i_char</v>
      </c>
      <c r="BE553" s="157" t="str" cm="1">
        <f t="array" ref="BE553">SUBSTITUTE(SUBSTITUTE(_xlfn.SWITCH(AT553, "ITM_T_HOME", "ITM_UP1", "ITM_T_END", "ITM_DOWN1", "DOCU_CHR_sub", "ITM_DOWN_ARROW", "DOCU_CHR_super", "ITM_UP_ARROW", "MNU_TAMALPHA", "ITM_alpha", "DOCU_CHR_caseFLIP", "ITM_NULL", "DOCU_CHR_numSET", "ITM_NULL", "DOCU_ITM_RADIX", "ITM_PERIOD", AT553), ".lo", ),"MNU_", "-MNU_")</f>
        <v>ITM_REG_A</v>
      </c>
      <c r="BG553" s="75"/>
      <c r="BI553" s="13" t="str">
        <f t="shared" ref="BI553:BI588" si="307">"  "&amp;AW553&amp;", "&amp;REPT(" ",$BH$54-LEN(AW553))&amp;
AX553&amp;", "&amp;REPT(" ",$BH$54-LEN(AX553))&amp;
AY553&amp;", "&amp;REPT(" ",$BH$54-LEN(AY553))&amp;
AZ553&amp;", "&amp;REPT(" ",$BH$54-LEN(AZ553))&amp;
BA553&amp;", "&amp;REPT(" ",$BH$54-LEN(BA553))&amp;
BB553&amp;", "&amp;REPT(" ",$BH$54-LEN(BB553))&amp;
BC553&amp;", "&amp;REPT(" ",$BH$54-LEN(BC553))&amp;
BD553&amp;", "&amp;REPT(" ",$BH$54-LEN(BD553))&amp;
BE553&amp;REPT(" ",$BH$54-LEN(BE553))&amp;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554" spans="24:61" ht="21" x14ac:dyDescent="0.2">
      <c r="X554" s="141" t="str">
        <f t="shared" si="297"/>
        <v>R47fg_g</v>
      </c>
      <c r="Y554" s="142">
        <v>2</v>
      </c>
      <c r="Z554" s="142">
        <v>2</v>
      </c>
      <c r="AA554" s="144" t="str">
        <f t="shared" si="295"/>
        <v>R47fg_g.22</v>
      </c>
      <c r="AB554" s="176" t="str">
        <f t="shared" ref="AB554:AD554" si="308">AB415</f>
        <v>√x</v>
      </c>
      <c r="AC554" s="149" t="str">
        <f t="shared" si="308"/>
        <v>i_pol</v>
      </c>
      <c r="AD554" s="150" t="str">
        <f t="shared" si="308"/>
        <v>-&gt;P</v>
      </c>
      <c r="AE554" s="3"/>
      <c r="AF554" s="52" t="str">
        <f t="shared" ref="AF554" si="309">AF415</f>
        <v>B</v>
      </c>
      <c r="AG554" s="77" t="b">
        <f t="shared" ref="AG554:AG589" si="310">AF554=AH554</f>
        <v>1</v>
      </c>
      <c r="AH554" s="83" t="str">
        <f t="shared" si="299"/>
        <v>b</v>
      </c>
      <c r="AI554" s="84" t="str">
        <f t="shared" si="300"/>
        <v>√</v>
      </c>
      <c r="AJ554" s="85" t="str">
        <f t="shared" si="301"/>
        <v>Reg B</v>
      </c>
      <c r="AK554" s="6"/>
      <c r="AL554" s="8" t="str">
        <f t="shared" si="302"/>
        <v>{22</v>
      </c>
      <c r="AM554" s="27" t="str">
        <f t="shared" si="303"/>
        <v>ITM_SQUAREROOTX</v>
      </c>
      <c r="AN554" s="27" t="str">
        <f t="shared" si="304"/>
        <v>ITM_op_j_pol</v>
      </c>
      <c r="AO554" s="27" t="str">
        <f t="shared" si="305"/>
        <v>ITM_toPOL2</v>
      </c>
      <c r="AP554" s="46" t="str">
        <f>IF(NOT(ISNA(MATCH(AM554,Lookups!E:E,))),VLOOKUP(AM554,Lookups!E:F,2,0),
IF(NOT(ISNA(MATCH(AN554,Lookups!E:E,))),VLOOKUP(AN554,Lookups!E:F,2,0),
IF(NOT(ISNA(MATCH(AO554,Lookups!E:E,))),VLOOKUP(AO554,Lookups!E:F,2,0),"ITM_NULL")))</f>
        <v>ITM_ROOT_SIGN</v>
      </c>
      <c r="AQ554" s="28" t="str">
        <f t="shared" si="306"/>
        <v>ITM_B</v>
      </c>
      <c r="AR554" s="195" t="s">
        <v>58</v>
      </c>
      <c r="AS554" s="186" t="s">
        <v>66</v>
      </c>
      <c r="AT554" s="255" t="s">
        <v>60</v>
      </c>
      <c r="AW554" s="14" t="str">
        <f t="shared" ref="AW554:AW589" si="311">AL554</f>
        <v>{22</v>
      </c>
      <c r="AX554" s="157" t="str" cm="1">
        <f t="array" ref="AX554">SUBSTITUTE(SUBSTITUTE(_xlfn.SWITCH(AM554, "ITM_T_HOME", "ITM_UP1", "ITM_T_END", "ITM_DOWN1", "DOCU_CHR_sub", "ITM_DOWN_ARROW", "DOCU_CHR_super", "ITM_UP_ARROW", "MNU_TAMALPHA", "ITM_alpha", "DOCU_CHR_caseFLIP", "ITM_NULL", "DOCU_CHR_numSET", "ITM_NULL", "DOCU_ITM_RADIX", "ITM_PERIOD", AM554), ".lo", ),"MNU_", "-MNU_")</f>
        <v>ITM_SQUAREROOTX</v>
      </c>
      <c r="AY554" s="157" t="str" cm="1">
        <f t="array" ref="AY554">SUBSTITUTE(SUBSTITUTE(_xlfn.SWITCH(AN554, "ITM_T_HOME", "ITM_UP1", "ITM_T_END", "ITM_DOWN1", "DOCU_CHR_sub", "ITM_DOWN_ARROW", "DOCU_CHR_super", "ITM_UP_ARROW", "MNU_TAMALPHA", "ITM_alpha", "DOCU_CHR_caseFLIP", "ITM_NULL", "DOCU_CHR_numSET", "ITM_NULL", "DOCU_ITM_RADIX", "ITM_PERIOD", AN554), ".lo", ),"MNU_", "-MNU_")</f>
        <v>ITM_op_j_pol</v>
      </c>
      <c r="AZ554" s="157" t="str" cm="1">
        <f t="array" ref="AZ554">SUBSTITUTE(SUBSTITUTE(_xlfn.SWITCH(AO554, "ITM_T_HOME", "ITM_UP1", "ITM_T_END", "ITM_DOWN1", "DOCU_CHR_sub", "ITM_DOWN_ARROW", "DOCU_CHR_super", "ITM_UP_ARROW", "MNU_TAMALPHA", "ITM_alpha", "DOCU_CHR_caseFLIP", "ITM_NULL", "DOCU_CHR_numSET", "ITM_NULL", "DOCU_ITM_RADIX", "ITM_PERIOD", AO554), ".lo", ),"MNU_", "-MNU_")</f>
        <v>ITM_toPOL2</v>
      </c>
      <c r="BA554" s="173" t="str" cm="1">
        <f t="array" ref="BA554">SUBSTITUTE(SUBSTITUTE(_xlfn.SWITCH(AP554, "ITM_T_HOME", "ITM_UP1", "ITM_T_END", "ITM_DOWN1", "DOCU_CHR_sub", "ITM_DOWN_ARROW", "DOCU_CHR_super", "ITM_UP_ARROW", "MNU_TAMALPHA", "ITM_alpha", "DOCU_CHR_caseFLIP", "ITM_NULL", "DOCU_CHR_numSET", "ITM_NULL", "DOCU_ITM_RADIX", "ITM_PERIOD", AP554), ".lo", ),"MNU_", "-MNU_")</f>
        <v>ITM_ROOT_SIGN</v>
      </c>
      <c r="BB554" s="157" t="str" cm="1">
        <f t="array" ref="BB554">SUBSTITUTE(SUBSTITUTE(_xlfn.SWITCH(AQ554, "ITM_T_HOME", "ITM_UP1", "ITM_T_END", "ITM_DOWN1", "DOCU_CHR_sub", "ITM_DOWN_ARROW", "DOCU_CHR_super", "ITM_UP_ARROW", "MNU_TAMALPHA", "ITM_alpha", "DOCU_CHR_caseFLIP", "ITM_NULL", "DOCU_CHR_numSET", "ITM_NULL", "DOCU_ITM_RADIX", "ITM_PERIOD", AQ554), ".lo", ),"MNU_", "-MNU_")</f>
        <v>ITM_B</v>
      </c>
      <c r="BC554" s="157" t="str" cm="1">
        <f t="array" ref="BC554">SUBSTITUTE(SUBSTITUTE(_xlfn.SWITCH(AR554, "ITM_T_HOME", "ITM_UP1", "ITM_T_END", "ITM_DOWN1", "DOCU_CHR_sub", "ITM_DOWN_ARROW", "DOCU_CHR_super", "ITM_UP_ARROW", "MNU_TAMALPHA", "ITM_alpha", "DOCU_CHR_caseFLIP", "ITM_NULL", "DOCU_CHR_numSET", "ITM_NULL", "DOCU_ITM_RADIX", "ITM_PERIOD", AR554), ".lo", ),"MNU_", "-MNU_")</f>
        <v>ITM_b</v>
      </c>
      <c r="BD554" s="157" t="str" cm="1">
        <f t="array" ref="BD554">SUBSTITUTE(SUBSTITUTE(_xlfn.SWITCH(AS554, "ITM_T_HOME", "ITM_UP1", "ITM_T_END", "ITM_DOWN1", "DOCU_CHR_sub", "ITM_DOWN_ARROW", "DOCU_CHR_super", "ITM_UP_ARROW", "MNU_TAMALPHA", "ITM_alpha", "DOCU_CHR_caseFLIP", "ITM_NULL", "DOCU_CHR_numSET", "ITM_NULL", "DOCU_ITM_RADIX", "ITM_PERIOD", AS554), ".lo", ),"MNU_", "-MNU_")</f>
        <v>ITM_ROOT_SIGN</v>
      </c>
      <c r="BE554" s="157" t="str" cm="1">
        <f t="array" ref="BE554">SUBSTITUTE(SUBSTITUTE(_xlfn.SWITCH(AT554, "ITM_T_HOME", "ITM_UP1", "ITM_T_END", "ITM_DOWN1", "DOCU_CHR_sub", "ITM_DOWN_ARROW", "DOCU_CHR_super", "ITM_UP_ARROW", "MNU_TAMALPHA", "ITM_alpha", "DOCU_CHR_caseFLIP", "ITM_NULL", "DOCU_CHR_numSET", "ITM_NULL", "DOCU_ITM_RADIX", "ITM_PERIOD", AT554), ".lo", ),"MNU_", "-MNU_")</f>
        <v>ITM_REG_B</v>
      </c>
      <c r="BG554" s="75"/>
      <c r="BI554" s="13" t="str">
        <f t="shared" si="307"/>
        <v xml:space="preserve">  {22,                  ITM_SQUAREROOTX,      ITM_op_j_pol,         ITM_toPOL2,           ITM_ROOT_SIGN,        ITM_B,                ITM_b,                ITM_ROOT_SIGN,        ITM_REG_B           },</v>
      </c>
    </row>
    <row r="555" spans="24:61" ht="21" x14ac:dyDescent="0.2">
      <c r="X555" s="141" t="str">
        <f t="shared" si="297"/>
        <v>R47fg_g</v>
      </c>
      <c r="Y555" s="142">
        <v>2</v>
      </c>
      <c r="Z555" s="142">
        <v>3</v>
      </c>
      <c r="AA555" s="144" t="str">
        <f t="shared" si="295"/>
        <v>R47fg_g.23</v>
      </c>
      <c r="AB555" s="176" t="str">
        <f t="shared" ref="AB555:AD555" si="312">AB416</f>
        <v>1/x</v>
      </c>
      <c r="AC555" s="149" t="str">
        <f t="shared" si="312"/>
        <v>x!</v>
      </c>
      <c r="AD555" s="150" t="str">
        <f t="shared" si="312"/>
        <v>.ms</v>
      </c>
      <c r="AE555" s="3"/>
      <c r="AF555" s="52" t="str">
        <f t="shared" ref="AF555" si="313">AF416</f>
        <v>C</v>
      </c>
      <c r="AG555" s="77" t="b">
        <f t="shared" si="310"/>
        <v>1</v>
      </c>
      <c r="AH555" s="83" t="str">
        <f t="shared" si="299"/>
        <v>c</v>
      </c>
      <c r="AI555" s="84" t="str">
        <f t="shared" si="300"/>
        <v>!</v>
      </c>
      <c r="AJ555" s="85" t="str">
        <f t="shared" si="301"/>
        <v>Reg C</v>
      </c>
      <c r="AK555" s="6"/>
      <c r="AL555" s="8" t="str">
        <f t="shared" si="302"/>
        <v>{23</v>
      </c>
      <c r="AM555" s="27" t="str">
        <f t="shared" si="303"/>
        <v>ITM_1ONX</v>
      </c>
      <c r="AN555" s="27" t="str">
        <f t="shared" si="304"/>
        <v>ITM_XFACT</v>
      </c>
      <c r="AO555" s="27" t="str">
        <f t="shared" si="305"/>
        <v>ITM_ms</v>
      </c>
      <c r="AP555" s="46" t="str">
        <f>IF(NOT(ISNA(MATCH(AM555,Lookups!E:E,))),VLOOKUP(AM555,Lookups!E:F,2,0),
IF(NOT(ISNA(MATCH(AN555,Lookups!E:E,))),VLOOKUP(AN555,Lookups!E:F,2,0),
IF(NOT(ISNA(MATCH(AO555,Lookups!E:E,))),VLOOKUP(AO555,Lookups!E:F,2,0),"ITM_NULL")))</f>
        <v>ITM_NULL</v>
      </c>
      <c r="AQ555" s="28" t="str">
        <f t="shared" si="306"/>
        <v>ITM_C</v>
      </c>
      <c r="AR555" s="195" t="s">
        <v>65</v>
      </c>
      <c r="AS555" s="186" t="s">
        <v>635</v>
      </c>
      <c r="AT555" s="255" t="s">
        <v>67</v>
      </c>
      <c r="AW555" s="14" t="str">
        <f t="shared" si="311"/>
        <v>{23</v>
      </c>
      <c r="AX555" s="157" t="str" cm="1">
        <f t="array" ref="AX555">SUBSTITUTE(SUBSTITUTE(_xlfn.SWITCH(AM555, "ITM_T_HOME", "ITM_UP1", "ITM_T_END", "ITM_DOWN1", "DOCU_CHR_sub", "ITM_DOWN_ARROW", "DOCU_CHR_super", "ITM_UP_ARROW", "MNU_TAMALPHA", "ITM_alpha", "DOCU_CHR_caseFLIP", "ITM_NULL", "DOCU_CHR_numSET", "ITM_NULL", "DOCU_ITM_RADIX", "ITM_PERIOD", AM555), ".lo", ),"MNU_", "-MNU_")</f>
        <v>ITM_1ONX</v>
      </c>
      <c r="AY555" s="157" t="str" cm="1">
        <f t="array" ref="AY555">SUBSTITUTE(SUBSTITUTE(_xlfn.SWITCH(AN555, "ITM_T_HOME", "ITM_UP1", "ITM_T_END", "ITM_DOWN1", "DOCU_CHR_sub", "ITM_DOWN_ARROW", "DOCU_CHR_super", "ITM_UP_ARROW", "MNU_TAMALPHA", "ITM_alpha", "DOCU_CHR_caseFLIP", "ITM_NULL", "DOCU_CHR_numSET", "ITM_NULL", "DOCU_ITM_RADIX", "ITM_PERIOD", AN555), ".lo", ),"MNU_", "-MNU_")</f>
        <v>ITM_XFACT</v>
      </c>
      <c r="AZ555" s="157" t="str" cm="1">
        <f t="array" ref="AZ555">SUBSTITUTE(SUBSTITUTE(_xlfn.SWITCH(AO555, "ITM_T_HOME", "ITM_UP1", "ITM_T_END", "ITM_DOWN1", "DOCU_CHR_sub", "ITM_DOWN_ARROW", "DOCU_CHR_super", "ITM_UP_ARROW", "MNU_TAMALPHA", "ITM_alpha", "DOCU_CHR_caseFLIP", "ITM_NULL", "DOCU_CHR_numSET", "ITM_NULL", "DOCU_ITM_RADIX", "ITM_PERIOD", AO555), ".lo", ),"MNU_", "-MNU_")</f>
        <v>ITM_ms</v>
      </c>
      <c r="BA555" s="173" t="str" cm="1">
        <f t="array" ref="BA555">SUBSTITUTE(SUBSTITUTE(_xlfn.SWITCH(AP555, "ITM_T_HOME", "ITM_UP1", "ITM_T_END", "ITM_DOWN1", "DOCU_CHR_sub", "ITM_DOWN_ARROW", "DOCU_CHR_super", "ITM_UP_ARROW", "MNU_TAMALPHA", "ITM_alpha", "DOCU_CHR_caseFLIP", "ITM_NULL", "DOCU_CHR_numSET", "ITM_NULL", "DOCU_ITM_RADIX", "ITM_PERIOD", AP555), ".lo", ),"MNU_", "-MNU_")</f>
        <v>ITM_NULL</v>
      </c>
      <c r="BB555" s="157" t="str" cm="1">
        <f t="array" ref="BB555">SUBSTITUTE(SUBSTITUTE(_xlfn.SWITCH(AQ555, "ITM_T_HOME", "ITM_UP1", "ITM_T_END", "ITM_DOWN1", "DOCU_CHR_sub", "ITM_DOWN_ARROW", "DOCU_CHR_super", "ITM_UP_ARROW", "MNU_TAMALPHA", "ITM_alpha", "DOCU_CHR_caseFLIP", "ITM_NULL", "DOCU_CHR_numSET", "ITM_NULL", "DOCU_ITM_RADIX", "ITM_PERIOD", AQ555), ".lo", ),"MNU_", "-MNU_")</f>
        <v>ITM_C</v>
      </c>
      <c r="BC555" s="157" t="str" cm="1">
        <f t="array" ref="BC555">SUBSTITUTE(SUBSTITUTE(_xlfn.SWITCH(AR555, "ITM_T_HOME", "ITM_UP1", "ITM_T_END", "ITM_DOWN1", "DOCU_CHR_sub", "ITM_DOWN_ARROW", "DOCU_CHR_super", "ITM_UP_ARROW", "MNU_TAMALPHA", "ITM_alpha", "DOCU_CHR_caseFLIP", "ITM_NULL", "DOCU_CHR_numSET", "ITM_NULL", "DOCU_ITM_RADIX", "ITM_PERIOD", AR555), ".lo", ),"MNU_", "-MNU_")</f>
        <v>ITM_c</v>
      </c>
      <c r="BD555" s="157" t="str" cm="1">
        <f t="array" ref="BD555">SUBSTITUTE(SUBSTITUTE(_xlfn.SWITCH(AS555, "ITM_T_HOME", "ITM_UP1", "ITM_T_END", "ITM_DOWN1", "DOCU_CHR_sub", "ITM_DOWN_ARROW", "DOCU_CHR_super", "ITM_UP_ARROW", "MNU_TAMALPHA", "ITM_alpha", "DOCU_CHR_caseFLIP", "ITM_NULL", "DOCU_CHR_numSET", "ITM_NULL", "DOCU_ITM_RADIX", "ITM_PERIOD", AS555), ".lo", ),"MNU_", "-MNU_")</f>
        <v>ITM_EXCLAMATION_MARK</v>
      </c>
      <c r="BE555" s="157" t="str" cm="1">
        <f t="array" ref="BE555">SUBSTITUTE(SUBSTITUTE(_xlfn.SWITCH(AT555, "ITM_T_HOME", "ITM_UP1", "ITM_T_END", "ITM_DOWN1", "DOCU_CHR_sub", "ITM_DOWN_ARROW", "DOCU_CHR_super", "ITM_UP_ARROW", "MNU_TAMALPHA", "ITM_alpha", "DOCU_CHR_caseFLIP", "ITM_NULL", "DOCU_CHR_numSET", "ITM_NULL", "DOCU_ITM_RADIX", "ITM_PERIOD", AT555), ".lo", ),"MNU_", "-MNU_")</f>
        <v>ITM_REG_C</v>
      </c>
      <c r="BG555" s="75"/>
      <c r="BI555" s="13" t="str">
        <f t="shared" si="307"/>
        <v xml:space="preserve">  {23,                  ITM_1ONX,             ITM_XFACT,            ITM_ms,               ITM_NULL,             ITM_C,                ITM_c,                ITM_EXCLAMATION_MARK, ITM_REG_C           },</v>
      </c>
    </row>
    <row r="556" spans="24:61" ht="21" x14ac:dyDescent="0.2">
      <c r="X556" s="141" t="str">
        <f t="shared" si="297"/>
        <v>R47fg_g</v>
      </c>
      <c r="Y556" s="142">
        <v>2</v>
      </c>
      <c r="Z556" s="142">
        <v>4</v>
      </c>
      <c r="AA556" s="144" t="str">
        <f t="shared" si="295"/>
        <v>R47fg_g.24</v>
      </c>
      <c r="AB556" s="176" t="str">
        <f t="shared" ref="AB556:AD556" si="314">AB417</f>
        <v>y^x</v>
      </c>
      <c r="AC556" s="149" t="str">
        <f t="shared" si="314"/>
        <v>x√y</v>
      </c>
      <c r="AD556" s="150" t="str">
        <f t="shared" si="314"/>
        <v>.d</v>
      </c>
      <c r="AE556" s="3"/>
      <c r="AF556" s="52" t="str">
        <f t="shared" ref="AF556" si="315">AF417</f>
        <v>D</v>
      </c>
      <c r="AG556" s="77" t="b">
        <f t="shared" si="310"/>
        <v>1</v>
      </c>
      <c r="AH556" s="83" t="str">
        <f t="shared" si="299"/>
        <v>d</v>
      </c>
      <c r="AI556" s="84" t="str">
        <f t="shared" si="300"/>
        <v>^</v>
      </c>
      <c r="AJ556" s="85" t="str">
        <f t="shared" si="301"/>
        <v>Reg D</v>
      </c>
      <c r="AK556" s="6"/>
      <c r="AL556" s="8" t="str">
        <f t="shared" si="302"/>
        <v>{24</v>
      </c>
      <c r="AM556" s="27" t="str">
        <f t="shared" si="303"/>
        <v>ITM_YX</v>
      </c>
      <c r="AN556" s="27" t="str">
        <f t="shared" si="304"/>
        <v>ITM_XTHROOT</v>
      </c>
      <c r="AO556" s="27" t="str">
        <f t="shared" si="305"/>
        <v>ITM_dotD</v>
      </c>
      <c r="AP556" s="46" t="str">
        <f>IF(NOT(ISNA(MATCH(AM556,Lookups!E:E,))),VLOOKUP(AM556,Lookups!E:F,2,0),
IF(NOT(ISNA(MATCH(AN556,Lookups!E:E,))),VLOOKUP(AN556,Lookups!E:F,2,0),
IF(NOT(ISNA(MATCH(AO556,Lookups!E:E,))),VLOOKUP(AO556,Lookups!E:F,2,0),"ITM_NULL")))</f>
        <v>ITM_NULL</v>
      </c>
      <c r="AQ556" s="28" t="str">
        <f t="shared" si="306"/>
        <v>ITM_D</v>
      </c>
      <c r="AR556" s="195" t="s">
        <v>72</v>
      </c>
      <c r="AS556" s="186" t="s">
        <v>59</v>
      </c>
      <c r="AT556" s="255" t="s">
        <v>74</v>
      </c>
      <c r="AW556" s="14" t="str">
        <f t="shared" si="311"/>
        <v>{24</v>
      </c>
      <c r="AX556" s="157" t="str" cm="1">
        <f t="array" ref="AX556">SUBSTITUTE(SUBSTITUTE(_xlfn.SWITCH(AM556, "ITM_T_HOME", "ITM_UP1", "ITM_T_END", "ITM_DOWN1", "DOCU_CHR_sub", "ITM_DOWN_ARROW", "DOCU_CHR_super", "ITM_UP_ARROW", "MNU_TAMALPHA", "ITM_alpha", "DOCU_CHR_caseFLIP", "ITM_NULL", "DOCU_CHR_numSET", "ITM_NULL", "DOCU_ITM_RADIX", "ITM_PERIOD", AM556), ".lo", ),"MNU_", "-MNU_")</f>
        <v>ITM_YX</v>
      </c>
      <c r="AY556" s="157" t="str" cm="1">
        <f t="array" ref="AY556">SUBSTITUTE(SUBSTITUTE(_xlfn.SWITCH(AN556, "ITM_T_HOME", "ITM_UP1", "ITM_T_END", "ITM_DOWN1", "DOCU_CHR_sub", "ITM_DOWN_ARROW", "DOCU_CHR_super", "ITM_UP_ARROW", "MNU_TAMALPHA", "ITM_alpha", "DOCU_CHR_caseFLIP", "ITM_NULL", "DOCU_CHR_numSET", "ITM_NULL", "DOCU_ITM_RADIX", "ITM_PERIOD", AN556), ".lo", ),"MNU_", "-MNU_")</f>
        <v>ITM_XTHROOT</v>
      </c>
      <c r="AZ556" s="157" t="str" cm="1">
        <f t="array" ref="AZ556">SUBSTITUTE(SUBSTITUTE(_xlfn.SWITCH(AO556, "ITM_T_HOME", "ITM_UP1", "ITM_T_END", "ITM_DOWN1", "DOCU_CHR_sub", "ITM_DOWN_ARROW", "DOCU_CHR_super", "ITM_UP_ARROW", "MNU_TAMALPHA", "ITM_alpha", "DOCU_CHR_caseFLIP", "ITM_NULL", "DOCU_CHR_numSET", "ITM_NULL", "DOCU_ITM_RADIX", "ITM_PERIOD", AO556), ".lo", ),"MNU_", "-MNU_")</f>
        <v>ITM_dotD</v>
      </c>
      <c r="BA556" s="173" t="str" cm="1">
        <f t="array" ref="BA556">SUBSTITUTE(SUBSTITUTE(_xlfn.SWITCH(AP556, "ITM_T_HOME", "ITM_UP1", "ITM_T_END", "ITM_DOWN1", "DOCU_CHR_sub", "ITM_DOWN_ARROW", "DOCU_CHR_super", "ITM_UP_ARROW", "MNU_TAMALPHA", "ITM_alpha", "DOCU_CHR_caseFLIP", "ITM_NULL", "DOCU_CHR_numSET", "ITM_NULL", "DOCU_ITM_RADIX", "ITM_PERIOD", AP556), ".lo", ),"MNU_", "-MNU_")</f>
        <v>ITM_NULL</v>
      </c>
      <c r="BB556" s="157" t="str" cm="1">
        <f t="array" ref="BB556">SUBSTITUTE(SUBSTITUTE(_xlfn.SWITCH(AQ556, "ITM_T_HOME", "ITM_UP1", "ITM_T_END", "ITM_DOWN1", "DOCU_CHR_sub", "ITM_DOWN_ARROW", "DOCU_CHR_super", "ITM_UP_ARROW", "MNU_TAMALPHA", "ITM_alpha", "DOCU_CHR_caseFLIP", "ITM_NULL", "DOCU_CHR_numSET", "ITM_NULL", "DOCU_ITM_RADIX", "ITM_PERIOD", AQ556), ".lo", ),"MNU_", "-MNU_")</f>
        <v>ITM_D</v>
      </c>
      <c r="BC556" s="157" t="str" cm="1">
        <f t="array" ref="BC556">SUBSTITUTE(SUBSTITUTE(_xlfn.SWITCH(AR556, "ITM_T_HOME", "ITM_UP1", "ITM_T_END", "ITM_DOWN1", "DOCU_CHR_sub", "ITM_DOWN_ARROW", "DOCU_CHR_super", "ITM_UP_ARROW", "MNU_TAMALPHA", "ITM_alpha", "DOCU_CHR_caseFLIP", "ITM_NULL", "DOCU_CHR_numSET", "ITM_NULL", "DOCU_ITM_RADIX", "ITM_PERIOD", AR556), ".lo", ),"MNU_", "-MNU_")</f>
        <v>ITM_d</v>
      </c>
      <c r="BD556" s="157" t="str" cm="1">
        <f t="array" ref="BD556">SUBSTITUTE(SUBSTITUTE(_xlfn.SWITCH(AS556, "ITM_T_HOME", "ITM_UP1", "ITM_T_END", "ITM_DOWN1", "DOCU_CHR_sub", "ITM_DOWN_ARROW", "DOCU_CHR_super", "ITM_UP_ARROW", "MNU_TAMALPHA", "ITM_alpha", "DOCU_CHR_caseFLIP", "ITM_NULL", "DOCU_CHR_numSET", "ITM_NULL", "DOCU_ITM_RADIX", "ITM_PERIOD", AS556), ".lo", ),"MNU_", "-MNU_")</f>
        <v>ITM_CIRCUMFLEX</v>
      </c>
      <c r="BE556" s="157" t="str" cm="1">
        <f t="array" ref="BE556">SUBSTITUTE(SUBSTITUTE(_xlfn.SWITCH(AT556, "ITM_T_HOME", "ITM_UP1", "ITM_T_END", "ITM_DOWN1", "DOCU_CHR_sub", "ITM_DOWN_ARROW", "DOCU_CHR_super", "ITM_UP_ARROW", "MNU_TAMALPHA", "ITM_alpha", "DOCU_CHR_caseFLIP", "ITM_NULL", "DOCU_CHR_numSET", "ITM_NULL", "DOCU_ITM_RADIX", "ITM_PERIOD", AT556), ".lo", ),"MNU_", "-MNU_")</f>
        <v>ITM_REG_D</v>
      </c>
      <c r="BG556" s="75"/>
      <c r="BI556" s="13" t="str">
        <f t="shared" si="307"/>
        <v xml:space="preserve">  {24,                  ITM_YX,               ITM_XTHROOT,          ITM_dotD,             ITM_NULL,             ITM_D,                ITM_d,                ITM_CIRCUMFLEX,       ITM_REG_D           },</v>
      </c>
    </row>
    <row r="557" spans="24:61" ht="21" x14ac:dyDescent="0.2">
      <c r="X557" s="141" t="str">
        <f t="shared" si="297"/>
        <v>R47fg_g</v>
      </c>
      <c r="Y557" s="142">
        <v>2</v>
      </c>
      <c r="Z557" s="142">
        <v>5</v>
      </c>
      <c r="AA557" s="144" t="str">
        <f t="shared" si="295"/>
        <v>R47fg_g.25</v>
      </c>
      <c r="AB557" s="176" t="str">
        <f t="shared" ref="AB557:AD557" si="316">AB418</f>
        <v>LOG</v>
      </c>
      <c r="AC557" s="149" t="str">
        <f t="shared" si="316"/>
        <v>10^x</v>
      </c>
      <c r="AD557" s="150" t="str">
        <f t="shared" si="316"/>
        <v>-&gt;I</v>
      </c>
      <c r="AE557" s="3"/>
      <c r="AF557" s="52" t="str">
        <f t="shared" ref="AF557" si="317">AF418</f>
        <v>E</v>
      </c>
      <c r="AG557" s="77" t="b">
        <f t="shared" si="310"/>
        <v>1</v>
      </c>
      <c r="AH557" s="83" t="str">
        <f t="shared" si="299"/>
        <v>e</v>
      </c>
      <c r="AI557" s="84" t="str">
        <f t="shared" si="300"/>
        <v>&lt;e&gt;</v>
      </c>
      <c r="AJ557" s="85" t="str">
        <f t="shared" si="301"/>
        <v>Reg E</v>
      </c>
      <c r="AK557" s="6"/>
      <c r="AL557" s="8" t="str">
        <f t="shared" si="302"/>
        <v>{25</v>
      </c>
      <c r="AM557" s="27" t="str">
        <f t="shared" si="303"/>
        <v>ITM_LOG10</v>
      </c>
      <c r="AN557" s="27" t="str">
        <f t="shared" si="304"/>
        <v>ITM_10x</v>
      </c>
      <c r="AO557" s="27" t="str">
        <f t="shared" si="305"/>
        <v>ITM_RI</v>
      </c>
      <c r="AP557" s="46" t="str">
        <f>IF(NOT(ISNA(MATCH(AM557,Lookups!E:E,))),VLOOKUP(AM557,Lookups!E:F,2,0),
IF(NOT(ISNA(MATCH(AN557,Lookups!E:E,))),VLOOKUP(AN557,Lookups!E:F,2,0),
IF(NOT(ISNA(MATCH(AO557,Lookups!E:E,))),VLOOKUP(AO557,Lookups!E:F,2,0),"ITM_NULL")))</f>
        <v>ITM_NULL</v>
      </c>
      <c r="AQ557" s="28" t="str">
        <f t="shared" si="306"/>
        <v>ITM_E</v>
      </c>
      <c r="AR557" s="195" t="s">
        <v>79</v>
      </c>
      <c r="AS557" s="186" t="s">
        <v>637</v>
      </c>
      <c r="AT557" s="255" t="s">
        <v>672</v>
      </c>
      <c r="AW557" s="14" t="str">
        <f t="shared" si="311"/>
        <v>{25</v>
      </c>
      <c r="AX557" s="157" t="str" cm="1">
        <f t="array" ref="AX557">SUBSTITUTE(SUBSTITUTE(_xlfn.SWITCH(AM557, "ITM_T_HOME", "ITM_UP1", "ITM_T_END", "ITM_DOWN1", "DOCU_CHR_sub", "ITM_DOWN_ARROW", "DOCU_CHR_super", "ITM_UP_ARROW", "MNU_TAMALPHA", "ITM_alpha", "DOCU_CHR_caseFLIP", "ITM_NULL", "DOCU_CHR_numSET", "ITM_NULL", "DOCU_ITM_RADIX", "ITM_PERIOD", AM557), ".lo", ),"MNU_", "-MNU_")</f>
        <v>ITM_LOG10</v>
      </c>
      <c r="AY557" s="157" t="str" cm="1">
        <f t="array" ref="AY557">SUBSTITUTE(SUBSTITUTE(_xlfn.SWITCH(AN557, "ITM_T_HOME", "ITM_UP1", "ITM_T_END", "ITM_DOWN1", "DOCU_CHR_sub", "ITM_DOWN_ARROW", "DOCU_CHR_super", "ITM_UP_ARROW", "MNU_TAMALPHA", "ITM_alpha", "DOCU_CHR_caseFLIP", "ITM_NULL", "DOCU_CHR_numSET", "ITM_NULL", "DOCU_ITM_RADIX", "ITM_PERIOD", AN557), ".lo", ),"MNU_", "-MNU_")</f>
        <v>ITM_10x</v>
      </c>
      <c r="AZ557" s="157" t="str" cm="1">
        <f t="array" ref="AZ557">SUBSTITUTE(SUBSTITUTE(_xlfn.SWITCH(AO557, "ITM_T_HOME", "ITM_UP1", "ITM_T_END", "ITM_DOWN1", "DOCU_CHR_sub", "ITM_DOWN_ARROW", "DOCU_CHR_super", "ITM_UP_ARROW", "MNU_TAMALPHA", "ITM_alpha", "DOCU_CHR_caseFLIP", "ITM_NULL", "DOCU_CHR_numSET", "ITM_NULL", "DOCU_ITM_RADIX", "ITM_PERIOD", AO557), ".lo", ),"MNU_", "-MNU_")</f>
        <v>ITM_RI</v>
      </c>
      <c r="BA557" s="173" t="str" cm="1">
        <f t="array" ref="BA557">SUBSTITUTE(SUBSTITUTE(_xlfn.SWITCH(AP557, "ITM_T_HOME", "ITM_UP1", "ITM_T_END", "ITM_DOWN1", "DOCU_CHR_sub", "ITM_DOWN_ARROW", "DOCU_CHR_super", "ITM_UP_ARROW", "MNU_TAMALPHA", "ITM_alpha", "DOCU_CHR_caseFLIP", "ITM_NULL", "DOCU_CHR_numSET", "ITM_NULL", "DOCU_ITM_RADIX", "ITM_PERIOD", AP557), ".lo", ),"MNU_", "-MNU_")</f>
        <v>ITM_NULL</v>
      </c>
      <c r="BB557" s="157" t="str" cm="1">
        <f t="array" ref="BB557">SUBSTITUTE(SUBSTITUTE(_xlfn.SWITCH(AQ557, "ITM_T_HOME", "ITM_UP1", "ITM_T_END", "ITM_DOWN1", "DOCU_CHR_sub", "ITM_DOWN_ARROW", "DOCU_CHR_super", "ITM_UP_ARROW", "MNU_TAMALPHA", "ITM_alpha", "DOCU_CHR_caseFLIP", "ITM_NULL", "DOCU_CHR_numSET", "ITM_NULL", "DOCU_ITM_RADIX", "ITM_PERIOD", AQ557), ".lo", ),"MNU_", "-MNU_")</f>
        <v>ITM_E</v>
      </c>
      <c r="BC557" s="157" t="str" cm="1">
        <f t="array" ref="BC557">SUBSTITUTE(SUBSTITUTE(_xlfn.SWITCH(AR557, "ITM_T_HOME", "ITM_UP1", "ITM_T_END", "ITM_DOWN1", "DOCU_CHR_sub", "ITM_DOWN_ARROW", "DOCU_CHR_super", "ITM_UP_ARROW", "MNU_TAMALPHA", "ITM_alpha", "DOCU_CHR_caseFLIP", "ITM_NULL", "DOCU_CHR_numSET", "ITM_NULL", "DOCU_ITM_RADIX", "ITM_PERIOD", AR557), ".lo", ),"MNU_", "-MNU_")</f>
        <v>ITM_e</v>
      </c>
      <c r="BD557" s="157" t="str" cm="1">
        <f t="array" ref="BD557">SUBSTITUTE(SUBSTITUTE(_xlfn.SWITCH(AS557, "ITM_T_HOME", "ITM_UP1", "ITM_T_END", "ITM_DOWN1", "DOCU_CHR_sub", "ITM_DOWN_ARROW", "DOCU_CHR_super", "ITM_UP_ARROW", "MNU_TAMALPHA", "ITM_alpha", "DOCU_CHR_caseFLIP", "ITM_NULL", "DOCU_CHR_numSET", "ITM_NULL", "DOCU_ITM_RADIX", "ITM_PERIOD", AS557), ".lo", ),"MNU_", "-MNU_")</f>
        <v>ITM_EulerE</v>
      </c>
      <c r="BE557" s="157" t="str" cm="1">
        <f t="array" ref="BE557">SUBSTITUTE(SUBSTITUTE(_xlfn.SWITCH(AT557, "ITM_T_HOME", "ITM_UP1", "ITM_T_END", "ITM_DOWN1", "DOCU_CHR_sub", "ITM_DOWN_ARROW", "DOCU_CHR_super", "ITM_UP_ARROW", "MNU_TAMALPHA", "ITM_alpha", "DOCU_CHR_caseFLIP", "ITM_NULL", "DOCU_CHR_numSET", "ITM_NULL", "DOCU_ITM_RADIX", "ITM_PERIOD", AT557), ".lo", ),"MNU_", "-MNU_")</f>
        <v>ITM_REG_E</v>
      </c>
      <c r="BG557" s="75"/>
      <c r="BI557" s="13" t="str">
        <f t="shared" si="307"/>
        <v xml:space="preserve">  {25,                  ITM_LOG10,            ITM_10x,              ITM_RI,               ITM_NULL,             ITM_E,                ITM_e,                ITM_EulerE,           ITM_REG_E           },</v>
      </c>
    </row>
    <row r="558" spans="24:61" ht="21" x14ac:dyDescent="0.2">
      <c r="X558" s="141" t="str">
        <f t="shared" si="297"/>
        <v>R47fg_g</v>
      </c>
      <c r="Y558" s="142">
        <v>2</v>
      </c>
      <c r="Z558" s="142">
        <v>6</v>
      </c>
      <c r="AA558" s="144" t="str">
        <f t="shared" si="295"/>
        <v>R47fg_g.26</v>
      </c>
      <c r="AB558" s="176" t="str">
        <f t="shared" ref="AB558:AD558" si="318">AB419</f>
        <v>LN</v>
      </c>
      <c r="AC558" s="149" t="str">
        <f t="shared" si="318"/>
        <v>e^x</v>
      </c>
      <c r="AD558" s="150" t="str">
        <f t="shared" si="318"/>
        <v>#</v>
      </c>
      <c r="AE558" s="3"/>
      <c r="AF558" s="52" t="str">
        <f t="shared" ref="AF558" si="319">AF419</f>
        <v>F</v>
      </c>
      <c r="AG558" s="77" t="b">
        <f t="shared" si="310"/>
        <v>1</v>
      </c>
      <c r="AH558" s="83" t="str">
        <f t="shared" si="299"/>
        <v>f</v>
      </c>
      <c r="AI558" s="84" t="str">
        <f t="shared" si="300"/>
        <v>#</v>
      </c>
      <c r="AJ558" s="85" t="str">
        <f t="shared" si="301"/>
        <v>Reg F</v>
      </c>
      <c r="AK558" s="6"/>
      <c r="AL558" s="8" t="str">
        <f t="shared" si="302"/>
        <v>{26</v>
      </c>
      <c r="AM558" s="27" t="str">
        <f t="shared" si="303"/>
        <v>ITM_LN</v>
      </c>
      <c r="AN558" s="27" t="str">
        <f t="shared" si="304"/>
        <v>ITM_EXP</v>
      </c>
      <c r="AO558" s="27" t="str">
        <f t="shared" si="305"/>
        <v>ITM_HASH_JM</v>
      </c>
      <c r="AP558" s="46" t="str">
        <f>IF(NOT(ISNA(MATCH(AM558,Lookups!E:E,))),VLOOKUP(AM558,Lookups!E:F,2,0),
IF(NOT(ISNA(MATCH(AN558,Lookups!E:E,))),VLOOKUP(AN558,Lookups!E:F,2,0),
IF(NOT(ISNA(MATCH(AO558,Lookups!E:E,))),VLOOKUP(AO558,Lookups!E:F,2,0),"ITM_NULL")))</f>
        <v>ITM_NUMBER_SIGN</v>
      </c>
      <c r="AQ558" s="28" t="str">
        <f t="shared" si="306"/>
        <v>ITM_F</v>
      </c>
      <c r="AR558" s="195" t="s">
        <v>86</v>
      </c>
      <c r="AS558" s="186" t="s">
        <v>283</v>
      </c>
      <c r="AT558" s="255" t="s">
        <v>676</v>
      </c>
      <c r="AW558" s="14" t="str">
        <f t="shared" si="311"/>
        <v>{26</v>
      </c>
      <c r="AX558" s="157" t="str" cm="1">
        <f t="array" ref="AX558">SUBSTITUTE(SUBSTITUTE(_xlfn.SWITCH(AM558, "ITM_T_HOME", "ITM_UP1", "ITM_T_END", "ITM_DOWN1", "DOCU_CHR_sub", "ITM_DOWN_ARROW", "DOCU_CHR_super", "ITM_UP_ARROW", "MNU_TAMALPHA", "ITM_alpha", "DOCU_CHR_caseFLIP", "ITM_NULL", "DOCU_CHR_numSET", "ITM_NULL", "DOCU_ITM_RADIX", "ITM_PERIOD", AM558), ".lo", ),"MNU_", "-MNU_")</f>
        <v>ITM_LN</v>
      </c>
      <c r="AY558" s="157" t="str" cm="1">
        <f t="array" ref="AY558">SUBSTITUTE(SUBSTITUTE(_xlfn.SWITCH(AN558, "ITM_T_HOME", "ITM_UP1", "ITM_T_END", "ITM_DOWN1", "DOCU_CHR_sub", "ITM_DOWN_ARROW", "DOCU_CHR_super", "ITM_UP_ARROW", "MNU_TAMALPHA", "ITM_alpha", "DOCU_CHR_caseFLIP", "ITM_NULL", "DOCU_CHR_numSET", "ITM_NULL", "DOCU_ITM_RADIX", "ITM_PERIOD", AN558), ".lo", ),"MNU_", "-MNU_")</f>
        <v>ITM_EXP</v>
      </c>
      <c r="AZ558" s="157" t="str" cm="1">
        <f t="array" ref="AZ558">SUBSTITUTE(SUBSTITUTE(_xlfn.SWITCH(AO558, "ITM_T_HOME", "ITM_UP1", "ITM_T_END", "ITM_DOWN1", "DOCU_CHR_sub", "ITM_DOWN_ARROW", "DOCU_CHR_super", "ITM_UP_ARROW", "MNU_TAMALPHA", "ITM_alpha", "DOCU_CHR_caseFLIP", "ITM_NULL", "DOCU_CHR_numSET", "ITM_NULL", "DOCU_ITM_RADIX", "ITM_PERIOD", AO558), ".lo", ),"MNU_", "-MNU_")</f>
        <v>ITM_HASH_JM</v>
      </c>
      <c r="BA558" s="173" t="str" cm="1">
        <f t="array" ref="BA558">SUBSTITUTE(SUBSTITUTE(_xlfn.SWITCH(AP558, "ITM_T_HOME", "ITM_UP1", "ITM_T_END", "ITM_DOWN1", "DOCU_CHR_sub", "ITM_DOWN_ARROW", "DOCU_CHR_super", "ITM_UP_ARROW", "MNU_TAMALPHA", "ITM_alpha", "DOCU_CHR_caseFLIP", "ITM_NULL", "DOCU_CHR_numSET", "ITM_NULL", "DOCU_ITM_RADIX", "ITM_PERIOD", AP558), ".lo", ),"MNU_", "-MNU_")</f>
        <v>ITM_NUMBER_SIGN</v>
      </c>
      <c r="BB558" s="157" t="str" cm="1">
        <f t="array" ref="BB558">SUBSTITUTE(SUBSTITUTE(_xlfn.SWITCH(AQ558, "ITM_T_HOME", "ITM_UP1", "ITM_T_END", "ITM_DOWN1", "DOCU_CHR_sub", "ITM_DOWN_ARROW", "DOCU_CHR_super", "ITM_UP_ARROW", "MNU_TAMALPHA", "ITM_alpha", "DOCU_CHR_caseFLIP", "ITM_NULL", "DOCU_CHR_numSET", "ITM_NULL", "DOCU_ITM_RADIX", "ITM_PERIOD", AQ558), ".lo", ),"MNU_", "-MNU_")</f>
        <v>ITM_F</v>
      </c>
      <c r="BC558" s="157" t="str" cm="1">
        <f t="array" ref="BC558">SUBSTITUTE(SUBSTITUTE(_xlfn.SWITCH(AR558, "ITM_T_HOME", "ITM_UP1", "ITM_T_END", "ITM_DOWN1", "DOCU_CHR_sub", "ITM_DOWN_ARROW", "DOCU_CHR_super", "ITM_UP_ARROW", "MNU_TAMALPHA", "ITM_alpha", "DOCU_CHR_caseFLIP", "ITM_NULL", "DOCU_CHR_numSET", "ITM_NULL", "DOCU_ITM_RADIX", "ITM_PERIOD", AR558), ".lo", ),"MNU_", "-MNU_")</f>
        <v>ITM_f</v>
      </c>
      <c r="BD558" s="157" t="str" cm="1">
        <f t="array" ref="BD558">SUBSTITUTE(SUBSTITUTE(_xlfn.SWITCH(AS558, "ITM_T_HOME", "ITM_UP1", "ITM_T_END", "ITM_DOWN1", "DOCU_CHR_sub", "ITM_DOWN_ARROW", "DOCU_CHR_super", "ITM_UP_ARROW", "MNU_TAMALPHA", "ITM_alpha", "DOCU_CHR_caseFLIP", "ITM_NULL", "DOCU_CHR_numSET", "ITM_NULL", "DOCU_ITM_RADIX", "ITM_PERIOD", AS558), ".lo", ),"MNU_", "-MNU_")</f>
        <v>ITM_NUMBER_SIGN</v>
      </c>
      <c r="BE558" s="157" t="str" cm="1">
        <f t="array" ref="BE558">SUBSTITUTE(SUBSTITUTE(_xlfn.SWITCH(AT558, "ITM_T_HOME", "ITM_UP1", "ITM_T_END", "ITM_DOWN1", "DOCU_CHR_sub", "ITM_DOWN_ARROW", "DOCU_CHR_super", "ITM_UP_ARROW", "MNU_TAMALPHA", "ITM_alpha", "DOCU_CHR_caseFLIP", "ITM_NULL", "DOCU_CHR_numSET", "ITM_NULL", "DOCU_ITM_RADIX", "ITM_PERIOD", AT558), ".lo", ),"MNU_", "-MNU_")</f>
        <v>ITM_REG_F</v>
      </c>
      <c r="BG558" s="75"/>
      <c r="BI558" s="13" t="str">
        <f t="shared" si="307"/>
        <v xml:space="preserve">  {26,                  ITM_LN,               ITM_EXP,              ITM_HASH_JM,          ITM_NUMBER_SIGN,      ITM_F,                ITM_f,                ITM_NUMBER_SIGN,      ITM_REG_F           },</v>
      </c>
    </row>
    <row r="559" spans="24:61" ht="21" x14ac:dyDescent="0.2">
      <c r="X559" s="141" t="str">
        <f t="shared" si="297"/>
        <v>R47fg_g</v>
      </c>
      <c r="Y559" s="138">
        <v>3</v>
      </c>
      <c r="Z559" s="138">
        <v>1</v>
      </c>
      <c r="AA559" s="144" t="str">
        <f t="shared" si="295"/>
        <v>R47fg_g.31</v>
      </c>
      <c r="AB559" s="148" t="str">
        <f t="shared" ref="AB559:AD559" si="320">AB420</f>
        <v>STO</v>
      </c>
      <c r="AC559" s="149" t="str">
        <f t="shared" si="320"/>
        <v>|x|</v>
      </c>
      <c r="AD559" s="150" t="str">
        <f t="shared" si="320"/>
        <v>angle</v>
      </c>
      <c r="AE559" s="3"/>
      <c r="AF559" s="52" t="str">
        <f t="shared" ref="AF559" si="321">AF420</f>
        <v>G</v>
      </c>
      <c r="AG559" s="77" t="b">
        <f t="shared" si="310"/>
        <v>1</v>
      </c>
      <c r="AH559" s="83" t="str">
        <f t="shared" si="299"/>
        <v>g</v>
      </c>
      <c r="AI559" s="84" t="str">
        <f t="shared" si="300"/>
        <v>|</v>
      </c>
      <c r="AJ559" s="85" t="str">
        <f t="shared" si="301"/>
        <v>Reg G</v>
      </c>
      <c r="AK559" s="6"/>
      <c r="AL559" s="8" t="str">
        <f t="shared" si="302"/>
        <v>{31</v>
      </c>
      <c r="AM559" s="27" t="str">
        <f t="shared" si="303"/>
        <v>ITM_STO</v>
      </c>
      <c r="AN559" s="27" t="str">
        <f t="shared" si="304"/>
        <v>ITM_MAGNITUDE</v>
      </c>
      <c r="AO559" s="27" t="str">
        <f t="shared" si="305"/>
        <v>ITM_ARG</v>
      </c>
      <c r="AP559" s="46" t="str">
        <f>IF(NOT(ISNA(MATCH(AM559,Lookups!E:E,))),VLOOKUP(AM559,Lookups!E:F,2,0),
IF(NOT(ISNA(MATCH(AN559,Lookups!E:E,))),VLOOKUP(AN559,Lookups!E:F,2,0),
IF(NOT(ISNA(MATCH(AO559,Lookups!E:E,))),VLOOKUP(AO559,Lookups!E:F,2,0),"ITM_NULL")))</f>
        <v>ITM_NULL</v>
      </c>
      <c r="AQ559" s="28" t="str">
        <f t="shared" si="306"/>
        <v>ITM_G</v>
      </c>
      <c r="AR559" s="195" t="s">
        <v>92</v>
      </c>
      <c r="AS559" s="186" t="s">
        <v>93</v>
      </c>
      <c r="AT559" s="255" t="s">
        <v>673</v>
      </c>
      <c r="AW559" s="14" t="str">
        <f t="shared" si="311"/>
        <v>{31</v>
      </c>
      <c r="AX559" s="157" t="str" cm="1">
        <f t="array" ref="AX559">SUBSTITUTE(SUBSTITUTE(_xlfn.SWITCH(AM559, "ITM_T_HOME", "ITM_UP1", "ITM_T_END", "ITM_DOWN1", "DOCU_CHR_sub", "ITM_DOWN_ARROW", "DOCU_CHR_super", "ITM_UP_ARROW", "MNU_TAMALPHA", "ITM_alpha", "DOCU_CHR_caseFLIP", "ITM_NULL", "DOCU_CHR_numSET", "ITM_NULL", "DOCU_ITM_RADIX", "ITM_PERIOD", AM559), ".lo", ),"MNU_", "-MNU_")</f>
        <v>ITM_STO</v>
      </c>
      <c r="AY559" s="157" t="str" cm="1">
        <f t="array" ref="AY559">SUBSTITUTE(SUBSTITUTE(_xlfn.SWITCH(AN559, "ITM_T_HOME", "ITM_UP1", "ITM_T_END", "ITM_DOWN1", "DOCU_CHR_sub", "ITM_DOWN_ARROW", "DOCU_CHR_super", "ITM_UP_ARROW", "MNU_TAMALPHA", "ITM_alpha", "DOCU_CHR_caseFLIP", "ITM_NULL", "DOCU_CHR_numSET", "ITM_NULL", "DOCU_ITM_RADIX", "ITM_PERIOD", AN559), ".lo", ),"MNU_", "-MNU_")</f>
        <v>ITM_MAGNITUDE</v>
      </c>
      <c r="AZ559" s="157" t="str" cm="1">
        <f t="array" ref="AZ559">SUBSTITUTE(SUBSTITUTE(_xlfn.SWITCH(AO559, "ITM_T_HOME", "ITM_UP1", "ITM_T_END", "ITM_DOWN1", "DOCU_CHR_sub", "ITM_DOWN_ARROW", "DOCU_CHR_super", "ITM_UP_ARROW", "MNU_TAMALPHA", "ITM_alpha", "DOCU_CHR_caseFLIP", "ITM_NULL", "DOCU_CHR_numSET", "ITM_NULL", "DOCU_ITM_RADIX", "ITM_PERIOD", AO559), ".lo", ),"MNU_", "-MNU_")</f>
        <v>ITM_ARG</v>
      </c>
      <c r="BA559" s="173" t="str" cm="1">
        <f t="array" ref="BA559">SUBSTITUTE(SUBSTITUTE(_xlfn.SWITCH(AP559, "ITM_T_HOME", "ITM_UP1", "ITM_T_END", "ITM_DOWN1", "DOCU_CHR_sub", "ITM_DOWN_ARROW", "DOCU_CHR_super", "ITM_UP_ARROW", "MNU_TAMALPHA", "ITM_alpha", "DOCU_CHR_caseFLIP", "ITM_NULL", "DOCU_CHR_numSET", "ITM_NULL", "DOCU_ITM_RADIX", "ITM_PERIOD", AP559), ".lo", ),"MNU_", "-MNU_")</f>
        <v>ITM_NULL</v>
      </c>
      <c r="BB559" s="157" t="str" cm="1">
        <f t="array" ref="BB559">SUBSTITUTE(SUBSTITUTE(_xlfn.SWITCH(AQ559, "ITM_T_HOME", "ITM_UP1", "ITM_T_END", "ITM_DOWN1", "DOCU_CHR_sub", "ITM_DOWN_ARROW", "DOCU_CHR_super", "ITM_UP_ARROW", "MNU_TAMALPHA", "ITM_alpha", "DOCU_CHR_caseFLIP", "ITM_NULL", "DOCU_CHR_numSET", "ITM_NULL", "DOCU_ITM_RADIX", "ITM_PERIOD", AQ559), ".lo", ),"MNU_", "-MNU_")</f>
        <v>ITM_G</v>
      </c>
      <c r="BC559" s="157" t="str" cm="1">
        <f t="array" ref="BC559">SUBSTITUTE(SUBSTITUTE(_xlfn.SWITCH(AR559, "ITM_T_HOME", "ITM_UP1", "ITM_T_END", "ITM_DOWN1", "DOCU_CHR_sub", "ITM_DOWN_ARROW", "DOCU_CHR_super", "ITM_UP_ARROW", "MNU_TAMALPHA", "ITM_alpha", "DOCU_CHR_caseFLIP", "ITM_NULL", "DOCU_CHR_numSET", "ITM_NULL", "DOCU_ITM_RADIX", "ITM_PERIOD", AR559), ".lo", ),"MNU_", "-MNU_")</f>
        <v>ITM_g</v>
      </c>
      <c r="BD559" s="157" t="str" cm="1">
        <f t="array" ref="BD559">SUBSTITUTE(SUBSTITUTE(_xlfn.SWITCH(AS559, "ITM_T_HOME", "ITM_UP1", "ITM_T_END", "ITM_DOWN1", "DOCU_CHR_sub", "ITM_DOWN_ARROW", "DOCU_CHR_super", "ITM_UP_ARROW", "MNU_TAMALPHA", "ITM_alpha", "DOCU_CHR_caseFLIP", "ITM_NULL", "DOCU_CHR_numSET", "ITM_NULL", "DOCU_ITM_RADIX", "ITM_PERIOD", AS559), ".lo", ),"MNU_", "-MNU_")</f>
        <v>ITM_VERTICAL_BAR</v>
      </c>
      <c r="BE559" s="157" t="str" cm="1">
        <f t="array" ref="BE559">SUBSTITUTE(SUBSTITUTE(_xlfn.SWITCH(AT559, "ITM_T_HOME", "ITM_UP1", "ITM_T_END", "ITM_DOWN1", "DOCU_CHR_sub", "ITM_DOWN_ARROW", "DOCU_CHR_super", "ITM_UP_ARROW", "MNU_TAMALPHA", "ITM_alpha", "DOCU_CHR_caseFLIP", "ITM_NULL", "DOCU_CHR_numSET", "ITM_NULL", "DOCU_ITM_RADIX", "ITM_PERIOD", AT559), ".lo", ),"MNU_", "-MNU_")</f>
        <v>ITM_REG_G</v>
      </c>
      <c r="BG559" s="75"/>
      <c r="BI559" s="13" t="str">
        <f t="shared" si="307"/>
        <v xml:space="preserve">  {31,                  ITM_STO,              ITM_MAGNITUDE,        ITM_ARG,              ITM_NULL,             ITM_G,                ITM_g,                ITM_VERTICAL_BAR,     ITM_REG_G           },</v>
      </c>
    </row>
    <row r="560" spans="24:61" ht="21" x14ac:dyDescent="0.2">
      <c r="X560" s="141" t="str">
        <f t="shared" si="297"/>
        <v>R47fg_g</v>
      </c>
      <c r="Y560" s="142">
        <v>3</v>
      </c>
      <c r="Z560" s="142">
        <v>2</v>
      </c>
      <c r="AA560" s="144" t="str">
        <f t="shared" si="295"/>
        <v>R47fg_g.32</v>
      </c>
      <c r="AB560" s="148" t="str">
        <f t="shared" ref="AB560:AD560" si="322">AB421</f>
        <v>RCL</v>
      </c>
      <c r="AC560" s="149" t="str">
        <f t="shared" si="322"/>
        <v>%</v>
      </c>
      <c r="AD560" s="150" t="str">
        <f t="shared" si="322"/>
        <v>Delta %</v>
      </c>
      <c r="AE560" s="3"/>
      <c r="AF560" s="52" t="str">
        <f t="shared" ref="AF560" si="323">AF421</f>
        <v>H</v>
      </c>
      <c r="AG560" s="77" t="b">
        <f t="shared" si="310"/>
        <v>1</v>
      </c>
      <c r="AH560" s="83" t="str">
        <f t="shared" si="299"/>
        <v>h</v>
      </c>
      <c r="AI560" s="84" t="str">
        <f t="shared" si="300"/>
        <v>Delta</v>
      </c>
      <c r="AJ560" s="85" t="str">
        <f t="shared" si="301"/>
        <v>Reg H</v>
      </c>
      <c r="AK560" s="6"/>
      <c r="AL560" s="8" t="str">
        <f t="shared" si="302"/>
        <v>{32</v>
      </c>
      <c r="AM560" s="27" t="str">
        <f t="shared" si="303"/>
        <v>ITM_RCL</v>
      </c>
      <c r="AN560" s="27" t="str">
        <f t="shared" si="304"/>
        <v>ITM_PC</v>
      </c>
      <c r="AO560" s="64" t="str">
        <f t="shared" si="305"/>
        <v>ITM_DELTAPC</v>
      </c>
      <c r="AP560" s="46" t="str">
        <f>IF(NOT(ISNA(MATCH(AM560,Lookups!E:E,))),VLOOKUP(AM560,Lookups!E:F,2,0),
IF(NOT(ISNA(MATCH(AN560,Lookups!E:E,))),VLOOKUP(AN560,Lookups!E:F,2,0),
IF(NOT(ISNA(MATCH(AO560,Lookups!E:E,))),VLOOKUP(AO560,Lookups!E:F,2,0),"ITM_NULL")))</f>
        <v>ITM_NULL</v>
      </c>
      <c r="AQ560" s="28" t="str">
        <f t="shared" si="306"/>
        <v>ITM_H</v>
      </c>
      <c r="AR560" s="195" t="s">
        <v>98</v>
      </c>
      <c r="AS560" s="186" t="s">
        <v>99</v>
      </c>
      <c r="AT560" s="255" t="s">
        <v>674</v>
      </c>
      <c r="AW560" s="14" t="str">
        <f t="shared" si="311"/>
        <v>{32</v>
      </c>
      <c r="AX560" s="157" t="str" cm="1">
        <f t="array" ref="AX560">SUBSTITUTE(SUBSTITUTE(_xlfn.SWITCH(AM560, "ITM_T_HOME", "ITM_UP1", "ITM_T_END", "ITM_DOWN1", "DOCU_CHR_sub", "ITM_DOWN_ARROW", "DOCU_CHR_super", "ITM_UP_ARROW", "MNU_TAMALPHA", "ITM_alpha", "DOCU_CHR_caseFLIP", "ITM_NULL", "DOCU_CHR_numSET", "ITM_NULL", "DOCU_ITM_RADIX", "ITM_PERIOD", AM560), ".lo", ),"MNU_", "-MNU_")</f>
        <v>ITM_RCL</v>
      </c>
      <c r="AY560" s="157" t="str" cm="1">
        <f t="array" ref="AY560">SUBSTITUTE(SUBSTITUTE(_xlfn.SWITCH(AN560, "ITM_T_HOME", "ITM_UP1", "ITM_T_END", "ITM_DOWN1", "DOCU_CHR_sub", "ITM_DOWN_ARROW", "DOCU_CHR_super", "ITM_UP_ARROW", "MNU_TAMALPHA", "ITM_alpha", "DOCU_CHR_caseFLIP", "ITM_NULL", "DOCU_CHR_numSET", "ITM_NULL", "DOCU_ITM_RADIX", "ITM_PERIOD", AN560), ".lo", ),"MNU_", "-MNU_")</f>
        <v>ITM_PC</v>
      </c>
      <c r="AZ560" s="157" t="str" cm="1">
        <f t="array" ref="AZ560">SUBSTITUTE(SUBSTITUTE(_xlfn.SWITCH(AO560, "ITM_T_HOME", "ITM_UP1", "ITM_T_END", "ITM_DOWN1", "DOCU_CHR_sub", "ITM_DOWN_ARROW", "DOCU_CHR_super", "ITM_UP_ARROW", "MNU_TAMALPHA", "ITM_alpha", "DOCU_CHR_caseFLIP", "ITM_NULL", "DOCU_CHR_numSET", "ITM_NULL", "DOCU_ITM_RADIX", "ITM_PERIOD", AO560), ".lo", ),"MNU_", "-MNU_")</f>
        <v>ITM_DELTAPC</v>
      </c>
      <c r="BA560" s="173" t="str" cm="1">
        <f t="array" ref="BA560">SUBSTITUTE(SUBSTITUTE(_xlfn.SWITCH(AP560, "ITM_T_HOME", "ITM_UP1", "ITM_T_END", "ITM_DOWN1", "DOCU_CHR_sub", "ITM_DOWN_ARROW", "DOCU_CHR_super", "ITM_UP_ARROW", "MNU_TAMALPHA", "ITM_alpha", "DOCU_CHR_caseFLIP", "ITM_NULL", "DOCU_CHR_numSET", "ITM_NULL", "DOCU_ITM_RADIX", "ITM_PERIOD", AP560), ".lo", ),"MNU_", "-MNU_")</f>
        <v>ITM_NULL</v>
      </c>
      <c r="BB560" s="157" t="str" cm="1">
        <f t="array" ref="BB560">SUBSTITUTE(SUBSTITUTE(_xlfn.SWITCH(AQ560, "ITM_T_HOME", "ITM_UP1", "ITM_T_END", "ITM_DOWN1", "DOCU_CHR_sub", "ITM_DOWN_ARROW", "DOCU_CHR_super", "ITM_UP_ARROW", "MNU_TAMALPHA", "ITM_alpha", "DOCU_CHR_caseFLIP", "ITM_NULL", "DOCU_CHR_numSET", "ITM_NULL", "DOCU_ITM_RADIX", "ITM_PERIOD", AQ560), ".lo", ),"MNU_", "-MNU_")</f>
        <v>ITM_H</v>
      </c>
      <c r="BC560" s="157" t="str" cm="1">
        <f t="array" ref="BC560">SUBSTITUTE(SUBSTITUTE(_xlfn.SWITCH(AR560, "ITM_T_HOME", "ITM_UP1", "ITM_T_END", "ITM_DOWN1", "DOCU_CHR_sub", "ITM_DOWN_ARROW", "DOCU_CHR_super", "ITM_UP_ARROW", "MNU_TAMALPHA", "ITM_alpha", "DOCU_CHR_caseFLIP", "ITM_NULL", "DOCU_CHR_numSET", "ITM_NULL", "DOCU_ITM_RADIX", "ITM_PERIOD", AR560), ".lo", ),"MNU_", "-MNU_")</f>
        <v>ITM_h</v>
      </c>
      <c r="BD560" s="157" t="str" cm="1">
        <f t="array" ref="BD560">SUBSTITUTE(SUBSTITUTE(_xlfn.SWITCH(AS560, "ITM_T_HOME", "ITM_UP1", "ITM_T_END", "ITM_DOWN1", "DOCU_CHR_sub", "ITM_DOWN_ARROW", "DOCU_CHR_super", "ITM_UP_ARROW", "MNU_TAMALPHA", "ITM_alpha", "DOCU_CHR_caseFLIP", "ITM_NULL", "DOCU_CHR_numSET", "ITM_NULL", "DOCU_ITM_RADIX", "ITM_PERIOD", AS560), ".lo", ),"MNU_", "-MNU_")</f>
        <v>ITM_DELTA</v>
      </c>
      <c r="BE560" s="157" t="str" cm="1">
        <f t="array" ref="BE560">SUBSTITUTE(SUBSTITUTE(_xlfn.SWITCH(AT560, "ITM_T_HOME", "ITM_UP1", "ITM_T_END", "ITM_DOWN1", "DOCU_CHR_sub", "ITM_DOWN_ARROW", "DOCU_CHR_super", "ITM_UP_ARROW", "MNU_TAMALPHA", "ITM_alpha", "DOCU_CHR_caseFLIP", "ITM_NULL", "DOCU_CHR_numSET", "ITM_NULL", "DOCU_ITM_RADIX", "ITM_PERIOD", AT560), ".lo", ),"MNU_", "-MNU_")</f>
        <v>ITM_REG_H</v>
      </c>
      <c r="BG560" s="75"/>
      <c r="BI560" s="13" t="str">
        <f t="shared" si="307"/>
        <v xml:space="preserve">  {32,                  ITM_RCL,              ITM_PC,               ITM_DELTAPC,          ITM_NULL,             ITM_H,                ITM_h,                ITM_DELTA,            ITM_REG_H           },</v>
      </c>
    </row>
    <row r="561" spans="24:61" ht="21" x14ac:dyDescent="0.2">
      <c r="X561" s="141" t="str">
        <f t="shared" si="297"/>
        <v>R47fg_g</v>
      </c>
      <c r="Y561" s="142">
        <v>3</v>
      </c>
      <c r="Z561" s="142">
        <v>3</v>
      </c>
      <c r="AA561" s="144" t="str">
        <f t="shared" si="295"/>
        <v>R47fg_g.33</v>
      </c>
      <c r="AB561" s="148" t="str">
        <f t="shared" ref="AB561:AD561" si="324">AB422</f>
        <v>RDN</v>
      </c>
      <c r="AC561" s="149" t="str">
        <f t="shared" si="324"/>
        <v>pi</v>
      </c>
      <c r="AD561" s="150" t="str">
        <f t="shared" si="324"/>
        <v>R Up</v>
      </c>
      <c r="AE561" s="3"/>
      <c r="AF561" s="52" t="str">
        <f t="shared" ref="AF561" si="325">AF422</f>
        <v>I</v>
      </c>
      <c r="AG561" s="77" t="b">
        <f t="shared" si="310"/>
        <v>1</v>
      </c>
      <c r="AH561" s="83" t="str">
        <f t="shared" si="299"/>
        <v>i</v>
      </c>
      <c r="AI561" s="84" t="str">
        <f t="shared" si="300"/>
        <v>pi</v>
      </c>
      <c r="AJ561" s="85" t="str">
        <f t="shared" si="301"/>
        <v>Reg I</v>
      </c>
      <c r="AK561" s="6"/>
      <c r="AL561" s="8" t="str">
        <f t="shared" si="302"/>
        <v>{33</v>
      </c>
      <c r="AM561" s="27" t="str">
        <f t="shared" si="303"/>
        <v>ITM_Rdown</v>
      </c>
      <c r="AN561" s="27" t="str">
        <f t="shared" si="304"/>
        <v>ITM_CONSTpi</v>
      </c>
      <c r="AO561" s="27" t="str">
        <f t="shared" si="305"/>
        <v>ITM_Rup</v>
      </c>
      <c r="AP561" s="46" t="str">
        <f>IF(NOT(ISNA(MATCH(AM561,Lookups!E:E,))),VLOOKUP(AM561,Lookups!E:F,2,0),
IF(NOT(ISNA(MATCH(AN561,Lookups!E:E,))),VLOOKUP(AN561,Lookups!E:F,2,0),
IF(NOT(ISNA(MATCH(AO561,Lookups!E:E,))),VLOOKUP(AO561,Lookups!E:F,2,0),"ITM_NULL")))</f>
        <v>ITM_NULL</v>
      </c>
      <c r="AQ561" s="28" t="str">
        <f t="shared" si="306"/>
        <v>ITM_I</v>
      </c>
      <c r="AR561" s="195" t="s">
        <v>105</v>
      </c>
      <c r="AS561" s="186" t="s">
        <v>106</v>
      </c>
      <c r="AT561" s="255" t="s">
        <v>107</v>
      </c>
      <c r="AW561" s="14" t="str">
        <f t="shared" si="311"/>
        <v>{33</v>
      </c>
      <c r="AX561" s="157" t="str" cm="1">
        <f t="array" ref="AX561">SUBSTITUTE(SUBSTITUTE(_xlfn.SWITCH(AM561, "ITM_T_HOME", "ITM_UP1", "ITM_T_END", "ITM_DOWN1", "DOCU_CHR_sub", "ITM_DOWN_ARROW", "DOCU_CHR_super", "ITM_UP_ARROW", "MNU_TAMALPHA", "ITM_alpha", "DOCU_CHR_caseFLIP", "ITM_NULL", "DOCU_CHR_numSET", "ITM_NULL", "DOCU_ITM_RADIX", "ITM_PERIOD", AM561), ".lo", ),"MNU_", "-MNU_")</f>
        <v>ITM_Rdown</v>
      </c>
      <c r="AY561" s="157" t="str" cm="1">
        <f t="array" ref="AY561">SUBSTITUTE(SUBSTITUTE(_xlfn.SWITCH(AN561, "ITM_T_HOME", "ITM_UP1", "ITM_T_END", "ITM_DOWN1", "DOCU_CHR_sub", "ITM_DOWN_ARROW", "DOCU_CHR_super", "ITM_UP_ARROW", "MNU_TAMALPHA", "ITM_alpha", "DOCU_CHR_caseFLIP", "ITM_NULL", "DOCU_CHR_numSET", "ITM_NULL", "DOCU_ITM_RADIX", "ITM_PERIOD", AN561), ".lo", ),"MNU_", "-MNU_")</f>
        <v>ITM_CONSTpi</v>
      </c>
      <c r="AZ561" s="157" t="str" cm="1">
        <f t="array" ref="AZ561">SUBSTITUTE(SUBSTITUTE(_xlfn.SWITCH(AO561, "ITM_T_HOME", "ITM_UP1", "ITM_T_END", "ITM_DOWN1", "DOCU_CHR_sub", "ITM_DOWN_ARROW", "DOCU_CHR_super", "ITM_UP_ARROW", "MNU_TAMALPHA", "ITM_alpha", "DOCU_CHR_caseFLIP", "ITM_NULL", "DOCU_CHR_numSET", "ITM_NULL", "DOCU_ITM_RADIX", "ITM_PERIOD", AO561), ".lo", ),"MNU_", "-MNU_")</f>
        <v>ITM_Rup</v>
      </c>
      <c r="BA561" s="173" t="str" cm="1">
        <f t="array" ref="BA561">SUBSTITUTE(SUBSTITUTE(_xlfn.SWITCH(AP561, "ITM_T_HOME", "ITM_UP1", "ITM_T_END", "ITM_DOWN1", "DOCU_CHR_sub", "ITM_DOWN_ARROW", "DOCU_CHR_super", "ITM_UP_ARROW", "MNU_TAMALPHA", "ITM_alpha", "DOCU_CHR_caseFLIP", "ITM_NULL", "DOCU_CHR_numSET", "ITM_NULL", "DOCU_ITM_RADIX", "ITM_PERIOD", AP561), ".lo", ),"MNU_", "-MNU_")</f>
        <v>ITM_NULL</v>
      </c>
      <c r="BB561" s="157" t="str" cm="1">
        <f t="array" ref="BB561">SUBSTITUTE(SUBSTITUTE(_xlfn.SWITCH(AQ561, "ITM_T_HOME", "ITM_UP1", "ITM_T_END", "ITM_DOWN1", "DOCU_CHR_sub", "ITM_DOWN_ARROW", "DOCU_CHR_super", "ITM_UP_ARROW", "MNU_TAMALPHA", "ITM_alpha", "DOCU_CHR_caseFLIP", "ITM_NULL", "DOCU_CHR_numSET", "ITM_NULL", "DOCU_ITM_RADIX", "ITM_PERIOD", AQ561), ".lo", ),"MNU_", "-MNU_")</f>
        <v>ITM_I</v>
      </c>
      <c r="BC561" s="157" t="str" cm="1">
        <f t="array" ref="BC561">SUBSTITUTE(SUBSTITUTE(_xlfn.SWITCH(AR561, "ITM_T_HOME", "ITM_UP1", "ITM_T_END", "ITM_DOWN1", "DOCU_CHR_sub", "ITM_DOWN_ARROW", "DOCU_CHR_super", "ITM_UP_ARROW", "MNU_TAMALPHA", "ITM_alpha", "DOCU_CHR_caseFLIP", "ITM_NULL", "DOCU_CHR_numSET", "ITM_NULL", "DOCU_ITM_RADIX", "ITM_PERIOD", AR561), ".lo", ),"MNU_", "-MNU_")</f>
        <v>ITM_i</v>
      </c>
      <c r="BD561" s="157" t="str" cm="1">
        <f t="array" ref="BD561">SUBSTITUTE(SUBSTITUTE(_xlfn.SWITCH(AS561, "ITM_T_HOME", "ITM_UP1", "ITM_T_END", "ITM_DOWN1", "DOCU_CHR_sub", "ITM_DOWN_ARROW", "DOCU_CHR_super", "ITM_UP_ARROW", "MNU_TAMALPHA", "ITM_alpha", "DOCU_CHR_caseFLIP", "ITM_NULL", "DOCU_CHR_numSET", "ITM_NULL", "DOCU_ITM_RADIX", "ITM_PERIOD", AS561), ".lo", ),"MNU_", "-MNU_")</f>
        <v>ITM_pi</v>
      </c>
      <c r="BE561" s="157" t="str" cm="1">
        <f t="array" ref="BE561">SUBSTITUTE(SUBSTITUTE(_xlfn.SWITCH(AT561, "ITM_T_HOME", "ITM_UP1", "ITM_T_END", "ITM_DOWN1", "DOCU_CHR_sub", "ITM_DOWN_ARROW", "DOCU_CHR_super", "ITM_UP_ARROW", "MNU_TAMALPHA", "ITM_alpha", "DOCU_CHR_caseFLIP", "ITM_NULL", "DOCU_CHR_numSET", "ITM_NULL", "DOCU_ITM_RADIX", "ITM_PERIOD", AT561), ".lo", ),"MNU_", "-MNU_")</f>
        <v>ITM_REG_I</v>
      </c>
      <c r="BG561" s="75"/>
      <c r="BI561" s="13" t="str">
        <f t="shared" si="307"/>
        <v xml:space="preserve">  {33,                  ITM_Rdown,            ITM_CONSTpi,          ITM_Rup,              ITM_NULL,             ITM_I,                ITM_i,                ITM_pi,               ITM_REG_I           },</v>
      </c>
    </row>
    <row r="562" spans="24:61" ht="21" x14ac:dyDescent="0.2">
      <c r="X562" s="141" t="str">
        <f t="shared" si="297"/>
        <v>R47fg_g</v>
      </c>
      <c r="Y562" s="142">
        <v>3</v>
      </c>
      <c r="Z562" s="142">
        <v>4</v>
      </c>
      <c r="AA562" s="144" t="str">
        <f t="shared" si="295"/>
        <v>R47fg_g.34</v>
      </c>
      <c r="AB562" s="148" t="str">
        <f t="shared" ref="AB562:AD562" si="326">AB423</f>
        <v>DRG</v>
      </c>
      <c r="AC562" s="149" t="str">
        <f t="shared" si="326"/>
        <v>USER</v>
      </c>
      <c r="AD562" s="150" t="str">
        <f t="shared" si="326"/>
        <v>ASN</v>
      </c>
      <c r="AE562" s="3"/>
      <c r="AF562" s="52" t="str">
        <f t="shared" ref="AF562" si="327">AF423</f>
        <v>J</v>
      </c>
      <c r="AG562" s="77" t="b">
        <f t="shared" si="310"/>
        <v>1</v>
      </c>
      <c r="AH562" s="83" t="str">
        <f t="shared" si="299"/>
        <v>j</v>
      </c>
      <c r="AI562" s="84" t="str">
        <f t="shared" si="300"/>
        <v>&lt;j&gt;</v>
      </c>
      <c r="AJ562" s="85" t="str">
        <f t="shared" si="301"/>
        <v>Reg J</v>
      </c>
      <c r="AK562" s="6"/>
      <c r="AL562" s="8" t="str">
        <f t="shared" si="302"/>
        <v>{34</v>
      </c>
      <c r="AM562" s="27" t="str">
        <f t="shared" si="303"/>
        <v>ITM_DRG</v>
      </c>
      <c r="AN562" s="27" t="str">
        <f t="shared" si="304"/>
        <v>ITM_USERMODE</v>
      </c>
      <c r="AO562" s="27" t="str">
        <f t="shared" si="305"/>
        <v>ITM_ASSIGN</v>
      </c>
      <c r="AP562" s="46" t="str">
        <f>IF(NOT(ISNA(MATCH(AM562,Lookups!E:E,))),VLOOKUP(AM562,Lookups!E:F,2,0),
IF(NOT(ISNA(MATCH(AN562,Lookups!E:E,))),VLOOKUP(AN562,Lookups!E:F,2,0),
IF(NOT(ISNA(MATCH(AO562,Lookups!E:E,))),VLOOKUP(AO562,Lookups!E:F,2,0),"ITM_NULL")))</f>
        <v>ITM_NULL</v>
      </c>
      <c r="AQ562" s="28" t="str">
        <f t="shared" si="306"/>
        <v>ITM_J</v>
      </c>
      <c r="AR562" s="195" t="s">
        <v>112</v>
      </c>
      <c r="AS562" s="186" t="s">
        <v>642</v>
      </c>
      <c r="AT562" s="255" t="s">
        <v>114</v>
      </c>
      <c r="AW562" s="14" t="str">
        <f t="shared" si="311"/>
        <v>{34</v>
      </c>
      <c r="AX562" s="157" t="str" cm="1">
        <f t="array" ref="AX562">SUBSTITUTE(SUBSTITUTE(_xlfn.SWITCH(AM562, "ITM_T_HOME", "ITM_UP1", "ITM_T_END", "ITM_DOWN1", "DOCU_CHR_sub", "ITM_DOWN_ARROW", "DOCU_CHR_super", "ITM_UP_ARROW", "MNU_TAMALPHA", "ITM_alpha", "DOCU_CHR_caseFLIP", "ITM_NULL", "DOCU_CHR_numSET", "ITM_NULL", "DOCU_ITM_RADIX", "ITM_PERIOD", AM562), ".lo", ),"MNU_", "-MNU_")</f>
        <v>ITM_DRG</v>
      </c>
      <c r="AY562" s="157" t="str" cm="1">
        <f t="array" ref="AY562">SUBSTITUTE(SUBSTITUTE(_xlfn.SWITCH(AN562, "ITM_T_HOME", "ITM_UP1", "ITM_T_END", "ITM_DOWN1", "DOCU_CHR_sub", "ITM_DOWN_ARROW", "DOCU_CHR_super", "ITM_UP_ARROW", "MNU_TAMALPHA", "ITM_alpha", "DOCU_CHR_caseFLIP", "ITM_NULL", "DOCU_CHR_numSET", "ITM_NULL", "DOCU_ITM_RADIX", "ITM_PERIOD", AN562), ".lo", ),"MNU_", "-MNU_")</f>
        <v>ITM_USERMODE</v>
      </c>
      <c r="AZ562" s="157" t="str" cm="1">
        <f t="array" ref="AZ562">SUBSTITUTE(SUBSTITUTE(_xlfn.SWITCH(AO562, "ITM_T_HOME", "ITM_UP1", "ITM_T_END", "ITM_DOWN1", "DOCU_CHR_sub", "ITM_DOWN_ARROW", "DOCU_CHR_super", "ITM_UP_ARROW", "MNU_TAMALPHA", "ITM_alpha", "DOCU_CHR_caseFLIP", "ITM_NULL", "DOCU_CHR_numSET", "ITM_NULL", "DOCU_ITM_RADIX", "ITM_PERIOD", AO562), ".lo", ),"MNU_", "-MNU_")</f>
        <v>ITM_ASSIGN</v>
      </c>
      <c r="BA562" s="173" t="str" cm="1">
        <f t="array" ref="BA562">SUBSTITUTE(SUBSTITUTE(_xlfn.SWITCH(AP562, "ITM_T_HOME", "ITM_UP1", "ITM_T_END", "ITM_DOWN1", "DOCU_CHR_sub", "ITM_DOWN_ARROW", "DOCU_CHR_super", "ITM_UP_ARROW", "MNU_TAMALPHA", "ITM_alpha", "DOCU_CHR_caseFLIP", "ITM_NULL", "DOCU_CHR_numSET", "ITM_NULL", "DOCU_ITM_RADIX", "ITM_PERIOD", AP562), ".lo", ),"MNU_", "-MNU_")</f>
        <v>ITM_NULL</v>
      </c>
      <c r="BB562" s="157" t="str" cm="1">
        <f t="array" ref="BB562">SUBSTITUTE(SUBSTITUTE(_xlfn.SWITCH(AQ562, "ITM_T_HOME", "ITM_UP1", "ITM_T_END", "ITM_DOWN1", "DOCU_CHR_sub", "ITM_DOWN_ARROW", "DOCU_CHR_super", "ITM_UP_ARROW", "MNU_TAMALPHA", "ITM_alpha", "DOCU_CHR_caseFLIP", "ITM_NULL", "DOCU_CHR_numSET", "ITM_NULL", "DOCU_ITM_RADIX", "ITM_PERIOD", AQ562), ".lo", ),"MNU_", "-MNU_")</f>
        <v>ITM_J</v>
      </c>
      <c r="BC562" s="157" t="str" cm="1">
        <f t="array" ref="BC562">SUBSTITUTE(SUBSTITUTE(_xlfn.SWITCH(AR562, "ITM_T_HOME", "ITM_UP1", "ITM_T_END", "ITM_DOWN1", "DOCU_CHR_sub", "ITM_DOWN_ARROW", "DOCU_CHR_super", "ITM_UP_ARROW", "MNU_TAMALPHA", "ITM_alpha", "DOCU_CHR_caseFLIP", "ITM_NULL", "DOCU_CHR_numSET", "ITM_NULL", "DOCU_ITM_RADIX", "ITM_PERIOD", AR562), ".lo", ),"MNU_", "-MNU_")</f>
        <v>ITM_j</v>
      </c>
      <c r="BD562" s="157" t="str" cm="1">
        <f t="array" ref="BD562">SUBSTITUTE(SUBSTITUTE(_xlfn.SWITCH(AS562, "ITM_T_HOME", "ITM_UP1", "ITM_T_END", "ITM_DOWN1", "DOCU_CHR_sub", "ITM_DOWN_ARROW", "DOCU_CHR_super", "ITM_UP_ARROW", "MNU_TAMALPHA", "ITM_alpha", "DOCU_CHR_caseFLIP", "ITM_NULL", "DOCU_CHR_numSET", "ITM_NULL", "DOCU_ITM_RADIX", "ITM_PERIOD", AS562), ".lo", ),"MNU_", "-MNU_")</f>
        <v>ITM_op_j_char</v>
      </c>
      <c r="BE562" s="157" t="str" cm="1">
        <f t="array" ref="BE562">SUBSTITUTE(SUBSTITUTE(_xlfn.SWITCH(AT562, "ITM_T_HOME", "ITM_UP1", "ITM_T_END", "ITM_DOWN1", "DOCU_CHR_sub", "ITM_DOWN_ARROW", "DOCU_CHR_super", "ITM_UP_ARROW", "MNU_TAMALPHA", "ITM_alpha", "DOCU_CHR_caseFLIP", "ITM_NULL", "DOCU_CHR_numSET", "ITM_NULL", "DOCU_ITM_RADIX", "ITM_PERIOD", AT562), ".lo", ),"MNU_", "-MNU_")</f>
        <v>ITM_REG_J</v>
      </c>
      <c r="BG562" s="75"/>
      <c r="BI562" s="13" t="str">
        <f t="shared" si="307"/>
        <v xml:space="preserve">  {34,                  ITM_DRG,              ITM_USERMODE,         ITM_ASSIGN,           ITM_NULL,             ITM_J,                ITM_j,                ITM_op_j_char,        ITM_REG_J           },</v>
      </c>
    </row>
    <row r="563" spans="24:61" ht="21" x14ac:dyDescent="0.2">
      <c r="X563" s="141" t="str">
        <f t="shared" si="297"/>
        <v>R47fg_g</v>
      </c>
      <c r="Y563" s="142">
        <v>3</v>
      </c>
      <c r="Z563" s="142">
        <v>5</v>
      </c>
      <c r="AA563" s="144" t="str">
        <f t="shared" si="295"/>
        <v>R47fg_g.35</v>
      </c>
      <c r="AB563" s="180" t="s">
        <v>217</v>
      </c>
      <c r="AC563" s="181" t="s">
        <v>218</v>
      </c>
      <c r="AD563" s="181" t="s">
        <v>218</v>
      </c>
      <c r="AE563" s="3"/>
      <c r="AF563" s="180" t="s">
        <v>217</v>
      </c>
      <c r="AG563" s="77" t="b">
        <f t="shared" si="310"/>
        <v>0</v>
      </c>
      <c r="AH563" s="83" t="str">
        <f t="shared" si="299"/>
        <v>(FlipChar)</v>
      </c>
      <c r="AI563" s="84" t="str">
        <f t="shared" si="300"/>
        <v xml:space="preserve"> </v>
      </c>
      <c r="AJ563" s="85" t="str">
        <f t="shared" si="301"/>
        <v>f/g</v>
      </c>
      <c r="AK563" s="6"/>
      <c r="AL563" s="8" t="str">
        <f t="shared" si="302"/>
        <v>{35</v>
      </c>
      <c r="AM563" s="27" t="str">
        <f t="shared" si="303"/>
        <v>KEY_fg</v>
      </c>
      <c r="AN563" s="27" t="str">
        <f t="shared" si="304"/>
        <v>ITM_NULL</v>
      </c>
      <c r="AO563" s="27" t="str">
        <f t="shared" si="305"/>
        <v>ITM_NULL</v>
      </c>
      <c r="AP563" s="46" t="str">
        <f>IF(NOT(ISNA(MATCH(AM563,Lookups!E:E,))),VLOOKUP(AM563,Lookups!E:F,2,0),
IF(NOT(ISNA(MATCH(AN563,Lookups!E:E,))),VLOOKUP(AN563,Lookups!E:F,2,0),
IF(NOT(ISNA(MATCH(AO563,Lookups!E:E,))),VLOOKUP(AO563,Lookups!E:F,2,0),"ITM_NULL")))</f>
        <v>KEY_fg</v>
      </c>
      <c r="AQ563" s="28" t="str">
        <f t="shared" si="306"/>
        <v>KEY_fg</v>
      </c>
      <c r="AR563" s="219" t="s">
        <v>219</v>
      </c>
      <c r="AS563" s="220" t="s">
        <v>81</v>
      </c>
      <c r="AT563" s="256" t="s">
        <v>221</v>
      </c>
      <c r="AW563" s="14" t="str">
        <f t="shared" si="311"/>
        <v>{35</v>
      </c>
      <c r="AX563" s="157" t="str" cm="1">
        <f t="array" ref="AX563">SUBSTITUTE(SUBSTITUTE(_xlfn.SWITCH(AM563, "ITM_T_HOME", "ITM_UP1", "ITM_T_END", "ITM_DOWN1", "DOCU_CHR_sub", "ITM_DOWN_ARROW", "DOCU_CHR_super", "ITM_UP_ARROW", "MNU_TAMALPHA", "ITM_alpha", "DOCU_CHR_caseFLIP", "ITM_NULL", "DOCU_CHR_numSET", "ITM_NULL", "DOCU_ITM_RADIX", "ITM_PERIOD", AM563), ".lo", ),"MNU_", "-MNU_")</f>
        <v>KEY_fg</v>
      </c>
      <c r="AY563" s="157" t="str" cm="1">
        <f t="array" ref="AY563">SUBSTITUTE(SUBSTITUTE(_xlfn.SWITCH(AN563, "ITM_T_HOME", "ITM_UP1", "ITM_T_END", "ITM_DOWN1", "DOCU_CHR_sub", "ITM_DOWN_ARROW", "DOCU_CHR_super", "ITM_UP_ARROW", "MNU_TAMALPHA", "ITM_alpha", "DOCU_CHR_caseFLIP", "ITM_NULL", "DOCU_CHR_numSET", "ITM_NULL", "DOCU_ITM_RADIX", "ITM_PERIOD", AN563), ".lo", ),"MNU_", "-MNU_")</f>
        <v>ITM_NULL</v>
      </c>
      <c r="AZ563" s="157" t="str" cm="1">
        <f t="array" ref="AZ563">SUBSTITUTE(SUBSTITUTE(_xlfn.SWITCH(AO563, "ITM_T_HOME", "ITM_UP1", "ITM_T_END", "ITM_DOWN1", "DOCU_CHR_sub", "ITM_DOWN_ARROW", "DOCU_CHR_super", "ITM_UP_ARROW", "MNU_TAMALPHA", "ITM_alpha", "DOCU_CHR_caseFLIP", "ITM_NULL", "DOCU_CHR_numSET", "ITM_NULL", "DOCU_ITM_RADIX", "ITM_PERIOD", AO563), ".lo", ),"MNU_", "-MNU_")</f>
        <v>ITM_NULL</v>
      </c>
      <c r="BA563" s="173" t="str" cm="1">
        <f t="array" ref="BA563">SUBSTITUTE(SUBSTITUTE(_xlfn.SWITCH(AP563, "ITM_T_HOME", "ITM_UP1", "ITM_T_END", "ITM_DOWN1", "DOCU_CHR_sub", "ITM_DOWN_ARROW", "DOCU_CHR_super", "ITM_UP_ARROW", "MNU_TAMALPHA", "ITM_alpha", "DOCU_CHR_caseFLIP", "ITM_NULL", "DOCU_CHR_numSET", "ITM_NULL", "DOCU_ITM_RADIX", "ITM_PERIOD", AP563), ".lo", ),"MNU_", "-MNU_")</f>
        <v>KEY_fg</v>
      </c>
      <c r="BB563" s="157" t="str" cm="1">
        <f t="array" ref="BB563">SUBSTITUTE(SUBSTITUTE(_xlfn.SWITCH(AQ563, "ITM_T_HOME", "ITM_UP1", "ITM_T_END", "ITM_DOWN1", "DOCU_CHR_sub", "ITM_DOWN_ARROW", "DOCU_CHR_super", "ITM_UP_ARROW", "MNU_TAMALPHA", "ITM_alpha", "DOCU_CHR_caseFLIP", "ITM_NULL", "DOCU_CHR_numSET", "ITM_NULL", "DOCU_ITM_RADIX", "ITM_PERIOD", AQ563), ".lo", ),"MNU_", "-MNU_")</f>
        <v>KEY_fg</v>
      </c>
      <c r="BC563" s="157" t="str" cm="1">
        <f t="array" ref="BC563">SUBSTITUTE(SUBSTITUTE(_xlfn.SWITCH(AR563, "ITM_T_HOME", "ITM_UP1", "ITM_T_END", "ITM_DOWN1", "DOCU_CHR_sub", "ITM_DOWN_ARROW", "DOCU_CHR_super", "ITM_UP_ARROW", "MNU_TAMALPHA", "ITM_alpha", "DOCU_CHR_caseFLIP", "ITM_NULL", "DOCU_CHR_numSET", "ITM_NULL", "DOCU_ITM_RADIX", "ITM_PERIOD", AR563), ".lo", ),"MNU_", "-MNU_")</f>
        <v>ITM_NULL</v>
      </c>
      <c r="BD563" s="157" t="str" cm="1">
        <f t="array" ref="BD563">SUBSTITUTE(SUBSTITUTE(_xlfn.SWITCH(AS563, "ITM_T_HOME", "ITM_UP1", "ITM_T_END", "ITM_DOWN1", "DOCU_CHR_sub", "ITM_DOWN_ARROW", "DOCU_CHR_super", "ITM_UP_ARROW", "MNU_TAMALPHA", "ITM_alpha", "DOCU_CHR_caseFLIP", "ITM_NULL", "DOCU_CHR_numSET", "ITM_NULL", "DOCU_ITM_RADIX", "ITM_PERIOD", AS563), ".lo", ),"MNU_", "-MNU_")</f>
        <v>ITM_NULL</v>
      </c>
      <c r="BE563" s="157" t="str" cm="1">
        <f t="array" ref="BE563">SUBSTITUTE(SUBSTITUTE(_xlfn.SWITCH(AT563, "ITM_T_HOME", "ITM_UP1", "ITM_T_END", "ITM_DOWN1", "DOCU_CHR_sub", "ITM_DOWN_ARROW", "DOCU_CHR_super", "ITM_UP_ARROW", "MNU_TAMALPHA", "ITM_alpha", "DOCU_CHR_caseFLIP", "ITM_NULL", "DOCU_CHR_numSET", "ITM_NULL", "DOCU_ITM_RADIX", "ITM_PERIOD", AT563), ".lo", ),"MNU_", "-MNU_")</f>
        <v>KEY_fg</v>
      </c>
      <c r="BG563" s="75"/>
      <c r="BI563" s="13" t="str">
        <f t="shared" si="307"/>
        <v xml:space="preserve">  {35,                  KEY_fg,               ITM_NULL,             ITM_NULL,             KEY_fg,               KEY_fg,               ITM_NULL,             ITM_NULL,             KEY_fg              },</v>
      </c>
    </row>
    <row r="564" spans="24:61" ht="21" x14ac:dyDescent="0.2">
      <c r="X564" s="141" t="str">
        <f t="shared" si="297"/>
        <v>R47fg_g</v>
      </c>
      <c r="Y564" s="142">
        <v>3</v>
      </c>
      <c r="Z564" s="142">
        <v>6</v>
      </c>
      <c r="AA564" s="144" t="str">
        <f t="shared" si="295"/>
        <v>R47fg_g.36</v>
      </c>
      <c r="AB564" s="121" t="s">
        <v>341</v>
      </c>
      <c r="AC564" s="182" t="s">
        <v>218</v>
      </c>
      <c r="AD564" s="182" t="s">
        <v>218</v>
      </c>
      <c r="AE564" s="3"/>
      <c r="AF564" s="121" t="s">
        <v>341</v>
      </c>
      <c r="AG564" s="77" t="b">
        <f t="shared" si="310"/>
        <v>0</v>
      </c>
      <c r="AH564" s="83" t="str">
        <f t="shared" si="299"/>
        <v xml:space="preserve"> </v>
      </c>
      <c r="AI564" s="84" t="str">
        <f t="shared" si="300"/>
        <v>(Digit)</v>
      </c>
      <c r="AJ564" s="85" t="str">
        <f t="shared" si="301"/>
        <v xml:space="preserve"> g </v>
      </c>
      <c r="AK564" s="6"/>
      <c r="AL564" s="8" t="str">
        <f t="shared" si="302"/>
        <v>{36</v>
      </c>
      <c r="AM564" s="27" t="str">
        <f t="shared" si="303"/>
        <v>ITM_SHIFTg</v>
      </c>
      <c r="AN564" s="27" t="str">
        <f t="shared" si="304"/>
        <v>ITM_NULL</v>
      </c>
      <c r="AO564" s="27" t="str">
        <f t="shared" si="305"/>
        <v>ITM_NULL</v>
      </c>
      <c r="AP564" s="46" t="str">
        <f>IF(NOT(ISNA(MATCH(AM564,Lookups!E:E,))),VLOOKUP(AM564,Lookups!E:F,2,0),
IF(NOT(ISNA(MATCH(AN564,Lookups!E:E,))),VLOOKUP(AN564,Lookups!E:F,2,0),
IF(NOT(ISNA(MATCH(AO564,Lookups!E:E,))),VLOOKUP(AO564,Lookups!E:F,2,0),"ITM_NULL")))</f>
        <v>ITM_SHIFTg</v>
      </c>
      <c r="AQ564" s="28" t="str">
        <f t="shared" si="306"/>
        <v>ITM_SHIFTg</v>
      </c>
      <c r="AR564" s="219" t="s">
        <v>81</v>
      </c>
      <c r="AS564" s="220" t="s">
        <v>220</v>
      </c>
      <c r="AT564" s="256" t="s">
        <v>343</v>
      </c>
      <c r="AW564" s="14" t="str">
        <f t="shared" si="311"/>
        <v>{36</v>
      </c>
      <c r="AX564" s="157" t="str" cm="1">
        <f t="array" ref="AX564">SUBSTITUTE(SUBSTITUTE(_xlfn.SWITCH(AM564, "ITM_T_HOME", "ITM_UP1", "ITM_T_END", "ITM_DOWN1", "DOCU_CHR_sub", "ITM_DOWN_ARROW", "DOCU_CHR_super", "ITM_UP_ARROW", "MNU_TAMALPHA", "ITM_alpha", "DOCU_CHR_caseFLIP", "ITM_NULL", "DOCU_CHR_numSET", "ITM_NULL", "DOCU_ITM_RADIX", "ITM_PERIOD", AM564), ".lo", ),"MNU_", "-MNU_")</f>
        <v>ITM_SHIFTg</v>
      </c>
      <c r="AY564" s="157" t="str" cm="1">
        <f t="array" ref="AY564">SUBSTITUTE(SUBSTITUTE(_xlfn.SWITCH(AN564, "ITM_T_HOME", "ITM_UP1", "ITM_T_END", "ITM_DOWN1", "DOCU_CHR_sub", "ITM_DOWN_ARROW", "DOCU_CHR_super", "ITM_UP_ARROW", "MNU_TAMALPHA", "ITM_alpha", "DOCU_CHR_caseFLIP", "ITM_NULL", "DOCU_CHR_numSET", "ITM_NULL", "DOCU_ITM_RADIX", "ITM_PERIOD", AN564), ".lo", ),"MNU_", "-MNU_")</f>
        <v>ITM_NULL</v>
      </c>
      <c r="AZ564" s="157" t="str" cm="1">
        <f t="array" ref="AZ564">SUBSTITUTE(SUBSTITUTE(_xlfn.SWITCH(AO564, "ITM_T_HOME", "ITM_UP1", "ITM_T_END", "ITM_DOWN1", "DOCU_CHR_sub", "ITM_DOWN_ARROW", "DOCU_CHR_super", "ITM_UP_ARROW", "MNU_TAMALPHA", "ITM_alpha", "DOCU_CHR_caseFLIP", "ITM_NULL", "DOCU_CHR_numSET", "ITM_NULL", "DOCU_ITM_RADIX", "ITM_PERIOD", AO564), ".lo", ),"MNU_", "-MNU_")</f>
        <v>ITM_NULL</v>
      </c>
      <c r="BA564" s="173" t="str" cm="1">
        <f t="array" ref="BA564">SUBSTITUTE(SUBSTITUTE(_xlfn.SWITCH(AP564, "ITM_T_HOME", "ITM_UP1", "ITM_T_END", "ITM_DOWN1", "DOCU_CHR_sub", "ITM_DOWN_ARROW", "DOCU_CHR_super", "ITM_UP_ARROW", "MNU_TAMALPHA", "ITM_alpha", "DOCU_CHR_caseFLIP", "ITM_NULL", "DOCU_CHR_numSET", "ITM_NULL", "DOCU_ITM_RADIX", "ITM_PERIOD", AP564), ".lo", ),"MNU_", "-MNU_")</f>
        <v>ITM_SHIFTg</v>
      </c>
      <c r="BB564" s="157" t="str" cm="1">
        <f t="array" ref="BB564">SUBSTITUTE(SUBSTITUTE(_xlfn.SWITCH(AQ564, "ITM_T_HOME", "ITM_UP1", "ITM_T_END", "ITM_DOWN1", "DOCU_CHR_sub", "ITM_DOWN_ARROW", "DOCU_CHR_super", "ITM_UP_ARROW", "MNU_TAMALPHA", "ITM_alpha", "DOCU_CHR_caseFLIP", "ITM_NULL", "DOCU_CHR_numSET", "ITM_NULL", "DOCU_ITM_RADIX", "ITM_PERIOD", AQ564), ".lo", ),"MNU_", "-MNU_")</f>
        <v>ITM_SHIFTg</v>
      </c>
      <c r="BC564" s="157" t="str" cm="1">
        <f t="array" ref="BC564">SUBSTITUTE(SUBSTITUTE(_xlfn.SWITCH(AR564, "ITM_T_HOME", "ITM_UP1", "ITM_T_END", "ITM_DOWN1", "DOCU_CHR_sub", "ITM_DOWN_ARROW", "DOCU_CHR_super", "ITM_UP_ARROW", "MNU_TAMALPHA", "ITM_alpha", "DOCU_CHR_caseFLIP", "ITM_NULL", "DOCU_CHR_numSET", "ITM_NULL", "DOCU_ITM_RADIX", "ITM_PERIOD", AR564), ".lo", ),"MNU_", "-MNU_")</f>
        <v>ITM_NULL</v>
      </c>
      <c r="BD564" s="157" t="str" cm="1">
        <f t="array" ref="BD564">SUBSTITUTE(SUBSTITUTE(_xlfn.SWITCH(AS564, "ITM_T_HOME", "ITM_UP1", "ITM_T_END", "ITM_DOWN1", "DOCU_CHR_sub", "ITM_DOWN_ARROW", "DOCU_CHR_super", "ITM_UP_ARROW", "MNU_TAMALPHA", "ITM_alpha", "DOCU_CHR_caseFLIP", "ITM_NULL", "DOCU_CHR_numSET", "ITM_NULL", "DOCU_ITM_RADIX", "ITM_PERIOD", AS564), ".lo", ),"MNU_", "-MNU_")</f>
        <v>ITM_NULL</v>
      </c>
      <c r="BE564" s="157" t="str" cm="1">
        <f t="array" ref="BE564">SUBSTITUTE(SUBSTITUTE(_xlfn.SWITCH(AT564, "ITM_T_HOME", "ITM_UP1", "ITM_T_END", "ITM_DOWN1", "DOCU_CHR_sub", "ITM_DOWN_ARROW", "DOCU_CHR_super", "ITM_UP_ARROW", "MNU_TAMALPHA", "ITM_alpha", "DOCU_CHR_caseFLIP", "ITM_NULL", "DOCU_CHR_numSET", "ITM_NULL", "DOCU_ITM_RADIX", "ITM_PERIOD", AT564), ".lo", ),"MNU_", "-MNU_")</f>
        <v>ITM_SHIFTg</v>
      </c>
      <c r="BG564" s="75"/>
      <c r="BI564" s="13" t="str">
        <f t="shared" si="307"/>
        <v xml:space="preserve">  {36,                  ITM_SHIFTg,           ITM_NULL,             ITM_NULL,             ITM_SHIFTg,           ITM_SHIFTg,           ITM_NULL,             ITM_NULL,             ITM_SHIFTg          },</v>
      </c>
    </row>
    <row r="565" spans="24:61" ht="21" x14ac:dyDescent="0.2">
      <c r="X565" s="141" t="str">
        <f t="shared" si="297"/>
        <v>R47fg_g</v>
      </c>
      <c r="Y565" s="138">
        <v>4</v>
      </c>
      <c r="Z565" s="138">
        <v>1</v>
      </c>
      <c r="AA565" s="144" t="str">
        <f t="shared" si="295"/>
        <v>R47fg_g.41</v>
      </c>
      <c r="AB565" s="148" t="str">
        <f t="shared" ref="AB565:AD565" si="328">AB426</f>
        <v>ENTER</v>
      </c>
      <c r="AC565" s="149" t="str">
        <f t="shared" si="328"/>
        <v>COMPLEX</v>
      </c>
      <c r="AD565" s="150" t="str">
        <f t="shared" si="328"/>
        <v>[ CPX ]</v>
      </c>
      <c r="AE565" s="3"/>
      <c r="AF565" s="52" t="str">
        <f t="shared" ref="AF565" si="329">AF426</f>
        <v>ENTER</v>
      </c>
      <c r="AG565" s="77" t="b">
        <f t="shared" si="310"/>
        <v>0</v>
      </c>
      <c r="AH565" s="83" t="str">
        <f t="shared" si="299"/>
        <v>X.SWAP</v>
      </c>
      <c r="AI565" s="84" t="str">
        <f t="shared" si="300"/>
        <v>a.PARSE</v>
      </c>
      <c r="AJ565" s="85" t="str">
        <f t="shared" si="301"/>
        <v>ENTER</v>
      </c>
      <c r="AK565" s="6"/>
      <c r="AL565" s="8" t="str">
        <f t="shared" si="302"/>
        <v>{41</v>
      </c>
      <c r="AM565" s="27" t="str">
        <f t="shared" si="303"/>
        <v>ITM_ENTER</v>
      </c>
      <c r="AN565" s="27" t="str">
        <f t="shared" si="304"/>
        <v>KEY_COMPLEX</v>
      </c>
      <c r="AO565" s="27" t="str">
        <f t="shared" si="305"/>
        <v>MNU_CPX</v>
      </c>
      <c r="AP565" s="46" t="str">
        <f>IF(NOT(ISNA(MATCH(AM565,Lookups!E:E,))),VLOOKUP(AM565,Lookups!E:F,2,0),
IF(NOT(ISNA(MATCH(AN565,Lookups!E:E,))),VLOOKUP(AN565,Lookups!E:F,2,0),
IF(NOT(ISNA(MATCH(AO565,Lookups!E:E,))),VLOOKUP(AO565,Lookups!E:F,2,0),"ITM_NULL")))</f>
        <v>ITM_ENTER</v>
      </c>
      <c r="AQ565" s="28" t="str">
        <f t="shared" si="306"/>
        <v>ITM_ENTER</v>
      </c>
      <c r="AR565" s="198" t="s">
        <v>132</v>
      </c>
      <c r="AS565" s="186" t="s">
        <v>133</v>
      </c>
      <c r="AT565" s="255" t="s">
        <v>134</v>
      </c>
      <c r="AW565" s="14" t="str">
        <f t="shared" si="311"/>
        <v>{41</v>
      </c>
      <c r="AX565" s="157" t="str" cm="1">
        <f t="array" ref="AX565">SUBSTITUTE(SUBSTITUTE(_xlfn.SWITCH(AM565, "ITM_T_HOME", "ITM_UP1", "ITM_T_END", "ITM_DOWN1", "DOCU_CHR_sub", "ITM_DOWN_ARROW", "DOCU_CHR_super", "ITM_UP_ARROW", "MNU_TAMALPHA", "ITM_alpha", "DOCU_CHR_caseFLIP", "ITM_NULL", "DOCU_CHR_numSET", "ITM_NULL", "DOCU_ITM_RADIX", "ITM_PERIOD", AM565), ".lo", ),"MNU_", "-MNU_")</f>
        <v>ITM_ENTER</v>
      </c>
      <c r="AY565" s="157" t="str" cm="1">
        <f t="array" ref="AY565">SUBSTITUTE(SUBSTITUTE(_xlfn.SWITCH(AN565, "ITM_T_HOME", "ITM_UP1", "ITM_T_END", "ITM_DOWN1", "DOCU_CHR_sub", "ITM_DOWN_ARROW", "DOCU_CHR_super", "ITM_UP_ARROW", "MNU_TAMALPHA", "ITM_alpha", "DOCU_CHR_caseFLIP", "ITM_NULL", "DOCU_CHR_numSET", "ITM_NULL", "DOCU_ITM_RADIX", "ITM_PERIOD", AN565), ".lo", ),"MNU_", "-MNU_")</f>
        <v>KEY_COMPLEX</v>
      </c>
      <c r="AZ565" s="157" t="str" cm="1">
        <f t="array" ref="AZ565">SUBSTITUTE(SUBSTITUTE(_xlfn.SWITCH(AO565, "ITM_T_HOME", "ITM_UP1", "ITM_T_END", "ITM_DOWN1", "DOCU_CHR_sub", "ITM_DOWN_ARROW", "DOCU_CHR_super", "ITM_UP_ARROW", "MNU_TAMALPHA", "ITM_alpha", "DOCU_CHR_caseFLIP", "ITM_NULL", "DOCU_CHR_numSET", "ITM_NULL", "DOCU_ITM_RADIX", "ITM_PERIOD", AO565), ".lo", ),"MNU_", "-MNU_")</f>
        <v>-MNU_CPX</v>
      </c>
      <c r="BA565" s="173" t="str" cm="1">
        <f t="array" ref="BA565">SUBSTITUTE(SUBSTITUTE(_xlfn.SWITCH(AP565, "ITM_T_HOME", "ITM_UP1", "ITM_T_END", "ITM_DOWN1", "DOCU_CHR_sub", "ITM_DOWN_ARROW", "DOCU_CHR_super", "ITM_UP_ARROW", "MNU_TAMALPHA", "ITM_alpha", "DOCU_CHR_caseFLIP", "ITM_NULL", "DOCU_CHR_numSET", "ITM_NULL", "DOCU_ITM_RADIX", "ITM_PERIOD", AP565), ".lo", ),"MNU_", "-MNU_")</f>
        <v>ITM_ENTER</v>
      </c>
      <c r="BB565" s="157" t="str" cm="1">
        <f t="array" ref="BB565">SUBSTITUTE(SUBSTITUTE(_xlfn.SWITCH(AQ565, "ITM_T_HOME", "ITM_UP1", "ITM_T_END", "ITM_DOWN1", "DOCU_CHR_sub", "ITM_DOWN_ARROW", "DOCU_CHR_super", "ITM_UP_ARROW", "MNU_TAMALPHA", "ITM_alpha", "DOCU_CHR_caseFLIP", "ITM_NULL", "DOCU_CHR_numSET", "ITM_NULL", "DOCU_ITM_RADIX", "ITM_PERIOD", AQ565), ".lo", ),"MNU_", "-MNU_")</f>
        <v>ITM_ENTER</v>
      </c>
      <c r="BC565" s="157" t="str" cm="1">
        <f t="array" ref="BC565">SUBSTITUTE(SUBSTITUTE(_xlfn.SWITCH(AR565, "ITM_T_HOME", "ITM_UP1", "ITM_T_END", "ITM_DOWN1", "DOCU_CHR_sub", "ITM_DOWN_ARROW", "DOCU_CHR_super", "ITM_UP_ARROW", "MNU_TAMALPHA", "ITM_alpha", "DOCU_CHR_caseFLIP", "ITM_NULL", "DOCU_CHR_numSET", "ITM_NULL", "DOCU_ITM_RADIX", "ITM_PERIOD", AR565), ".lo", ),"MNU_", "-MNU_")</f>
        <v>ITM_XSWAP</v>
      </c>
      <c r="BD565" s="157" t="str" cm="1">
        <f t="array" ref="BD565">SUBSTITUTE(SUBSTITUTE(_xlfn.SWITCH(AS565, "ITM_T_HOME", "ITM_UP1", "ITM_T_END", "ITM_DOWN1", "DOCU_CHR_sub", "ITM_DOWN_ARROW", "DOCU_CHR_super", "ITM_UP_ARROW", "MNU_TAMALPHA", "ITM_alpha", "DOCU_CHR_caseFLIP", "ITM_NULL", "DOCU_CHR_numSET", "ITM_NULL", "DOCU_ITM_RADIX", "ITM_PERIOD", AS565), ".lo", ),"MNU_", "-MNU_")</f>
        <v>ITM_XPARSE</v>
      </c>
      <c r="BE565" s="157" t="str" cm="1">
        <f t="array" ref="BE565">SUBSTITUTE(SUBSTITUTE(_xlfn.SWITCH(AT565, "ITM_T_HOME", "ITM_UP1", "ITM_T_END", "ITM_DOWN1", "DOCU_CHR_sub", "ITM_DOWN_ARROW", "DOCU_CHR_super", "ITM_UP_ARROW", "MNU_TAMALPHA", "ITM_alpha", "DOCU_CHR_caseFLIP", "ITM_NULL", "DOCU_CHR_numSET", "ITM_NULL", "DOCU_ITM_RADIX", "ITM_PERIOD", AT565), ".lo", ),"MNU_", "-MNU_")</f>
        <v>ITM_ENTER</v>
      </c>
      <c r="BG565" s="75"/>
      <c r="BI565" s="13" t="str">
        <f t="shared" si="307"/>
        <v xml:space="preserve">  {41,                  ITM_ENTER,            KEY_COMPLEX,          -MNU_CPX,             ITM_ENTER,            ITM_ENTER,            ITM_XSWAP,            ITM_XPARSE,           ITM_ENTER           },</v>
      </c>
    </row>
    <row r="566" spans="24:61" ht="21" x14ac:dyDescent="0.2">
      <c r="X566" s="141" t="str">
        <f t="shared" si="297"/>
        <v>R47fg_g</v>
      </c>
      <c r="Y566" s="142">
        <v>4</v>
      </c>
      <c r="Z566" s="142">
        <v>2</v>
      </c>
      <c r="AA566" s="144" t="str">
        <f t="shared" si="295"/>
        <v>R47fg_g.42</v>
      </c>
      <c r="AB566" s="148" t="str">
        <f t="shared" ref="AB566:AD566" si="330">AB427</f>
        <v>x &lt;&gt; y</v>
      </c>
      <c r="AC566" s="149" t="str">
        <f t="shared" si="330"/>
        <v>LASTx</v>
      </c>
      <c r="AD566" s="150" t="str">
        <f t="shared" si="330"/>
        <v>[ STK ]</v>
      </c>
      <c r="AE566" s="3"/>
      <c r="AF566" s="52" t="str">
        <f t="shared" ref="AF566" si="331">AF427</f>
        <v>K</v>
      </c>
      <c r="AG566" s="77" t="b">
        <f t="shared" si="310"/>
        <v>1</v>
      </c>
      <c r="AH566" s="83" t="str">
        <f t="shared" si="299"/>
        <v>k</v>
      </c>
      <c r="AI566" s="84" t="str">
        <f t="shared" si="300"/>
        <v>&lt;&gt;</v>
      </c>
      <c r="AJ566" s="85" t="str">
        <f t="shared" si="301"/>
        <v>Reg K</v>
      </c>
      <c r="AK566" s="6"/>
      <c r="AL566" s="8" t="str">
        <f t="shared" si="302"/>
        <v>{42</v>
      </c>
      <c r="AM566" s="27" t="str">
        <f t="shared" si="303"/>
        <v>ITM_XexY</v>
      </c>
      <c r="AN566" s="27" t="str">
        <f t="shared" si="304"/>
        <v>ITM_LASTX</v>
      </c>
      <c r="AO566" s="27" t="str">
        <f t="shared" si="305"/>
        <v>MNU_STK</v>
      </c>
      <c r="AP566" s="46" t="str">
        <f>IF(NOT(ISNA(MATCH(AM566,Lookups!E:E,))),VLOOKUP(AM566,Lookups!E:F,2,0),
IF(NOT(ISNA(MATCH(AN566,Lookups!E:E,))),VLOOKUP(AN566,Lookups!E:F,2,0),
IF(NOT(ISNA(MATCH(AO566,Lookups!E:E,))),VLOOKUP(AO566,Lookups!E:F,2,0),"ITM_NULL")))</f>
        <v>ITM_ex</v>
      </c>
      <c r="AQ566" s="28" t="str">
        <f t="shared" si="306"/>
        <v>ITM_K</v>
      </c>
      <c r="AR566" s="195" t="s">
        <v>119</v>
      </c>
      <c r="AS566" s="186" t="s">
        <v>140</v>
      </c>
      <c r="AT566" s="255" t="s">
        <v>121</v>
      </c>
      <c r="AW566" s="14" t="str">
        <f t="shared" si="311"/>
        <v>{42</v>
      </c>
      <c r="AX566" s="157" t="str" cm="1">
        <f t="array" ref="AX566">SUBSTITUTE(SUBSTITUTE(_xlfn.SWITCH(AM566, "ITM_T_HOME", "ITM_UP1", "ITM_T_END", "ITM_DOWN1", "DOCU_CHR_sub", "ITM_DOWN_ARROW", "DOCU_CHR_super", "ITM_UP_ARROW", "MNU_TAMALPHA", "ITM_alpha", "DOCU_CHR_caseFLIP", "ITM_NULL", "DOCU_CHR_numSET", "ITM_NULL", "DOCU_ITM_RADIX", "ITM_PERIOD", AM566), ".lo", ),"MNU_", "-MNU_")</f>
        <v>ITM_XexY</v>
      </c>
      <c r="AY566" s="157" t="str" cm="1">
        <f t="array" ref="AY566">SUBSTITUTE(SUBSTITUTE(_xlfn.SWITCH(AN566, "ITM_T_HOME", "ITM_UP1", "ITM_T_END", "ITM_DOWN1", "DOCU_CHR_sub", "ITM_DOWN_ARROW", "DOCU_CHR_super", "ITM_UP_ARROW", "MNU_TAMALPHA", "ITM_alpha", "DOCU_CHR_caseFLIP", "ITM_NULL", "DOCU_CHR_numSET", "ITM_NULL", "DOCU_ITM_RADIX", "ITM_PERIOD", AN566), ".lo", ),"MNU_", "-MNU_")</f>
        <v>ITM_LASTX</v>
      </c>
      <c r="AZ566" s="157" t="str" cm="1">
        <f t="array" ref="AZ566">SUBSTITUTE(SUBSTITUTE(_xlfn.SWITCH(AO566, "ITM_T_HOME", "ITM_UP1", "ITM_T_END", "ITM_DOWN1", "DOCU_CHR_sub", "ITM_DOWN_ARROW", "DOCU_CHR_super", "ITM_UP_ARROW", "MNU_TAMALPHA", "ITM_alpha", "DOCU_CHR_caseFLIP", "ITM_NULL", "DOCU_CHR_numSET", "ITM_NULL", "DOCU_ITM_RADIX", "ITM_PERIOD", AO566), ".lo", ),"MNU_", "-MNU_")</f>
        <v>-MNU_STK</v>
      </c>
      <c r="BA566" s="173" t="str" cm="1">
        <f t="array" ref="BA566">SUBSTITUTE(SUBSTITUTE(_xlfn.SWITCH(AP566, "ITM_T_HOME", "ITM_UP1", "ITM_T_END", "ITM_DOWN1", "DOCU_CHR_sub", "ITM_DOWN_ARROW", "DOCU_CHR_super", "ITM_UP_ARROW", "MNU_TAMALPHA", "ITM_alpha", "DOCU_CHR_caseFLIP", "ITM_NULL", "DOCU_CHR_numSET", "ITM_NULL", "DOCU_ITM_RADIX", "ITM_PERIOD", AP566), ".lo", ),"MNU_", "-MNU_")</f>
        <v>ITM_ex</v>
      </c>
      <c r="BB566" s="157" t="str" cm="1">
        <f t="array" ref="BB566">SUBSTITUTE(SUBSTITUTE(_xlfn.SWITCH(AQ566, "ITM_T_HOME", "ITM_UP1", "ITM_T_END", "ITM_DOWN1", "DOCU_CHR_sub", "ITM_DOWN_ARROW", "DOCU_CHR_super", "ITM_UP_ARROW", "MNU_TAMALPHA", "ITM_alpha", "DOCU_CHR_caseFLIP", "ITM_NULL", "DOCU_CHR_numSET", "ITM_NULL", "DOCU_ITM_RADIX", "ITM_PERIOD", AQ566), ".lo", ),"MNU_", "-MNU_")</f>
        <v>ITM_K</v>
      </c>
      <c r="BC566" s="157" t="str" cm="1">
        <f t="array" ref="BC566">SUBSTITUTE(SUBSTITUTE(_xlfn.SWITCH(AR566, "ITM_T_HOME", "ITM_UP1", "ITM_T_END", "ITM_DOWN1", "DOCU_CHR_sub", "ITM_DOWN_ARROW", "DOCU_CHR_super", "ITM_UP_ARROW", "MNU_TAMALPHA", "ITM_alpha", "DOCU_CHR_caseFLIP", "ITM_NULL", "DOCU_CHR_numSET", "ITM_NULL", "DOCU_ITM_RADIX", "ITM_PERIOD", AR566), ".lo", ),"MNU_", "-MNU_")</f>
        <v>ITM_k</v>
      </c>
      <c r="BD566" s="157" t="str" cm="1">
        <f t="array" ref="BD566">SUBSTITUTE(SUBSTITUTE(_xlfn.SWITCH(AS566, "ITM_T_HOME", "ITM_UP1", "ITM_T_END", "ITM_DOWN1", "DOCU_CHR_sub", "ITM_DOWN_ARROW", "DOCU_CHR_super", "ITM_UP_ARROW", "MNU_TAMALPHA", "ITM_alpha", "DOCU_CHR_caseFLIP", "ITM_NULL", "DOCU_CHR_numSET", "ITM_NULL", "DOCU_ITM_RADIX", "ITM_PERIOD", AS566), ".lo", ),"MNU_", "-MNU_")</f>
        <v>ITM_ex</v>
      </c>
      <c r="BE566" s="157" t="str" cm="1">
        <f t="array" ref="BE566">SUBSTITUTE(SUBSTITUTE(_xlfn.SWITCH(AT566, "ITM_T_HOME", "ITM_UP1", "ITM_T_END", "ITM_DOWN1", "DOCU_CHR_sub", "ITM_DOWN_ARROW", "DOCU_CHR_super", "ITM_UP_ARROW", "MNU_TAMALPHA", "ITM_alpha", "DOCU_CHR_caseFLIP", "ITM_NULL", "DOCU_CHR_numSET", "ITM_NULL", "DOCU_ITM_RADIX", "ITM_PERIOD", AT566), ".lo", ),"MNU_", "-MNU_")</f>
        <v>ITM_REG_K</v>
      </c>
      <c r="BG566" s="75"/>
      <c r="BI566" s="13" t="str">
        <f t="shared" si="307"/>
        <v xml:space="preserve">  {42,                  ITM_XexY,             ITM_LASTX,            -MNU_STK,             ITM_ex,               ITM_K,                ITM_k,                ITM_ex,               ITM_REG_K           },</v>
      </c>
    </row>
    <row r="567" spans="24:61" ht="21" x14ac:dyDescent="0.2">
      <c r="X567" s="141" t="str">
        <f t="shared" si="297"/>
        <v>R47fg_g</v>
      </c>
      <c r="Y567" s="142">
        <v>4</v>
      </c>
      <c r="Z567" s="142">
        <v>3</v>
      </c>
      <c r="AA567" s="144" t="str">
        <f t="shared" si="295"/>
        <v>R47fg_g.43</v>
      </c>
      <c r="AB567" s="148" t="str">
        <f t="shared" ref="AB567:AD567" si="332">AB428</f>
        <v>CHS</v>
      </c>
      <c r="AC567" s="149" t="str">
        <f t="shared" si="332"/>
        <v>[ DISP ]</v>
      </c>
      <c r="AD567" s="150" t="str">
        <f t="shared" si="332"/>
        <v>[ TRG_D47 ]</v>
      </c>
      <c r="AE567" s="3"/>
      <c r="AF567" s="52" t="str">
        <f t="shared" ref="AF567" si="333">AF428</f>
        <v>L</v>
      </c>
      <c r="AG567" s="77" t="b">
        <f t="shared" si="310"/>
        <v>1</v>
      </c>
      <c r="AH567" s="83" t="str">
        <f t="shared" si="299"/>
        <v>l</v>
      </c>
      <c r="AI567" s="84" t="str">
        <f t="shared" si="300"/>
        <v>+/-</v>
      </c>
      <c r="AJ567" s="85" t="str">
        <f t="shared" si="301"/>
        <v>Reg L</v>
      </c>
      <c r="AK567" s="6"/>
      <c r="AL567" s="8" t="str">
        <f t="shared" si="302"/>
        <v>{43</v>
      </c>
      <c r="AM567" s="27" t="str">
        <f t="shared" si="303"/>
        <v>ITM_CHS</v>
      </c>
      <c r="AN567" s="27" t="str">
        <f t="shared" si="304"/>
        <v>MNU_DISP</v>
      </c>
      <c r="AO567" s="27" t="str">
        <f t="shared" si="305"/>
        <v>MNU_TRG</v>
      </c>
      <c r="AP567" s="46" t="str">
        <f>IF(NOT(ISNA(MATCH(AM567,Lookups!E:E,))),VLOOKUP(AM567,Lookups!E:F,2,0),
IF(NOT(ISNA(MATCH(AN567,Lookups!E:E,))),VLOOKUP(AN567,Lookups!E:F,2,0),
IF(NOT(ISNA(MATCH(AO567,Lookups!E:E,))),VLOOKUP(AO567,Lookups!E:F,2,0),"ITM_NULL")))</f>
        <v>ITM_PLUS_MINUS</v>
      </c>
      <c r="AQ567" s="28" t="str">
        <f t="shared" si="306"/>
        <v>ITM_L</v>
      </c>
      <c r="AR567" s="195" t="s">
        <v>126</v>
      </c>
      <c r="AS567" s="186" t="s">
        <v>146</v>
      </c>
      <c r="AT567" s="255" t="s">
        <v>128</v>
      </c>
      <c r="AW567" s="14" t="str">
        <f t="shared" si="311"/>
        <v>{43</v>
      </c>
      <c r="AX567" s="157" t="str" cm="1">
        <f t="array" ref="AX567">SUBSTITUTE(SUBSTITUTE(_xlfn.SWITCH(AM567, "ITM_T_HOME", "ITM_UP1", "ITM_T_END", "ITM_DOWN1", "DOCU_CHR_sub", "ITM_DOWN_ARROW", "DOCU_CHR_super", "ITM_UP_ARROW", "MNU_TAMALPHA", "ITM_alpha", "DOCU_CHR_caseFLIP", "ITM_NULL", "DOCU_CHR_numSET", "ITM_NULL", "DOCU_ITM_RADIX", "ITM_PERIOD", AM567), ".lo", ),"MNU_", "-MNU_")</f>
        <v>ITM_CHS</v>
      </c>
      <c r="AY567" s="157" t="str" cm="1">
        <f t="array" ref="AY567">SUBSTITUTE(SUBSTITUTE(_xlfn.SWITCH(AN567, "ITM_T_HOME", "ITM_UP1", "ITM_T_END", "ITM_DOWN1", "DOCU_CHR_sub", "ITM_DOWN_ARROW", "DOCU_CHR_super", "ITM_UP_ARROW", "MNU_TAMALPHA", "ITM_alpha", "DOCU_CHR_caseFLIP", "ITM_NULL", "DOCU_CHR_numSET", "ITM_NULL", "DOCU_ITM_RADIX", "ITM_PERIOD", AN567), ".lo", ),"MNU_", "-MNU_")</f>
        <v>-MNU_DISP</v>
      </c>
      <c r="AZ567" s="157" t="str" cm="1">
        <f t="array" ref="AZ567">SUBSTITUTE(SUBSTITUTE(_xlfn.SWITCH(AO567, "ITM_T_HOME", "ITM_UP1", "ITM_T_END", "ITM_DOWN1", "DOCU_CHR_sub", "ITM_DOWN_ARROW", "DOCU_CHR_super", "ITM_UP_ARROW", "MNU_TAMALPHA", "ITM_alpha", "DOCU_CHR_caseFLIP", "ITM_NULL", "DOCU_CHR_numSET", "ITM_NULL", "DOCU_ITM_RADIX", "ITM_PERIOD", AO567), ".lo", ),"MNU_", "-MNU_")</f>
        <v>-MNU_TRG</v>
      </c>
      <c r="BA567" s="173" t="str" cm="1">
        <f t="array" ref="BA567">SUBSTITUTE(SUBSTITUTE(_xlfn.SWITCH(AP567, "ITM_T_HOME", "ITM_UP1", "ITM_T_END", "ITM_DOWN1", "DOCU_CHR_sub", "ITM_DOWN_ARROW", "DOCU_CHR_super", "ITM_UP_ARROW", "MNU_TAMALPHA", "ITM_alpha", "DOCU_CHR_caseFLIP", "ITM_NULL", "DOCU_CHR_numSET", "ITM_NULL", "DOCU_ITM_RADIX", "ITM_PERIOD", AP567), ".lo", ),"MNU_", "-MNU_")</f>
        <v>ITM_PLUS_MINUS</v>
      </c>
      <c r="BB567" s="157" t="str" cm="1">
        <f t="array" ref="BB567">SUBSTITUTE(SUBSTITUTE(_xlfn.SWITCH(AQ567, "ITM_T_HOME", "ITM_UP1", "ITM_T_END", "ITM_DOWN1", "DOCU_CHR_sub", "ITM_DOWN_ARROW", "DOCU_CHR_super", "ITM_UP_ARROW", "MNU_TAMALPHA", "ITM_alpha", "DOCU_CHR_caseFLIP", "ITM_NULL", "DOCU_CHR_numSET", "ITM_NULL", "DOCU_ITM_RADIX", "ITM_PERIOD", AQ567), ".lo", ),"MNU_", "-MNU_")</f>
        <v>ITM_L</v>
      </c>
      <c r="BC567" s="157" t="str" cm="1">
        <f t="array" ref="BC567">SUBSTITUTE(SUBSTITUTE(_xlfn.SWITCH(AR567, "ITM_T_HOME", "ITM_UP1", "ITM_T_END", "ITM_DOWN1", "DOCU_CHR_sub", "ITM_DOWN_ARROW", "DOCU_CHR_super", "ITM_UP_ARROW", "MNU_TAMALPHA", "ITM_alpha", "DOCU_CHR_caseFLIP", "ITM_NULL", "DOCU_CHR_numSET", "ITM_NULL", "DOCU_ITM_RADIX", "ITM_PERIOD", AR567), ".lo", ),"MNU_", "-MNU_")</f>
        <v>ITM_l</v>
      </c>
      <c r="BD567" s="157" t="str" cm="1">
        <f t="array" ref="BD567">SUBSTITUTE(SUBSTITUTE(_xlfn.SWITCH(AS567, "ITM_T_HOME", "ITM_UP1", "ITM_T_END", "ITM_DOWN1", "DOCU_CHR_sub", "ITM_DOWN_ARROW", "DOCU_CHR_super", "ITM_UP_ARROW", "MNU_TAMALPHA", "ITM_alpha", "DOCU_CHR_caseFLIP", "ITM_NULL", "DOCU_CHR_numSET", "ITM_NULL", "DOCU_ITM_RADIX", "ITM_PERIOD", AS567), ".lo", ),"MNU_", "-MNU_")</f>
        <v>ITM_PLUS_MINUS</v>
      </c>
      <c r="BE567" s="157" t="str" cm="1">
        <f t="array" ref="BE567">SUBSTITUTE(SUBSTITUTE(_xlfn.SWITCH(AT567, "ITM_T_HOME", "ITM_UP1", "ITM_T_END", "ITM_DOWN1", "DOCU_CHR_sub", "ITM_DOWN_ARROW", "DOCU_CHR_super", "ITM_UP_ARROW", "MNU_TAMALPHA", "ITM_alpha", "DOCU_CHR_caseFLIP", "ITM_NULL", "DOCU_CHR_numSET", "ITM_NULL", "DOCU_ITM_RADIX", "ITM_PERIOD", AT567), ".lo", ),"MNU_", "-MNU_")</f>
        <v>ITM_REG_L</v>
      </c>
      <c r="BG567" s="75"/>
      <c r="BI567" s="13" t="str">
        <f t="shared" si="307"/>
        <v xml:space="preserve">  {43,                  ITM_CHS,              -MNU_DISP,            -MNU_TRG,             ITM_PLUS_MINUS,       ITM_L,                ITM_l,                ITM_PLUS_MINUS,       ITM_REG_L           },</v>
      </c>
    </row>
    <row r="568" spans="24:61" ht="21" x14ac:dyDescent="0.2">
      <c r="X568" s="141" t="str">
        <f t="shared" si="297"/>
        <v>R47fg_g</v>
      </c>
      <c r="Y568" s="142">
        <v>4</v>
      </c>
      <c r="Z568" s="142">
        <v>4</v>
      </c>
      <c r="AA568" s="144" t="str">
        <f t="shared" si="295"/>
        <v>R47fg_g.44</v>
      </c>
      <c r="AB568" s="148" t="str">
        <f t="shared" ref="AB568:AD568" si="334">AB429</f>
        <v>EEX</v>
      </c>
      <c r="AC568" s="149" t="str">
        <f t="shared" si="334"/>
        <v>[ PFX ]</v>
      </c>
      <c r="AD568" s="150" t="str">
        <f t="shared" si="334"/>
        <v>[ EXP ]</v>
      </c>
      <c r="AE568" s="3"/>
      <c r="AF568" s="52" t="str">
        <f t="shared" ref="AF568" si="335">AF429</f>
        <v>M</v>
      </c>
      <c r="AG568" s="77" t="b">
        <f t="shared" si="310"/>
        <v>1</v>
      </c>
      <c r="AH568" s="83" t="str">
        <f t="shared" si="299"/>
        <v>m</v>
      </c>
      <c r="AI568" s="84" t="str">
        <f t="shared" si="300"/>
        <v>&lt;E&gt;</v>
      </c>
      <c r="AJ568" s="85" t="str">
        <f t="shared" si="301"/>
        <v>Reg M</v>
      </c>
      <c r="AK568" s="6"/>
      <c r="AL568" s="8" t="str">
        <f t="shared" si="302"/>
        <v>{44</v>
      </c>
      <c r="AM568" s="27" t="str">
        <f t="shared" si="303"/>
        <v>ITM_EXPONENT</v>
      </c>
      <c r="AN568" s="27" t="str">
        <f t="shared" si="304"/>
        <v>MNU_PREFIX</v>
      </c>
      <c r="AO568" s="27" t="str">
        <f t="shared" si="305"/>
        <v>MNU_EXP</v>
      </c>
      <c r="AP568" s="46" t="str">
        <f>IF(NOT(ISNA(MATCH(AM568,Lookups!E:E,))),VLOOKUP(AM568,Lookups!E:F,2,0),
IF(NOT(ISNA(MATCH(AN568,Lookups!E:E,))),VLOOKUP(AN568,Lookups!E:F,2,0),
IF(NOT(ISNA(MATCH(AO568,Lookups!E:E,))),VLOOKUP(AO568,Lookups!E:F,2,0),"ITM_NULL")))</f>
        <v>ITM_NULL</v>
      </c>
      <c r="AQ568" s="28" t="str">
        <f t="shared" si="306"/>
        <v>ITM_M</v>
      </c>
      <c r="AR568" s="195" t="s">
        <v>139</v>
      </c>
      <c r="AS568" s="186" t="s">
        <v>152</v>
      </c>
      <c r="AT568" s="255" t="s">
        <v>654</v>
      </c>
      <c r="AW568" s="14" t="str">
        <f t="shared" si="311"/>
        <v>{44</v>
      </c>
      <c r="AX568" s="157" t="str" cm="1">
        <f t="array" ref="AX568">SUBSTITUTE(SUBSTITUTE(_xlfn.SWITCH(AM568, "ITM_T_HOME", "ITM_UP1", "ITM_T_END", "ITM_DOWN1", "DOCU_CHR_sub", "ITM_DOWN_ARROW", "DOCU_CHR_super", "ITM_UP_ARROW", "MNU_TAMALPHA", "ITM_alpha", "DOCU_CHR_caseFLIP", "ITM_NULL", "DOCU_CHR_numSET", "ITM_NULL", "DOCU_ITM_RADIX", "ITM_PERIOD", AM568), ".lo", ),"MNU_", "-MNU_")</f>
        <v>ITM_EXPONENT</v>
      </c>
      <c r="AY568" s="157" t="str" cm="1">
        <f t="array" ref="AY568">SUBSTITUTE(SUBSTITUTE(_xlfn.SWITCH(AN568, "ITM_T_HOME", "ITM_UP1", "ITM_T_END", "ITM_DOWN1", "DOCU_CHR_sub", "ITM_DOWN_ARROW", "DOCU_CHR_super", "ITM_UP_ARROW", "MNU_TAMALPHA", "ITM_alpha", "DOCU_CHR_caseFLIP", "ITM_NULL", "DOCU_CHR_numSET", "ITM_NULL", "DOCU_ITM_RADIX", "ITM_PERIOD", AN568), ".lo", ),"MNU_", "-MNU_")</f>
        <v>-MNU_PREFIX</v>
      </c>
      <c r="AZ568" s="157" t="str" cm="1">
        <f t="array" ref="AZ568">SUBSTITUTE(SUBSTITUTE(_xlfn.SWITCH(AO568, "ITM_T_HOME", "ITM_UP1", "ITM_T_END", "ITM_DOWN1", "DOCU_CHR_sub", "ITM_DOWN_ARROW", "DOCU_CHR_super", "ITM_UP_ARROW", "MNU_TAMALPHA", "ITM_alpha", "DOCU_CHR_caseFLIP", "ITM_NULL", "DOCU_CHR_numSET", "ITM_NULL", "DOCU_ITM_RADIX", "ITM_PERIOD", AO568), ".lo", ),"MNU_", "-MNU_")</f>
        <v>-MNU_EXP</v>
      </c>
      <c r="BA568" s="173" t="str" cm="1">
        <f t="array" ref="BA568">SUBSTITUTE(SUBSTITUTE(_xlfn.SWITCH(AP568, "ITM_T_HOME", "ITM_UP1", "ITM_T_END", "ITM_DOWN1", "DOCU_CHR_sub", "ITM_DOWN_ARROW", "DOCU_CHR_super", "ITM_UP_ARROW", "MNU_TAMALPHA", "ITM_alpha", "DOCU_CHR_caseFLIP", "ITM_NULL", "DOCU_CHR_numSET", "ITM_NULL", "DOCU_ITM_RADIX", "ITM_PERIOD", AP568), ".lo", ),"MNU_", "-MNU_")</f>
        <v>ITM_NULL</v>
      </c>
      <c r="BB568" s="157" t="str" cm="1">
        <f t="array" ref="BB568">SUBSTITUTE(SUBSTITUTE(_xlfn.SWITCH(AQ568, "ITM_T_HOME", "ITM_UP1", "ITM_T_END", "ITM_DOWN1", "DOCU_CHR_sub", "ITM_DOWN_ARROW", "DOCU_CHR_super", "ITM_UP_ARROW", "MNU_TAMALPHA", "ITM_alpha", "DOCU_CHR_caseFLIP", "ITM_NULL", "DOCU_CHR_numSET", "ITM_NULL", "DOCU_ITM_RADIX", "ITM_PERIOD", AQ568), ".lo", ),"MNU_", "-MNU_")</f>
        <v>ITM_M</v>
      </c>
      <c r="BC568" s="157" t="str" cm="1">
        <f t="array" ref="BC568">SUBSTITUTE(SUBSTITUTE(_xlfn.SWITCH(AR568, "ITM_T_HOME", "ITM_UP1", "ITM_T_END", "ITM_DOWN1", "DOCU_CHR_sub", "ITM_DOWN_ARROW", "DOCU_CHR_super", "ITM_UP_ARROW", "MNU_TAMALPHA", "ITM_alpha", "DOCU_CHR_caseFLIP", "ITM_NULL", "DOCU_CHR_numSET", "ITM_NULL", "DOCU_ITM_RADIX", "ITM_PERIOD", AR568), ".lo", ),"MNU_", "-MNU_")</f>
        <v>ITM_m</v>
      </c>
      <c r="BD568" s="157" t="str" cm="1">
        <f t="array" ref="BD568">SUBSTITUTE(SUBSTITUTE(_xlfn.SWITCH(AS568, "ITM_T_HOME", "ITM_UP1", "ITM_T_END", "ITM_DOWN1", "DOCU_CHR_sub", "ITM_DOWN_ARROW", "DOCU_CHR_super", "ITM_UP_ARROW", "MNU_TAMALPHA", "ITM_alpha", "DOCU_CHR_caseFLIP", "ITM_NULL", "DOCU_CHR_numSET", "ITM_NULL", "DOCU_ITM_RADIX", "ITM_PERIOD", AS568), ".lo", ),"MNU_", "-MNU_")</f>
        <v>ITM_EEXCHR</v>
      </c>
      <c r="BE568" s="157" t="str" cm="1">
        <f t="array" ref="BE568">SUBSTITUTE(SUBSTITUTE(_xlfn.SWITCH(AT568, "ITM_T_HOME", "ITM_UP1", "ITM_T_END", "ITM_DOWN1", "DOCU_CHR_sub", "ITM_DOWN_ARROW", "DOCU_CHR_super", "ITM_UP_ARROW", "MNU_TAMALPHA", "ITM_alpha", "DOCU_CHR_caseFLIP", "ITM_NULL", "DOCU_CHR_numSET", "ITM_NULL", "DOCU_ITM_RADIX", "ITM_PERIOD", AT568), ".lo", ),"MNU_", "-MNU_")</f>
        <v>ITM_REG_M</v>
      </c>
      <c r="BG568" s="75"/>
      <c r="BI568" s="13" t="str">
        <f t="shared" si="307"/>
        <v xml:space="preserve">  {44,                  ITM_EXPONENT,         -MNU_PREFIX,          -MNU_EXP,             ITM_NULL,             ITM_M,                ITM_m,                ITM_EEXCHR,           ITM_REG_M           },</v>
      </c>
    </row>
    <row r="569" spans="24:61" ht="21" x14ac:dyDescent="0.2">
      <c r="X569" s="141" t="str">
        <f t="shared" si="297"/>
        <v>R47fg_g</v>
      </c>
      <c r="Y569" s="142">
        <v>4</v>
      </c>
      <c r="Z569" s="142">
        <v>5</v>
      </c>
      <c r="AA569" s="144" t="str">
        <f t="shared" si="295"/>
        <v>R47fg_g.45</v>
      </c>
      <c r="AB569" s="148" t="str">
        <f t="shared" ref="AB569:AD569" si="336">AB430</f>
        <v>&lt;=</v>
      </c>
      <c r="AC569" s="149" t="str">
        <f t="shared" si="336"/>
        <v>Undo</v>
      </c>
      <c r="AD569" s="150" t="str">
        <f t="shared" si="336"/>
        <v>[ CLR ]</v>
      </c>
      <c r="AE569" s="3"/>
      <c r="AF569" s="52" t="str">
        <f t="shared" ref="AF569" si="337">AF430</f>
        <v>&lt;=</v>
      </c>
      <c r="AG569" s="77" t="b">
        <f t="shared" si="310"/>
        <v>0</v>
      </c>
      <c r="AH569" s="83" t="str">
        <f t="shared" si="299"/>
        <v>CLA</v>
      </c>
      <c r="AI569" s="84" t="str">
        <f t="shared" si="300"/>
        <v>CLA</v>
      </c>
      <c r="AJ569" s="85" t="str">
        <f t="shared" si="301"/>
        <v>&lt;=</v>
      </c>
      <c r="AK569" s="6"/>
      <c r="AL569" s="8" t="str">
        <f t="shared" si="302"/>
        <v>{45</v>
      </c>
      <c r="AM569" s="27" t="str">
        <f t="shared" si="303"/>
        <v>ITM_BACKSPACE</v>
      </c>
      <c r="AN569" s="27" t="str">
        <f t="shared" si="304"/>
        <v>ITM_UNDO</v>
      </c>
      <c r="AO569" s="27" t="str">
        <f t="shared" si="305"/>
        <v>MNU_CLR</v>
      </c>
      <c r="AP569" s="46" t="str">
        <f>IF(NOT(ISNA(MATCH(AM569,Lookups!E:E,))),VLOOKUP(AM569,Lookups!E:F,2,0),
IF(NOT(ISNA(MATCH(AN569,Lookups!E:E,))),VLOOKUP(AN569,Lookups!E:F,2,0),
IF(NOT(ISNA(MATCH(AO569,Lookups!E:E,))),VLOOKUP(AO569,Lookups!E:F,2,0),"ITM_NULL")))</f>
        <v>ITM_BACKSPACE</v>
      </c>
      <c r="AQ569" s="28" t="str">
        <f t="shared" si="306"/>
        <v>ITM_BACKSPACE</v>
      </c>
      <c r="AR569" s="198" t="s">
        <v>157</v>
      </c>
      <c r="AS569" s="186" t="s">
        <v>157</v>
      </c>
      <c r="AT569" s="255" t="s">
        <v>158</v>
      </c>
      <c r="AW569" s="14" t="str">
        <f t="shared" si="311"/>
        <v>{45</v>
      </c>
      <c r="AX569" s="157" t="str" cm="1">
        <f t="array" ref="AX569">SUBSTITUTE(SUBSTITUTE(_xlfn.SWITCH(AM569, "ITM_T_HOME", "ITM_UP1", "ITM_T_END", "ITM_DOWN1", "DOCU_CHR_sub", "ITM_DOWN_ARROW", "DOCU_CHR_super", "ITM_UP_ARROW", "MNU_TAMALPHA", "ITM_alpha", "DOCU_CHR_caseFLIP", "ITM_NULL", "DOCU_CHR_numSET", "ITM_NULL", "DOCU_ITM_RADIX", "ITM_PERIOD", AM569), ".lo", ),"MNU_", "-MNU_")</f>
        <v>ITM_BACKSPACE</v>
      </c>
      <c r="AY569" s="157" t="str" cm="1">
        <f t="array" ref="AY569">SUBSTITUTE(SUBSTITUTE(_xlfn.SWITCH(AN569, "ITM_T_HOME", "ITM_UP1", "ITM_T_END", "ITM_DOWN1", "DOCU_CHR_sub", "ITM_DOWN_ARROW", "DOCU_CHR_super", "ITM_UP_ARROW", "MNU_TAMALPHA", "ITM_alpha", "DOCU_CHR_caseFLIP", "ITM_NULL", "DOCU_CHR_numSET", "ITM_NULL", "DOCU_ITM_RADIX", "ITM_PERIOD", AN569), ".lo", ),"MNU_", "-MNU_")</f>
        <v>ITM_UNDO</v>
      </c>
      <c r="AZ569" s="157" t="str" cm="1">
        <f t="array" ref="AZ569">SUBSTITUTE(SUBSTITUTE(_xlfn.SWITCH(AO569, "ITM_T_HOME", "ITM_UP1", "ITM_T_END", "ITM_DOWN1", "DOCU_CHR_sub", "ITM_DOWN_ARROW", "DOCU_CHR_super", "ITM_UP_ARROW", "MNU_TAMALPHA", "ITM_alpha", "DOCU_CHR_caseFLIP", "ITM_NULL", "DOCU_CHR_numSET", "ITM_NULL", "DOCU_ITM_RADIX", "ITM_PERIOD", AO569), ".lo", ),"MNU_", "-MNU_")</f>
        <v>-MNU_CLR</v>
      </c>
      <c r="BA569" s="173" t="str" cm="1">
        <f t="array" ref="BA569">SUBSTITUTE(SUBSTITUTE(_xlfn.SWITCH(AP569, "ITM_T_HOME", "ITM_UP1", "ITM_T_END", "ITM_DOWN1", "DOCU_CHR_sub", "ITM_DOWN_ARROW", "DOCU_CHR_super", "ITM_UP_ARROW", "MNU_TAMALPHA", "ITM_alpha", "DOCU_CHR_caseFLIP", "ITM_NULL", "DOCU_CHR_numSET", "ITM_NULL", "DOCU_ITM_RADIX", "ITM_PERIOD", AP569), ".lo", ),"MNU_", "-MNU_")</f>
        <v>ITM_BACKSPACE</v>
      </c>
      <c r="BB569" s="157" t="str" cm="1">
        <f t="array" ref="BB569">SUBSTITUTE(SUBSTITUTE(_xlfn.SWITCH(AQ569, "ITM_T_HOME", "ITM_UP1", "ITM_T_END", "ITM_DOWN1", "DOCU_CHR_sub", "ITM_DOWN_ARROW", "DOCU_CHR_super", "ITM_UP_ARROW", "MNU_TAMALPHA", "ITM_alpha", "DOCU_CHR_caseFLIP", "ITM_NULL", "DOCU_CHR_numSET", "ITM_NULL", "DOCU_ITM_RADIX", "ITM_PERIOD", AQ569), ".lo", ),"MNU_", "-MNU_")</f>
        <v>ITM_BACKSPACE</v>
      </c>
      <c r="BC569" s="157" t="str" cm="1">
        <f t="array" ref="BC569">SUBSTITUTE(SUBSTITUTE(_xlfn.SWITCH(AR569, "ITM_T_HOME", "ITM_UP1", "ITM_T_END", "ITM_DOWN1", "DOCU_CHR_sub", "ITM_DOWN_ARROW", "DOCU_CHR_super", "ITM_UP_ARROW", "MNU_TAMALPHA", "ITM_alpha", "DOCU_CHR_caseFLIP", "ITM_NULL", "DOCU_CHR_numSET", "ITM_NULL", "DOCU_ITM_RADIX", "ITM_PERIOD", AR569), ".lo", ),"MNU_", "-MNU_")</f>
        <v>ITM_CLA</v>
      </c>
      <c r="BD569" s="157" t="str" cm="1">
        <f t="array" ref="BD569">SUBSTITUTE(SUBSTITUTE(_xlfn.SWITCH(AS569, "ITM_T_HOME", "ITM_UP1", "ITM_T_END", "ITM_DOWN1", "DOCU_CHR_sub", "ITM_DOWN_ARROW", "DOCU_CHR_super", "ITM_UP_ARROW", "MNU_TAMALPHA", "ITM_alpha", "DOCU_CHR_caseFLIP", "ITM_NULL", "DOCU_CHR_numSET", "ITM_NULL", "DOCU_ITM_RADIX", "ITM_PERIOD", AS569), ".lo", ),"MNU_", "-MNU_")</f>
        <v>ITM_CLA</v>
      </c>
      <c r="BE569" s="157" t="str" cm="1">
        <f t="array" ref="BE569">SUBSTITUTE(SUBSTITUTE(_xlfn.SWITCH(AT569, "ITM_T_HOME", "ITM_UP1", "ITM_T_END", "ITM_DOWN1", "DOCU_CHR_sub", "ITM_DOWN_ARROW", "DOCU_CHR_super", "ITM_UP_ARROW", "MNU_TAMALPHA", "ITM_alpha", "DOCU_CHR_caseFLIP", "ITM_NULL", "DOCU_CHR_numSET", "ITM_NULL", "DOCU_ITM_RADIX", "ITM_PERIOD", AT569), ".lo", ),"MNU_", "-MNU_")</f>
        <v>ITM_BACKSPACE</v>
      </c>
      <c r="BG569" s="75"/>
      <c r="BI569" s="13" t="str">
        <f t="shared" si="307"/>
        <v xml:space="preserve">  {45,                  ITM_BACKSPACE,        ITM_UNDO,             -MNU_CLR,             ITM_BACKSPACE,        ITM_BACKSPACE,        ITM_CLA,              ITM_CLA,              ITM_BACKSPACE       },</v>
      </c>
    </row>
    <row r="570" spans="24:61" ht="21" x14ac:dyDescent="0.2">
      <c r="X570" s="141" t="str">
        <f t="shared" si="297"/>
        <v>R47fg_g</v>
      </c>
      <c r="Y570" s="138">
        <v>5</v>
      </c>
      <c r="Z570" s="138">
        <v>1</v>
      </c>
      <c r="AA570" s="144" t="str">
        <f t="shared" si="295"/>
        <v>R47fg_g.51</v>
      </c>
      <c r="AB570" s="148" t="str">
        <f t="shared" ref="AB570:AD570" si="338">AB431</f>
        <v>XEQ</v>
      </c>
      <c r="AC570" s="118" t="str">
        <f t="shared" si="338"/>
        <v>[ alpha ]</v>
      </c>
      <c r="AD570" s="150" t="str">
        <f t="shared" si="338"/>
        <v>GTO</v>
      </c>
      <c r="AE570" s="3"/>
      <c r="AF570" s="49" t="str">
        <f t="shared" ref="AF570" si="339">AF431</f>
        <v>_</v>
      </c>
      <c r="AG570" s="77" t="b">
        <f t="shared" si="310"/>
        <v>0</v>
      </c>
      <c r="AH570" s="83" t="str">
        <f t="shared" si="299"/>
        <v>alpha</v>
      </c>
      <c r="AI570" s="84" t="str">
        <f t="shared" si="300"/>
        <v>Sigma</v>
      </c>
      <c r="AJ570" s="85" t="str">
        <f t="shared" si="301"/>
        <v>[TAMALPHA]</v>
      </c>
      <c r="AK570" s="6"/>
      <c r="AL570" s="8" t="str">
        <f t="shared" si="302"/>
        <v>{51</v>
      </c>
      <c r="AM570" s="27" t="str">
        <f t="shared" si="303"/>
        <v>ITM_XEQ</v>
      </c>
      <c r="AN570" s="27" t="str">
        <f t="shared" si="304"/>
        <v>ITM_AIM</v>
      </c>
      <c r="AO570" s="27" t="str">
        <f t="shared" si="305"/>
        <v>ITM_GTO</v>
      </c>
      <c r="AP570" s="46" t="str">
        <f>IF(NOT(ISNA(MATCH(AM570,Lookups!E:E,))),VLOOKUP(AM570,Lookups!E:F,2,0),
IF(NOT(ISNA(MATCH(AN570,Lookups!E:E,))),VLOOKUP(AN570,Lookups!E:F,2,0),
IF(NOT(ISNA(MATCH(AO570,Lookups!E:E,))),VLOOKUP(AO570,Lookups!E:F,2,0),"ITM_NULL")))</f>
        <v>ITM_NULL</v>
      </c>
      <c r="AQ570" s="28" t="str">
        <f t="shared" si="306"/>
        <v>ITM_UNDERSCORE</v>
      </c>
      <c r="AR570" s="219" t="s">
        <v>87</v>
      </c>
      <c r="AS570" s="220" t="s">
        <v>52</v>
      </c>
      <c r="AT570" s="255" t="s">
        <v>622</v>
      </c>
      <c r="AW570" s="14" t="str">
        <f t="shared" si="311"/>
        <v>{51</v>
      </c>
      <c r="AX570" s="157" t="str" cm="1">
        <f t="array" ref="AX570">SUBSTITUTE(SUBSTITUTE(_xlfn.SWITCH(AM570, "ITM_T_HOME", "ITM_UP1", "ITM_T_END", "ITM_DOWN1", "DOCU_CHR_sub", "ITM_DOWN_ARROW", "DOCU_CHR_super", "ITM_UP_ARROW", "MNU_TAMALPHA", "ITM_alpha", "DOCU_CHR_caseFLIP", "ITM_NULL", "DOCU_CHR_numSET", "ITM_NULL", "DOCU_ITM_RADIX", "ITM_PERIOD", AM570), ".lo", ),"MNU_", "-MNU_")</f>
        <v>ITM_XEQ</v>
      </c>
      <c r="AY570" s="157" t="str" cm="1">
        <f t="array" ref="AY570">SUBSTITUTE(SUBSTITUTE(_xlfn.SWITCH(AN570, "ITM_T_HOME", "ITM_UP1", "ITM_T_END", "ITM_DOWN1", "DOCU_CHR_sub", "ITM_DOWN_ARROW", "DOCU_CHR_super", "ITM_UP_ARROW", "MNU_TAMALPHA", "ITM_alpha", "DOCU_CHR_caseFLIP", "ITM_NULL", "DOCU_CHR_numSET", "ITM_NULL", "DOCU_ITM_RADIX", "ITM_PERIOD", AN570), ".lo", ),"MNU_", "-MNU_")</f>
        <v>ITM_AIM</v>
      </c>
      <c r="AZ570" s="157" t="str" cm="1">
        <f t="array" ref="AZ570">SUBSTITUTE(SUBSTITUTE(_xlfn.SWITCH(AO570, "ITM_T_HOME", "ITM_UP1", "ITM_T_END", "ITM_DOWN1", "DOCU_CHR_sub", "ITM_DOWN_ARROW", "DOCU_CHR_super", "ITM_UP_ARROW", "MNU_TAMALPHA", "ITM_alpha", "DOCU_CHR_caseFLIP", "ITM_NULL", "DOCU_CHR_numSET", "ITM_NULL", "DOCU_ITM_RADIX", "ITM_PERIOD", AO570), ".lo", ),"MNU_", "-MNU_")</f>
        <v>ITM_GTO</v>
      </c>
      <c r="BA570" s="173" t="str" cm="1">
        <f t="array" ref="BA570">SUBSTITUTE(SUBSTITUTE(_xlfn.SWITCH(AP570, "ITM_T_HOME", "ITM_UP1", "ITM_T_END", "ITM_DOWN1", "DOCU_CHR_sub", "ITM_DOWN_ARROW", "DOCU_CHR_super", "ITM_UP_ARROW", "MNU_TAMALPHA", "ITM_alpha", "DOCU_CHR_caseFLIP", "ITM_NULL", "DOCU_CHR_numSET", "ITM_NULL", "DOCU_ITM_RADIX", "ITM_PERIOD", AP570), ".lo", ),"MNU_", "-MNU_")</f>
        <v>ITM_NULL</v>
      </c>
      <c r="BB570" s="157" t="str" cm="1">
        <f t="array" ref="BB570">SUBSTITUTE(SUBSTITUTE(_xlfn.SWITCH(AQ570, "ITM_T_HOME", "ITM_UP1", "ITM_T_END", "ITM_DOWN1", "DOCU_CHR_sub", "ITM_DOWN_ARROW", "DOCU_CHR_super", "ITM_UP_ARROW", "MNU_TAMALPHA", "ITM_alpha", "DOCU_CHR_caseFLIP", "ITM_NULL", "DOCU_CHR_numSET", "ITM_NULL", "DOCU_ITM_RADIX", "ITM_PERIOD", AQ570), ".lo", ),"MNU_", "-MNU_")</f>
        <v>ITM_UNDERSCORE</v>
      </c>
      <c r="BC570" s="157" t="str" cm="1">
        <f t="array" ref="BC570">SUBSTITUTE(SUBSTITUTE(_xlfn.SWITCH(AR570, "ITM_T_HOME", "ITM_UP1", "ITM_T_END", "ITM_DOWN1", "DOCU_CHR_sub", "ITM_DOWN_ARROW", "DOCU_CHR_super", "ITM_UP_ARROW", "MNU_TAMALPHA", "ITM_alpha", "DOCU_CHR_caseFLIP", "ITM_NULL", "DOCU_CHR_numSET", "ITM_NULL", "DOCU_ITM_RADIX", "ITM_PERIOD", AR570), ".lo", ),"MNU_", "-MNU_")</f>
        <v>ITM_alpha</v>
      </c>
      <c r="BD570" s="157" t="str" cm="1">
        <f t="array" ref="BD570">SUBSTITUTE(SUBSTITUTE(_xlfn.SWITCH(AS570, "ITM_T_HOME", "ITM_UP1", "ITM_T_END", "ITM_DOWN1", "DOCU_CHR_sub", "ITM_DOWN_ARROW", "DOCU_CHR_super", "ITM_UP_ARROW", "MNU_TAMALPHA", "ITM_alpha", "DOCU_CHR_caseFLIP", "ITM_NULL", "DOCU_CHR_numSET", "ITM_NULL", "DOCU_ITM_RADIX", "ITM_PERIOD", AS570), ".lo", ),"MNU_", "-MNU_")</f>
        <v>ITM_SIGMA</v>
      </c>
      <c r="BE570" s="157" t="str" cm="1">
        <f t="array" ref="BE570">SUBSTITUTE(SUBSTITUTE(_xlfn.SWITCH(AT570, "ITM_T_HOME", "ITM_UP1", "ITM_T_END", "ITM_DOWN1", "DOCU_CHR_sub", "ITM_DOWN_ARROW", "DOCU_CHR_super", "ITM_UP_ARROW", "MNU_TAMALPHA", "ITM_alpha", "DOCU_CHR_caseFLIP", "ITM_NULL", "DOCU_CHR_numSET", "ITM_NULL", "DOCU_ITM_RADIX", "ITM_PERIOD", AT570), ".lo", ),"MNU_", "-MNU_")</f>
        <v>ITM_alpha</v>
      </c>
      <c r="BG570" s="75"/>
      <c r="BI570" s="13" t="str">
        <f t="shared" si="307"/>
        <v xml:space="preserve">  {51,                  ITM_XEQ,              ITM_AIM,              ITM_GTO,              ITM_NULL,             ITM_UNDERSCORE,       ITM_alpha,            ITM_SIGMA,            ITM_alpha           },</v>
      </c>
    </row>
    <row r="571" spans="24:61" ht="21" x14ac:dyDescent="0.2">
      <c r="X571" s="141" t="str">
        <f t="shared" si="297"/>
        <v>R47fg_g</v>
      </c>
      <c r="Y571" s="142">
        <v>5</v>
      </c>
      <c r="Z571" s="142">
        <v>2</v>
      </c>
      <c r="AA571" s="144" t="str">
        <f t="shared" si="295"/>
        <v>R47fg_g.52</v>
      </c>
      <c r="AB571" s="148">
        <f t="shared" ref="AB571:AD571" si="340">AB432</f>
        <v>7</v>
      </c>
      <c r="AC571" s="149" t="str">
        <f t="shared" si="340"/>
        <v>SIN</v>
      </c>
      <c r="AD571" s="150" t="str">
        <f t="shared" si="340"/>
        <v>ASIN</v>
      </c>
      <c r="AE571" s="3"/>
      <c r="AF571" s="52" t="str">
        <f t="shared" ref="AF571" si="341">AF432</f>
        <v>N</v>
      </c>
      <c r="AG571" s="77" t="b">
        <f t="shared" si="310"/>
        <v>1</v>
      </c>
      <c r="AH571" s="83" t="str">
        <f t="shared" si="299"/>
        <v>n</v>
      </c>
      <c r="AI571" s="84">
        <f t="shared" si="300"/>
        <v>7</v>
      </c>
      <c r="AJ571" s="85">
        <f t="shared" si="301"/>
        <v>7</v>
      </c>
      <c r="AK571" s="6"/>
      <c r="AL571" s="8" t="str">
        <f t="shared" si="302"/>
        <v>{52</v>
      </c>
      <c r="AM571" s="27" t="str">
        <f t="shared" si="303"/>
        <v>ITM_7</v>
      </c>
      <c r="AN571" s="27" t="str">
        <f t="shared" si="304"/>
        <v>ITM_sin</v>
      </c>
      <c r="AO571" s="27" t="str">
        <f t="shared" si="305"/>
        <v>ITM_arcsin</v>
      </c>
      <c r="AP571" s="46" t="str">
        <f>IF(NOT(ISNA(MATCH(AM571,Lookups!E:E,))),VLOOKUP(AM571,Lookups!E:F,2,0),
IF(NOT(ISNA(MATCH(AN571,Lookups!E:E,))),VLOOKUP(AN571,Lookups!E:F,2,0),
IF(NOT(ISNA(MATCH(AO571,Lookups!E:E,))),VLOOKUP(AO571,Lookups!E:F,2,0),"ITM_NULL")))</f>
        <v>ITM_7</v>
      </c>
      <c r="AQ571" s="28" t="str">
        <f t="shared" si="306"/>
        <v>ITM_N</v>
      </c>
      <c r="AR571" s="195" t="s">
        <v>145</v>
      </c>
      <c r="AS571" s="186" t="s">
        <v>170</v>
      </c>
      <c r="AT571" s="197" t="s">
        <v>170</v>
      </c>
      <c r="AW571" s="14" t="str">
        <f t="shared" si="311"/>
        <v>{52</v>
      </c>
      <c r="AX571" s="157" t="str" cm="1">
        <f t="array" ref="AX571">SUBSTITUTE(SUBSTITUTE(_xlfn.SWITCH(AM571, "ITM_T_HOME", "ITM_UP1", "ITM_T_END", "ITM_DOWN1", "DOCU_CHR_sub", "ITM_DOWN_ARROW", "DOCU_CHR_super", "ITM_UP_ARROW", "MNU_TAMALPHA", "ITM_alpha", "DOCU_CHR_caseFLIP", "ITM_NULL", "DOCU_CHR_numSET", "ITM_NULL", "DOCU_ITM_RADIX", "ITM_PERIOD", AM571), ".lo", ),"MNU_", "-MNU_")</f>
        <v>ITM_7</v>
      </c>
      <c r="AY571" s="157" t="str" cm="1">
        <f t="array" ref="AY571">SUBSTITUTE(SUBSTITUTE(_xlfn.SWITCH(AN571, "ITM_T_HOME", "ITM_UP1", "ITM_T_END", "ITM_DOWN1", "DOCU_CHR_sub", "ITM_DOWN_ARROW", "DOCU_CHR_super", "ITM_UP_ARROW", "MNU_TAMALPHA", "ITM_alpha", "DOCU_CHR_caseFLIP", "ITM_NULL", "DOCU_CHR_numSET", "ITM_NULL", "DOCU_ITM_RADIX", "ITM_PERIOD", AN571), ".lo", ),"MNU_", "-MNU_")</f>
        <v>ITM_sin</v>
      </c>
      <c r="AZ571" s="157" t="str" cm="1">
        <f t="array" ref="AZ571">SUBSTITUTE(SUBSTITUTE(_xlfn.SWITCH(AO571, "ITM_T_HOME", "ITM_UP1", "ITM_T_END", "ITM_DOWN1", "DOCU_CHR_sub", "ITM_DOWN_ARROW", "DOCU_CHR_super", "ITM_UP_ARROW", "MNU_TAMALPHA", "ITM_alpha", "DOCU_CHR_caseFLIP", "ITM_NULL", "DOCU_CHR_numSET", "ITM_NULL", "DOCU_ITM_RADIX", "ITM_PERIOD", AO571), ".lo", ),"MNU_", "-MNU_")</f>
        <v>ITM_arcsin</v>
      </c>
      <c r="BA571" s="173" t="str" cm="1">
        <f t="array" ref="BA571">SUBSTITUTE(SUBSTITUTE(_xlfn.SWITCH(AP571, "ITM_T_HOME", "ITM_UP1", "ITM_T_END", "ITM_DOWN1", "DOCU_CHR_sub", "ITM_DOWN_ARROW", "DOCU_CHR_super", "ITM_UP_ARROW", "MNU_TAMALPHA", "ITM_alpha", "DOCU_CHR_caseFLIP", "ITM_NULL", "DOCU_CHR_numSET", "ITM_NULL", "DOCU_ITM_RADIX", "ITM_PERIOD", AP571), ".lo", ),"MNU_", "-MNU_")</f>
        <v>ITM_7</v>
      </c>
      <c r="BB571" s="157" t="str" cm="1">
        <f t="array" ref="BB571">SUBSTITUTE(SUBSTITUTE(_xlfn.SWITCH(AQ571, "ITM_T_HOME", "ITM_UP1", "ITM_T_END", "ITM_DOWN1", "DOCU_CHR_sub", "ITM_DOWN_ARROW", "DOCU_CHR_super", "ITM_UP_ARROW", "MNU_TAMALPHA", "ITM_alpha", "DOCU_CHR_caseFLIP", "ITM_NULL", "DOCU_CHR_numSET", "ITM_NULL", "DOCU_ITM_RADIX", "ITM_PERIOD", AQ571), ".lo", ),"MNU_", "-MNU_")</f>
        <v>ITM_N</v>
      </c>
      <c r="BC571" s="157" t="str" cm="1">
        <f t="array" ref="BC571">SUBSTITUTE(SUBSTITUTE(_xlfn.SWITCH(AR571, "ITM_T_HOME", "ITM_UP1", "ITM_T_END", "ITM_DOWN1", "DOCU_CHR_sub", "ITM_DOWN_ARROW", "DOCU_CHR_super", "ITM_UP_ARROW", "MNU_TAMALPHA", "ITM_alpha", "DOCU_CHR_caseFLIP", "ITM_NULL", "DOCU_CHR_numSET", "ITM_NULL", "DOCU_ITM_RADIX", "ITM_PERIOD", AR571), ".lo", ),"MNU_", "-MNU_")</f>
        <v>ITM_n</v>
      </c>
      <c r="BD571" s="157" t="str" cm="1">
        <f t="array" ref="BD571">SUBSTITUTE(SUBSTITUTE(_xlfn.SWITCH(AS571, "ITM_T_HOME", "ITM_UP1", "ITM_T_END", "ITM_DOWN1", "DOCU_CHR_sub", "ITM_DOWN_ARROW", "DOCU_CHR_super", "ITM_UP_ARROW", "MNU_TAMALPHA", "ITM_alpha", "DOCU_CHR_caseFLIP", "ITM_NULL", "DOCU_CHR_numSET", "ITM_NULL", "DOCU_ITM_RADIX", "ITM_PERIOD", AS571), ".lo", ),"MNU_", "-MNU_")</f>
        <v>ITM_7</v>
      </c>
      <c r="BE571" s="157" t="str" cm="1">
        <f t="array" ref="BE571">SUBSTITUTE(SUBSTITUTE(_xlfn.SWITCH(AT571, "ITM_T_HOME", "ITM_UP1", "ITM_T_END", "ITM_DOWN1", "DOCU_CHR_sub", "ITM_DOWN_ARROW", "DOCU_CHR_super", "ITM_UP_ARROW", "MNU_TAMALPHA", "ITM_alpha", "DOCU_CHR_caseFLIP", "ITM_NULL", "DOCU_CHR_numSET", "ITM_NULL", "DOCU_ITM_RADIX", "ITM_PERIOD", AT571), ".lo", ),"MNU_", "-MNU_")</f>
        <v>ITM_7</v>
      </c>
      <c r="BG571" s="75"/>
      <c r="BI571" s="13" t="str">
        <f t="shared" si="307"/>
        <v xml:space="preserve">  {52,                  ITM_7,                ITM_sin,              ITM_arcsin,           ITM_7,                ITM_N,                ITM_n,                ITM_7,                ITM_7               },</v>
      </c>
    </row>
    <row r="572" spans="24:61" ht="21" x14ac:dyDescent="0.2">
      <c r="X572" s="141" t="str">
        <f t="shared" si="297"/>
        <v>R47fg_g</v>
      </c>
      <c r="Y572" s="142">
        <v>5</v>
      </c>
      <c r="Z572" s="142">
        <v>3</v>
      </c>
      <c r="AA572" s="144" t="str">
        <f t="shared" si="295"/>
        <v>R47fg_g.53</v>
      </c>
      <c r="AB572" s="148">
        <f t="shared" ref="AB572:AD572" si="342">AB433</f>
        <v>8</v>
      </c>
      <c r="AC572" s="152" t="str">
        <f t="shared" si="342"/>
        <v>COS</v>
      </c>
      <c r="AD572" s="150" t="str">
        <f t="shared" si="342"/>
        <v>ACOS</v>
      </c>
      <c r="AE572" s="3"/>
      <c r="AF572" s="52" t="str">
        <f t="shared" ref="AF572" si="343">AF433</f>
        <v>O</v>
      </c>
      <c r="AG572" s="77" t="b">
        <f t="shared" si="310"/>
        <v>1</v>
      </c>
      <c r="AH572" s="83" t="str">
        <f t="shared" si="299"/>
        <v>o</v>
      </c>
      <c r="AI572" s="84">
        <f t="shared" si="300"/>
        <v>8</v>
      </c>
      <c r="AJ572" s="85">
        <f t="shared" si="301"/>
        <v>8</v>
      </c>
      <c r="AK572" s="6"/>
      <c r="AL572" s="8" t="str">
        <f t="shared" si="302"/>
        <v>{53</v>
      </c>
      <c r="AM572" s="27" t="str">
        <f t="shared" si="303"/>
        <v>ITM_8</v>
      </c>
      <c r="AN572" s="27" t="str">
        <f t="shared" si="304"/>
        <v>ITM_cos</v>
      </c>
      <c r="AO572" s="27" t="str">
        <f t="shared" si="305"/>
        <v>ITM_arccos</v>
      </c>
      <c r="AP572" s="46" t="str">
        <f>IF(NOT(ISNA(MATCH(AM572,Lookups!E:E,))),VLOOKUP(AM572,Lookups!E:F,2,0),
IF(NOT(ISNA(MATCH(AN572,Lookups!E:E,))),VLOOKUP(AN572,Lookups!E:F,2,0),
IF(NOT(ISNA(MATCH(AO572,Lookups!E:E,))),VLOOKUP(AO572,Lookups!E:F,2,0),"ITM_NULL")))</f>
        <v>ITM_8</v>
      </c>
      <c r="AQ572" s="28" t="str">
        <f t="shared" si="306"/>
        <v>ITM_O</v>
      </c>
      <c r="AR572" s="195" t="s">
        <v>151</v>
      </c>
      <c r="AS572" s="186" t="s">
        <v>175</v>
      </c>
      <c r="AT572" s="197" t="s">
        <v>175</v>
      </c>
      <c r="AW572" s="14" t="str">
        <f t="shared" si="311"/>
        <v>{53</v>
      </c>
      <c r="AX572" s="157" t="str" cm="1">
        <f t="array" ref="AX572">SUBSTITUTE(SUBSTITUTE(_xlfn.SWITCH(AM572, "ITM_T_HOME", "ITM_UP1", "ITM_T_END", "ITM_DOWN1", "DOCU_CHR_sub", "ITM_DOWN_ARROW", "DOCU_CHR_super", "ITM_UP_ARROW", "MNU_TAMALPHA", "ITM_alpha", "DOCU_CHR_caseFLIP", "ITM_NULL", "DOCU_CHR_numSET", "ITM_NULL", "DOCU_ITM_RADIX", "ITM_PERIOD", AM572), ".lo", ),"MNU_", "-MNU_")</f>
        <v>ITM_8</v>
      </c>
      <c r="AY572" s="157" t="str" cm="1">
        <f t="array" ref="AY572">SUBSTITUTE(SUBSTITUTE(_xlfn.SWITCH(AN572, "ITM_T_HOME", "ITM_UP1", "ITM_T_END", "ITM_DOWN1", "DOCU_CHR_sub", "ITM_DOWN_ARROW", "DOCU_CHR_super", "ITM_UP_ARROW", "MNU_TAMALPHA", "ITM_alpha", "DOCU_CHR_caseFLIP", "ITM_NULL", "DOCU_CHR_numSET", "ITM_NULL", "DOCU_ITM_RADIX", "ITM_PERIOD", AN572), ".lo", ),"MNU_", "-MNU_")</f>
        <v>ITM_cos</v>
      </c>
      <c r="AZ572" s="157" t="str" cm="1">
        <f t="array" ref="AZ572">SUBSTITUTE(SUBSTITUTE(_xlfn.SWITCH(AO572, "ITM_T_HOME", "ITM_UP1", "ITM_T_END", "ITM_DOWN1", "DOCU_CHR_sub", "ITM_DOWN_ARROW", "DOCU_CHR_super", "ITM_UP_ARROW", "MNU_TAMALPHA", "ITM_alpha", "DOCU_CHR_caseFLIP", "ITM_NULL", "DOCU_CHR_numSET", "ITM_NULL", "DOCU_ITM_RADIX", "ITM_PERIOD", AO572), ".lo", ),"MNU_", "-MNU_")</f>
        <v>ITM_arccos</v>
      </c>
      <c r="BA572" s="173" t="str" cm="1">
        <f t="array" ref="BA572">SUBSTITUTE(SUBSTITUTE(_xlfn.SWITCH(AP572, "ITM_T_HOME", "ITM_UP1", "ITM_T_END", "ITM_DOWN1", "DOCU_CHR_sub", "ITM_DOWN_ARROW", "DOCU_CHR_super", "ITM_UP_ARROW", "MNU_TAMALPHA", "ITM_alpha", "DOCU_CHR_caseFLIP", "ITM_NULL", "DOCU_CHR_numSET", "ITM_NULL", "DOCU_ITM_RADIX", "ITM_PERIOD", AP572), ".lo", ),"MNU_", "-MNU_")</f>
        <v>ITM_8</v>
      </c>
      <c r="BB572" s="157" t="str" cm="1">
        <f t="array" ref="BB572">SUBSTITUTE(SUBSTITUTE(_xlfn.SWITCH(AQ572, "ITM_T_HOME", "ITM_UP1", "ITM_T_END", "ITM_DOWN1", "DOCU_CHR_sub", "ITM_DOWN_ARROW", "DOCU_CHR_super", "ITM_UP_ARROW", "MNU_TAMALPHA", "ITM_alpha", "DOCU_CHR_caseFLIP", "ITM_NULL", "DOCU_CHR_numSET", "ITM_NULL", "DOCU_ITM_RADIX", "ITM_PERIOD", AQ572), ".lo", ),"MNU_", "-MNU_")</f>
        <v>ITM_O</v>
      </c>
      <c r="BC572" s="157" t="str" cm="1">
        <f t="array" ref="BC572">SUBSTITUTE(SUBSTITUTE(_xlfn.SWITCH(AR572, "ITM_T_HOME", "ITM_UP1", "ITM_T_END", "ITM_DOWN1", "DOCU_CHR_sub", "ITM_DOWN_ARROW", "DOCU_CHR_super", "ITM_UP_ARROW", "MNU_TAMALPHA", "ITM_alpha", "DOCU_CHR_caseFLIP", "ITM_NULL", "DOCU_CHR_numSET", "ITM_NULL", "DOCU_ITM_RADIX", "ITM_PERIOD", AR572), ".lo", ),"MNU_", "-MNU_")</f>
        <v>ITM_o</v>
      </c>
      <c r="BD572" s="157" t="str" cm="1">
        <f t="array" ref="BD572">SUBSTITUTE(SUBSTITUTE(_xlfn.SWITCH(AS572, "ITM_T_HOME", "ITM_UP1", "ITM_T_END", "ITM_DOWN1", "DOCU_CHR_sub", "ITM_DOWN_ARROW", "DOCU_CHR_super", "ITM_UP_ARROW", "MNU_TAMALPHA", "ITM_alpha", "DOCU_CHR_caseFLIP", "ITM_NULL", "DOCU_CHR_numSET", "ITM_NULL", "DOCU_ITM_RADIX", "ITM_PERIOD", AS572), ".lo", ),"MNU_", "-MNU_")</f>
        <v>ITM_8</v>
      </c>
      <c r="BE572" s="157" t="str" cm="1">
        <f t="array" ref="BE572">SUBSTITUTE(SUBSTITUTE(_xlfn.SWITCH(AT572, "ITM_T_HOME", "ITM_UP1", "ITM_T_END", "ITM_DOWN1", "DOCU_CHR_sub", "ITM_DOWN_ARROW", "DOCU_CHR_super", "ITM_UP_ARROW", "MNU_TAMALPHA", "ITM_alpha", "DOCU_CHR_caseFLIP", "ITM_NULL", "DOCU_CHR_numSET", "ITM_NULL", "DOCU_ITM_RADIX", "ITM_PERIOD", AT572), ".lo", ),"MNU_", "-MNU_")</f>
        <v>ITM_8</v>
      </c>
      <c r="BG572" s="75"/>
      <c r="BI572" s="13" t="str">
        <f t="shared" si="307"/>
        <v xml:space="preserve">  {53,                  ITM_8,                ITM_cos,              ITM_arccos,           ITM_8,                ITM_O,                ITM_o,                ITM_8,                ITM_8               },</v>
      </c>
    </row>
    <row r="573" spans="24:61" ht="21" x14ac:dyDescent="0.2">
      <c r="X573" s="141" t="str">
        <f t="shared" si="297"/>
        <v>R47fg_g</v>
      </c>
      <c r="Y573" s="142">
        <v>5</v>
      </c>
      <c r="Z573" s="142">
        <v>4</v>
      </c>
      <c r="AA573" s="144" t="str">
        <f t="shared" si="295"/>
        <v>R47fg_g.54</v>
      </c>
      <c r="AB573" s="148">
        <f t="shared" ref="AB573:AD573" si="344">AB434</f>
        <v>9</v>
      </c>
      <c r="AC573" s="149" t="str">
        <f t="shared" si="344"/>
        <v>TAN</v>
      </c>
      <c r="AD573" s="150" t="str">
        <f t="shared" si="344"/>
        <v>ATAN</v>
      </c>
      <c r="AE573" s="3"/>
      <c r="AF573" s="52" t="str">
        <f t="shared" ref="AF573" si="345">AF434</f>
        <v>P</v>
      </c>
      <c r="AG573" s="77" t="b">
        <f t="shared" si="310"/>
        <v>1</v>
      </c>
      <c r="AH573" s="83" t="str">
        <f t="shared" si="299"/>
        <v>p</v>
      </c>
      <c r="AI573" s="84">
        <f t="shared" si="300"/>
        <v>9</v>
      </c>
      <c r="AJ573" s="85">
        <f t="shared" si="301"/>
        <v>9</v>
      </c>
      <c r="AK573" s="6"/>
      <c r="AL573" s="8" t="str">
        <f t="shared" si="302"/>
        <v>{54</v>
      </c>
      <c r="AM573" s="27" t="str">
        <f t="shared" si="303"/>
        <v>ITM_9</v>
      </c>
      <c r="AN573" s="27" t="str">
        <f t="shared" si="304"/>
        <v>ITM_tan</v>
      </c>
      <c r="AO573" s="27" t="str">
        <f t="shared" si="305"/>
        <v>ITM_arctan</v>
      </c>
      <c r="AP573" s="46" t="str">
        <f>IF(NOT(ISNA(MATCH(AM573,Lookups!E:E,))),VLOOKUP(AM573,Lookups!E:F,2,0),
IF(NOT(ISNA(MATCH(AN573,Lookups!E:E,))),VLOOKUP(AN573,Lookups!E:F,2,0),
IF(NOT(ISNA(MATCH(AO573,Lookups!E:E,))),VLOOKUP(AO573,Lookups!E:F,2,0),"ITM_NULL")))</f>
        <v>ITM_9</v>
      </c>
      <c r="AQ573" s="28" t="str">
        <f t="shared" si="306"/>
        <v>ITM_P</v>
      </c>
      <c r="AR573" s="195" t="s">
        <v>169</v>
      </c>
      <c r="AS573" s="186" t="s">
        <v>180</v>
      </c>
      <c r="AT573" s="197" t="s">
        <v>180</v>
      </c>
      <c r="AW573" s="14" t="str">
        <f t="shared" si="311"/>
        <v>{54</v>
      </c>
      <c r="AX573" s="157" t="str" cm="1">
        <f t="array" ref="AX573">SUBSTITUTE(SUBSTITUTE(_xlfn.SWITCH(AM573, "ITM_T_HOME", "ITM_UP1", "ITM_T_END", "ITM_DOWN1", "DOCU_CHR_sub", "ITM_DOWN_ARROW", "DOCU_CHR_super", "ITM_UP_ARROW", "MNU_TAMALPHA", "ITM_alpha", "DOCU_CHR_caseFLIP", "ITM_NULL", "DOCU_CHR_numSET", "ITM_NULL", "DOCU_ITM_RADIX", "ITM_PERIOD", AM573), ".lo", ),"MNU_", "-MNU_")</f>
        <v>ITM_9</v>
      </c>
      <c r="AY573" s="157" t="str" cm="1">
        <f t="array" ref="AY573">SUBSTITUTE(SUBSTITUTE(_xlfn.SWITCH(AN573, "ITM_T_HOME", "ITM_UP1", "ITM_T_END", "ITM_DOWN1", "DOCU_CHR_sub", "ITM_DOWN_ARROW", "DOCU_CHR_super", "ITM_UP_ARROW", "MNU_TAMALPHA", "ITM_alpha", "DOCU_CHR_caseFLIP", "ITM_NULL", "DOCU_CHR_numSET", "ITM_NULL", "DOCU_ITM_RADIX", "ITM_PERIOD", AN573), ".lo", ),"MNU_", "-MNU_")</f>
        <v>ITM_tan</v>
      </c>
      <c r="AZ573" s="157" t="str" cm="1">
        <f t="array" ref="AZ573">SUBSTITUTE(SUBSTITUTE(_xlfn.SWITCH(AO573, "ITM_T_HOME", "ITM_UP1", "ITM_T_END", "ITM_DOWN1", "DOCU_CHR_sub", "ITM_DOWN_ARROW", "DOCU_CHR_super", "ITM_UP_ARROW", "MNU_TAMALPHA", "ITM_alpha", "DOCU_CHR_caseFLIP", "ITM_NULL", "DOCU_CHR_numSET", "ITM_NULL", "DOCU_ITM_RADIX", "ITM_PERIOD", AO573), ".lo", ),"MNU_", "-MNU_")</f>
        <v>ITM_arctan</v>
      </c>
      <c r="BA573" s="173" t="str" cm="1">
        <f t="array" ref="BA573">SUBSTITUTE(SUBSTITUTE(_xlfn.SWITCH(AP573, "ITM_T_HOME", "ITM_UP1", "ITM_T_END", "ITM_DOWN1", "DOCU_CHR_sub", "ITM_DOWN_ARROW", "DOCU_CHR_super", "ITM_UP_ARROW", "MNU_TAMALPHA", "ITM_alpha", "DOCU_CHR_caseFLIP", "ITM_NULL", "DOCU_CHR_numSET", "ITM_NULL", "DOCU_ITM_RADIX", "ITM_PERIOD", AP573), ".lo", ),"MNU_", "-MNU_")</f>
        <v>ITM_9</v>
      </c>
      <c r="BB573" s="157" t="str" cm="1">
        <f t="array" ref="BB573">SUBSTITUTE(SUBSTITUTE(_xlfn.SWITCH(AQ573, "ITM_T_HOME", "ITM_UP1", "ITM_T_END", "ITM_DOWN1", "DOCU_CHR_sub", "ITM_DOWN_ARROW", "DOCU_CHR_super", "ITM_UP_ARROW", "MNU_TAMALPHA", "ITM_alpha", "DOCU_CHR_caseFLIP", "ITM_NULL", "DOCU_CHR_numSET", "ITM_NULL", "DOCU_ITM_RADIX", "ITM_PERIOD", AQ573), ".lo", ),"MNU_", "-MNU_")</f>
        <v>ITM_P</v>
      </c>
      <c r="BC573" s="157" t="str" cm="1">
        <f t="array" ref="BC573">SUBSTITUTE(SUBSTITUTE(_xlfn.SWITCH(AR573, "ITM_T_HOME", "ITM_UP1", "ITM_T_END", "ITM_DOWN1", "DOCU_CHR_sub", "ITM_DOWN_ARROW", "DOCU_CHR_super", "ITM_UP_ARROW", "MNU_TAMALPHA", "ITM_alpha", "DOCU_CHR_caseFLIP", "ITM_NULL", "DOCU_CHR_numSET", "ITM_NULL", "DOCU_ITM_RADIX", "ITM_PERIOD", AR573), ".lo", ),"MNU_", "-MNU_")</f>
        <v>ITM_p</v>
      </c>
      <c r="BD573" s="157" t="str" cm="1">
        <f t="array" ref="BD573">SUBSTITUTE(SUBSTITUTE(_xlfn.SWITCH(AS573, "ITM_T_HOME", "ITM_UP1", "ITM_T_END", "ITM_DOWN1", "DOCU_CHR_sub", "ITM_DOWN_ARROW", "DOCU_CHR_super", "ITM_UP_ARROW", "MNU_TAMALPHA", "ITM_alpha", "DOCU_CHR_caseFLIP", "ITM_NULL", "DOCU_CHR_numSET", "ITM_NULL", "DOCU_ITM_RADIX", "ITM_PERIOD", AS573), ".lo", ),"MNU_", "-MNU_")</f>
        <v>ITM_9</v>
      </c>
      <c r="BE573" s="157" t="str" cm="1">
        <f t="array" ref="BE573">SUBSTITUTE(SUBSTITUTE(_xlfn.SWITCH(AT573, "ITM_T_HOME", "ITM_UP1", "ITM_T_END", "ITM_DOWN1", "DOCU_CHR_sub", "ITM_DOWN_ARROW", "DOCU_CHR_super", "ITM_UP_ARROW", "MNU_TAMALPHA", "ITM_alpha", "DOCU_CHR_caseFLIP", "ITM_NULL", "DOCU_CHR_numSET", "ITM_NULL", "DOCU_ITM_RADIX", "ITM_PERIOD", AT573), ".lo", ),"MNU_", "-MNU_")</f>
        <v>ITM_9</v>
      </c>
      <c r="BG573" s="75"/>
      <c r="BI573" s="13" t="str">
        <f t="shared" si="307"/>
        <v xml:space="preserve">  {54,                  ITM_9,                ITM_tan,              ITM_arctan,           ITM_9,                ITM_P,                ITM_p,                ITM_9,                ITM_9               },</v>
      </c>
    </row>
    <row r="574" spans="24:61" ht="21" x14ac:dyDescent="0.2">
      <c r="X574" s="141" t="str">
        <f t="shared" si="297"/>
        <v>R47fg_g</v>
      </c>
      <c r="Y574" s="142">
        <v>5</v>
      </c>
      <c r="Z574" s="142">
        <v>5</v>
      </c>
      <c r="AA574" s="144" t="str">
        <f t="shared" si="295"/>
        <v>R47fg_g.55</v>
      </c>
      <c r="AB574" s="153" t="str">
        <f t="shared" ref="AB574:AD574" si="346">AB435</f>
        <v>÷</v>
      </c>
      <c r="AC574" s="149" t="str">
        <f t="shared" si="346"/>
        <v>[ STAT ]</v>
      </c>
      <c r="AD574" s="150" t="str">
        <f t="shared" si="346"/>
        <v>[ PLOT ]</v>
      </c>
      <c r="AE574" s="3"/>
      <c r="AF574" s="52" t="str">
        <f t="shared" ref="AF574" si="347">AF435</f>
        <v>Q</v>
      </c>
      <c r="AG574" s="77" t="b">
        <f t="shared" si="310"/>
        <v>1</v>
      </c>
      <c r="AH574" s="83" t="str">
        <f t="shared" si="299"/>
        <v>q</v>
      </c>
      <c r="AI574" s="84" t="str">
        <f t="shared" si="300"/>
        <v>÷</v>
      </c>
      <c r="AJ574" s="85" t="str">
        <f t="shared" si="301"/>
        <v>÷</v>
      </c>
      <c r="AK574" s="6"/>
      <c r="AL574" s="8" t="str">
        <f t="shared" si="302"/>
        <v>{55</v>
      </c>
      <c r="AM574" s="27" t="str">
        <f t="shared" si="303"/>
        <v>ITM_DIV</v>
      </c>
      <c r="AN574" s="27" t="str">
        <f t="shared" si="304"/>
        <v>MNU_STAT</v>
      </c>
      <c r="AO574" s="27" t="str">
        <f t="shared" si="305"/>
        <v>MNU_PLOTTING</v>
      </c>
      <c r="AP574" s="46" t="str">
        <f>IF(NOT(ISNA(MATCH(AM574,Lookups!E:E,))),VLOOKUP(AM574,Lookups!E:F,2,0),
IF(NOT(ISNA(MATCH(AN574,Lookups!E:E,))),VLOOKUP(AN574,Lookups!E:F,2,0),
IF(NOT(ISNA(MATCH(AO574,Lookups!E:E,))),VLOOKUP(AO574,Lookups!E:F,2,0),"ITM_NULL")))</f>
        <v>ITM_OBELUS</v>
      </c>
      <c r="AQ574" s="28" t="str">
        <f t="shared" si="306"/>
        <v>ITM_Q</v>
      </c>
      <c r="AR574" s="195" t="s">
        <v>174</v>
      </c>
      <c r="AS574" s="186" t="s">
        <v>186</v>
      </c>
      <c r="AT574" s="197" t="s">
        <v>187</v>
      </c>
      <c r="AW574" s="14" t="str">
        <f t="shared" si="311"/>
        <v>{55</v>
      </c>
      <c r="AX574" s="157" t="str" cm="1">
        <f t="array" ref="AX574">SUBSTITUTE(SUBSTITUTE(_xlfn.SWITCH(AM574, "ITM_T_HOME", "ITM_UP1", "ITM_T_END", "ITM_DOWN1", "DOCU_CHR_sub", "ITM_DOWN_ARROW", "DOCU_CHR_super", "ITM_UP_ARROW", "MNU_TAMALPHA", "ITM_alpha", "DOCU_CHR_caseFLIP", "ITM_NULL", "DOCU_CHR_numSET", "ITM_NULL", "DOCU_ITM_RADIX", "ITM_PERIOD", AM574), ".lo", ),"MNU_", "-MNU_")</f>
        <v>ITM_DIV</v>
      </c>
      <c r="AY574" s="157" t="str" cm="1">
        <f t="array" ref="AY574">SUBSTITUTE(SUBSTITUTE(_xlfn.SWITCH(AN574, "ITM_T_HOME", "ITM_UP1", "ITM_T_END", "ITM_DOWN1", "DOCU_CHR_sub", "ITM_DOWN_ARROW", "DOCU_CHR_super", "ITM_UP_ARROW", "MNU_TAMALPHA", "ITM_alpha", "DOCU_CHR_caseFLIP", "ITM_NULL", "DOCU_CHR_numSET", "ITM_NULL", "DOCU_ITM_RADIX", "ITM_PERIOD", AN574), ".lo", ),"MNU_", "-MNU_")</f>
        <v>-MNU_STAT</v>
      </c>
      <c r="AZ574" s="157" t="str" cm="1">
        <f t="array" ref="AZ574">SUBSTITUTE(SUBSTITUTE(_xlfn.SWITCH(AO574, "ITM_T_HOME", "ITM_UP1", "ITM_T_END", "ITM_DOWN1", "DOCU_CHR_sub", "ITM_DOWN_ARROW", "DOCU_CHR_super", "ITM_UP_ARROW", "MNU_TAMALPHA", "ITM_alpha", "DOCU_CHR_caseFLIP", "ITM_NULL", "DOCU_CHR_numSET", "ITM_NULL", "DOCU_ITM_RADIX", "ITM_PERIOD", AO574), ".lo", ),"MNU_", "-MNU_")</f>
        <v>-MNU_PLOTTING</v>
      </c>
      <c r="BA574" s="173" t="str" cm="1">
        <f t="array" ref="BA574">SUBSTITUTE(SUBSTITUTE(_xlfn.SWITCH(AP574, "ITM_T_HOME", "ITM_UP1", "ITM_T_END", "ITM_DOWN1", "DOCU_CHR_sub", "ITM_DOWN_ARROW", "DOCU_CHR_super", "ITM_UP_ARROW", "MNU_TAMALPHA", "ITM_alpha", "DOCU_CHR_caseFLIP", "ITM_NULL", "DOCU_CHR_numSET", "ITM_NULL", "DOCU_ITM_RADIX", "ITM_PERIOD", AP574), ".lo", ),"MNU_", "-MNU_")</f>
        <v>ITM_OBELUS</v>
      </c>
      <c r="BB574" s="157" t="str" cm="1">
        <f t="array" ref="BB574">SUBSTITUTE(SUBSTITUTE(_xlfn.SWITCH(AQ574, "ITM_T_HOME", "ITM_UP1", "ITM_T_END", "ITM_DOWN1", "DOCU_CHR_sub", "ITM_DOWN_ARROW", "DOCU_CHR_super", "ITM_UP_ARROW", "MNU_TAMALPHA", "ITM_alpha", "DOCU_CHR_caseFLIP", "ITM_NULL", "DOCU_CHR_numSET", "ITM_NULL", "DOCU_ITM_RADIX", "ITM_PERIOD", AQ574), ".lo", ),"MNU_", "-MNU_")</f>
        <v>ITM_Q</v>
      </c>
      <c r="BC574" s="157" t="str" cm="1">
        <f t="array" ref="BC574">SUBSTITUTE(SUBSTITUTE(_xlfn.SWITCH(AR574, "ITM_T_HOME", "ITM_UP1", "ITM_T_END", "ITM_DOWN1", "DOCU_CHR_sub", "ITM_DOWN_ARROW", "DOCU_CHR_super", "ITM_UP_ARROW", "MNU_TAMALPHA", "ITM_alpha", "DOCU_CHR_caseFLIP", "ITM_NULL", "DOCU_CHR_numSET", "ITM_NULL", "DOCU_ITM_RADIX", "ITM_PERIOD", AR574), ".lo", ),"MNU_", "-MNU_")</f>
        <v>ITM_q</v>
      </c>
      <c r="BD574" s="157" t="str" cm="1">
        <f t="array" ref="BD574">SUBSTITUTE(SUBSTITUTE(_xlfn.SWITCH(AS574, "ITM_T_HOME", "ITM_UP1", "ITM_T_END", "ITM_DOWN1", "DOCU_CHR_sub", "ITM_DOWN_ARROW", "DOCU_CHR_super", "ITM_UP_ARROW", "MNU_TAMALPHA", "ITM_alpha", "DOCU_CHR_caseFLIP", "ITM_NULL", "DOCU_CHR_numSET", "ITM_NULL", "DOCU_ITM_RADIX", "ITM_PERIOD", AS574), ".lo", ),"MNU_", "-MNU_")</f>
        <v>ITM_OBELUS</v>
      </c>
      <c r="BE574" s="157" t="str" cm="1">
        <f t="array" ref="BE574">SUBSTITUTE(SUBSTITUTE(_xlfn.SWITCH(AT574, "ITM_T_HOME", "ITM_UP1", "ITM_T_END", "ITM_DOWN1", "DOCU_CHR_sub", "ITM_DOWN_ARROW", "DOCU_CHR_super", "ITM_UP_ARROW", "MNU_TAMALPHA", "ITM_alpha", "DOCU_CHR_caseFLIP", "ITM_NULL", "DOCU_CHR_numSET", "ITM_NULL", "DOCU_ITM_RADIX", "ITM_PERIOD", AT574), ".lo", ),"MNU_", "-MNU_")</f>
        <v>ITM_DIV</v>
      </c>
      <c r="BG574" s="75"/>
      <c r="BI574" s="13" t="str">
        <f t="shared" si="307"/>
        <v xml:space="preserve">  {55,                  ITM_DIV,              -MNU_STAT,            -MNU_PLOTTING,        ITM_OBELUS,           ITM_Q,                ITM_q,                ITM_OBELUS,           ITM_DIV             },</v>
      </c>
    </row>
    <row r="575" spans="24:61" ht="21" x14ac:dyDescent="0.2">
      <c r="X575" s="141" t="str">
        <f t="shared" si="297"/>
        <v>R47fg_g</v>
      </c>
      <c r="Y575" s="138">
        <v>6</v>
      </c>
      <c r="Z575" s="138">
        <v>1</v>
      </c>
      <c r="AA575" s="144" t="str">
        <f t="shared" si="295"/>
        <v>R47fg_g.61</v>
      </c>
      <c r="AB575" s="148" t="str">
        <f t="shared" ref="AB575:AD575" si="348">AB436</f>
        <v>Up</v>
      </c>
      <c r="AC575" s="149" t="str">
        <f t="shared" si="348"/>
        <v>Scroll Up</v>
      </c>
      <c r="AD575" s="150" t="str">
        <f t="shared" si="348"/>
        <v>REGS</v>
      </c>
      <c r="AE575" s="3"/>
      <c r="AF575" s="52" t="str">
        <f t="shared" ref="AF575" si="349">AF436</f>
        <v>&lt;-HOME</v>
      </c>
      <c r="AG575" s="77" t="b">
        <f t="shared" si="310"/>
        <v>0</v>
      </c>
      <c r="AH575" s="83" t="str">
        <f t="shared" si="299"/>
        <v>CASE UP</v>
      </c>
      <c r="AI575" s="84" t="str">
        <f t="shared" si="300"/>
        <v>Super</v>
      </c>
      <c r="AJ575" s="85" t="str">
        <f t="shared" si="301"/>
        <v>Up</v>
      </c>
      <c r="AK575" s="6"/>
      <c r="AL575" s="8" t="str">
        <f t="shared" si="302"/>
        <v>{61</v>
      </c>
      <c r="AM575" s="27" t="str">
        <f t="shared" si="303"/>
        <v>ITM_UP1</v>
      </c>
      <c r="AN575" s="27" t="str">
        <f t="shared" si="304"/>
        <v>ITM_BST</v>
      </c>
      <c r="AO575" s="27" t="str">
        <f t="shared" si="305"/>
        <v>ITM_RBR</v>
      </c>
      <c r="AP575" s="46" t="str">
        <f>IF(NOT(ISNA(MATCH(AM575,Lookups!E:E,))),VLOOKUP(AM575,Lookups!E:F,2,0),
IF(NOT(ISNA(MATCH(AN575,Lookups!E:E,))),VLOOKUP(AN575,Lookups!E:F,2,0),
IF(NOT(ISNA(MATCH(AO575,Lookups!E:E,))),VLOOKUP(AO575,Lookups!E:F,2,0),"ITM_NULL")))</f>
        <v>ITM_UP1</v>
      </c>
      <c r="AQ575" s="28" t="str">
        <f t="shared" si="306"/>
        <v>ITM_T_HOME</v>
      </c>
      <c r="AR575" s="198" t="s">
        <v>163</v>
      </c>
      <c r="AS575" s="186" t="s">
        <v>164</v>
      </c>
      <c r="AT575" s="197" t="s">
        <v>165</v>
      </c>
      <c r="AW575" s="14" t="str">
        <f t="shared" si="311"/>
        <v>{61</v>
      </c>
      <c r="AX575" s="157" t="str" cm="1">
        <f t="array" ref="AX575">SUBSTITUTE(SUBSTITUTE(_xlfn.SWITCH(AM575, "ITM_T_HOME", "ITM_UP1", "ITM_T_END", "ITM_DOWN1", "DOCU_CHR_sub", "ITM_DOWN_ARROW", "DOCU_CHR_super", "ITM_UP_ARROW", "MNU_TAMALPHA", "ITM_alpha", "DOCU_CHR_caseFLIP", "ITM_NULL", "DOCU_CHR_numSET", "ITM_NULL", "DOCU_ITM_RADIX", "ITM_PERIOD", AM575), ".lo", ),"MNU_", "-MNU_")</f>
        <v>ITM_UP1</v>
      </c>
      <c r="AY575" s="157" t="str" cm="1">
        <f t="array" ref="AY575">SUBSTITUTE(SUBSTITUTE(_xlfn.SWITCH(AN575, "ITM_T_HOME", "ITM_UP1", "ITM_T_END", "ITM_DOWN1", "DOCU_CHR_sub", "ITM_DOWN_ARROW", "DOCU_CHR_super", "ITM_UP_ARROW", "MNU_TAMALPHA", "ITM_alpha", "DOCU_CHR_caseFLIP", "ITM_NULL", "DOCU_CHR_numSET", "ITM_NULL", "DOCU_ITM_RADIX", "ITM_PERIOD", AN575), ".lo", ),"MNU_", "-MNU_")</f>
        <v>ITM_BST</v>
      </c>
      <c r="AZ575" s="157" t="str" cm="1">
        <f t="array" ref="AZ575">SUBSTITUTE(SUBSTITUTE(_xlfn.SWITCH(AO575, "ITM_T_HOME", "ITM_UP1", "ITM_T_END", "ITM_DOWN1", "DOCU_CHR_sub", "ITM_DOWN_ARROW", "DOCU_CHR_super", "ITM_UP_ARROW", "MNU_TAMALPHA", "ITM_alpha", "DOCU_CHR_caseFLIP", "ITM_NULL", "DOCU_CHR_numSET", "ITM_NULL", "DOCU_ITM_RADIX", "ITM_PERIOD", AO575), ".lo", ),"MNU_", "-MNU_")</f>
        <v>ITM_RBR</v>
      </c>
      <c r="BA575" s="173" t="str" cm="1">
        <f t="array" ref="BA575">SUBSTITUTE(SUBSTITUTE(_xlfn.SWITCH(AP575, "ITM_T_HOME", "ITM_UP1", "ITM_T_END", "ITM_DOWN1", "DOCU_CHR_sub", "ITM_DOWN_ARROW", "DOCU_CHR_super", "ITM_UP_ARROW", "MNU_TAMALPHA", "ITM_alpha", "DOCU_CHR_caseFLIP", "ITM_NULL", "DOCU_CHR_numSET", "ITM_NULL", "DOCU_ITM_RADIX", "ITM_PERIOD", AP575), ".lo", ),"MNU_", "-MNU_")</f>
        <v>ITM_UP1</v>
      </c>
      <c r="BB575" s="157" t="str" cm="1">
        <f t="array" ref="BB575">SUBSTITUTE(SUBSTITUTE(_xlfn.SWITCH(AQ575, "ITM_T_HOME", "ITM_UP1", "ITM_T_END", "ITM_DOWN1", "DOCU_CHR_sub", "ITM_DOWN_ARROW", "DOCU_CHR_super", "ITM_UP_ARROW", "MNU_TAMALPHA", "ITM_alpha", "DOCU_CHR_caseFLIP", "ITM_NULL", "DOCU_CHR_numSET", "ITM_NULL", "DOCU_ITM_RADIX", "ITM_PERIOD", AQ575), ".lo", ),"MNU_", "-MNU_")</f>
        <v>ITM_UP1</v>
      </c>
      <c r="BC575" s="157" t="str" cm="1">
        <f t="array" ref="BC575">SUBSTITUTE(SUBSTITUTE(_xlfn.SWITCH(AR575, "ITM_T_HOME", "ITM_UP1", "ITM_T_END", "ITM_DOWN1", "DOCU_CHR_sub", "ITM_DOWN_ARROW", "DOCU_CHR_super", "ITM_UP_ARROW", "MNU_TAMALPHA", "ITM_alpha", "DOCU_CHR_caseFLIP", "ITM_NULL", "DOCU_CHR_numSET", "ITM_NULL", "DOCU_ITM_RADIX", "ITM_PERIOD", AR575), ".lo", ),"MNU_", "-MNU_")</f>
        <v>CHR_caseUP</v>
      </c>
      <c r="BD575" s="157" t="str" cm="1">
        <f t="array" ref="BD575">SUBSTITUTE(SUBSTITUTE(_xlfn.SWITCH(AS575, "ITM_T_HOME", "ITM_UP1", "ITM_T_END", "ITM_DOWN1", "DOCU_CHR_sub", "ITM_DOWN_ARROW", "DOCU_CHR_super", "ITM_UP_ARROW", "MNU_TAMALPHA", "ITM_alpha", "DOCU_CHR_caseFLIP", "ITM_NULL", "DOCU_CHR_numSET", "ITM_NULL", "DOCU_ITM_RADIX", "ITM_PERIOD", AS575), ".lo", ),"MNU_", "-MNU_")</f>
        <v>ITM_UP_ARROW</v>
      </c>
      <c r="BE575" s="157" t="str" cm="1">
        <f t="array" ref="BE575">SUBSTITUTE(SUBSTITUTE(_xlfn.SWITCH(AT575, "ITM_T_HOME", "ITM_UP1", "ITM_T_END", "ITM_DOWN1", "DOCU_CHR_sub", "ITM_DOWN_ARROW", "DOCU_CHR_super", "ITM_UP_ARROW", "MNU_TAMALPHA", "ITM_alpha", "DOCU_CHR_caseFLIP", "ITM_NULL", "DOCU_CHR_numSET", "ITM_NULL", "DOCU_ITM_RADIX", "ITM_PERIOD", AT575), ".lo", ),"MNU_", "-MNU_")</f>
        <v>ITM_UP1</v>
      </c>
      <c r="BG575" s="75"/>
      <c r="BI575" s="13" t="str">
        <f t="shared" si="307"/>
        <v xml:space="preserve">  {61,                  ITM_UP1,              ITM_BST,              ITM_RBR,              ITM_UP1,              ITM_UP1,              CHR_caseUP,           ITM_UP_ARROW,         ITM_UP1             },</v>
      </c>
    </row>
    <row r="576" spans="24:61" ht="21" x14ac:dyDescent="0.2">
      <c r="X576" s="141" t="str">
        <f t="shared" si="297"/>
        <v>R47fg_g</v>
      </c>
      <c r="Y576" s="142">
        <v>6</v>
      </c>
      <c r="Z576" s="142">
        <v>2</v>
      </c>
      <c r="AA576" s="144" t="str">
        <f t="shared" si="295"/>
        <v>R47fg_g.62</v>
      </c>
      <c r="AB576" s="148">
        <f t="shared" ref="AB576:AD576" si="350">AB437</f>
        <v>4</v>
      </c>
      <c r="AC576" s="149" t="str">
        <f t="shared" si="350"/>
        <v>[ BASE ]</v>
      </c>
      <c r="AD576" s="150" t="str">
        <f t="shared" si="350"/>
        <v>[ BITS ]</v>
      </c>
      <c r="AE576" s="3"/>
      <c r="AF576" s="52" t="str">
        <f t="shared" ref="AF576" si="351">AF437</f>
        <v>R</v>
      </c>
      <c r="AG576" s="77" t="b">
        <f t="shared" si="310"/>
        <v>1</v>
      </c>
      <c r="AH576" s="83" t="str">
        <f t="shared" si="299"/>
        <v>r</v>
      </c>
      <c r="AI576" s="84">
        <f t="shared" si="300"/>
        <v>4</v>
      </c>
      <c r="AJ576" s="85">
        <f t="shared" si="301"/>
        <v>4</v>
      </c>
      <c r="AK576" s="6"/>
      <c r="AL576" s="8" t="str">
        <f t="shared" si="302"/>
        <v>{62</v>
      </c>
      <c r="AM576" s="27" t="str">
        <f t="shared" si="303"/>
        <v>ITM_4</v>
      </c>
      <c r="AN576" s="27" t="str">
        <f t="shared" si="304"/>
        <v>MNU_BASE</v>
      </c>
      <c r="AO576" s="27" t="str">
        <f t="shared" si="305"/>
        <v>MNU_BITS</v>
      </c>
      <c r="AP576" s="46" t="str">
        <f>IF(NOT(ISNA(MATCH(AM576,Lookups!E:E,))),VLOOKUP(AM576,Lookups!E:F,2,0),
IF(NOT(ISNA(MATCH(AN576,Lookups!E:E,))),VLOOKUP(AN576,Lookups!E:F,2,0),
IF(NOT(ISNA(MATCH(AO576,Lookups!E:E,))),VLOOKUP(AO576,Lookups!E:F,2,0),"ITM_NULL")))</f>
        <v>ITM_4</v>
      </c>
      <c r="AQ576" s="28" t="str">
        <f t="shared" si="306"/>
        <v>ITM_R</v>
      </c>
      <c r="AR576" s="195" t="s">
        <v>179</v>
      </c>
      <c r="AS576" s="186" t="s">
        <v>199</v>
      </c>
      <c r="AT576" s="197" t="s">
        <v>199</v>
      </c>
      <c r="AW576" s="14" t="str">
        <f t="shared" si="311"/>
        <v>{62</v>
      </c>
      <c r="AX576" s="157" t="str" cm="1">
        <f t="array" ref="AX576">SUBSTITUTE(SUBSTITUTE(_xlfn.SWITCH(AM576, "ITM_T_HOME", "ITM_UP1", "ITM_T_END", "ITM_DOWN1", "DOCU_CHR_sub", "ITM_DOWN_ARROW", "DOCU_CHR_super", "ITM_UP_ARROW", "MNU_TAMALPHA", "ITM_alpha", "DOCU_CHR_caseFLIP", "ITM_NULL", "DOCU_CHR_numSET", "ITM_NULL", "DOCU_ITM_RADIX", "ITM_PERIOD", AM576), ".lo", ),"MNU_", "-MNU_")</f>
        <v>ITM_4</v>
      </c>
      <c r="AY576" s="157" t="str" cm="1">
        <f t="array" ref="AY576">SUBSTITUTE(SUBSTITUTE(_xlfn.SWITCH(AN576, "ITM_T_HOME", "ITM_UP1", "ITM_T_END", "ITM_DOWN1", "DOCU_CHR_sub", "ITM_DOWN_ARROW", "DOCU_CHR_super", "ITM_UP_ARROW", "MNU_TAMALPHA", "ITM_alpha", "DOCU_CHR_caseFLIP", "ITM_NULL", "DOCU_CHR_numSET", "ITM_NULL", "DOCU_ITM_RADIX", "ITM_PERIOD", AN576), ".lo", ),"MNU_", "-MNU_")</f>
        <v>-MNU_BASE</v>
      </c>
      <c r="AZ576" s="157" t="str" cm="1">
        <f t="array" ref="AZ576">SUBSTITUTE(SUBSTITUTE(_xlfn.SWITCH(AO576, "ITM_T_HOME", "ITM_UP1", "ITM_T_END", "ITM_DOWN1", "DOCU_CHR_sub", "ITM_DOWN_ARROW", "DOCU_CHR_super", "ITM_UP_ARROW", "MNU_TAMALPHA", "ITM_alpha", "DOCU_CHR_caseFLIP", "ITM_NULL", "DOCU_CHR_numSET", "ITM_NULL", "DOCU_ITM_RADIX", "ITM_PERIOD", AO576), ".lo", ),"MNU_", "-MNU_")</f>
        <v>-MNU_BITS</v>
      </c>
      <c r="BA576" s="173" t="str" cm="1">
        <f t="array" ref="BA576">SUBSTITUTE(SUBSTITUTE(_xlfn.SWITCH(AP576, "ITM_T_HOME", "ITM_UP1", "ITM_T_END", "ITM_DOWN1", "DOCU_CHR_sub", "ITM_DOWN_ARROW", "DOCU_CHR_super", "ITM_UP_ARROW", "MNU_TAMALPHA", "ITM_alpha", "DOCU_CHR_caseFLIP", "ITM_NULL", "DOCU_CHR_numSET", "ITM_NULL", "DOCU_ITM_RADIX", "ITM_PERIOD", AP576), ".lo", ),"MNU_", "-MNU_")</f>
        <v>ITM_4</v>
      </c>
      <c r="BB576" s="157" t="str" cm="1">
        <f t="array" ref="BB576">SUBSTITUTE(SUBSTITUTE(_xlfn.SWITCH(AQ576, "ITM_T_HOME", "ITM_UP1", "ITM_T_END", "ITM_DOWN1", "DOCU_CHR_sub", "ITM_DOWN_ARROW", "DOCU_CHR_super", "ITM_UP_ARROW", "MNU_TAMALPHA", "ITM_alpha", "DOCU_CHR_caseFLIP", "ITM_NULL", "DOCU_CHR_numSET", "ITM_NULL", "DOCU_ITM_RADIX", "ITM_PERIOD", AQ576), ".lo", ),"MNU_", "-MNU_")</f>
        <v>ITM_R</v>
      </c>
      <c r="BC576" s="157" t="str" cm="1">
        <f t="array" ref="BC576">SUBSTITUTE(SUBSTITUTE(_xlfn.SWITCH(AR576, "ITM_T_HOME", "ITM_UP1", "ITM_T_END", "ITM_DOWN1", "DOCU_CHR_sub", "ITM_DOWN_ARROW", "DOCU_CHR_super", "ITM_UP_ARROW", "MNU_TAMALPHA", "ITM_alpha", "DOCU_CHR_caseFLIP", "ITM_NULL", "DOCU_CHR_numSET", "ITM_NULL", "DOCU_ITM_RADIX", "ITM_PERIOD", AR576), ".lo", ),"MNU_", "-MNU_")</f>
        <v>ITM_r</v>
      </c>
      <c r="BD576" s="157" t="str" cm="1">
        <f t="array" ref="BD576">SUBSTITUTE(SUBSTITUTE(_xlfn.SWITCH(AS576, "ITM_T_HOME", "ITM_UP1", "ITM_T_END", "ITM_DOWN1", "DOCU_CHR_sub", "ITM_DOWN_ARROW", "DOCU_CHR_super", "ITM_UP_ARROW", "MNU_TAMALPHA", "ITM_alpha", "DOCU_CHR_caseFLIP", "ITM_NULL", "DOCU_CHR_numSET", "ITM_NULL", "DOCU_ITM_RADIX", "ITM_PERIOD", AS576), ".lo", ),"MNU_", "-MNU_")</f>
        <v>ITM_4</v>
      </c>
      <c r="BE576" s="157" t="str" cm="1">
        <f t="array" ref="BE576">SUBSTITUTE(SUBSTITUTE(_xlfn.SWITCH(AT576, "ITM_T_HOME", "ITM_UP1", "ITM_T_END", "ITM_DOWN1", "DOCU_CHR_sub", "ITM_DOWN_ARROW", "DOCU_CHR_super", "ITM_UP_ARROW", "MNU_TAMALPHA", "ITM_alpha", "DOCU_CHR_caseFLIP", "ITM_NULL", "DOCU_CHR_numSET", "ITM_NULL", "DOCU_ITM_RADIX", "ITM_PERIOD", AT576), ".lo", ),"MNU_", "-MNU_")</f>
        <v>ITM_4</v>
      </c>
      <c r="BG576" s="75"/>
      <c r="BI576" s="13" t="str">
        <f t="shared" si="307"/>
        <v xml:space="preserve">  {62,                  ITM_4,                -MNU_BASE,            -MNU_BITS,            ITM_4,                ITM_R,                ITM_r,                ITM_4,                ITM_4               },</v>
      </c>
    </row>
    <row r="577" spans="24:61" ht="21" x14ac:dyDescent="0.2">
      <c r="X577" s="141" t="str">
        <f t="shared" si="297"/>
        <v>R47fg_g</v>
      </c>
      <c r="Y577" s="142">
        <v>6</v>
      </c>
      <c r="Z577" s="142">
        <v>3</v>
      </c>
      <c r="AA577" s="144" t="str">
        <f t="shared" si="295"/>
        <v>R47fg_g.63</v>
      </c>
      <c r="AB577" s="148">
        <f t="shared" ref="AB577:AD577" si="352">AB438</f>
        <v>5</v>
      </c>
      <c r="AC577" s="149" t="str">
        <f t="shared" si="352"/>
        <v>[ INTS ]</v>
      </c>
      <c r="AD577" s="150" t="str">
        <f t="shared" si="352"/>
        <v>[ REAL ]</v>
      </c>
      <c r="AE577" s="3"/>
      <c r="AF577" s="52" t="str">
        <f t="shared" ref="AF577" si="353">AF438</f>
        <v>S</v>
      </c>
      <c r="AG577" s="77" t="b">
        <f t="shared" si="310"/>
        <v>1</v>
      </c>
      <c r="AH577" s="83" t="str">
        <f t="shared" si="299"/>
        <v>s</v>
      </c>
      <c r="AI577" s="84">
        <f t="shared" si="300"/>
        <v>5</v>
      </c>
      <c r="AJ577" s="85">
        <f t="shared" si="301"/>
        <v>5</v>
      </c>
      <c r="AK577" s="6"/>
      <c r="AL577" s="8" t="str">
        <f t="shared" si="302"/>
        <v>{63</v>
      </c>
      <c r="AM577" s="27" t="str">
        <f t="shared" si="303"/>
        <v>ITM_5</v>
      </c>
      <c r="AN577" s="27" t="str">
        <f t="shared" si="304"/>
        <v>MNU_INTS</v>
      </c>
      <c r="AO577" s="27" t="str">
        <f t="shared" si="305"/>
        <v>MNU_PARTS</v>
      </c>
      <c r="AP577" s="46" t="str">
        <f>IF(NOT(ISNA(MATCH(AM577,Lookups!E:E,))),VLOOKUP(AM577,Lookups!E:F,2,0),
IF(NOT(ISNA(MATCH(AN577,Lookups!E:E,))),VLOOKUP(AN577,Lookups!E:F,2,0),
IF(NOT(ISNA(MATCH(AO577,Lookups!E:E,))),VLOOKUP(AO577,Lookups!E:F,2,0),"ITM_NULL")))</f>
        <v>ITM_5</v>
      </c>
      <c r="AQ577" s="28" t="str">
        <f t="shared" si="306"/>
        <v>ITM_S</v>
      </c>
      <c r="AR577" s="195" t="s">
        <v>185</v>
      </c>
      <c r="AS577" s="186" t="s">
        <v>204</v>
      </c>
      <c r="AT577" s="197" t="s">
        <v>204</v>
      </c>
      <c r="AW577" s="14" t="str">
        <f t="shared" si="311"/>
        <v>{63</v>
      </c>
      <c r="AX577" s="157" t="str" cm="1">
        <f t="array" ref="AX577">SUBSTITUTE(SUBSTITUTE(_xlfn.SWITCH(AM577, "ITM_T_HOME", "ITM_UP1", "ITM_T_END", "ITM_DOWN1", "DOCU_CHR_sub", "ITM_DOWN_ARROW", "DOCU_CHR_super", "ITM_UP_ARROW", "MNU_TAMALPHA", "ITM_alpha", "DOCU_CHR_caseFLIP", "ITM_NULL", "DOCU_CHR_numSET", "ITM_NULL", "DOCU_ITM_RADIX", "ITM_PERIOD", AM577), ".lo", ),"MNU_", "-MNU_")</f>
        <v>ITM_5</v>
      </c>
      <c r="AY577" s="157" t="str" cm="1">
        <f t="array" ref="AY577">SUBSTITUTE(SUBSTITUTE(_xlfn.SWITCH(AN577, "ITM_T_HOME", "ITM_UP1", "ITM_T_END", "ITM_DOWN1", "DOCU_CHR_sub", "ITM_DOWN_ARROW", "DOCU_CHR_super", "ITM_UP_ARROW", "MNU_TAMALPHA", "ITM_alpha", "DOCU_CHR_caseFLIP", "ITM_NULL", "DOCU_CHR_numSET", "ITM_NULL", "DOCU_ITM_RADIX", "ITM_PERIOD", AN577), ".lo", ),"MNU_", "-MNU_")</f>
        <v>-MNU_INTS</v>
      </c>
      <c r="AZ577" s="157" t="str" cm="1">
        <f t="array" ref="AZ577">SUBSTITUTE(SUBSTITUTE(_xlfn.SWITCH(AO577, "ITM_T_HOME", "ITM_UP1", "ITM_T_END", "ITM_DOWN1", "DOCU_CHR_sub", "ITM_DOWN_ARROW", "DOCU_CHR_super", "ITM_UP_ARROW", "MNU_TAMALPHA", "ITM_alpha", "DOCU_CHR_caseFLIP", "ITM_NULL", "DOCU_CHR_numSET", "ITM_NULL", "DOCU_ITM_RADIX", "ITM_PERIOD", AO577), ".lo", ),"MNU_", "-MNU_")</f>
        <v>-MNU_PARTS</v>
      </c>
      <c r="BA577" s="173" t="str" cm="1">
        <f t="array" ref="BA577">SUBSTITUTE(SUBSTITUTE(_xlfn.SWITCH(AP577, "ITM_T_HOME", "ITM_UP1", "ITM_T_END", "ITM_DOWN1", "DOCU_CHR_sub", "ITM_DOWN_ARROW", "DOCU_CHR_super", "ITM_UP_ARROW", "MNU_TAMALPHA", "ITM_alpha", "DOCU_CHR_caseFLIP", "ITM_NULL", "DOCU_CHR_numSET", "ITM_NULL", "DOCU_ITM_RADIX", "ITM_PERIOD", AP577), ".lo", ),"MNU_", "-MNU_")</f>
        <v>ITM_5</v>
      </c>
      <c r="BB577" s="157" t="str" cm="1">
        <f t="array" ref="BB577">SUBSTITUTE(SUBSTITUTE(_xlfn.SWITCH(AQ577, "ITM_T_HOME", "ITM_UP1", "ITM_T_END", "ITM_DOWN1", "DOCU_CHR_sub", "ITM_DOWN_ARROW", "DOCU_CHR_super", "ITM_UP_ARROW", "MNU_TAMALPHA", "ITM_alpha", "DOCU_CHR_caseFLIP", "ITM_NULL", "DOCU_CHR_numSET", "ITM_NULL", "DOCU_ITM_RADIX", "ITM_PERIOD", AQ577), ".lo", ),"MNU_", "-MNU_")</f>
        <v>ITM_S</v>
      </c>
      <c r="BC577" s="157" t="str" cm="1">
        <f t="array" ref="BC577">SUBSTITUTE(SUBSTITUTE(_xlfn.SWITCH(AR577, "ITM_T_HOME", "ITM_UP1", "ITM_T_END", "ITM_DOWN1", "DOCU_CHR_sub", "ITM_DOWN_ARROW", "DOCU_CHR_super", "ITM_UP_ARROW", "MNU_TAMALPHA", "ITM_alpha", "DOCU_CHR_caseFLIP", "ITM_NULL", "DOCU_CHR_numSET", "ITM_NULL", "DOCU_ITM_RADIX", "ITM_PERIOD", AR577), ".lo", ),"MNU_", "-MNU_")</f>
        <v>ITM_s</v>
      </c>
      <c r="BD577" s="157" t="str" cm="1">
        <f t="array" ref="BD577">SUBSTITUTE(SUBSTITUTE(_xlfn.SWITCH(AS577, "ITM_T_HOME", "ITM_UP1", "ITM_T_END", "ITM_DOWN1", "DOCU_CHR_sub", "ITM_DOWN_ARROW", "DOCU_CHR_super", "ITM_UP_ARROW", "MNU_TAMALPHA", "ITM_alpha", "DOCU_CHR_caseFLIP", "ITM_NULL", "DOCU_CHR_numSET", "ITM_NULL", "DOCU_ITM_RADIX", "ITM_PERIOD", AS577), ".lo", ),"MNU_", "-MNU_")</f>
        <v>ITM_5</v>
      </c>
      <c r="BE577" s="157" t="str" cm="1">
        <f t="array" ref="BE577">SUBSTITUTE(SUBSTITUTE(_xlfn.SWITCH(AT577, "ITM_T_HOME", "ITM_UP1", "ITM_T_END", "ITM_DOWN1", "DOCU_CHR_sub", "ITM_DOWN_ARROW", "DOCU_CHR_super", "ITM_UP_ARROW", "MNU_TAMALPHA", "ITM_alpha", "DOCU_CHR_caseFLIP", "ITM_NULL", "DOCU_CHR_numSET", "ITM_NULL", "DOCU_ITM_RADIX", "ITM_PERIOD", AT577), ".lo", ),"MNU_", "-MNU_")</f>
        <v>ITM_5</v>
      </c>
      <c r="BG577" s="75"/>
      <c r="BI577" s="13" t="str">
        <f t="shared" si="307"/>
        <v xml:space="preserve">  {63,                  ITM_5,                -MNU_INTS,            -MNU_PARTS,           ITM_5,                ITM_S,                ITM_s,                ITM_5,                ITM_5               },</v>
      </c>
    </row>
    <row r="578" spans="24:61" ht="21" x14ac:dyDescent="0.2">
      <c r="X578" s="141" t="str">
        <f t="shared" si="297"/>
        <v>R47fg_g</v>
      </c>
      <c r="Y578" s="142">
        <v>6</v>
      </c>
      <c r="Z578" s="142">
        <v>4</v>
      </c>
      <c r="AA578" s="144" t="str">
        <f t="shared" si="295"/>
        <v>R47fg_g.64</v>
      </c>
      <c r="AB578" s="148">
        <f t="shared" ref="AB578:AD578" si="354">AB439</f>
        <v>6</v>
      </c>
      <c r="AC578" s="149" t="str">
        <f t="shared" si="354"/>
        <v>[ MATX ]</v>
      </c>
      <c r="AD578" s="150" t="str">
        <f t="shared" si="354"/>
        <v>[ X.FN ]</v>
      </c>
      <c r="AE578" s="3"/>
      <c r="AF578" s="52" t="str">
        <f t="shared" ref="AF578" si="355">AF439</f>
        <v>T</v>
      </c>
      <c r="AG578" s="77" t="b">
        <f t="shared" si="310"/>
        <v>1</v>
      </c>
      <c r="AH578" s="83" t="str">
        <f t="shared" si="299"/>
        <v>t</v>
      </c>
      <c r="AI578" s="84">
        <f t="shared" si="300"/>
        <v>6</v>
      </c>
      <c r="AJ578" s="85">
        <f t="shared" si="301"/>
        <v>6</v>
      </c>
      <c r="AK578" s="6"/>
      <c r="AL578" s="8" t="str">
        <f t="shared" si="302"/>
        <v>{64</v>
      </c>
      <c r="AM578" s="27" t="str">
        <f t="shared" si="303"/>
        <v>ITM_6</v>
      </c>
      <c r="AN578" s="27" t="str">
        <f t="shared" si="304"/>
        <v>MNU_MATX</v>
      </c>
      <c r="AO578" s="27" t="str">
        <f t="shared" si="305"/>
        <v>MNU_XFN</v>
      </c>
      <c r="AP578" s="46" t="str">
        <f>IF(NOT(ISNA(MATCH(AM578,Lookups!E:E,))),VLOOKUP(AM578,Lookups!E:F,2,0),
IF(NOT(ISNA(MATCH(AN578,Lookups!E:E,))),VLOOKUP(AN578,Lookups!E:F,2,0),
IF(NOT(ISNA(MATCH(AO578,Lookups!E:E,))),VLOOKUP(AO578,Lookups!E:F,2,0),"ITM_NULL")))</f>
        <v>ITM_6</v>
      </c>
      <c r="AQ578" s="28" t="str">
        <f t="shared" si="306"/>
        <v>ITM_T</v>
      </c>
      <c r="AR578" s="195" t="s">
        <v>198</v>
      </c>
      <c r="AS578" s="186" t="s">
        <v>209</v>
      </c>
      <c r="AT578" s="197" t="s">
        <v>209</v>
      </c>
      <c r="AW578" s="14" t="str">
        <f t="shared" si="311"/>
        <v>{64</v>
      </c>
      <c r="AX578" s="157" t="str" cm="1">
        <f t="array" ref="AX578">SUBSTITUTE(SUBSTITUTE(_xlfn.SWITCH(AM578, "ITM_T_HOME", "ITM_UP1", "ITM_T_END", "ITM_DOWN1", "DOCU_CHR_sub", "ITM_DOWN_ARROW", "DOCU_CHR_super", "ITM_UP_ARROW", "MNU_TAMALPHA", "ITM_alpha", "DOCU_CHR_caseFLIP", "ITM_NULL", "DOCU_CHR_numSET", "ITM_NULL", "DOCU_ITM_RADIX", "ITM_PERIOD", AM578), ".lo", ),"MNU_", "-MNU_")</f>
        <v>ITM_6</v>
      </c>
      <c r="AY578" s="157" t="str" cm="1">
        <f t="array" ref="AY578">SUBSTITUTE(SUBSTITUTE(_xlfn.SWITCH(AN578, "ITM_T_HOME", "ITM_UP1", "ITM_T_END", "ITM_DOWN1", "DOCU_CHR_sub", "ITM_DOWN_ARROW", "DOCU_CHR_super", "ITM_UP_ARROW", "MNU_TAMALPHA", "ITM_alpha", "DOCU_CHR_caseFLIP", "ITM_NULL", "DOCU_CHR_numSET", "ITM_NULL", "DOCU_ITM_RADIX", "ITM_PERIOD", AN578), ".lo", ),"MNU_", "-MNU_")</f>
        <v>-MNU_MATX</v>
      </c>
      <c r="AZ578" s="157" t="str" cm="1">
        <f t="array" ref="AZ578">SUBSTITUTE(SUBSTITUTE(_xlfn.SWITCH(AO578, "ITM_T_HOME", "ITM_UP1", "ITM_T_END", "ITM_DOWN1", "DOCU_CHR_sub", "ITM_DOWN_ARROW", "DOCU_CHR_super", "ITM_UP_ARROW", "MNU_TAMALPHA", "ITM_alpha", "DOCU_CHR_caseFLIP", "ITM_NULL", "DOCU_CHR_numSET", "ITM_NULL", "DOCU_ITM_RADIX", "ITM_PERIOD", AO578), ".lo", ),"MNU_", "-MNU_")</f>
        <v>-MNU_XFN</v>
      </c>
      <c r="BA578" s="173" t="str" cm="1">
        <f t="array" ref="BA578">SUBSTITUTE(SUBSTITUTE(_xlfn.SWITCH(AP578, "ITM_T_HOME", "ITM_UP1", "ITM_T_END", "ITM_DOWN1", "DOCU_CHR_sub", "ITM_DOWN_ARROW", "DOCU_CHR_super", "ITM_UP_ARROW", "MNU_TAMALPHA", "ITM_alpha", "DOCU_CHR_caseFLIP", "ITM_NULL", "DOCU_CHR_numSET", "ITM_NULL", "DOCU_ITM_RADIX", "ITM_PERIOD", AP578), ".lo", ),"MNU_", "-MNU_")</f>
        <v>ITM_6</v>
      </c>
      <c r="BB578" s="157" t="str" cm="1">
        <f t="array" ref="BB578">SUBSTITUTE(SUBSTITUTE(_xlfn.SWITCH(AQ578, "ITM_T_HOME", "ITM_UP1", "ITM_T_END", "ITM_DOWN1", "DOCU_CHR_sub", "ITM_DOWN_ARROW", "DOCU_CHR_super", "ITM_UP_ARROW", "MNU_TAMALPHA", "ITM_alpha", "DOCU_CHR_caseFLIP", "ITM_NULL", "DOCU_CHR_numSET", "ITM_NULL", "DOCU_ITM_RADIX", "ITM_PERIOD", AQ578), ".lo", ),"MNU_", "-MNU_")</f>
        <v>ITM_T</v>
      </c>
      <c r="BC578" s="157" t="str" cm="1">
        <f t="array" ref="BC578">SUBSTITUTE(SUBSTITUTE(_xlfn.SWITCH(AR578, "ITM_T_HOME", "ITM_UP1", "ITM_T_END", "ITM_DOWN1", "DOCU_CHR_sub", "ITM_DOWN_ARROW", "DOCU_CHR_super", "ITM_UP_ARROW", "MNU_TAMALPHA", "ITM_alpha", "DOCU_CHR_caseFLIP", "ITM_NULL", "DOCU_CHR_numSET", "ITM_NULL", "DOCU_ITM_RADIX", "ITM_PERIOD", AR578), ".lo", ),"MNU_", "-MNU_")</f>
        <v>ITM_t</v>
      </c>
      <c r="BD578" s="157" t="str" cm="1">
        <f t="array" ref="BD578">SUBSTITUTE(SUBSTITUTE(_xlfn.SWITCH(AS578, "ITM_T_HOME", "ITM_UP1", "ITM_T_END", "ITM_DOWN1", "DOCU_CHR_sub", "ITM_DOWN_ARROW", "DOCU_CHR_super", "ITM_UP_ARROW", "MNU_TAMALPHA", "ITM_alpha", "DOCU_CHR_caseFLIP", "ITM_NULL", "DOCU_CHR_numSET", "ITM_NULL", "DOCU_ITM_RADIX", "ITM_PERIOD", AS578), ".lo", ),"MNU_", "-MNU_")</f>
        <v>ITM_6</v>
      </c>
      <c r="BE578" s="157" t="str" cm="1">
        <f t="array" ref="BE578">SUBSTITUTE(SUBSTITUTE(_xlfn.SWITCH(AT578, "ITM_T_HOME", "ITM_UP1", "ITM_T_END", "ITM_DOWN1", "DOCU_CHR_sub", "ITM_DOWN_ARROW", "DOCU_CHR_super", "ITM_UP_ARROW", "MNU_TAMALPHA", "ITM_alpha", "DOCU_CHR_caseFLIP", "ITM_NULL", "DOCU_CHR_numSET", "ITM_NULL", "DOCU_ITM_RADIX", "ITM_PERIOD", AT578), ".lo", ),"MNU_", "-MNU_")</f>
        <v>ITM_6</v>
      </c>
      <c r="BG578" s="75"/>
      <c r="BI578" s="13" t="str">
        <f t="shared" si="307"/>
        <v xml:space="preserve">  {64,                  ITM_6,                -MNU_MATX,            -MNU_XFN,             ITM_6,                ITM_T,                ITM_t,                ITM_6,                ITM_6               },</v>
      </c>
    </row>
    <row r="579" spans="24:61" ht="21" x14ac:dyDescent="0.2">
      <c r="X579" s="141" t="str">
        <f t="shared" si="297"/>
        <v>R47fg_g</v>
      </c>
      <c r="Y579" s="142">
        <v>6</v>
      </c>
      <c r="Z579" s="142">
        <v>5</v>
      </c>
      <c r="AA579" s="144" t="str">
        <f t="shared" si="295"/>
        <v>R47fg_g.65</v>
      </c>
      <c r="AB579" s="153" t="str">
        <f t="shared" ref="AB579:AD579" si="356">AB440</f>
        <v>✕</v>
      </c>
      <c r="AC579" s="149" t="str">
        <f t="shared" si="356"/>
        <v>[ EQN ]</v>
      </c>
      <c r="AD579" s="150" t="str">
        <f t="shared" si="356"/>
        <v>[ ADV ]</v>
      </c>
      <c r="AE579" s="3"/>
      <c r="AF579" s="52" t="str">
        <f t="shared" ref="AF579" si="357">AF440</f>
        <v>U</v>
      </c>
      <c r="AG579" s="77" t="b">
        <f t="shared" si="310"/>
        <v>1</v>
      </c>
      <c r="AH579" s="83" t="str">
        <f t="shared" si="299"/>
        <v>u</v>
      </c>
      <c r="AI579" s="84" t="str">
        <f t="shared" si="300"/>
        <v>✕</v>
      </c>
      <c r="AJ579" s="85" t="str">
        <f t="shared" si="301"/>
        <v>✕</v>
      </c>
      <c r="AK579" s="6"/>
      <c r="AL579" s="8" t="str">
        <f t="shared" si="302"/>
        <v>{65</v>
      </c>
      <c r="AM579" s="27" t="str">
        <f t="shared" si="303"/>
        <v>ITM_MULT</v>
      </c>
      <c r="AN579" s="27" t="str">
        <f t="shared" si="304"/>
        <v>MNU_EQN</v>
      </c>
      <c r="AO579" s="27" t="str">
        <f t="shared" si="305"/>
        <v>MNU_ADV</v>
      </c>
      <c r="AP579" s="46" t="str">
        <f>IF(NOT(ISNA(MATCH(AM579,Lookups!E:E,))),VLOOKUP(AM579,Lookups!E:F,2,0),
IF(NOT(ISNA(MATCH(AN579,Lookups!E:E,))),VLOOKUP(AN579,Lookups!E:F,2,0),
IF(NOT(ISNA(MATCH(AO579,Lookups!E:E,))),VLOOKUP(AO579,Lookups!E:F,2,0),"ITM_NULL")))</f>
        <v>ITM_CROSS</v>
      </c>
      <c r="AQ579" s="28" t="str">
        <f t="shared" si="306"/>
        <v>ITM_U</v>
      </c>
      <c r="AR579" s="195" t="s">
        <v>203</v>
      </c>
      <c r="AS579" s="186" t="s">
        <v>215</v>
      </c>
      <c r="AT579" s="197" t="s">
        <v>216</v>
      </c>
      <c r="AW579" s="14" t="str">
        <f t="shared" si="311"/>
        <v>{65</v>
      </c>
      <c r="AX579" s="157" t="str" cm="1">
        <f t="array" ref="AX579">SUBSTITUTE(SUBSTITUTE(_xlfn.SWITCH(AM579, "ITM_T_HOME", "ITM_UP1", "ITM_T_END", "ITM_DOWN1", "DOCU_CHR_sub", "ITM_DOWN_ARROW", "DOCU_CHR_super", "ITM_UP_ARROW", "MNU_TAMALPHA", "ITM_alpha", "DOCU_CHR_caseFLIP", "ITM_NULL", "DOCU_CHR_numSET", "ITM_NULL", "DOCU_ITM_RADIX", "ITM_PERIOD", AM579), ".lo", ),"MNU_", "-MNU_")</f>
        <v>ITM_MULT</v>
      </c>
      <c r="AY579" s="157" t="str" cm="1">
        <f t="array" ref="AY579">SUBSTITUTE(SUBSTITUTE(_xlfn.SWITCH(AN579, "ITM_T_HOME", "ITM_UP1", "ITM_T_END", "ITM_DOWN1", "DOCU_CHR_sub", "ITM_DOWN_ARROW", "DOCU_CHR_super", "ITM_UP_ARROW", "MNU_TAMALPHA", "ITM_alpha", "DOCU_CHR_caseFLIP", "ITM_NULL", "DOCU_CHR_numSET", "ITM_NULL", "DOCU_ITM_RADIX", "ITM_PERIOD", AN579), ".lo", ),"MNU_", "-MNU_")</f>
        <v>-MNU_EQN</v>
      </c>
      <c r="AZ579" s="157" t="str" cm="1">
        <f t="array" ref="AZ579">SUBSTITUTE(SUBSTITUTE(_xlfn.SWITCH(AO579, "ITM_T_HOME", "ITM_UP1", "ITM_T_END", "ITM_DOWN1", "DOCU_CHR_sub", "ITM_DOWN_ARROW", "DOCU_CHR_super", "ITM_UP_ARROW", "MNU_TAMALPHA", "ITM_alpha", "DOCU_CHR_caseFLIP", "ITM_NULL", "DOCU_CHR_numSET", "ITM_NULL", "DOCU_ITM_RADIX", "ITM_PERIOD", AO579), ".lo", ),"MNU_", "-MNU_")</f>
        <v>-MNU_ADV</v>
      </c>
      <c r="BA579" s="173" t="str" cm="1">
        <f t="array" ref="BA579">SUBSTITUTE(SUBSTITUTE(_xlfn.SWITCH(AP579, "ITM_T_HOME", "ITM_UP1", "ITM_T_END", "ITM_DOWN1", "DOCU_CHR_sub", "ITM_DOWN_ARROW", "DOCU_CHR_super", "ITM_UP_ARROW", "MNU_TAMALPHA", "ITM_alpha", "DOCU_CHR_caseFLIP", "ITM_NULL", "DOCU_CHR_numSET", "ITM_NULL", "DOCU_ITM_RADIX", "ITM_PERIOD", AP579), ".lo", ),"MNU_", "-MNU_")</f>
        <v>ITM_CROSS</v>
      </c>
      <c r="BB579" s="157" t="str" cm="1">
        <f t="array" ref="BB579">SUBSTITUTE(SUBSTITUTE(_xlfn.SWITCH(AQ579, "ITM_T_HOME", "ITM_UP1", "ITM_T_END", "ITM_DOWN1", "DOCU_CHR_sub", "ITM_DOWN_ARROW", "DOCU_CHR_super", "ITM_UP_ARROW", "MNU_TAMALPHA", "ITM_alpha", "DOCU_CHR_caseFLIP", "ITM_NULL", "DOCU_CHR_numSET", "ITM_NULL", "DOCU_ITM_RADIX", "ITM_PERIOD", AQ579), ".lo", ),"MNU_", "-MNU_")</f>
        <v>ITM_U</v>
      </c>
      <c r="BC579" s="157" t="str" cm="1">
        <f t="array" ref="BC579">SUBSTITUTE(SUBSTITUTE(_xlfn.SWITCH(AR579, "ITM_T_HOME", "ITM_UP1", "ITM_T_END", "ITM_DOWN1", "DOCU_CHR_sub", "ITM_DOWN_ARROW", "DOCU_CHR_super", "ITM_UP_ARROW", "MNU_TAMALPHA", "ITM_alpha", "DOCU_CHR_caseFLIP", "ITM_NULL", "DOCU_CHR_numSET", "ITM_NULL", "DOCU_ITM_RADIX", "ITM_PERIOD", AR579), ".lo", ),"MNU_", "-MNU_")</f>
        <v>ITM_u</v>
      </c>
      <c r="BD579" s="157" t="str" cm="1">
        <f t="array" ref="BD579">SUBSTITUTE(SUBSTITUTE(_xlfn.SWITCH(AS579, "ITM_T_HOME", "ITM_UP1", "ITM_T_END", "ITM_DOWN1", "DOCU_CHR_sub", "ITM_DOWN_ARROW", "DOCU_CHR_super", "ITM_UP_ARROW", "MNU_TAMALPHA", "ITM_alpha", "DOCU_CHR_caseFLIP", "ITM_NULL", "DOCU_CHR_numSET", "ITM_NULL", "DOCU_ITM_RADIX", "ITM_PERIOD", AS579), ".lo", ),"MNU_", "-MNU_")</f>
        <v>ITM_CROSS</v>
      </c>
      <c r="BE579" s="157" t="str" cm="1">
        <f t="array" ref="BE579">SUBSTITUTE(SUBSTITUTE(_xlfn.SWITCH(AT579, "ITM_T_HOME", "ITM_UP1", "ITM_T_END", "ITM_DOWN1", "DOCU_CHR_sub", "ITM_DOWN_ARROW", "DOCU_CHR_super", "ITM_UP_ARROW", "MNU_TAMALPHA", "ITM_alpha", "DOCU_CHR_caseFLIP", "ITM_NULL", "DOCU_CHR_numSET", "ITM_NULL", "DOCU_ITM_RADIX", "ITM_PERIOD", AT579), ".lo", ),"MNU_", "-MNU_")</f>
        <v>ITM_MULT</v>
      </c>
      <c r="BG579" s="75"/>
      <c r="BI579" s="13" t="str">
        <f t="shared" si="307"/>
        <v xml:space="preserve">  {65,                  ITM_MULT,             -MNU_EQN,             -MNU_ADV,             ITM_CROSS,            ITM_U,                ITM_u,                ITM_CROSS,            ITM_MULT            },</v>
      </c>
    </row>
    <row r="580" spans="24:61" ht="21" x14ac:dyDescent="0.2">
      <c r="X580" s="141" t="str">
        <f t="shared" si="297"/>
        <v>R47fg_g</v>
      </c>
      <c r="Y580" s="138">
        <v>7</v>
      </c>
      <c r="Z580" s="138">
        <v>1</v>
      </c>
      <c r="AA580" s="144" t="str">
        <f t="shared" si="295"/>
        <v>R47fg_g.71</v>
      </c>
      <c r="AB580" s="148" t="str">
        <f t="shared" ref="AB580:AD580" si="358">AB441</f>
        <v>Dn</v>
      </c>
      <c r="AC580" s="149" t="str">
        <f t="shared" si="358"/>
        <v>Scroll Dn</v>
      </c>
      <c r="AD580" s="150" t="str">
        <f t="shared" si="358"/>
        <v>FLGS</v>
      </c>
      <c r="AE580" s="3"/>
      <c r="AF580" s="52" t="str">
        <f t="shared" ref="AF580" si="359">AF441</f>
        <v>END-&gt;</v>
      </c>
      <c r="AG580" s="77" t="b">
        <f t="shared" si="310"/>
        <v>0</v>
      </c>
      <c r="AH580" s="83" t="str">
        <f t="shared" si="299"/>
        <v>CASE DN</v>
      </c>
      <c r="AI580" s="84" t="str">
        <f t="shared" si="300"/>
        <v>Sub</v>
      </c>
      <c r="AJ580" s="85" t="str">
        <f t="shared" si="301"/>
        <v>Dn</v>
      </c>
      <c r="AK580" s="6"/>
      <c r="AL580" s="8" t="str">
        <f t="shared" si="302"/>
        <v>{71</v>
      </c>
      <c r="AM580" s="27" t="str">
        <f t="shared" si="303"/>
        <v>ITM_DOWN1</v>
      </c>
      <c r="AN580" s="27" t="str">
        <f t="shared" si="304"/>
        <v>ITM_SST</v>
      </c>
      <c r="AO580" s="27" t="str">
        <f t="shared" si="305"/>
        <v>ITM_FLGSV</v>
      </c>
      <c r="AP580" s="46" t="str">
        <f>IF(NOT(ISNA(MATCH(AM580,Lookups!E:E,))),VLOOKUP(AM580,Lookups!E:F,2,0),
IF(NOT(ISNA(MATCH(AN580,Lookups!E:E,))),VLOOKUP(AN580,Lookups!E:F,2,0),
IF(NOT(ISNA(MATCH(AO580,Lookups!E:E,))),VLOOKUP(AO580,Lookups!E:F,2,0),"ITM_NULL")))</f>
        <v>ITM_DOWN1</v>
      </c>
      <c r="AQ580" s="28" t="str">
        <f>VLOOKUP(AF580,labelitem,2,0)</f>
        <v>ITM_T_END</v>
      </c>
      <c r="AR580" s="198" t="s">
        <v>192</v>
      </c>
      <c r="AS580" s="186" t="s">
        <v>193</v>
      </c>
      <c r="AT580" s="197" t="s">
        <v>194</v>
      </c>
      <c r="AW580" s="14" t="str">
        <f t="shared" si="311"/>
        <v>{71</v>
      </c>
      <c r="AX580" s="157" t="str" cm="1">
        <f t="array" ref="AX580">SUBSTITUTE(SUBSTITUTE(_xlfn.SWITCH(AM580, "ITM_T_HOME", "ITM_UP1", "ITM_T_END", "ITM_DOWN1", "DOCU_CHR_sub", "ITM_DOWN_ARROW", "DOCU_CHR_super", "ITM_UP_ARROW", "MNU_TAMALPHA", "ITM_alpha", "DOCU_CHR_caseFLIP", "ITM_NULL", "DOCU_CHR_numSET", "ITM_NULL", "DOCU_ITM_RADIX", "ITM_PERIOD", AM580), ".lo", ),"MNU_", "-MNU_")</f>
        <v>ITM_DOWN1</v>
      </c>
      <c r="AY580" s="157" t="str" cm="1">
        <f t="array" ref="AY580">SUBSTITUTE(SUBSTITUTE(_xlfn.SWITCH(AN580, "ITM_T_HOME", "ITM_UP1", "ITM_T_END", "ITM_DOWN1", "DOCU_CHR_sub", "ITM_DOWN_ARROW", "DOCU_CHR_super", "ITM_UP_ARROW", "MNU_TAMALPHA", "ITM_alpha", "DOCU_CHR_caseFLIP", "ITM_NULL", "DOCU_CHR_numSET", "ITM_NULL", "DOCU_ITM_RADIX", "ITM_PERIOD", AN580), ".lo", ),"MNU_", "-MNU_")</f>
        <v>ITM_SST</v>
      </c>
      <c r="AZ580" s="157" t="str" cm="1">
        <f t="array" ref="AZ580">SUBSTITUTE(SUBSTITUTE(_xlfn.SWITCH(AO580, "ITM_T_HOME", "ITM_UP1", "ITM_T_END", "ITM_DOWN1", "DOCU_CHR_sub", "ITM_DOWN_ARROW", "DOCU_CHR_super", "ITM_UP_ARROW", "MNU_TAMALPHA", "ITM_alpha", "DOCU_CHR_caseFLIP", "ITM_NULL", "DOCU_CHR_numSET", "ITM_NULL", "DOCU_ITM_RADIX", "ITM_PERIOD", AO580), ".lo", ),"MNU_", "-MNU_")</f>
        <v>ITM_FLGSV</v>
      </c>
      <c r="BA580" s="173" t="str" cm="1">
        <f t="array" ref="BA580">SUBSTITUTE(SUBSTITUTE(_xlfn.SWITCH(AP580, "ITM_T_HOME", "ITM_UP1", "ITM_T_END", "ITM_DOWN1", "DOCU_CHR_sub", "ITM_DOWN_ARROW", "DOCU_CHR_super", "ITM_UP_ARROW", "MNU_TAMALPHA", "ITM_alpha", "DOCU_CHR_caseFLIP", "ITM_NULL", "DOCU_CHR_numSET", "ITM_NULL", "DOCU_ITM_RADIX", "ITM_PERIOD", AP580), ".lo", ),"MNU_", "-MNU_")</f>
        <v>ITM_DOWN1</v>
      </c>
      <c r="BB580" s="157" t="str" cm="1">
        <f t="array" ref="BB580">SUBSTITUTE(SUBSTITUTE(_xlfn.SWITCH(AQ580, "ITM_T_HOME", "ITM_UP1", "ITM_T_END", "ITM_DOWN1", "DOCU_CHR_sub", "ITM_DOWN_ARROW", "DOCU_CHR_super", "ITM_UP_ARROW", "MNU_TAMALPHA", "ITM_alpha", "DOCU_CHR_caseFLIP", "ITM_NULL", "DOCU_CHR_numSET", "ITM_NULL", "DOCU_ITM_RADIX", "ITM_PERIOD", AQ580), ".lo", ),"MNU_", "-MNU_")</f>
        <v>ITM_DOWN1</v>
      </c>
      <c r="BC580" s="157" t="str" cm="1">
        <f t="array" ref="BC580">SUBSTITUTE(SUBSTITUTE(_xlfn.SWITCH(AR580, "ITM_T_HOME", "ITM_UP1", "ITM_T_END", "ITM_DOWN1", "DOCU_CHR_sub", "ITM_DOWN_ARROW", "DOCU_CHR_super", "ITM_UP_ARROW", "MNU_TAMALPHA", "ITM_alpha", "DOCU_CHR_caseFLIP", "ITM_NULL", "DOCU_CHR_numSET", "ITM_NULL", "DOCU_ITM_RADIX", "ITM_PERIOD", AR580), ".lo", ),"MNU_", "-MNU_")</f>
        <v>CHR_caseDN</v>
      </c>
      <c r="BD580" s="157" t="str" cm="1">
        <f t="array" ref="BD580">SUBSTITUTE(SUBSTITUTE(_xlfn.SWITCH(AS580, "ITM_T_HOME", "ITM_UP1", "ITM_T_END", "ITM_DOWN1", "DOCU_CHR_sub", "ITM_DOWN_ARROW", "DOCU_CHR_super", "ITM_UP_ARROW", "MNU_TAMALPHA", "ITM_alpha", "DOCU_CHR_caseFLIP", "ITM_NULL", "DOCU_CHR_numSET", "ITM_NULL", "DOCU_ITM_RADIX", "ITM_PERIOD", AS580), ".lo", ),"MNU_", "-MNU_")</f>
        <v>ITM_DOWN_ARROW</v>
      </c>
      <c r="BE580" s="157" t="str" cm="1">
        <f t="array" ref="BE580">SUBSTITUTE(SUBSTITUTE(_xlfn.SWITCH(AT580, "ITM_T_HOME", "ITM_UP1", "ITM_T_END", "ITM_DOWN1", "DOCU_CHR_sub", "ITM_DOWN_ARROW", "DOCU_CHR_super", "ITM_UP_ARROW", "MNU_TAMALPHA", "ITM_alpha", "DOCU_CHR_caseFLIP", "ITM_NULL", "DOCU_CHR_numSET", "ITM_NULL", "DOCU_ITM_RADIX", "ITM_PERIOD", AT580), ".lo", ),"MNU_", "-MNU_")</f>
        <v>ITM_DOWN1</v>
      </c>
      <c r="BG580" s="75"/>
      <c r="BI580" s="13" t="str">
        <f t="shared" si="307"/>
        <v xml:space="preserve">  {71,                  ITM_DOWN1,            ITM_SST,              ITM_FLGSV,            ITM_DOWN1,            ITM_DOWN1,            CHR_caseDN,           ITM_DOWN_ARROW,       ITM_DOWN1           },</v>
      </c>
    </row>
    <row r="581" spans="24:61" ht="21" x14ac:dyDescent="0.2">
      <c r="X581" s="141" t="str">
        <f t="shared" si="297"/>
        <v>R47fg_g</v>
      </c>
      <c r="Y581" s="142">
        <v>7</v>
      </c>
      <c r="Z581" s="142">
        <v>2</v>
      </c>
      <c r="AA581" s="144" t="str">
        <f t="shared" si="295"/>
        <v>R47fg_g.72</v>
      </c>
      <c r="AB581" s="148">
        <f t="shared" ref="AB581:AD581" si="360">AB442</f>
        <v>1</v>
      </c>
      <c r="AC581" s="149" t="str">
        <f t="shared" si="360"/>
        <v>[ SETUP ]</v>
      </c>
      <c r="AD581" s="150" t="str">
        <f t="shared" si="360"/>
        <v>[ KEYS ]</v>
      </c>
      <c r="AE581" s="3"/>
      <c r="AF581" s="52" t="str">
        <f t="shared" ref="AF581" si="361">AF442</f>
        <v>V</v>
      </c>
      <c r="AG581" s="77" t="b">
        <f t="shared" si="310"/>
        <v>1</v>
      </c>
      <c r="AH581" s="83" t="str">
        <f t="shared" si="299"/>
        <v>v</v>
      </c>
      <c r="AI581" s="84">
        <f t="shared" si="300"/>
        <v>1</v>
      </c>
      <c r="AJ581" s="85">
        <f t="shared" si="301"/>
        <v>1</v>
      </c>
      <c r="AK581" s="6"/>
      <c r="AL581" s="8" t="str">
        <f t="shared" si="302"/>
        <v>{72</v>
      </c>
      <c r="AM581" s="27" t="str">
        <f t="shared" si="303"/>
        <v>ITM_1</v>
      </c>
      <c r="AN581" s="27" t="str">
        <f t="shared" si="304"/>
        <v>MNU_SETUP</v>
      </c>
      <c r="AO581" s="27" t="str">
        <f t="shared" si="305"/>
        <v>MNU_KEYS</v>
      </c>
      <c r="AP581" s="46" t="str">
        <f>IF(NOT(ISNA(MATCH(AM581,Lookups!E:E,))),VLOOKUP(AM581,Lookups!E:F,2,0),
IF(NOT(ISNA(MATCH(AN581,Lookups!E:E,))),VLOOKUP(AN581,Lookups!E:F,2,0),
IF(NOT(ISNA(MATCH(AO581,Lookups!E:E,))),VLOOKUP(AO581,Lookups!E:F,2,0),"ITM_NULL")))</f>
        <v>ITM_1</v>
      </c>
      <c r="AQ581" s="28" t="str">
        <f t="shared" ref="AQ581:AQ589" si="362">VLOOKUP(AF581,labelitem,2,0)</f>
        <v>ITM_V</v>
      </c>
      <c r="AR581" s="195" t="s">
        <v>208</v>
      </c>
      <c r="AS581" s="186" t="s">
        <v>226</v>
      </c>
      <c r="AT581" s="197" t="s">
        <v>226</v>
      </c>
      <c r="AW581" s="14" t="str">
        <f t="shared" si="311"/>
        <v>{72</v>
      </c>
      <c r="AX581" s="157" t="str" cm="1">
        <f t="array" ref="AX581">SUBSTITUTE(SUBSTITUTE(_xlfn.SWITCH(AM581, "ITM_T_HOME", "ITM_UP1", "ITM_T_END", "ITM_DOWN1", "DOCU_CHR_sub", "ITM_DOWN_ARROW", "DOCU_CHR_super", "ITM_UP_ARROW", "MNU_TAMALPHA", "ITM_alpha", "DOCU_CHR_caseFLIP", "ITM_NULL", "DOCU_CHR_numSET", "ITM_NULL", "DOCU_ITM_RADIX", "ITM_PERIOD", AM581), ".lo", ),"MNU_", "-MNU_")</f>
        <v>ITM_1</v>
      </c>
      <c r="AY581" s="157" t="str" cm="1">
        <f t="array" ref="AY581">SUBSTITUTE(SUBSTITUTE(_xlfn.SWITCH(AN581, "ITM_T_HOME", "ITM_UP1", "ITM_T_END", "ITM_DOWN1", "DOCU_CHR_sub", "ITM_DOWN_ARROW", "DOCU_CHR_super", "ITM_UP_ARROW", "MNU_TAMALPHA", "ITM_alpha", "DOCU_CHR_caseFLIP", "ITM_NULL", "DOCU_CHR_numSET", "ITM_NULL", "DOCU_ITM_RADIX", "ITM_PERIOD", AN581), ".lo", ),"MNU_", "-MNU_")</f>
        <v>-MNU_SETUP</v>
      </c>
      <c r="AZ581" s="157" t="str" cm="1">
        <f t="array" ref="AZ581">SUBSTITUTE(SUBSTITUTE(_xlfn.SWITCH(AO581, "ITM_T_HOME", "ITM_UP1", "ITM_T_END", "ITM_DOWN1", "DOCU_CHR_sub", "ITM_DOWN_ARROW", "DOCU_CHR_super", "ITM_UP_ARROW", "MNU_TAMALPHA", "ITM_alpha", "DOCU_CHR_caseFLIP", "ITM_NULL", "DOCU_CHR_numSET", "ITM_NULL", "DOCU_ITM_RADIX", "ITM_PERIOD", AO581), ".lo", ),"MNU_", "-MNU_")</f>
        <v>-MNU_KEYS</v>
      </c>
      <c r="BA581" s="173" t="str" cm="1">
        <f t="array" ref="BA581">SUBSTITUTE(SUBSTITUTE(_xlfn.SWITCH(AP581, "ITM_T_HOME", "ITM_UP1", "ITM_T_END", "ITM_DOWN1", "DOCU_CHR_sub", "ITM_DOWN_ARROW", "DOCU_CHR_super", "ITM_UP_ARROW", "MNU_TAMALPHA", "ITM_alpha", "DOCU_CHR_caseFLIP", "ITM_NULL", "DOCU_CHR_numSET", "ITM_NULL", "DOCU_ITM_RADIX", "ITM_PERIOD", AP581), ".lo", ),"MNU_", "-MNU_")</f>
        <v>ITM_1</v>
      </c>
      <c r="BB581" s="157" t="str" cm="1">
        <f t="array" ref="BB581">SUBSTITUTE(SUBSTITUTE(_xlfn.SWITCH(AQ581, "ITM_T_HOME", "ITM_UP1", "ITM_T_END", "ITM_DOWN1", "DOCU_CHR_sub", "ITM_DOWN_ARROW", "DOCU_CHR_super", "ITM_UP_ARROW", "MNU_TAMALPHA", "ITM_alpha", "DOCU_CHR_caseFLIP", "ITM_NULL", "DOCU_CHR_numSET", "ITM_NULL", "DOCU_ITM_RADIX", "ITM_PERIOD", AQ581), ".lo", ),"MNU_", "-MNU_")</f>
        <v>ITM_V</v>
      </c>
      <c r="BC581" s="157" t="str" cm="1">
        <f t="array" ref="BC581">SUBSTITUTE(SUBSTITUTE(_xlfn.SWITCH(AR581, "ITM_T_HOME", "ITM_UP1", "ITM_T_END", "ITM_DOWN1", "DOCU_CHR_sub", "ITM_DOWN_ARROW", "DOCU_CHR_super", "ITM_UP_ARROW", "MNU_TAMALPHA", "ITM_alpha", "DOCU_CHR_caseFLIP", "ITM_NULL", "DOCU_CHR_numSET", "ITM_NULL", "DOCU_ITM_RADIX", "ITM_PERIOD", AR581), ".lo", ),"MNU_", "-MNU_")</f>
        <v>ITM_v</v>
      </c>
      <c r="BD581" s="157" t="str" cm="1">
        <f t="array" ref="BD581">SUBSTITUTE(SUBSTITUTE(_xlfn.SWITCH(AS581, "ITM_T_HOME", "ITM_UP1", "ITM_T_END", "ITM_DOWN1", "DOCU_CHR_sub", "ITM_DOWN_ARROW", "DOCU_CHR_super", "ITM_UP_ARROW", "MNU_TAMALPHA", "ITM_alpha", "DOCU_CHR_caseFLIP", "ITM_NULL", "DOCU_CHR_numSET", "ITM_NULL", "DOCU_ITM_RADIX", "ITM_PERIOD", AS581), ".lo", ),"MNU_", "-MNU_")</f>
        <v>ITM_1</v>
      </c>
      <c r="BE581" s="157" t="str" cm="1">
        <f t="array" ref="BE581">SUBSTITUTE(SUBSTITUTE(_xlfn.SWITCH(AT581, "ITM_T_HOME", "ITM_UP1", "ITM_T_END", "ITM_DOWN1", "DOCU_CHR_sub", "ITM_DOWN_ARROW", "DOCU_CHR_super", "ITM_UP_ARROW", "MNU_TAMALPHA", "ITM_alpha", "DOCU_CHR_caseFLIP", "ITM_NULL", "DOCU_CHR_numSET", "ITM_NULL", "DOCU_ITM_RADIX", "ITM_PERIOD", AT581), ".lo", ),"MNU_", "-MNU_")</f>
        <v>ITM_1</v>
      </c>
      <c r="BG581" s="75"/>
      <c r="BI581" s="13" t="str">
        <f t="shared" si="307"/>
        <v xml:space="preserve">  {72,                  ITM_1,                -MNU_SETUP,           -MNU_KEYS,            ITM_1,                ITM_V,                ITM_v,                ITM_1,                ITM_1               },</v>
      </c>
    </row>
    <row r="582" spans="24:61" ht="21" x14ac:dyDescent="0.2">
      <c r="X582" s="141" t="str">
        <f t="shared" si="297"/>
        <v>R47fg_g</v>
      </c>
      <c r="Y582" s="142">
        <v>7</v>
      </c>
      <c r="Z582" s="142">
        <v>3</v>
      </c>
      <c r="AA582" s="144" t="str">
        <f t="shared" si="295"/>
        <v>R47fg_g.73</v>
      </c>
      <c r="AB582" s="148">
        <f t="shared" ref="AB582:AD582" si="363">AB443</f>
        <v>2</v>
      </c>
      <c r="AC582" s="152" t="str">
        <f t="shared" si="363"/>
        <v>[ CONV ]</v>
      </c>
      <c r="AD582" s="119" t="str">
        <f t="shared" si="363"/>
        <v>[ CLK ]</v>
      </c>
      <c r="AE582" s="3"/>
      <c r="AF582" s="52" t="str">
        <f t="shared" ref="AF582" si="364">AF443</f>
        <v>W</v>
      </c>
      <c r="AG582" s="77" t="b">
        <f t="shared" si="310"/>
        <v>1</v>
      </c>
      <c r="AH582" s="83" t="str">
        <f t="shared" si="299"/>
        <v>w</v>
      </c>
      <c r="AI582" s="84">
        <f t="shared" si="300"/>
        <v>2</v>
      </c>
      <c r="AJ582" s="85">
        <f t="shared" si="301"/>
        <v>2</v>
      </c>
      <c r="AK582" s="6"/>
      <c r="AL582" s="8" t="str">
        <f t="shared" si="302"/>
        <v>{73</v>
      </c>
      <c r="AM582" s="27" t="str">
        <f t="shared" si="303"/>
        <v>ITM_2</v>
      </c>
      <c r="AN582" s="27" t="str">
        <f t="shared" si="304"/>
        <v>MNU_UNITCONV</v>
      </c>
      <c r="AO582" s="27" t="str">
        <f t="shared" si="305"/>
        <v>MNU_CLK</v>
      </c>
      <c r="AP582" s="46" t="str">
        <f>IF(NOT(ISNA(MATCH(AM582,Lookups!E:E,))),VLOOKUP(AM582,Lookups!E:F,2,0),
IF(NOT(ISNA(MATCH(AN582,Lookups!E:E,))),VLOOKUP(AN582,Lookups!E:F,2,0),
IF(NOT(ISNA(MATCH(AO582,Lookups!E:E,))),VLOOKUP(AO582,Lookups!E:F,2,0),"ITM_NULL")))</f>
        <v>ITM_2</v>
      </c>
      <c r="AQ582" s="28" t="str">
        <f t="shared" si="362"/>
        <v>ITM_W</v>
      </c>
      <c r="AR582" s="195" t="s">
        <v>214</v>
      </c>
      <c r="AS582" s="186" t="s">
        <v>230</v>
      </c>
      <c r="AT582" s="197" t="s">
        <v>230</v>
      </c>
      <c r="AW582" s="14" t="str">
        <f t="shared" si="311"/>
        <v>{73</v>
      </c>
      <c r="AX582" s="157" t="str" cm="1">
        <f t="array" ref="AX582">SUBSTITUTE(SUBSTITUTE(_xlfn.SWITCH(AM582, "ITM_T_HOME", "ITM_UP1", "ITM_T_END", "ITM_DOWN1", "DOCU_CHR_sub", "ITM_DOWN_ARROW", "DOCU_CHR_super", "ITM_UP_ARROW", "MNU_TAMALPHA", "ITM_alpha", "DOCU_CHR_caseFLIP", "ITM_NULL", "DOCU_CHR_numSET", "ITM_NULL", "DOCU_ITM_RADIX", "ITM_PERIOD", AM582), ".lo", ),"MNU_", "-MNU_")</f>
        <v>ITM_2</v>
      </c>
      <c r="AY582" s="157" t="str" cm="1">
        <f t="array" ref="AY582">SUBSTITUTE(SUBSTITUTE(_xlfn.SWITCH(AN582, "ITM_T_HOME", "ITM_UP1", "ITM_T_END", "ITM_DOWN1", "DOCU_CHR_sub", "ITM_DOWN_ARROW", "DOCU_CHR_super", "ITM_UP_ARROW", "MNU_TAMALPHA", "ITM_alpha", "DOCU_CHR_caseFLIP", "ITM_NULL", "DOCU_CHR_numSET", "ITM_NULL", "DOCU_ITM_RADIX", "ITM_PERIOD", AN582), ".lo", ),"MNU_", "-MNU_")</f>
        <v>-MNU_UNITCONV</v>
      </c>
      <c r="AZ582" s="157" t="str" cm="1">
        <f t="array" ref="AZ582">SUBSTITUTE(SUBSTITUTE(_xlfn.SWITCH(AO582, "ITM_T_HOME", "ITM_UP1", "ITM_T_END", "ITM_DOWN1", "DOCU_CHR_sub", "ITM_DOWN_ARROW", "DOCU_CHR_super", "ITM_UP_ARROW", "MNU_TAMALPHA", "ITM_alpha", "DOCU_CHR_caseFLIP", "ITM_NULL", "DOCU_CHR_numSET", "ITM_NULL", "DOCU_ITM_RADIX", "ITM_PERIOD", AO582), ".lo", ),"MNU_", "-MNU_")</f>
        <v>-MNU_CLK</v>
      </c>
      <c r="BA582" s="173" t="str" cm="1">
        <f t="array" ref="BA582">SUBSTITUTE(SUBSTITUTE(_xlfn.SWITCH(AP582, "ITM_T_HOME", "ITM_UP1", "ITM_T_END", "ITM_DOWN1", "DOCU_CHR_sub", "ITM_DOWN_ARROW", "DOCU_CHR_super", "ITM_UP_ARROW", "MNU_TAMALPHA", "ITM_alpha", "DOCU_CHR_caseFLIP", "ITM_NULL", "DOCU_CHR_numSET", "ITM_NULL", "DOCU_ITM_RADIX", "ITM_PERIOD", AP582), ".lo", ),"MNU_", "-MNU_")</f>
        <v>ITM_2</v>
      </c>
      <c r="BB582" s="157" t="str" cm="1">
        <f t="array" ref="BB582">SUBSTITUTE(SUBSTITUTE(_xlfn.SWITCH(AQ582, "ITM_T_HOME", "ITM_UP1", "ITM_T_END", "ITM_DOWN1", "DOCU_CHR_sub", "ITM_DOWN_ARROW", "DOCU_CHR_super", "ITM_UP_ARROW", "MNU_TAMALPHA", "ITM_alpha", "DOCU_CHR_caseFLIP", "ITM_NULL", "DOCU_CHR_numSET", "ITM_NULL", "DOCU_ITM_RADIX", "ITM_PERIOD", AQ582), ".lo", ),"MNU_", "-MNU_")</f>
        <v>ITM_W</v>
      </c>
      <c r="BC582" s="157" t="str" cm="1">
        <f t="array" ref="BC582">SUBSTITUTE(SUBSTITUTE(_xlfn.SWITCH(AR582, "ITM_T_HOME", "ITM_UP1", "ITM_T_END", "ITM_DOWN1", "DOCU_CHR_sub", "ITM_DOWN_ARROW", "DOCU_CHR_super", "ITM_UP_ARROW", "MNU_TAMALPHA", "ITM_alpha", "DOCU_CHR_caseFLIP", "ITM_NULL", "DOCU_CHR_numSET", "ITM_NULL", "DOCU_ITM_RADIX", "ITM_PERIOD", AR582), ".lo", ),"MNU_", "-MNU_")</f>
        <v>ITM_w</v>
      </c>
      <c r="BD582" s="157" t="str" cm="1">
        <f t="array" ref="BD582">SUBSTITUTE(SUBSTITUTE(_xlfn.SWITCH(AS582, "ITM_T_HOME", "ITM_UP1", "ITM_T_END", "ITM_DOWN1", "DOCU_CHR_sub", "ITM_DOWN_ARROW", "DOCU_CHR_super", "ITM_UP_ARROW", "MNU_TAMALPHA", "ITM_alpha", "DOCU_CHR_caseFLIP", "ITM_NULL", "DOCU_CHR_numSET", "ITM_NULL", "DOCU_ITM_RADIX", "ITM_PERIOD", AS582), ".lo", ),"MNU_", "-MNU_")</f>
        <v>ITM_2</v>
      </c>
      <c r="BE582" s="157" t="str" cm="1">
        <f t="array" ref="BE582">SUBSTITUTE(SUBSTITUTE(_xlfn.SWITCH(AT582, "ITM_T_HOME", "ITM_UP1", "ITM_T_END", "ITM_DOWN1", "DOCU_CHR_sub", "ITM_DOWN_ARROW", "DOCU_CHR_super", "ITM_UP_ARROW", "MNU_TAMALPHA", "ITM_alpha", "DOCU_CHR_caseFLIP", "ITM_NULL", "DOCU_CHR_numSET", "ITM_NULL", "DOCU_ITM_RADIX", "ITM_PERIOD", AT582), ".lo", ),"MNU_", "-MNU_")</f>
        <v>ITM_2</v>
      </c>
      <c r="BG582" s="75"/>
      <c r="BI582" s="13" t="str">
        <f t="shared" si="307"/>
        <v xml:space="preserve">  {73,                  ITM_2,                -MNU_UNITCONV,        -MNU_CLK,             ITM_2,                ITM_W,                ITM_w,                ITM_2,                ITM_2               },</v>
      </c>
    </row>
    <row r="583" spans="24:61" ht="21" x14ac:dyDescent="0.2">
      <c r="X583" s="141" t="str">
        <f t="shared" si="297"/>
        <v>R47fg_g</v>
      </c>
      <c r="Y583" s="142">
        <v>7</v>
      </c>
      <c r="Z583" s="142">
        <v>4</v>
      </c>
      <c r="AA583" s="144" t="str">
        <f t="shared" si="295"/>
        <v>R47fg_g.74</v>
      </c>
      <c r="AB583" s="148">
        <f t="shared" ref="AB583:AD583" si="365">AB444</f>
        <v>3</v>
      </c>
      <c r="AC583" s="149" t="str">
        <f t="shared" si="365"/>
        <v>[ FLAG ]</v>
      </c>
      <c r="AD583" s="150" t="str">
        <f t="shared" si="365"/>
        <v>[ a.FN ]</v>
      </c>
      <c r="AE583" s="3"/>
      <c r="AF583" s="52" t="str">
        <f t="shared" ref="AF583" si="366">AF444</f>
        <v>X</v>
      </c>
      <c r="AG583" s="77" t="b">
        <f t="shared" si="310"/>
        <v>1</v>
      </c>
      <c r="AH583" s="83" t="str">
        <f t="shared" si="299"/>
        <v>x</v>
      </c>
      <c r="AI583" s="84">
        <f t="shared" si="300"/>
        <v>3</v>
      </c>
      <c r="AJ583" s="85">
        <f t="shared" si="301"/>
        <v>3</v>
      </c>
      <c r="AK583" s="6"/>
      <c r="AL583" s="8" t="str">
        <f t="shared" si="302"/>
        <v>{74</v>
      </c>
      <c r="AM583" s="27" t="str">
        <f t="shared" si="303"/>
        <v>ITM_3</v>
      </c>
      <c r="AN583" s="27" t="str">
        <f t="shared" si="304"/>
        <v>MNU_FLAGS</v>
      </c>
      <c r="AO583" s="27" t="str">
        <f t="shared" si="305"/>
        <v>MNU_ALPHAFN</v>
      </c>
      <c r="AP583" s="46" t="str">
        <f>IF(NOT(ISNA(MATCH(AM583,Lookups!E:E,))),VLOOKUP(AM583,Lookups!E:F,2,0),
IF(NOT(ISNA(MATCH(AN583,Lookups!E:E,))),VLOOKUP(AN583,Lookups!E:F,2,0),
IF(NOT(ISNA(MATCH(AO583,Lookups!E:E,))),VLOOKUP(AO583,Lookups!E:F,2,0),"ITM_NULL")))</f>
        <v>ITM_3</v>
      </c>
      <c r="AQ583" s="28" t="str">
        <f t="shared" si="362"/>
        <v>ITM_X</v>
      </c>
      <c r="AR583" s="195" t="s">
        <v>225</v>
      </c>
      <c r="AS583" s="186" t="s">
        <v>235</v>
      </c>
      <c r="AT583" s="197" t="s">
        <v>235</v>
      </c>
      <c r="AW583" s="14" t="str">
        <f t="shared" si="311"/>
        <v>{74</v>
      </c>
      <c r="AX583" s="157" t="str" cm="1">
        <f t="array" ref="AX583">SUBSTITUTE(SUBSTITUTE(_xlfn.SWITCH(AM583, "ITM_T_HOME", "ITM_UP1", "ITM_T_END", "ITM_DOWN1", "DOCU_CHR_sub", "ITM_DOWN_ARROW", "DOCU_CHR_super", "ITM_UP_ARROW", "MNU_TAMALPHA", "ITM_alpha", "DOCU_CHR_caseFLIP", "ITM_NULL", "DOCU_CHR_numSET", "ITM_NULL", "DOCU_ITM_RADIX", "ITM_PERIOD", AM583), ".lo", ),"MNU_", "-MNU_")</f>
        <v>ITM_3</v>
      </c>
      <c r="AY583" s="157" t="str" cm="1">
        <f t="array" ref="AY583">SUBSTITUTE(SUBSTITUTE(_xlfn.SWITCH(AN583, "ITM_T_HOME", "ITM_UP1", "ITM_T_END", "ITM_DOWN1", "DOCU_CHR_sub", "ITM_DOWN_ARROW", "DOCU_CHR_super", "ITM_UP_ARROW", "MNU_TAMALPHA", "ITM_alpha", "DOCU_CHR_caseFLIP", "ITM_NULL", "DOCU_CHR_numSET", "ITM_NULL", "DOCU_ITM_RADIX", "ITM_PERIOD", AN583), ".lo", ),"MNU_", "-MNU_")</f>
        <v>-MNU_FLAGS</v>
      </c>
      <c r="AZ583" s="157" t="str" cm="1">
        <f t="array" ref="AZ583">SUBSTITUTE(SUBSTITUTE(_xlfn.SWITCH(AO583, "ITM_T_HOME", "ITM_UP1", "ITM_T_END", "ITM_DOWN1", "DOCU_CHR_sub", "ITM_DOWN_ARROW", "DOCU_CHR_super", "ITM_UP_ARROW", "MNU_TAMALPHA", "ITM_alpha", "DOCU_CHR_caseFLIP", "ITM_NULL", "DOCU_CHR_numSET", "ITM_NULL", "DOCU_ITM_RADIX", "ITM_PERIOD", AO583), ".lo", ),"MNU_", "-MNU_")</f>
        <v>-MNU_ALPHAFN</v>
      </c>
      <c r="BA583" s="173" t="str" cm="1">
        <f t="array" ref="BA583">SUBSTITUTE(SUBSTITUTE(_xlfn.SWITCH(AP583, "ITM_T_HOME", "ITM_UP1", "ITM_T_END", "ITM_DOWN1", "DOCU_CHR_sub", "ITM_DOWN_ARROW", "DOCU_CHR_super", "ITM_UP_ARROW", "MNU_TAMALPHA", "ITM_alpha", "DOCU_CHR_caseFLIP", "ITM_NULL", "DOCU_CHR_numSET", "ITM_NULL", "DOCU_ITM_RADIX", "ITM_PERIOD", AP583), ".lo", ),"MNU_", "-MNU_")</f>
        <v>ITM_3</v>
      </c>
      <c r="BB583" s="157" t="str" cm="1">
        <f t="array" ref="BB583">SUBSTITUTE(SUBSTITUTE(_xlfn.SWITCH(AQ583, "ITM_T_HOME", "ITM_UP1", "ITM_T_END", "ITM_DOWN1", "DOCU_CHR_sub", "ITM_DOWN_ARROW", "DOCU_CHR_super", "ITM_UP_ARROW", "MNU_TAMALPHA", "ITM_alpha", "DOCU_CHR_caseFLIP", "ITM_NULL", "DOCU_CHR_numSET", "ITM_NULL", "DOCU_ITM_RADIX", "ITM_PERIOD", AQ583), ".lo", ),"MNU_", "-MNU_")</f>
        <v>ITM_X</v>
      </c>
      <c r="BC583" s="157" t="str" cm="1">
        <f t="array" ref="BC583">SUBSTITUTE(SUBSTITUTE(_xlfn.SWITCH(AR583, "ITM_T_HOME", "ITM_UP1", "ITM_T_END", "ITM_DOWN1", "DOCU_CHR_sub", "ITM_DOWN_ARROW", "DOCU_CHR_super", "ITM_UP_ARROW", "MNU_TAMALPHA", "ITM_alpha", "DOCU_CHR_caseFLIP", "ITM_NULL", "DOCU_CHR_numSET", "ITM_NULL", "DOCU_ITM_RADIX", "ITM_PERIOD", AR583), ".lo", ),"MNU_", "-MNU_")</f>
        <v>ITM_x</v>
      </c>
      <c r="BD583" s="157" t="str" cm="1">
        <f t="array" ref="BD583">SUBSTITUTE(SUBSTITUTE(_xlfn.SWITCH(AS583, "ITM_T_HOME", "ITM_UP1", "ITM_T_END", "ITM_DOWN1", "DOCU_CHR_sub", "ITM_DOWN_ARROW", "DOCU_CHR_super", "ITM_UP_ARROW", "MNU_TAMALPHA", "ITM_alpha", "DOCU_CHR_caseFLIP", "ITM_NULL", "DOCU_CHR_numSET", "ITM_NULL", "DOCU_ITM_RADIX", "ITM_PERIOD", AS583), ".lo", ),"MNU_", "-MNU_")</f>
        <v>ITM_3</v>
      </c>
      <c r="BE583" s="157" t="str" cm="1">
        <f t="array" ref="BE583">SUBSTITUTE(SUBSTITUTE(_xlfn.SWITCH(AT583, "ITM_T_HOME", "ITM_UP1", "ITM_T_END", "ITM_DOWN1", "DOCU_CHR_sub", "ITM_DOWN_ARROW", "DOCU_CHR_super", "ITM_UP_ARROW", "MNU_TAMALPHA", "ITM_alpha", "DOCU_CHR_caseFLIP", "ITM_NULL", "DOCU_CHR_numSET", "ITM_NULL", "DOCU_ITM_RADIX", "ITM_PERIOD", AT583), ".lo", ),"MNU_", "-MNU_")</f>
        <v>ITM_3</v>
      </c>
      <c r="BG583" s="75"/>
      <c r="BI583" s="13" t="str">
        <f t="shared" si="307"/>
        <v xml:space="preserve">  {74,                  ITM_3,                -MNU_FLAGS,           -MNU_ALPHAFN,         ITM_3,                ITM_X,                ITM_x,                ITM_3,                ITM_3               },</v>
      </c>
    </row>
    <row r="584" spans="24:61" ht="21" x14ac:dyDescent="0.2">
      <c r="X584" s="141" t="str">
        <f t="shared" si="297"/>
        <v>R47fg_g</v>
      </c>
      <c r="Y584" s="142">
        <v>7</v>
      </c>
      <c r="Z584" s="142">
        <v>5</v>
      </c>
      <c r="AA584" s="144" t="str">
        <f t="shared" si="295"/>
        <v>R47fg_g.75</v>
      </c>
      <c r="AB584" s="148" t="str">
        <f t="shared" ref="AB584:AD584" si="367">AB445</f>
        <v>-</v>
      </c>
      <c r="AC584" s="149" t="str">
        <f t="shared" si="367"/>
        <v>[ PROB ]</v>
      </c>
      <c r="AD584" s="150" t="str">
        <f t="shared" si="367"/>
        <v>[ FIN ]</v>
      </c>
      <c r="AE584" s="3"/>
      <c r="AF584" s="52" t="str">
        <f t="shared" ref="AF584" si="368">AF445</f>
        <v>Y</v>
      </c>
      <c r="AG584" s="77" t="b">
        <f t="shared" si="310"/>
        <v>1</v>
      </c>
      <c r="AH584" s="83" t="str">
        <f t="shared" si="299"/>
        <v>y</v>
      </c>
      <c r="AI584" s="84" t="str">
        <f t="shared" si="300"/>
        <v>-</v>
      </c>
      <c r="AJ584" s="85" t="str">
        <f t="shared" si="301"/>
        <v>-</v>
      </c>
      <c r="AK584" s="6"/>
      <c r="AL584" s="8" t="str">
        <f t="shared" si="302"/>
        <v>{75</v>
      </c>
      <c r="AM584" s="27" t="str">
        <f t="shared" si="303"/>
        <v>ITM_SUB</v>
      </c>
      <c r="AN584" s="27" t="str">
        <f t="shared" si="304"/>
        <v>MNU_PROB</v>
      </c>
      <c r="AO584" s="27" t="str">
        <f t="shared" si="305"/>
        <v>MNU_FIN</v>
      </c>
      <c r="AP584" s="46" t="str">
        <f>IF(NOT(ISNA(MATCH(AM584,Lookups!E:E,))),VLOOKUP(AM584,Lookups!E:F,2,0),
IF(NOT(ISNA(MATCH(AN584,Lookups!E:E,))),VLOOKUP(AN584,Lookups!E:F,2,0),
IF(NOT(ISNA(MATCH(AO584,Lookups!E:E,))),VLOOKUP(AO584,Lookups!E:F,2,0),"ITM_NULL")))</f>
        <v>ITM_MINUS</v>
      </c>
      <c r="AQ584" s="28" t="str">
        <f t="shared" si="362"/>
        <v>ITM_Y</v>
      </c>
      <c r="AR584" s="195" t="s">
        <v>229</v>
      </c>
      <c r="AS584" s="186" t="s">
        <v>240</v>
      </c>
      <c r="AT584" s="197" t="s">
        <v>241</v>
      </c>
      <c r="AW584" s="14" t="str">
        <f t="shared" si="311"/>
        <v>{75</v>
      </c>
      <c r="AX584" s="157" t="str" cm="1">
        <f t="array" ref="AX584">SUBSTITUTE(SUBSTITUTE(_xlfn.SWITCH(AM584, "ITM_T_HOME", "ITM_UP1", "ITM_T_END", "ITM_DOWN1", "DOCU_CHR_sub", "ITM_DOWN_ARROW", "DOCU_CHR_super", "ITM_UP_ARROW", "MNU_TAMALPHA", "ITM_alpha", "DOCU_CHR_caseFLIP", "ITM_NULL", "DOCU_CHR_numSET", "ITM_NULL", "DOCU_ITM_RADIX", "ITM_PERIOD", AM584), ".lo", ),"MNU_", "-MNU_")</f>
        <v>ITM_SUB</v>
      </c>
      <c r="AY584" s="157" t="str" cm="1">
        <f t="array" ref="AY584">SUBSTITUTE(SUBSTITUTE(_xlfn.SWITCH(AN584, "ITM_T_HOME", "ITM_UP1", "ITM_T_END", "ITM_DOWN1", "DOCU_CHR_sub", "ITM_DOWN_ARROW", "DOCU_CHR_super", "ITM_UP_ARROW", "MNU_TAMALPHA", "ITM_alpha", "DOCU_CHR_caseFLIP", "ITM_NULL", "DOCU_CHR_numSET", "ITM_NULL", "DOCU_ITM_RADIX", "ITM_PERIOD", AN584), ".lo", ),"MNU_", "-MNU_")</f>
        <v>-MNU_PROB</v>
      </c>
      <c r="AZ584" s="157" t="str" cm="1">
        <f t="array" ref="AZ584">SUBSTITUTE(SUBSTITUTE(_xlfn.SWITCH(AO584, "ITM_T_HOME", "ITM_UP1", "ITM_T_END", "ITM_DOWN1", "DOCU_CHR_sub", "ITM_DOWN_ARROW", "DOCU_CHR_super", "ITM_UP_ARROW", "MNU_TAMALPHA", "ITM_alpha", "DOCU_CHR_caseFLIP", "ITM_NULL", "DOCU_CHR_numSET", "ITM_NULL", "DOCU_ITM_RADIX", "ITM_PERIOD", AO584), ".lo", ),"MNU_", "-MNU_")</f>
        <v>-MNU_FIN</v>
      </c>
      <c r="BA584" s="173" t="str" cm="1">
        <f t="array" ref="BA584">SUBSTITUTE(SUBSTITUTE(_xlfn.SWITCH(AP584, "ITM_T_HOME", "ITM_UP1", "ITM_T_END", "ITM_DOWN1", "DOCU_CHR_sub", "ITM_DOWN_ARROW", "DOCU_CHR_super", "ITM_UP_ARROW", "MNU_TAMALPHA", "ITM_alpha", "DOCU_CHR_caseFLIP", "ITM_NULL", "DOCU_CHR_numSET", "ITM_NULL", "DOCU_ITM_RADIX", "ITM_PERIOD", AP584), ".lo", ),"MNU_", "-MNU_")</f>
        <v>ITM_MINUS</v>
      </c>
      <c r="BB584" s="157" t="str" cm="1">
        <f t="array" ref="BB584">SUBSTITUTE(SUBSTITUTE(_xlfn.SWITCH(AQ584, "ITM_T_HOME", "ITM_UP1", "ITM_T_END", "ITM_DOWN1", "DOCU_CHR_sub", "ITM_DOWN_ARROW", "DOCU_CHR_super", "ITM_UP_ARROW", "MNU_TAMALPHA", "ITM_alpha", "DOCU_CHR_caseFLIP", "ITM_NULL", "DOCU_CHR_numSET", "ITM_NULL", "DOCU_ITM_RADIX", "ITM_PERIOD", AQ584), ".lo", ),"MNU_", "-MNU_")</f>
        <v>ITM_Y</v>
      </c>
      <c r="BC584" s="157" t="str" cm="1">
        <f t="array" ref="BC584">SUBSTITUTE(SUBSTITUTE(_xlfn.SWITCH(AR584, "ITM_T_HOME", "ITM_UP1", "ITM_T_END", "ITM_DOWN1", "DOCU_CHR_sub", "ITM_DOWN_ARROW", "DOCU_CHR_super", "ITM_UP_ARROW", "MNU_TAMALPHA", "ITM_alpha", "DOCU_CHR_caseFLIP", "ITM_NULL", "DOCU_CHR_numSET", "ITM_NULL", "DOCU_ITM_RADIX", "ITM_PERIOD", AR584), ".lo", ),"MNU_", "-MNU_")</f>
        <v>ITM_y</v>
      </c>
      <c r="BD584" s="157" t="str" cm="1">
        <f t="array" ref="BD584">SUBSTITUTE(SUBSTITUTE(_xlfn.SWITCH(AS584, "ITM_T_HOME", "ITM_UP1", "ITM_T_END", "ITM_DOWN1", "DOCU_CHR_sub", "ITM_DOWN_ARROW", "DOCU_CHR_super", "ITM_UP_ARROW", "MNU_TAMALPHA", "ITM_alpha", "DOCU_CHR_caseFLIP", "ITM_NULL", "DOCU_CHR_numSET", "ITM_NULL", "DOCU_ITM_RADIX", "ITM_PERIOD", AS584), ".lo", ),"MNU_", "-MNU_")</f>
        <v>ITM_MINUS</v>
      </c>
      <c r="BE584" s="157" t="str" cm="1">
        <f t="array" ref="BE584">SUBSTITUTE(SUBSTITUTE(_xlfn.SWITCH(AT584, "ITM_T_HOME", "ITM_UP1", "ITM_T_END", "ITM_DOWN1", "DOCU_CHR_sub", "ITM_DOWN_ARROW", "DOCU_CHR_super", "ITM_UP_ARROW", "MNU_TAMALPHA", "ITM_alpha", "DOCU_CHR_caseFLIP", "ITM_NULL", "DOCU_CHR_numSET", "ITM_NULL", "DOCU_ITM_RADIX", "ITM_PERIOD", AT584), ".lo", ),"MNU_", "-MNU_")</f>
        <v>ITM_SUB</v>
      </c>
      <c r="BG584" s="75"/>
      <c r="BI584" s="13" t="str">
        <f t="shared" si="307"/>
        <v xml:space="preserve">  {75,                  ITM_SUB,              -MNU_PROB,            -MNU_FIN,             ITM_MINUS,            ITM_Y,                ITM_y,                ITM_MINUS,            ITM_SUB             },</v>
      </c>
    </row>
    <row r="585" spans="24:61" ht="21" x14ac:dyDescent="0.2">
      <c r="X585" s="141" t="str">
        <f t="shared" si="297"/>
        <v>R47fg_g</v>
      </c>
      <c r="Y585" s="138">
        <v>8</v>
      </c>
      <c r="Z585" s="138">
        <v>1</v>
      </c>
      <c r="AA585" s="144" t="str">
        <f t="shared" si="295"/>
        <v>R47fg_g.81</v>
      </c>
      <c r="AB585" s="148" t="str">
        <f t="shared" ref="AB585:AD585" si="369">AB446</f>
        <v>EXIT</v>
      </c>
      <c r="AC585" s="149" t="str">
        <f t="shared" si="369"/>
        <v>OFF</v>
      </c>
      <c r="AD585" s="150" t="str">
        <f t="shared" si="369"/>
        <v>SNAP</v>
      </c>
      <c r="AE585" s="3"/>
      <c r="AF585" s="52" t="str">
        <f t="shared" ref="AF585" si="370">AF446</f>
        <v>EXIT</v>
      </c>
      <c r="AG585" s="77" t="b">
        <f t="shared" si="310"/>
        <v>0</v>
      </c>
      <c r="AH585" s="83" t="str">
        <f t="shared" si="299"/>
        <v>OFF</v>
      </c>
      <c r="AI585" s="84" t="str">
        <f t="shared" si="300"/>
        <v>SNAP</v>
      </c>
      <c r="AJ585" s="85" t="str">
        <f t="shared" si="301"/>
        <v>EXIT</v>
      </c>
      <c r="AK585" s="6"/>
      <c r="AL585" s="8" t="str">
        <f t="shared" si="302"/>
        <v>{81</v>
      </c>
      <c r="AM585" s="27" t="str">
        <f t="shared" si="303"/>
        <v>ITM_EXIT1</v>
      </c>
      <c r="AN585" s="27" t="str">
        <f t="shared" si="304"/>
        <v>ITM_OFF</v>
      </c>
      <c r="AO585" s="27" t="str">
        <f t="shared" si="305"/>
        <v>ITM_SNAP</v>
      </c>
      <c r="AP585" s="46" t="str">
        <f>IF(NOT(ISNA(MATCH(AM585,Lookups!E:E,))),VLOOKUP(AM585,Lookups!E:F,2,0),
IF(NOT(ISNA(MATCH(AN585,Lookups!E:E,))),VLOOKUP(AN585,Lookups!E:F,2,0),
IF(NOT(ISNA(MATCH(AO585,Lookups!E:E,))),VLOOKUP(AO585,Lookups!E:F,2,0),"ITM_NULL")))</f>
        <v>ITM_EXIT1</v>
      </c>
      <c r="AQ585" s="28" t="str">
        <f t="shared" si="362"/>
        <v>ITM_EXIT1</v>
      </c>
      <c r="AR585" s="198" t="s">
        <v>245</v>
      </c>
      <c r="AS585" s="186" t="s">
        <v>246</v>
      </c>
      <c r="AT585" s="197" t="s">
        <v>247</v>
      </c>
      <c r="AW585" s="14" t="str">
        <f t="shared" si="311"/>
        <v>{81</v>
      </c>
      <c r="AX585" s="157" t="str" cm="1">
        <f t="array" ref="AX585">SUBSTITUTE(SUBSTITUTE(_xlfn.SWITCH(AM585, "ITM_T_HOME", "ITM_UP1", "ITM_T_END", "ITM_DOWN1", "DOCU_CHR_sub", "ITM_DOWN_ARROW", "DOCU_CHR_super", "ITM_UP_ARROW", "MNU_TAMALPHA", "ITM_alpha", "DOCU_CHR_caseFLIP", "ITM_NULL", "DOCU_CHR_numSET", "ITM_NULL", "DOCU_ITM_RADIX", "ITM_PERIOD", AM585), ".lo", ),"MNU_", "-MNU_")</f>
        <v>ITM_EXIT1</v>
      </c>
      <c r="AY585" s="157" t="str" cm="1">
        <f t="array" ref="AY585">SUBSTITUTE(SUBSTITUTE(_xlfn.SWITCH(AN585, "ITM_T_HOME", "ITM_UP1", "ITM_T_END", "ITM_DOWN1", "DOCU_CHR_sub", "ITM_DOWN_ARROW", "DOCU_CHR_super", "ITM_UP_ARROW", "MNU_TAMALPHA", "ITM_alpha", "DOCU_CHR_caseFLIP", "ITM_NULL", "DOCU_CHR_numSET", "ITM_NULL", "DOCU_ITM_RADIX", "ITM_PERIOD", AN585), ".lo", ),"MNU_", "-MNU_")</f>
        <v>ITM_OFF</v>
      </c>
      <c r="AZ585" s="157" t="str" cm="1">
        <f t="array" ref="AZ585">SUBSTITUTE(SUBSTITUTE(_xlfn.SWITCH(AO585, "ITM_T_HOME", "ITM_UP1", "ITM_T_END", "ITM_DOWN1", "DOCU_CHR_sub", "ITM_DOWN_ARROW", "DOCU_CHR_super", "ITM_UP_ARROW", "MNU_TAMALPHA", "ITM_alpha", "DOCU_CHR_caseFLIP", "ITM_NULL", "DOCU_CHR_numSET", "ITM_NULL", "DOCU_ITM_RADIX", "ITM_PERIOD", AO585), ".lo", ),"MNU_", "-MNU_")</f>
        <v>ITM_SNAP</v>
      </c>
      <c r="BA585" s="173" t="str" cm="1">
        <f t="array" ref="BA585">SUBSTITUTE(SUBSTITUTE(_xlfn.SWITCH(AP585, "ITM_T_HOME", "ITM_UP1", "ITM_T_END", "ITM_DOWN1", "DOCU_CHR_sub", "ITM_DOWN_ARROW", "DOCU_CHR_super", "ITM_UP_ARROW", "MNU_TAMALPHA", "ITM_alpha", "DOCU_CHR_caseFLIP", "ITM_NULL", "DOCU_CHR_numSET", "ITM_NULL", "DOCU_ITM_RADIX", "ITM_PERIOD", AP585), ".lo", ),"MNU_", "-MNU_")</f>
        <v>ITM_EXIT1</v>
      </c>
      <c r="BB585" s="157" t="str" cm="1">
        <f t="array" ref="BB585">SUBSTITUTE(SUBSTITUTE(_xlfn.SWITCH(AQ585, "ITM_T_HOME", "ITM_UP1", "ITM_T_END", "ITM_DOWN1", "DOCU_CHR_sub", "ITM_DOWN_ARROW", "DOCU_CHR_super", "ITM_UP_ARROW", "MNU_TAMALPHA", "ITM_alpha", "DOCU_CHR_caseFLIP", "ITM_NULL", "DOCU_CHR_numSET", "ITM_NULL", "DOCU_ITM_RADIX", "ITM_PERIOD", AQ585), ".lo", ),"MNU_", "-MNU_")</f>
        <v>ITM_EXIT1</v>
      </c>
      <c r="BC585" s="157" t="str" cm="1">
        <f t="array" ref="BC585">SUBSTITUTE(SUBSTITUTE(_xlfn.SWITCH(AR585, "ITM_T_HOME", "ITM_UP1", "ITM_T_END", "ITM_DOWN1", "DOCU_CHR_sub", "ITM_DOWN_ARROW", "DOCU_CHR_super", "ITM_UP_ARROW", "MNU_TAMALPHA", "ITM_alpha", "DOCU_CHR_caseFLIP", "ITM_NULL", "DOCU_CHR_numSET", "ITM_NULL", "DOCU_ITM_RADIX", "ITM_PERIOD", AR585), ".lo", ),"MNU_", "-MNU_")</f>
        <v>ITM_OFF</v>
      </c>
      <c r="BD585" s="157" t="str" cm="1">
        <f t="array" ref="BD585">SUBSTITUTE(SUBSTITUTE(_xlfn.SWITCH(AS585, "ITM_T_HOME", "ITM_UP1", "ITM_T_END", "ITM_DOWN1", "DOCU_CHR_sub", "ITM_DOWN_ARROW", "DOCU_CHR_super", "ITM_UP_ARROW", "MNU_TAMALPHA", "ITM_alpha", "DOCU_CHR_caseFLIP", "ITM_NULL", "DOCU_CHR_numSET", "ITM_NULL", "DOCU_ITM_RADIX", "ITM_PERIOD", AS585), ".lo", ),"MNU_", "-MNU_")</f>
        <v>ITM_SNAP</v>
      </c>
      <c r="BE585" s="157" t="str" cm="1">
        <f t="array" ref="BE585">SUBSTITUTE(SUBSTITUTE(_xlfn.SWITCH(AT585, "ITM_T_HOME", "ITM_UP1", "ITM_T_END", "ITM_DOWN1", "DOCU_CHR_sub", "ITM_DOWN_ARROW", "DOCU_CHR_super", "ITM_UP_ARROW", "MNU_TAMALPHA", "ITM_alpha", "DOCU_CHR_caseFLIP", "ITM_NULL", "DOCU_CHR_numSET", "ITM_NULL", "DOCU_ITM_RADIX", "ITM_PERIOD", AT585), ".lo", ),"MNU_", "-MNU_")</f>
        <v>ITM_EXIT1</v>
      </c>
      <c r="BG585" s="75"/>
      <c r="BI585" s="13" t="str">
        <f t="shared" si="307"/>
        <v xml:space="preserve">  {81,                  ITM_EXIT1,            ITM_OFF,              ITM_SNAP,             ITM_EXIT1,            ITM_EXIT1,            ITM_OFF,              ITM_SNAP,             ITM_EXIT1           },</v>
      </c>
    </row>
    <row r="586" spans="24:61" ht="21" x14ac:dyDescent="0.2">
      <c r="X586" s="141" t="str">
        <f t="shared" si="297"/>
        <v>R47fg_g</v>
      </c>
      <c r="Y586" s="142">
        <v>8</v>
      </c>
      <c r="Z586" s="142">
        <v>2</v>
      </c>
      <c r="AA586" s="144" t="str">
        <f t="shared" si="295"/>
        <v>R47fg_g.82</v>
      </c>
      <c r="AB586" s="148">
        <f t="shared" ref="AB586:AD586" si="371">AB447</f>
        <v>0</v>
      </c>
      <c r="AC586" s="149" t="str">
        <f t="shared" si="371"/>
        <v>VIEW</v>
      </c>
      <c r="AD586" s="150" t="str">
        <f t="shared" si="371"/>
        <v>[ I/O ]</v>
      </c>
      <c r="AE586" s="3"/>
      <c r="AF586" s="52" t="str">
        <f t="shared" ref="AF586" si="372">AF447</f>
        <v>Z</v>
      </c>
      <c r="AG586" s="77" t="b">
        <f t="shared" si="310"/>
        <v>1</v>
      </c>
      <c r="AH586" s="83" t="str">
        <f t="shared" si="299"/>
        <v>z</v>
      </c>
      <c r="AI586" s="84">
        <f t="shared" si="300"/>
        <v>0</v>
      </c>
      <c r="AJ586" s="85">
        <f t="shared" si="301"/>
        <v>0</v>
      </c>
      <c r="AK586" s="6"/>
      <c r="AL586" s="8" t="str">
        <f t="shared" si="302"/>
        <v>{82</v>
      </c>
      <c r="AM586" s="27" t="str">
        <f t="shared" si="303"/>
        <v>ITM_0</v>
      </c>
      <c r="AN586" s="27" t="str">
        <f t="shared" si="304"/>
        <v>ITM_VIEW</v>
      </c>
      <c r="AO586" s="27" t="str">
        <f t="shared" si="305"/>
        <v>MNU_IO</v>
      </c>
      <c r="AP586" s="46" t="str">
        <f>IF(NOT(ISNA(MATCH(AM586,Lookups!E:E,))),VLOOKUP(AM586,Lookups!E:F,2,0),
IF(NOT(ISNA(MATCH(AN586,Lookups!E:E,))),VLOOKUP(AN586,Lookups!E:F,2,0),
IF(NOT(ISNA(MATCH(AO586,Lookups!E:E,))),VLOOKUP(AO586,Lookups!E:F,2,0),"ITM_NULL")))</f>
        <v>ITM_0</v>
      </c>
      <c r="AQ586" s="28" t="str">
        <f t="shared" si="362"/>
        <v>ITM_Z</v>
      </c>
      <c r="AR586" s="195" t="s">
        <v>234</v>
      </c>
      <c r="AS586" s="186" t="s">
        <v>252</v>
      </c>
      <c r="AT586" s="197" t="s">
        <v>252</v>
      </c>
      <c r="AW586" s="14" t="str">
        <f t="shared" si="311"/>
        <v>{82</v>
      </c>
      <c r="AX586" s="157" t="str" cm="1">
        <f t="array" ref="AX586">SUBSTITUTE(SUBSTITUTE(_xlfn.SWITCH(AM586, "ITM_T_HOME", "ITM_UP1", "ITM_T_END", "ITM_DOWN1", "DOCU_CHR_sub", "ITM_DOWN_ARROW", "DOCU_CHR_super", "ITM_UP_ARROW", "MNU_TAMALPHA", "ITM_alpha", "DOCU_CHR_caseFLIP", "ITM_NULL", "DOCU_CHR_numSET", "ITM_NULL", "DOCU_ITM_RADIX", "ITM_PERIOD", AM586), ".lo", ),"MNU_", "-MNU_")</f>
        <v>ITM_0</v>
      </c>
      <c r="AY586" s="157" t="str" cm="1">
        <f t="array" ref="AY586">SUBSTITUTE(SUBSTITUTE(_xlfn.SWITCH(AN586, "ITM_T_HOME", "ITM_UP1", "ITM_T_END", "ITM_DOWN1", "DOCU_CHR_sub", "ITM_DOWN_ARROW", "DOCU_CHR_super", "ITM_UP_ARROW", "MNU_TAMALPHA", "ITM_alpha", "DOCU_CHR_caseFLIP", "ITM_NULL", "DOCU_CHR_numSET", "ITM_NULL", "DOCU_ITM_RADIX", "ITM_PERIOD", AN586), ".lo", ),"MNU_", "-MNU_")</f>
        <v>ITM_VIEW</v>
      </c>
      <c r="AZ586" s="157" t="str" cm="1">
        <f t="array" ref="AZ586">SUBSTITUTE(SUBSTITUTE(_xlfn.SWITCH(AO586, "ITM_T_HOME", "ITM_UP1", "ITM_T_END", "ITM_DOWN1", "DOCU_CHR_sub", "ITM_DOWN_ARROW", "DOCU_CHR_super", "ITM_UP_ARROW", "MNU_TAMALPHA", "ITM_alpha", "DOCU_CHR_caseFLIP", "ITM_NULL", "DOCU_CHR_numSET", "ITM_NULL", "DOCU_ITM_RADIX", "ITM_PERIOD", AO586), ".lo", ),"MNU_", "-MNU_")</f>
        <v>-MNU_IO</v>
      </c>
      <c r="BA586" s="173" t="str" cm="1">
        <f t="array" ref="BA586">SUBSTITUTE(SUBSTITUTE(_xlfn.SWITCH(AP586, "ITM_T_HOME", "ITM_UP1", "ITM_T_END", "ITM_DOWN1", "DOCU_CHR_sub", "ITM_DOWN_ARROW", "DOCU_CHR_super", "ITM_UP_ARROW", "MNU_TAMALPHA", "ITM_alpha", "DOCU_CHR_caseFLIP", "ITM_NULL", "DOCU_CHR_numSET", "ITM_NULL", "DOCU_ITM_RADIX", "ITM_PERIOD", AP586), ".lo", ),"MNU_", "-MNU_")</f>
        <v>ITM_0</v>
      </c>
      <c r="BB586" s="157" t="str" cm="1">
        <f t="array" ref="BB586">SUBSTITUTE(SUBSTITUTE(_xlfn.SWITCH(AQ586, "ITM_T_HOME", "ITM_UP1", "ITM_T_END", "ITM_DOWN1", "DOCU_CHR_sub", "ITM_DOWN_ARROW", "DOCU_CHR_super", "ITM_UP_ARROW", "MNU_TAMALPHA", "ITM_alpha", "DOCU_CHR_caseFLIP", "ITM_NULL", "DOCU_CHR_numSET", "ITM_NULL", "DOCU_ITM_RADIX", "ITM_PERIOD", AQ586), ".lo", ),"MNU_", "-MNU_")</f>
        <v>ITM_Z</v>
      </c>
      <c r="BC586" s="157" t="str" cm="1">
        <f t="array" ref="BC586">SUBSTITUTE(SUBSTITUTE(_xlfn.SWITCH(AR586, "ITM_T_HOME", "ITM_UP1", "ITM_T_END", "ITM_DOWN1", "DOCU_CHR_sub", "ITM_DOWN_ARROW", "DOCU_CHR_super", "ITM_UP_ARROW", "MNU_TAMALPHA", "ITM_alpha", "DOCU_CHR_caseFLIP", "ITM_NULL", "DOCU_CHR_numSET", "ITM_NULL", "DOCU_ITM_RADIX", "ITM_PERIOD", AR586), ".lo", ),"MNU_", "-MNU_")</f>
        <v>ITM_z</v>
      </c>
      <c r="BD586" s="157" t="str" cm="1">
        <f t="array" ref="BD586">SUBSTITUTE(SUBSTITUTE(_xlfn.SWITCH(AS586, "ITM_T_HOME", "ITM_UP1", "ITM_T_END", "ITM_DOWN1", "DOCU_CHR_sub", "ITM_DOWN_ARROW", "DOCU_CHR_super", "ITM_UP_ARROW", "MNU_TAMALPHA", "ITM_alpha", "DOCU_CHR_caseFLIP", "ITM_NULL", "DOCU_CHR_numSET", "ITM_NULL", "DOCU_ITM_RADIX", "ITM_PERIOD", AS586), ".lo", ),"MNU_", "-MNU_")</f>
        <v>ITM_0</v>
      </c>
      <c r="BE586" s="157" t="str" cm="1">
        <f t="array" ref="BE586">SUBSTITUTE(SUBSTITUTE(_xlfn.SWITCH(AT586, "ITM_T_HOME", "ITM_UP1", "ITM_T_END", "ITM_DOWN1", "DOCU_CHR_sub", "ITM_DOWN_ARROW", "DOCU_CHR_super", "ITM_UP_ARROW", "MNU_TAMALPHA", "ITM_alpha", "DOCU_CHR_caseFLIP", "ITM_NULL", "DOCU_CHR_numSET", "ITM_NULL", "DOCU_ITM_RADIX", "ITM_PERIOD", AT586), ".lo", ),"MNU_", "-MNU_")</f>
        <v>ITM_0</v>
      </c>
      <c r="BG586" s="75"/>
      <c r="BI586" s="13" t="str">
        <f t="shared" si="307"/>
        <v xml:space="preserve">  {82,                  ITM_0,                ITM_VIEW,             -MNU_IO,              ITM_0,                ITM_Z,                ITM_z,                ITM_0,                ITM_0               },</v>
      </c>
    </row>
    <row r="587" spans="24:61" ht="21" x14ac:dyDescent="0.2">
      <c r="X587" s="141" t="str">
        <f t="shared" si="297"/>
        <v>R47fg_g</v>
      </c>
      <c r="Y587" s="142">
        <v>8</v>
      </c>
      <c r="Z587" s="142">
        <v>3</v>
      </c>
      <c r="AA587" s="144" t="str">
        <f t="shared" si="295"/>
        <v>R47fg_g.83</v>
      </c>
      <c r="AB587" s="117" t="str">
        <f t="shared" ref="AB587:AD587" si="373">AB448</f>
        <v>•</v>
      </c>
      <c r="AC587" s="149" t="str">
        <f t="shared" si="373"/>
        <v>SHOW</v>
      </c>
      <c r="AD587" s="150" t="str">
        <f t="shared" si="373"/>
        <v>a b/c</v>
      </c>
      <c r="AE587" s="3"/>
      <c r="AF587" s="52" t="str">
        <f t="shared" ref="AF587" si="374">AF448</f>
        <v>,</v>
      </c>
      <c r="AG587" s="77" t="b">
        <f t="shared" si="310"/>
        <v>0</v>
      </c>
      <c r="AH587" s="83" t="str">
        <f t="shared" si="299"/>
        <v>;</v>
      </c>
      <c r="AI587" s="84" t="str">
        <f t="shared" si="300"/>
        <v>.</v>
      </c>
      <c r="AJ587" s="85" t="str">
        <f t="shared" si="301"/>
        <v>.</v>
      </c>
      <c r="AK587" s="6"/>
      <c r="AL587" s="8" t="str">
        <f t="shared" si="302"/>
        <v>{83</v>
      </c>
      <c r="AM587" s="27" t="str">
        <f t="shared" si="303"/>
        <v>DOCU_ITM_RADIX</v>
      </c>
      <c r="AN587" s="27" t="str">
        <f t="shared" si="304"/>
        <v>ITM_SHOW</v>
      </c>
      <c r="AO587" s="27" t="str">
        <f t="shared" si="305"/>
        <v>ITM_TGLFRT</v>
      </c>
      <c r="AP587" s="46" t="str">
        <f>IF(NOT(ISNA(MATCH(AM587,Lookups!E:E,))),VLOOKUP(AM587,Lookups!E:F,2,0),
IF(NOT(ISNA(MATCH(AN587,Lookups!E:E,))),VLOOKUP(AN587,Lookups!E:F,2,0),
IF(NOT(ISNA(MATCH(AO587,Lookups!E:E,))),VLOOKUP(AO587,Lookups!E:F,2,0),"ITM_NULL")))</f>
        <v>ITM_PERIOD</v>
      </c>
      <c r="AQ587" s="28" t="str">
        <f t="shared" si="362"/>
        <v>ITM_COMMA</v>
      </c>
      <c r="AR587" s="213" t="s">
        <v>251</v>
      </c>
      <c r="AS587" s="207" t="s">
        <v>257</v>
      </c>
      <c r="AT587" s="197" t="s">
        <v>257</v>
      </c>
      <c r="AW587" s="14" t="str">
        <f t="shared" si="311"/>
        <v>{83</v>
      </c>
      <c r="AX587" s="157" t="str" cm="1">
        <f t="array" ref="AX587">SUBSTITUTE(SUBSTITUTE(_xlfn.SWITCH(AM587, "ITM_T_HOME", "ITM_UP1", "ITM_T_END", "ITM_DOWN1", "DOCU_CHR_sub", "ITM_DOWN_ARROW", "DOCU_CHR_super", "ITM_UP_ARROW", "MNU_TAMALPHA", "ITM_alpha", "DOCU_CHR_caseFLIP", "ITM_NULL", "DOCU_CHR_numSET", "ITM_NULL", "DOCU_ITM_RADIX", "ITM_PERIOD", AM587), ".lo", ),"MNU_", "-MNU_")</f>
        <v>ITM_PERIOD</v>
      </c>
      <c r="AY587" s="157" t="str" cm="1">
        <f t="array" ref="AY587">SUBSTITUTE(SUBSTITUTE(_xlfn.SWITCH(AN587, "ITM_T_HOME", "ITM_UP1", "ITM_T_END", "ITM_DOWN1", "DOCU_CHR_sub", "ITM_DOWN_ARROW", "DOCU_CHR_super", "ITM_UP_ARROW", "MNU_TAMALPHA", "ITM_alpha", "DOCU_CHR_caseFLIP", "ITM_NULL", "DOCU_CHR_numSET", "ITM_NULL", "DOCU_ITM_RADIX", "ITM_PERIOD", AN587), ".lo", ),"MNU_", "-MNU_")</f>
        <v>ITM_SHOW</v>
      </c>
      <c r="AZ587" s="157" t="str" cm="1">
        <f t="array" ref="AZ587">SUBSTITUTE(SUBSTITUTE(_xlfn.SWITCH(AO587, "ITM_T_HOME", "ITM_UP1", "ITM_T_END", "ITM_DOWN1", "DOCU_CHR_sub", "ITM_DOWN_ARROW", "DOCU_CHR_super", "ITM_UP_ARROW", "MNU_TAMALPHA", "ITM_alpha", "DOCU_CHR_caseFLIP", "ITM_NULL", "DOCU_CHR_numSET", "ITM_NULL", "DOCU_ITM_RADIX", "ITM_PERIOD", AO587), ".lo", ),"MNU_", "-MNU_")</f>
        <v>ITM_TGLFRT</v>
      </c>
      <c r="BA587" s="173" t="str" cm="1">
        <f t="array" ref="BA587">SUBSTITUTE(SUBSTITUTE(_xlfn.SWITCH(AP587, "ITM_T_HOME", "ITM_UP1", "ITM_T_END", "ITM_DOWN1", "DOCU_CHR_sub", "ITM_DOWN_ARROW", "DOCU_CHR_super", "ITM_UP_ARROW", "MNU_TAMALPHA", "ITM_alpha", "DOCU_CHR_caseFLIP", "ITM_NULL", "DOCU_CHR_numSET", "ITM_NULL", "DOCU_ITM_RADIX", "ITM_PERIOD", AP587), ".lo", ),"MNU_", "-MNU_")</f>
        <v>ITM_PERIOD</v>
      </c>
      <c r="BB587" s="157" t="str" cm="1">
        <f t="array" ref="BB587">SUBSTITUTE(SUBSTITUTE(_xlfn.SWITCH(AQ587, "ITM_T_HOME", "ITM_UP1", "ITM_T_END", "ITM_DOWN1", "DOCU_CHR_sub", "ITM_DOWN_ARROW", "DOCU_CHR_super", "ITM_UP_ARROW", "MNU_TAMALPHA", "ITM_alpha", "DOCU_CHR_caseFLIP", "ITM_NULL", "DOCU_CHR_numSET", "ITM_NULL", "DOCU_ITM_RADIX", "ITM_PERIOD", AQ587), ".lo", ),"MNU_", "-MNU_")</f>
        <v>ITM_COMMA</v>
      </c>
      <c r="BC587" s="216" t="str" cm="1">
        <f t="array" ref="BC587">SUBSTITUTE(SUBSTITUTE(_xlfn.SWITCH(AR587, "ITM_T_HOME", "ITM_UP1", "ITM_T_END", "ITM_DOWN1", "DOCU_CHR_sub", "ITM_DOWN_ARROW", "DOCU_CHR_super", "ITM_UP_ARROW", "MNU_TAMALPHA", "ITM_alpha", "DOCU_CHR_caseFLIP", "ITM_NULL", "DOCU_CHR_numSET", "ITM_NULL", "DOCU_ITM_RADIX", "ITM_PERIOD", AR587), ".lo", ),"MNU_", "-MNU_")</f>
        <v>ITM_SEMICOLON</v>
      </c>
      <c r="BD587" s="157" t="str" cm="1">
        <f t="array" ref="BD587">SUBSTITUTE(SUBSTITUTE(_xlfn.SWITCH(AS587, "ITM_T_HOME", "ITM_UP1", "ITM_T_END", "ITM_DOWN1", "DOCU_CHR_sub", "ITM_DOWN_ARROW", "DOCU_CHR_super", "ITM_UP_ARROW", "MNU_TAMALPHA", "ITM_alpha", "DOCU_CHR_caseFLIP", "ITM_NULL", "DOCU_CHR_numSET", "ITM_NULL", "DOCU_ITM_RADIX", "ITM_PERIOD", AS587), ".lo", ),"MNU_", "-MNU_")</f>
        <v>ITM_PERIOD</v>
      </c>
      <c r="BE587" s="157" t="str" cm="1">
        <f t="array" ref="BE587">SUBSTITUTE(SUBSTITUTE(_xlfn.SWITCH(AT587, "ITM_T_HOME", "ITM_UP1", "ITM_T_END", "ITM_DOWN1", "DOCU_CHR_sub", "ITM_DOWN_ARROW", "DOCU_CHR_super", "ITM_UP_ARROW", "MNU_TAMALPHA", "ITM_alpha", "DOCU_CHR_caseFLIP", "ITM_NULL", "DOCU_CHR_numSET", "ITM_NULL", "DOCU_ITM_RADIX", "ITM_PERIOD", AT587), ".lo", ),"MNU_", "-MNU_")</f>
        <v>ITM_PERIOD</v>
      </c>
      <c r="BG587" s="75"/>
      <c r="BI587" s="13" t="str">
        <f t="shared" si="307"/>
        <v xml:space="preserve">  {83,                  ITM_PERIOD,           ITM_SHOW,             ITM_TGLFRT,           ITM_PERIOD,           ITM_COMMA,            ITM_SEMICOLON,        ITM_PERIOD,           ITM_PERIOD          },</v>
      </c>
    </row>
    <row r="588" spans="24:61" ht="21" x14ac:dyDescent="0.2">
      <c r="X588" s="141" t="str">
        <f t="shared" si="297"/>
        <v>R47fg_g</v>
      </c>
      <c r="Y588" s="142">
        <v>8</v>
      </c>
      <c r="Z588" s="142">
        <v>4</v>
      </c>
      <c r="AA588" s="144" t="str">
        <f t="shared" si="295"/>
        <v>R47fg_g.84</v>
      </c>
      <c r="AB588" s="148" t="str">
        <f t="shared" ref="AB588:AD588" si="375">AB449</f>
        <v>R/S</v>
      </c>
      <c r="AC588" s="149" t="str">
        <f t="shared" si="375"/>
        <v>PRGM</v>
      </c>
      <c r="AD588" s="150" t="str">
        <f t="shared" si="375"/>
        <v>[ P.FN ]</v>
      </c>
      <c r="AE588" s="3"/>
      <c r="AF588" s="53" t="str">
        <f t="shared" ref="AF588" si="376">AF449</f>
        <v>？</v>
      </c>
      <c r="AG588" s="77" t="b">
        <f t="shared" si="310"/>
        <v>0</v>
      </c>
      <c r="AH588" s="83" t="str">
        <f t="shared" si="299"/>
        <v>:</v>
      </c>
      <c r="AI588" s="84" t="str">
        <f t="shared" si="300"/>
        <v>/</v>
      </c>
      <c r="AJ588" s="85" t="str">
        <f t="shared" si="301"/>
        <v xml:space="preserve"> </v>
      </c>
      <c r="AK588" s="6"/>
      <c r="AL588" s="8" t="str">
        <f t="shared" si="302"/>
        <v>{84</v>
      </c>
      <c r="AM588" s="27" t="str">
        <f t="shared" si="303"/>
        <v>ITM_RS</v>
      </c>
      <c r="AN588" s="27" t="str">
        <f t="shared" si="304"/>
        <v>ITM_PR</v>
      </c>
      <c r="AO588" s="27" t="str">
        <f t="shared" si="305"/>
        <v>MNU_PFN</v>
      </c>
      <c r="AP588" s="46" t="str">
        <f>IF(NOT(ISNA(MATCH(AM588,Lookups!E:E,))),VLOOKUP(AM588,Lookups!E:F,2,0),
IF(NOT(ISNA(MATCH(AN588,Lookups!E:E,))),VLOOKUP(AN588,Lookups!E:F,2,0),
IF(NOT(ISNA(MATCH(AO588,Lookups!E:E,))),VLOOKUP(AO588,Lookups!E:F,2,0),"ITM_NULL")))</f>
        <v>ITM_NULL</v>
      </c>
      <c r="AQ588" s="28" t="str">
        <f t="shared" si="362"/>
        <v>ITM_QUESTION_MARK</v>
      </c>
      <c r="AR588" s="211" t="s">
        <v>484</v>
      </c>
      <c r="AS588" s="207" t="s">
        <v>262</v>
      </c>
      <c r="AT588" s="197" t="s">
        <v>81</v>
      </c>
      <c r="AW588" s="14" t="str">
        <f t="shared" si="311"/>
        <v>{84</v>
      </c>
      <c r="AX588" s="157" t="str" cm="1">
        <f t="array" ref="AX588">SUBSTITUTE(SUBSTITUTE(_xlfn.SWITCH(AM588, "ITM_T_HOME", "ITM_UP1", "ITM_T_END", "ITM_DOWN1", "DOCU_CHR_sub", "ITM_DOWN_ARROW", "DOCU_CHR_super", "ITM_UP_ARROW", "MNU_TAMALPHA", "ITM_alpha", "DOCU_CHR_caseFLIP", "ITM_NULL", "DOCU_CHR_numSET", "ITM_NULL", "DOCU_ITM_RADIX", "ITM_PERIOD", AM588), ".lo", ),"MNU_", "-MNU_")</f>
        <v>ITM_RS</v>
      </c>
      <c r="AY588" s="157" t="str" cm="1">
        <f t="array" ref="AY588">SUBSTITUTE(SUBSTITUTE(_xlfn.SWITCH(AN588, "ITM_T_HOME", "ITM_UP1", "ITM_T_END", "ITM_DOWN1", "DOCU_CHR_sub", "ITM_DOWN_ARROW", "DOCU_CHR_super", "ITM_UP_ARROW", "MNU_TAMALPHA", "ITM_alpha", "DOCU_CHR_caseFLIP", "ITM_NULL", "DOCU_CHR_numSET", "ITM_NULL", "DOCU_ITM_RADIX", "ITM_PERIOD", AN588), ".lo", ),"MNU_", "-MNU_")</f>
        <v>ITM_PR</v>
      </c>
      <c r="AZ588" s="157" t="str" cm="1">
        <f t="array" ref="AZ588">SUBSTITUTE(SUBSTITUTE(_xlfn.SWITCH(AO588, "ITM_T_HOME", "ITM_UP1", "ITM_T_END", "ITM_DOWN1", "DOCU_CHR_sub", "ITM_DOWN_ARROW", "DOCU_CHR_super", "ITM_UP_ARROW", "MNU_TAMALPHA", "ITM_alpha", "DOCU_CHR_caseFLIP", "ITM_NULL", "DOCU_CHR_numSET", "ITM_NULL", "DOCU_ITM_RADIX", "ITM_PERIOD", AO588), ".lo", ),"MNU_", "-MNU_")</f>
        <v>-MNU_PFN</v>
      </c>
      <c r="BA588" s="173" t="str" cm="1">
        <f t="array" ref="BA588">SUBSTITUTE(SUBSTITUTE(_xlfn.SWITCH(AP588, "ITM_T_HOME", "ITM_UP1", "ITM_T_END", "ITM_DOWN1", "DOCU_CHR_sub", "ITM_DOWN_ARROW", "DOCU_CHR_super", "ITM_UP_ARROW", "MNU_TAMALPHA", "ITM_alpha", "DOCU_CHR_caseFLIP", "ITM_NULL", "DOCU_CHR_numSET", "ITM_NULL", "DOCU_ITM_RADIX", "ITM_PERIOD", AP588), ".lo", ),"MNU_", "-MNU_")</f>
        <v>ITM_NULL</v>
      </c>
      <c r="BB588" s="157" t="str" cm="1">
        <f t="array" ref="BB588">SUBSTITUTE(SUBSTITUTE(_xlfn.SWITCH(AQ588, "ITM_T_HOME", "ITM_UP1", "ITM_T_END", "ITM_DOWN1", "DOCU_CHR_sub", "ITM_DOWN_ARROW", "DOCU_CHR_super", "ITM_UP_ARROW", "MNU_TAMALPHA", "ITM_alpha", "DOCU_CHR_caseFLIP", "ITM_NULL", "DOCU_CHR_numSET", "ITM_NULL", "DOCU_ITM_RADIX", "ITM_PERIOD", AQ588), ".lo", ),"MNU_", "-MNU_")</f>
        <v>ITM_QUESTION_MARK</v>
      </c>
      <c r="BC588" s="157" t="str" cm="1">
        <f t="array" ref="BC588">SUBSTITUTE(SUBSTITUTE(_xlfn.SWITCH(AR588, "ITM_T_HOME", "ITM_UP1", "ITM_T_END", "ITM_DOWN1", "DOCU_CHR_sub", "ITM_DOWN_ARROW", "DOCU_CHR_super", "ITM_UP_ARROW", "MNU_TAMALPHA", "ITM_alpha", "DOCU_CHR_caseFLIP", "ITM_NULL", "DOCU_CHR_numSET", "ITM_NULL", "DOCU_ITM_RADIX", "ITM_PERIOD", AR588), ".lo", ),"MNU_", "-MNU_")</f>
        <v>ITM_COLON</v>
      </c>
      <c r="BD588" s="157" t="str" cm="1">
        <f t="array" ref="BD588">SUBSTITUTE(SUBSTITUTE(_xlfn.SWITCH(AS588, "ITM_T_HOME", "ITM_UP1", "ITM_T_END", "ITM_DOWN1", "DOCU_CHR_sub", "ITM_DOWN_ARROW", "DOCU_CHR_super", "ITM_UP_ARROW", "MNU_TAMALPHA", "ITM_alpha", "DOCU_CHR_caseFLIP", "ITM_NULL", "DOCU_CHR_numSET", "ITM_NULL", "DOCU_ITM_RADIX", "ITM_PERIOD", AS588), ".lo", ),"MNU_", "-MNU_")</f>
        <v>ITM_SLASH</v>
      </c>
      <c r="BE588" s="157" t="str" cm="1">
        <f t="array" ref="BE588">SUBSTITUTE(SUBSTITUTE(_xlfn.SWITCH(AT588, "ITM_T_HOME", "ITM_UP1", "ITM_T_END", "ITM_DOWN1", "DOCU_CHR_sub", "ITM_DOWN_ARROW", "DOCU_CHR_super", "ITM_UP_ARROW", "MNU_TAMALPHA", "ITM_alpha", "DOCU_CHR_caseFLIP", "ITM_NULL", "DOCU_CHR_numSET", "ITM_NULL", "DOCU_ITM_RADIX", "ITM_PERIOD", AT588), ".lo", ),"MNU_", "-MNU_")</f>
        <v>ITM_NULL</v>
      </c>
      <c r="BG588" s="75"/>
      <c r="BI588" s="13" t="str">
        <f t="shared" si="307"/>
        <v xml:space="preserve">  {84,                  ITM_RS,               ITM_PR,               -MNU_PFN,             ITM_NULL,             ITM_QUESTION_MARK,    ITM_COLON,            ITM_SLASH,            ITM_NULL            },</v>
      </c>
    </row>
    <row r="589" spans="24:61" ht="22" thickBot="1" x14ac:dyDescent="0.25">
      <c r="X589" s="141" t="str">
        <f t="shared" si="297"/>
        <v>R47fg_g</v>
      </c>
      <c r="Y589" s="142">
        <v>8</v>
      </c>
      <c r="Z589" s="142">
        <v>5</v>
      </c>
      <c r="AA589" s="144" t="str">
        <f t="shared" si="295"/>
        <v>R47fg_g.85</v>
      </c>
      <c r="AB589" s="154" t="str">
        <f t="shared" ref="AB589:AD589" si="377">AB450</f>
        <v>+</v>
      </c>
      <c r="AC589" s="155" t="str">
        <f t="shared" si="377"/>
        <v>[ CAT ]</v>
      </c>
      <c r="AD589" s="156" t="str">
        <f t="shared" si="377"/>
        <v>[ CNST ]</v>
      </c>
      <c r="AE589" s="125"/>
      <c r="AF589" s="54" t="str">
        <f t="shared" ref="AF589" si="378">AF450</f>
        <v>spc</v>
      </c>
      <c r="AG589" s="77" t="b">
        <f t="shared" si="310"/>
        <v>0</v>
      </c>
      <c r="AH589" s="86" t="str">
        <f t="shared" si="299"/>
        <v>=</v>
      </c>
      <c r="AI589" s="87" t="str">
        <f t="shared" si="300"/>
        <v>+</v>
      </c>
      <c r="AJ589" s="88" t="str">
        <f t="shared" si="301"/>
        <v>+</v>
      </c>
      <c r="AK589" s="6"/>
      <c r="AL589" s="8" t="str">
        <f t="shared" si="302"/>
        <v>{85</v>
      </c>
      <c r="AM589" s="27" t="str">
        <f t="shared" si="303"/>
        <v>ITM_ADD</v>
      </c>
      <c r="AN589" s="27" t="str">
        <f t="shared" si="304"/>
        <v>MNU_CATALOG</v>
      </c>
      <c r="AO589" s="27" t="str">
        <f t="shared" si="305"/>
        <v>MNU_CONST</v>
      </c>
      <c r="AP589" s="46" t="str">
        <f>IF(NOT(ISNA(MATCH(AM589,Lookups!E:E,))),VLOOKUP(AM589,Lookups!E:F,2,0),
IF(NOT(ISNA(MATCH(AN589,Lookups!E:E,))),VLOOKUP(AN589,Lookups!E:F,2,0),
IF(NOT(ISNA(MATCH(AO589,Lookups!E:E,))),VLOOKUP(AO589,Lookups!E:F,2,0),"ITM_NULL")))</f>
        <v>ITM_PLUS</v>
      </c>
      <c r="AQ589" s="28" t="str">
        <f t="shared" si="362"/>
        <v>ITM_SPACE</v>
      </c>
      <c r="AR589" s="212" t="s">
        <v>650</v>
      </c>
      <c r="AS589" s="208" t="s">
        <v>267</v>
      </c>
      <c r="AT589" s="201" t="s">
        <v>268</v>
      </c>
      <c r="AW589" s="14" t="str">
        <f t="shared" si="311"/>
        <v>{85</v>
      </c>
      <c r="AX589" s="157" t="str" cm="1">
        <f t="array" ref="AX589">SUBSTITUTE(SUBSTITUTE(_xlfn.SWITCH(AM589, "ITM_T_HOME", "ITM_UP1", "ITM_T_END", "ITM_DOWN1", "DOCU_CHR_sub", "ITM_DOWN_ARROW", "DOCU_CHR_super", "ITM_UP_ARROW", "MNU_TAMALPHA", "ITM_alpha", "DOCU_CHR_caseFLIP", "ITM_NULL", "DOCU_CHR_numSET", "ITM_NULL", "DOCU_ITM_RADIX", "ITM_PERIOD", AM589), ".lo", ),"MNU_", "-MNU_")</f>
        <v>ITM_ADD</v>
      </c>
      <c r="AY589" s="157" t="str" cm="1">
        <f t="array" ref="AY589">SUBSTITUTE(SUBSTITUTE(_xlfn.SWITCH(AN589, "ITM_T_HOME", "ITM_UP1", "ITM_T_END", "ITM_DOWN1", "DOCU_CHR_sub", "ITM_DOWN_ARROW", "DOCU_CHR_super", "ITM_UP_ARROW", "MNU_TAMALPHA", "ITM_alpha", "DOCU_CHR_caseFLIP", "ITM_NULL", "DOCU_CHR_numSET", "ITM_NULL", "DOCU_ITM_RADIX", "ITM_PERIOD", AN589), ".lo", ),"MNU_", "-MNU_")</f>
        <v>-MNU_CATALOG</v>
      </c>
      <c r="AZ589" s="157" t="str" cm="1">
        <f t="array" ref="AZ589">SUBSTITUTE(SUBSTITUTE(_xlfn.SWITCH(AO589, "ITM_T_HOME", "ITM_UP1", "ITM_T_END", "ITM_DOWN1", "DOCU_CHR_sub", "ITM_DOWN_ARROW", "DOCU_CHR_super", "ITM_UP_ARROW", "MNU_TAMALPHA", "ITM_alpha", "DOCU_CHR_caseFLIP", "ITM_NULL", "DOCU_CHR_numSET", "ITM_NULL", "DOCU_ITM_RADIX", "ITM_PERIOD", AO589), ".lo", ),"MNU_", "-MNU_")</f>
        <v>-MNU_CONST</v>
      </c>
      <c r="BA589" s="173" t="str" cm="1">
        <f t="array" ref="BA589">SUBSTITUTE(SUBSTITUTE(_xlfn.SWITCH(AP589, "ITM_T_HOME", "ITM_UP1", "ITM_T_END", "ITM_DOWN1", "DOCU_CHR_sub", "ITM_DOWN_ARROW", "DOCU_CHR_super", "ITM_UP_ARROW", "MNU_TAMALPHA", "ITM_alpha", "DOCU_CHR_caseFLIP", "ITM_NULL", "DOCU_CHR_numSET", "ITM_NULL", "DOCU_ITM_RADIX", "ITM_PERIOD", AP589), ".lo", ),"MNU_", "-MNU_")</f>
        <v>ITM_PLUS</v>
      </c>
      <c r="BB589" s="157" t="str" cm="1">
        <f t="array" ref="BB589">SUBSTITUTE(SUBSTITUTE(_xlfn.SWITCH(AQ589, "ITM_T_HOME", "ITM_UP1", "ITM_T_END", "ITM_DOWN1", "DOCU_CHR_sub", "ITM_DOWN_ARROW", "DOCU_CHR_super", "ITM_UP_ARROW", "MNU_TAMALPHA", "ITM_alpha", "DOCU_CHR_caseFLIP", "ITM_NULL", "DOCU_CHR_numSET", "ITM_NULL", "DOCU_ITM_RADIX", "ITM_PERIOD", AQ589), ".lo", ),"MNU_", "-MNU_")</f>
        <v>ITM_SPACE</v>
      </c>
      <c r="BC589" s="157" t="str" cm="1">
        <f t="array" ref="BC589">SUBSTITUTE(SUBSTITUTE(_xlfn.SWITCH(AR589, "ITM_T_HOME", "ITM_UP1", "ITM_T_END", "ITM_DOWN1", "DOCU_CHR_sub", "ITM_DOWN_ARROW", "DOCU_CHR_super", "ITM_UP_ARROW", "MNU_TAMALPHA", "ITM_alpha", "DOCU_CHR_caseFLIP", "ITM_NULL", "DOCU_CHR_numSET", "ITM_NULL", "DOCU_ITM_RADIX", "ITM_PERIOD", AR589), ".lo", ),"MNU_", "-MNU_")</f>
        <v>ITM_EQUAL</v>
      </c>
      <c r="BD589" s="157" t="str" cm="1">
        <f t="array" ref="BD589">SUBSTITUTE(SUBSTITUTE(_xlfn.SWITCH(AS589, "ITM_T_HOME", "ITM_UP1", "ITM_T_END", "ITM_DOWN1", "DOCU_CHR_sub", "ITM_DOWN_ARROW", "DOCU_CHR_super", "ITM_UP_ARROW", "MNU_TAMALPHA", "ITM_alpha", "DOCU_CHR_caseFLIP", "ITM_NULL", "DOCU_CHR_numSET", "ITM_NULL", "DOCU_ITM_RADIX", "ITM_PERIOD", AS589), ".lo", ),"MNU_", "-MNU_")</f>
        <v>ITM_PLUS</v>
      </c>
      <c r="BE589" s="157" t="str" cm="1">
        <f t="array" ref="BE589">SUBSTITUTE(SUBSTITUTE(_xlfn.SWITCH(AT589, "ITM_T_HOME", "ITM_UP1", "ITM_T_END", "ITM_DOWN1", "DOCU_CHR_sub", "ITM_DOWN_ARROW", "DOCU_CHR_super", "ITM_UP_ARROW", "MNU_TAMALPHA", "ITM_alpha", "DOCU_CHR_caseFLIP", "ITM_NULL", "DOCU_CHR_numSET", "ITM_NULL", "DOCU_ITM_RADIX", "ITM_PERIOD", AT589), ".lo", ),"MNU_", "-MNU_")</f>
        <v>ITM_ADD</v>
      </c>
      <c r="BG589" s="75"/>
      <c r="BI589" s="73" t="str">
        <f>"  "&amp;AW589&amp;", "&amp;REPT(" ",$BH$54-LEN(AW589))&amp;
AX589&amp;", "&amp;REPT(" ",$BH$54-LEN(AX589))&amp;
AY589&amp;", "&amp;REPT(" ",$BH$54-LEN(AY589))&amp;
AZ589&amp;", "&amp;REPT(" ",$BH$54-LEN(AZ589))&amp;
BA589&amp;", "&amp;REPT(" ",$BH$54-LEN(BA589))&amp;
BB589&amp;", "&amp;REPT(" ",$BH$54-LEN(BB589))&amp;
BC589&amp;", "&amp;REPT(" ",$BH$54-LEN(BC589))&amp;
BD589&amp;", "&amp;REPT(" ",$BH$54-LEN(BD589))&amp;
BE589&amp;REPT(" ",$BH$54-LEN(BE589))&amp;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590" spans="24:61" ht="21" x14ac:dyDescent="0.2">
      <c r="AK590" s="6"/>
      <c r="AL590" s="111"/>
      <c r="AM590" s="29"/>
      <c r="AN590" s="29"/>
      <c r="AO590" s="29"/>
      <c r="AP590" s="47"/>
      <c r="AQ590" s="29"/>
      <c r="AR590" s="202"/>
      <c r="AS590" s="202"/>
      <c r="AT590" s="202"/>
      <c r="BG590" s="75"/>
      <c r="BI590" s="16" t="s">
        <v>269</v>
      </c>
    </row>
    <row r="591" spans="24:61" x14ac:dyDescent="0.2">
      <c r="BG591" s="75"/>
      <c r="BI591" s="13" t="s">
        <v>270</v>
      </c>
    </row>
    <row r="592" spans="24:61" x14ac:dyDescent="0.2">
      <c r="BI592" s="13"/>
    </row>
    <row r="593" spans="61:61" x14ac:dyDescent="0.2">
      <c r="BI593" s="13"/>
    </row>
    <row r="594" spans="61:61" x14ac:dyDescent="0.2">
      <c r="BI594" s="13"/>
    </row>
    <row r="595" spans="61:61" x14ac:dyDescent="0.2">
      <c r="BI595" s="13"/>
    </row>
    <row r="596" spans="61:61" x14ac:dyDescent="0.2">
      <c r="BI596" s="13"/>
    </row>
    <row r="597" spans="61:61" x14ac:dyDescent="0.2">
      <c r="BI597" s="13"/>
    </row>
    <row r="598" spans="61:61" x14ac:dyDescent="0.2">
      <c r="BI598" s="13"/>
    </row>
    <row r="599" spans="61:61" x14ac:dyDescent="0.2">
      <c r="BI599" s="13"/>
    </row>
    <row r="600" spans="61:61" x14ac:dyDescent="0.2">
      <c r="BI600" s="13"/>
    </row>
    <row r="601" spans="61:61" x14ac:dyDescent="0.2">
      <c r="BI601" s="13"/>
    </row>
    <row r="602" spans="61:61" x14ac:dyDescent="0.2">
      <c r="BI602" s="13"/>
    </row>
    <row r="603" spans="61:61" x14ac:dyDescent="0.2">
      <c r="BI603" s="13"/>
    </row>
    <row r="604" spans="61:61" x14ac:dyDescent="0.2">
      <c r="BI604" s="13"/>
    </row>
    <row r="605" spans="61:61" x14ac:dyDescent="0.2">
      <c r="BI605" s="13"/>
    </row>
    <row r="606" spans="61:61" x14ac:dyDescent="0.2">
      <c r="BI606" s="13"/>
    </row>
    <row r="607" spans="61:61" x14ac:dyDescent="0.2">
      <c r="BI607" s="13"/>
    </row>
    <row r="608" spans="61:61" x14ac:dyDescent="0.2">
      <c r="BI608" s="13"/>
    </row>
    <row r="609" spans="61:61" x14ac:dyDescent="0.2">
      <c r="BI609" s="13"/>
    </row>
    <row r="610" spans="61:61" x14ac:dyDescent="0.2">
      <c r="BI610" s="13"/>
    </row>
    <row r="611" spans="61:61" x14ac:dyDescent="0.2">
      <c r="BI611" s="13"/>
    </row>
    <row r="612" spans="61:61" x14ac:dyDescent="0.2">
      <c r="BI612" s="13"/>
    </row>
    <row r="613" spans="61:61" x14ac:dyDescent="0.2">
      <c r="BI613" s="13"/>
    </row>
    <row r="614" spans="61:61" x14ac:dyDescent="0.2">
      <c r="BI614" s="13"/>
    </row>
    <row r="615" spans="61:61" x14ac:dyDescent="0.2">
      <c r="BI615" s="13"/>
    </row>
    <row r="616" spans="61:61" x14ac:dyDescent="0.2">
      <c r="BI616" s="13"/>
    </row>
    <row r="617" spans="61:61" x14ac:dyDescent="0.2">
      <c r="BI617" s="13"/>
    </row>
    <row r="618" spans="61:61" x14ac:dyDescent="0.2">
      <c r="BI618" s="13"/>
    </row>
    <row r="619" spans="61:61" x14ac:dyDescent="0.2">
      <c r="BI619" s="13"/>
    </row>
    <row r="620" spans="61:61" x14ac:dyDescent="0.2">
      <c r="BI620" s="13"/>
    </row>
    <row r="621" spans="61:61" x14ac:dyDescent="0.2">
      <c r="BI621" s="13"/>
    </row>
    <row r="622" spans="61:61" x14ac:dyDescent="0.2">
      <c r="BI622" s="13"/>
    </row>
    <row r="623" spans="61:61" x14ac:dyDescent="0.2">
      <c r="BI623" s="13"/>
    </row>
    <row r="624" spans="61:61" x14ac:dyDescent="0.2">
      <c r="BI624" s="13"/>
    </row>
    <row r="625" spans="61:61" x14ac:dyDescent="0.2">
      <c r="BI625" s="13"/>
    </row>
    <row r="626" spans="61:61" x14ac:dyDescent="0.2">
      <c r="BI626" s="13"/>
    </row>
    <row r="627" spans="61:61" x14ac:dyDescent="0.2">
      <c r="BI627" s="13"/>
    </row>
    <row r="628" spans="61:61" x14ac:dyDescent="0.2">
      <c r="BI628" s="13"/>
    </row>
    <row r="629" spans="61:61" x14ac:dyDescent="0.2">
      <c r="BI629" s="13"/>
    </row>
    <row r="630" spans="61:61" x14ac:dyDescent="0.2">
      <c r="BI630" s="13"/>
    </row>
    <row r="631" spans="61:61" x14ac:dyDescent="0.2">
      <c r="BI631" s="13"/>
    </row>
    <row r="632" spans="61:61" x14ac:dyDescent="0.2">
      <c r="BI632" s="13"/>
    </row>
    <row r="633" spans="61:61" x14ac:dyDescent="0.2">
      <c r="BI633" s="13"/>
    </row>
    <row r="634" spans="61:61" x14ac:dyDescent="0.2">
      <c r="BI634" s="13"/>
    </row>
    <row r="635" spans="61:61" x14ac:dyDescent="0.2">
      <c r="BI635" s="13"/>
    </row>
    <row r="636" spans="61:61" x14ac:dyDescent="0.2">
      <c r="BI636" s="13"/>
    </row>
    <row r="637" spans="61:61" x14ac:dyDescent="0.2">
      <c r="BI637" s="13"/>
    </row>
    <row r="638" spans="61:61" x14ac:dyDescent="0.2">
      <c r="BI638" s="13"/>
    </row>
    <row r="639" spans="61:61" x14ac:dyDescent="0.2">
      <c r="BI639" s="13"/>
    </row>
    <row r="640" spans="61:61" x14ac:dyDescent="0.2">
      <c r="BI640" s="13"/>
    </row>
    <row r="641" spans="61:61" x14ac:dyDescent="0.2">
      <c r="BI641" s="13"/>
    </row>
    <row r="642" spans="61:61" x14ac:dyDescent="0.2">
      <c r="BI642" s="13"/>
    </row>
    <row r="643" spans="61:61" x14ac:dyDescent="0.2">
      <c r="BI643" s="13"/>
    </row>
    <row r="644" spans="61:61" x14ac:dyDescent="0.2">
      <c r="BI644" s="13"/>
    </row>
    <row r="645" spans="61:61" x14ac:dyDescent="0.2">
      <c r="BI645" s="13"/>
    </row>
    <row r="646" spans="61:61" x14ac:dyDescent="0.2">
      <c r="BI646" s="13"/>
    </row>
    <row r="647" spans="61:61" x14ac:dyDescent="0.2">
      <c r="BI647" s="13"/>
    </row>
    <row r="648" spans="61:61" x14ac:dyDescent="0.2">
      <c r="BI648" s="13"/>
    </row>
    <row r="649" spans="61:61" x14ac:dyDescent="0.2">
      <c r="BI649" s="13"/>
    </row>
    <row r="650" spans="61:61" x14ac:dyDescent="0.2">
      <c r="BI650" s="13"/>
    </row>
    <row r="651" spans="61:61" x14ac:dyDescent="0.2">
      <c r="BI651" s="13"/>
    </row>
    <row r="652" spans="61:61" x14ac:dyDescent="0.2">
      <c r="BI652" s="13"/>
    </row>
    <row r="653" spans="61:61" x14ac:dyDescent="0.2">
      <c r="BI653" s="13"/>
    </row>
    <row r="654" spans="61:61" x14ac:dyDescent="0.2">
      <c r="BI654" s="13"/>
    </row>
    <row r="655" spans="61:61" x14ac:dyDescent="0.2">
      <c r="BI655" s="13"/>
    </row>
    <row r="656" spans="61:61" x14ac:dyDescent="0.2">
      <c r="BI656" s="13"/>
    </row>
    <row r="657" spans="61:61" x14ac:dyDescent="0.2">
      <c r="BI657" s="13"/>
    </row>
    <row r="658" spans="61:61" x14ac:dyDescent="0.2">
      <c r="BI658" s="13"/>
    </row>
    <row r="659" spans="61:61" x14ac:dyDescent="0.2">
      <c r="BI659" s="13"/>
    </row>
    <row r="660" spans="61:61" x14ac:dyDescent="0.2">
      <c r="BI660" s="13"/>
    </row>
    <row r="661" spans="61:61" x14ac:dyDescent="0.2">
      <c r="BI661" s="13"/>
    </row>
    <row r="662" spans="61:61" x14ac:dyDescent="0.2">
      <c r="BI662" s="13"/>
    </row>
    <row r="663" spans="61:61" x14ac:dyDescent="0.2">
      <c r="BI663" s="13"/>
    </row>
    <row r="664" spans="61:61" x14ac:dyDescent="0.2">
      <c r="BI664" s="13"/>
    </row>
    <row r="665" spans="61:61" x14ac:dyDescent="0.2">
      <c r="BI665" s="13"/>
    </row>
    <row r="666" spans="61:61" x14ac:dyDescent="0.2">
      <c r="BI666" s="13"/>
    </row>
    <row r="667" spans="61:61" x14ac:dyDescent="0.2">
      <c r="BI667" s="13"/>
    </row>
    <row r="668" spans="61:61" x14ac:dyDescent="0.2">
      <c r="BI668" s="13"/>
    </row>
    <row r="669" spans="61:61" x14ac:dyDescent="0.2">
      <c r="BI669" s="13"/>
    </row>
    <row r="670" spans="61:61" x14ac:dyDescent="0.2">
      <c r="BI670" s="13"/>
    </row>
    <row r="671" spans="61:61" x14ac:dyDescent="0.2">
      <c r="BI671" s="13"/>
    </row>
    <row r="672" spans="61:61" x14ac:dyDescent="0.2">
      <c r="BI672" s="13"/>
    </row>
    <row r="673" spans="61:61" x14ac:dyDescent="0.2">
      <c r="BI673" s="13"/>
    </row>
    <row r="674" spans="61:61" x14ac:dyDescent="0.2">
      <c r="BI674" s="13"/>
    </row>
    <row r="675" spans="61:61" x14ac:dyDescent="0.2">
      <c r="BI675" s="13"/>
    </row>
    <row r="676" spans="61:61" x14ac:dyDescent="0.2">
      <c r="BI676" s="13"/>
    </row>
    <row r="677" spans="61:61" x14ac:dyDescent="0.2">
      <c r="BI677" s="13"/>
    </row>
    <row r="678" spans="61:61" x14ac:dyDescent="0.2">
      <c r="BI678" s="13"/>
    </row>
    <row r="679" spans="61:61" x14ac:dyDescent="0.2">
      <c r="BI679" s="13"/>
    </row>
    <row r="680" spans="61:61" x14ac:dyDescent="0.2">
      <c r="BI680" s="13"/>
    </row>
    <row r="681" spans="61:61" x14ac:dyDescent="0.2">
      <c r="BI681" s="13"/>
    </row>
    <row r="682" spans="61:61" x14ac:dyDescent="0.2">
      <c r="BI682" s="13"/>
    </row>
    <row r="683" spans="61:61" x14ac:dyDescent="0.2">
      <c r="BI683" s="13"/>
    </row>
    <row r="684" spans="61:61" x14ac:dyDescent="0.2">
      <c r="BI684" s="13"/>
    </row>
    <row r="685" spans="61:61" x14ac:dyDescent="0.2">
      <c r="BI685" s="13"/>
    </row>
    <row r="686" spans="61:61" x14ac:dyDescent="0.2">
      <c r="BI686" s="13"/>
    </row>
    <row r="687" spans="61:61" x14ac:dyDescent="0.2">
      <c r="BI687" s="13"/>
    </row>
    <row r="688" spans="61:61" x14ac:dyDescent="0.2">
      <c r="BI688" s="13"/>
    </row>
    <row r="689" spans="61:61" x14ac:dyDescent="0.2">
      <c r="BI689" s="13"/>
    </row>
    <row r="690" spans="61:61" x14ac:dyDescent="0.2">
      <c r="BI690" s="13"/>
    </row>
    <row r="691" spans="61:61" x14ac:dyDescent="0.2">
      <c r="BI691" s="13"/>
    </row>
    <row r="692" spans="61:61" x14ac:dyDescent="0.2">
      <c r="BI692" s="13"/>
    </row>
    <row r="693" spans="61:61" x14ac:dyDescent="0.2">
      <c r="BI693" s="13"/>
    </row>
    <row r="694" spans="61:61" x14ac:dyDescent="0.2">
      <c r="BI694" s="13"/>
    </row>
    <row r="695" spans="61:61" x14ac:dyDescent="0.2">
      <c r="BI695" s="13"/>
    </row>
    <row r="696" spans="61:61" x14ac:dyDescent="0.2">
      <c r="BI696" s="13"/>
    </row>
    <row r="697" spans="61:61" x14ac:dyDescent="0.2">
      <c r="BI697" s="13"/>
    </row>
    <row r="698" spans="61:61" x14ac:dyDescent="0.2">
      <c r="BI698" s="13"/>
    </row>
    <row r="699" spans="61:61" x14ac:dyDescent="0.2">
      <c r="BI699" s="13"/>
    </row>
    <row r="700" spans="61:61" x14ac:dyDescent="0.2">
      <c r="BI700" s="13"/>
    </row>
    <row r="701" spans="61:61" x14ac:dyDescent="0.2">
      <c r="BI701" s="13"/>
    </row>
    <row r="702" spans="61:61" x14ac:dyDescent="0.2">
      <c r="BI702" s="13"/>
    </row>
    <row r="703" spans="61:61" x14ac:dyDescent="0.2">
      <c r="BI703" s="13"/>
    </row>
    <row r="704" spans="61:61" x14ac:dyDescent="0.2">
      <c r="BI704" s="13"/>
    </row>
    <row r="705" spans="61:61" x14ac:dyDescent="0.2">
      <c r="BI705" s="13"/>
    </row>
    <row r="706" spans="61:61" x14ac:dyDescent="0.2">
      <c r="BI706" s="13"/>
    </row>
    <row r="707" spans="61:61" x14ac:dyDescent="0.2">
      <c r="BI707" s="13"/>
    </row>
    <row r="708" spans="61:61" x14ac:dyDescent="0.2">
      <c r="BI708" s="13"/>
    </row>
    <row r="709" spans="61:61" x14ac:dyDescent="0.2">
      <c r="BI709" s="13"/>
    </row>
    <row r="710" spans="61:61" x14ac:dyDescent="0.2">
      <c r="BI710" s="13"/>
    </row>
    <row r="711" spans="61:61" x14ac:dyDescent="0.2">
      <c r="BI711" s="13"/>
    </row>
    <row r="712" spans="61:61" x14ac:dyDescent="0.2">
      <c r="BI712" s="13"/>
    </row>
    <row r="713" spans="61:61" x14ac:dyDescent="0.2">
      <c r="BI713" s="13"/>
    </row>
    <row r="714" spans="61:61" x14ac:dyDescent="0.2">
      <c r="BI714" s="13"/>
    </row>
    <row r="715" spans="61:61" x14ac:dyDescent="0.2">
      <c r="BI715" s="13"/>
    </row>
    <row r="716" spans="61:61" x14ac:dyDescent="0.2">
      <c r="BI716" s="13"/>
    </row>
    <row r="717" spans="61:61" x14ac:dyDescent="0.2">
      <c r="BI717" s="13"/>
    </row>
    <row r="718" spans="61:61" x14ac:dyDescent="0.2">
      <c r="BI718" s="13"/>
    </row>
    <row r="719" spans="61:61" x14ac:dyDescent="0.2">
      <c r="BI719" s="13"/>
    </row>
    <row r="720" spans="61:61" x14ac:dyDescent="0.2">
      <c r="BI720" s="13"/>
    </row>
    <row r="721" spans="61:61" x14ac:dyDescent="0.2">
      <c r="BI721" s="13"/>
    </row>
    <row r="722" spans="61:61" x14ac:dyDescent="0.2">
      <c r="BI722" s="13"/>
    </row>
    <row r="723" spans="61:61" x14ac:dyDescent="0.2">
      <c r="BI723" s="13"/>
    </row>
  </sheetData>
  <autoFilter ref="X1:BI723" xr:uid="{00000000-0009-0000-0000-000000000000}"/>
  <mergeCells count="190">
    <mergeCell ref="AM551:AO551"/>
    <mergeCell ref="AM52:AO52"/>
    <mergeCell ref="AM142:AO142"/>
    <mergeCell ref="AM187:AO187"/>
    <mergeCell ref="AM232:AO232"/>
    <mergeCell ref="AM277:AO277"/>
    <mergeCell ref="AM322:AO322"/>
    <mergeCell ref="G15:H17"/>
    <mergeCell ref="J15:K17"/>
    <mergeCell ref="M15:N17"/>
    <mergeCell ref="M21:N23"/>
    <mergeCell ref="P21:Q23"/>
    <mergeCell ref="O15:O17"/>
    <mergeCell ref="M45:M47"/>
    <mergeCell ref="N33:P35"/>
    <mergeCell ref="R33:T35"/>
    <mergeCell ref="M27:M29"/>
    <mergeCell ref="Q27:Q29"/>
    <mergeCell ref="N27:P29"/>
    <mergeCell ref="R27:T29"/>
    <mergeCell ref="N39:P41"/>
    <mergeCell ref="R39:T41"/>
    <mergeCell ref="M33:M35"/>
    <mergeCell ref="M39:M41"/>
    <mergeCell ref="R3:R5"/>
    <mergeCell ref="E39:E41"/>
    <mergeCell ref="E45:E47"/>
    <mergeCell ref="C15:D17"/>
    <mergeCell ref="E15:E17"/>
    <mergeCell ref="J39:L41"/>
    <mergeCell ref="F27:H29"/>
    <mergeCell ref="J27:L29"/>
    <mergeCell ref="J33:L35"/>
    <mergeCell ref="E33:E35"/>
    <mergeCell ref="I9:I11"/>
    <mergeCell ref="C3:D5"/>
    <mergeCell ref="G3:H5"/>
    <mergeCell ref="J3:K5"/>
    <mergeCell ref="C9:D11"/>
    <mergeCell ref="G9:H11"/>
    <mergeCell ref="J9:K11"/>
    <mergeCell ref="M3:N5"/>
    <mergeCell ref="E3:E5"/>
    <mergeCell ref="I3:I5"/>
    <mergeCell ref="L3:L5"/>
    <mergeCell ref="L9:L11"/>
    <mergeCell ref="E9:E11"/>
    <mergeCell ref="U3:U5"/>
    <mergeCell ref="S15:T17"/>
    <mergeCell ref="S3:T5"/>
    <mergeCell ref="S21:T23"/>
    <mergeCell ref="S9:T11"/>
    <mergeCell ref="U27:U29"/>
    <mergeCell ref="I21:I23"/>
    <mergeCell ref="L21:L23"/>
    <mergeCell ref="O21:O23"/>
    <mergeCell ref="R21:R23"/>
    <mergeCell ref="R15:R17"/>
    <mergeCell ref="R9:R11"/>
    <mergeCell ref="P3:Q5"/>
    <mergeCell ref="O3:O5"/>
    <mergeCell ref="O9:O11"/>
    <mergeCell ref="U9:U11"/>
    <mergeCell ref="U15:U17"/>
    <mergeCell ref="U21:U23"/>
    <mergeCell ref="I15:I17"/>
    <mergeCell ref="L15:L17"/>
    <mergeCell ref="P15:Q17"/>
    <mergeCell ref="M9:N11"/>
    <mergeCell ref="P9:Q11"/>
    <mergeCell ref="J21:K23"/>
    <mergeCell ref="U33:U35"/>
    <mergeCell ref="U39:U41"/>
    <mergeCell ref="U45:U47"/>
    <mergeCell ref="Q45:Q47"/>
    <mergeCell ref="Q39:Q41"/>
    <mergeCell ref="Q33:Q35"/>
    <mergeCell ref="N45:P47"/>
    <mergeCell ref="R45:T47"/>
    <mergeCell ref="C20:E20"/>
    <mergeCell ref="F20:H20"/>
    <mergeCell ref="C45:D47"/>
    <mergeCell ref="F45:H47"/>
    <mergeCell ref="J45:L47"/>
    <mergeCell ref="C21:H23"/>
    <mergeCell ref="C39:D41"/>
    <mergeCell ref="F39:H41"/>
    <mergeCell ref="C33:D35"/>
    <mergeCell ref="F33:H35"/>
    <mergeCell ref="I45:I47"/>
    <mergeCell ref="I39:I41"/>
    <mergeCell ref="I33:I35"/>
    <mergeCell ref="C27:D29"/>
    <mergeCell ref="E27:E29"/>
    <mergeCell ref="I27:I29"/>
    <mergeCell ref="U53:U55"/>
    <mergeCell ref="C59:D61"/>
    <mergeCell ref="E59:E61"/>
    <mergeCell ref="G59:H61"/>
    <mergeCell ref="I59:I61"/>
    <mergeCell ref="J59:K61"/>
    <mergeCell ref="L59:L61"/>
    <mergeCell ref="M59:N61"/>
    <mergeCell ref="O59:O61"/>
    <mergeCell ref="P59:Q61"/>
    <mergeCell ref="R59:R61"/>
    <mergeCell ref="S59:T61"/>
    <mergeCell ref="U59:U61"/>
    <mergeCell ref="L53:L55"/>
    <mergeCell ref="M53:N55"/>
    <mergeCell ref="O53:O55"/>
    <mergeCell ref="P53:Q55"/>
    <mergeCell ref="R53:R55"/>
    <mergeCell ref="C53:D55"/>
    <mergeCell ref="E53:E55"/>
    <mergeCell ref="G53:H55"/>
    <mergeCell ref="I53:I55"/>
    <mergeCell ref="J53:K55"/>
    <mergeCell ref="S53:T55"/>
    <mergeCell ref="S65:T67"/>
    <mergeCell ref="U65:U67"/>
    <mergeCell ref="C70:E70"/>
    <mergeCell ref="F70:H70"/>
    <mergeCell ref="C71:H73"/>
    <mergeCell ref="I71:I73"/>
    <mergeCell ref="J71:K73"/>
    <mergeCell ref="L71:L73"/>
    <mergeCell ref="M71:N73"/>
    <mergeCell ref="O71:O73"/>
    <mergeCell ref="P71:Q73"/>
    <mergeCell ref="R71:R73"/>
    <mergeCell ref="S71:T73"/>
    <mergeCell ref="U71:U73"/>
    <mergeCell ref="L65:L67"/>
    <mergeCell ref="M65:N67"/>
    <mergeCell ref="O65:O67"/>
    <mergeCell ref="P65:Q67"/>
    <mergeCell ref="R65:R67"/>
    <mergeCell ref="C65:D67"/>
    <mergeCell ref="E65:E67"/>
    <mergeCell ref="G65:H67"/>
    <mergeCell ref="I65:I67"/>
    <mergeCell ref="J65:K67"/>
    <mergeCell ref="M77:M79"/>
    <mergeCell ref="N77:P79"/>
    <mergeCell ref="Q77:Q79"/>
    <mergeCell ref="R77:T79"/>
    <mergeCell ref="U77:U79"/>
    <mergeCell ref="C77:D79"/>
    <mergeCell ref="E77:E79"/>
    <mergeCell ref="F77:H79"/>
    <mergeCell ref="I77:I79"/>
    <mergeCell ref="J77:L79"/>
    <mergeCell ref="F89:H91"/>
    <mergeCell ref="I89:I91"/>
    <mergeCell ref="J89:L91"/>
    <mergeCell ref="M83:M85"/>
    <mergeCell ref="N83:P85"/>
    <mergeCell ref="Q83:Q85"/>
    <mergeCell ref="R83:T85"/>
    <mergeCell ref="U83:U85"/>
    <mergeCell ref="C83:D85"/>
    <mergeCell ref="E83:E85"/>
    <mergeCell ref="F83:H85"/>
    <mergeCell ref="I83:I85"/>
    <mergeCell ref="J83:L85"/>
    <mergeCell ref="AM504:AO504"/>
    <mergeCell ref="AM457:AO457"/>
    <mergeCell ref="AM367:AO367"/>
    <mergeCell ref="AM412:AO412"/>
    <mergeCell ref="AM97:AO97"/>
    <mergeCell ref="C24:E24"/>
    <mergeCell ref="F24:H24"/>
    <mergeCell ref="M95:M97"/>
    <mergeCell ref="N95:P97"/>
    <mergeCell ref="Q95:Q97"/>
    <mergeCell ref="R95:T97"/>
    <mergeCell ref="U95:U97"/>
    <mergeCell ref="C95:D97"/>
    <mergeCell ref="E95:E97"/>
    <mergeCell ref="F95:H97"/>
    <mergeCell ref="I95:I97"/>
    <mergeCell ref="J95:L97"/>
    <mergeCell ref="M89:M91"/>
    <mergeCell ref="N89:P91"/>
    <mergeCell ref="Q89:Q91"/>
    <mergeCell ref="R89:T91"/>
    <mergeCell ref="U89:U91"/>
    <mergeCell ref="C89:D91"/>
    <mergeCell ref="E89:E91"/>
  </mergeCells>
  <conditionalFormatting sqref="C8">
    <cfRule type="expression" dxfId="376" priority="675">
      <formula>C8&lt;&gt;" "</formula>
    </cfRule>
  </conditionalFormatting>
  <conditionalFormatting sqref="C14">
    <cfRule type="expression" dxfId="375" priority="651">
      <formula>C14&lt;&gt;" "</formula>
    </cfRule>
  </conditionalFormatting>
  <conditionalFormatting sqref="C26">
    <cfRule type="expression" dxfId="374" priority="611">
      <formula>C26&lt;&gt;" "</formula>
    </cfRule>
  </conditionalFormatting>
  <conditionalFormatting sqref="C32">
    <cfRule type="expression" dxfId="373" priority="607">
      <formula>C32&lt;&gt;" "</formula>
    </cfRule>
  </conditionalFormatting>
  <conditionalFormatting sqref="C38">
    <cfRule type="expression" dxfId="372" priority="603">
      <formula>C38&lt;&gt;" "</formula>
    </cfRule>
  </conditionalFormatting>
  <conditionalFormatting sqref="C44">
    <cfRule type="expression" dxfId="371" priority="599">
      <formula>C44&lt;&gt;" "</formula>
    </cfRule>
  </conditionalFormatting>
  <conditionalFormatting sqref="C3:D5">
    <cfRule type="expression" dxfId="370" priority="490" stopIfTrue="1">
      <formula>C3=" g "</formula>
    </cfRule>
    <cfRule type="expression" dxfId="369" priority="491">
      <formula>OR(C3=" f ",C3="f/g")</formula>
    </cfRule>
  </conditionalFormatting>
  <conditionalFormatting sqref="C8:D8">
    <cfRule type="expression" dxfId="368" priority="822">
      <formula>LEFT(C8,1)="["</formula>
    </cfRule>
  </conditionalFormatting>
  <conditionalFormatting sqref="C9:D11">
    <cfRule type="expression" dxfId="367" priority="478" stopIfTrue="1">
      <formula>C9=" g "</formula>
    </cfRule>
    <cfRule type="expression" dxfId="366" priority="479">
      <formula>OR(C9=" f ",C9="f/g")</formula>
    </cfRule>
  </conditionalFormatting>
  <conditionalFormatting sqref="C14:D14">
    <cfRule type="expression" dxfId="365" priority="652">
      <formula>LEFT(C14,1)="["</formula>
    </cfRule>
  </conditionalFormatting>
  <conditionalFormatting sqref="C15:D17">
    <cfRule type="expression" dxfId="364" priority="466" stopIfTrue="1">
      <formula>C15=" g "</formula>
    </cfRule>
    <cfRule type="expression" dxfId="363" priority="467">
      <formula>OR(C15=" f ",C15="f/g")</formula>
    </cfRule>
  </conditionalFormatting>
  <conditionalFormatting sqref="C26:D26">
    <cfRule type="expression" dxfId="362" priority="612">
      <formula>LEFT(C26,1)="["</formula>
    </cfRule>
  </conditionalFormatting>
  <conditionalFormatting sqref="C27:D29">
    <cfRule type="expression" dxfId="361" priority="446" stopIfTrue="1">
      <formula>C27=" g "</formula>
    </cfRule>
    <cfRule type="expression" dxfId="360" priority="447">
      <formula>OR(C27=" f ",C27="f/g")</formula>
    </cfRule>
  </conditionalFormatting>
  <conditionalFormatting sqref="C32:D32">
    <cfRule type="expression" dxfId="359" priority="608">
      <formula>LEFT(C32,1)="["</formula>
    </cfRule>
  </conditionalFormatting>
  <conditionalFormatting sqref="C33:D35">
    <cfRule type="expression" dxfId="358" priority="444" stopIfTrue="1">
      <formula>C33=" g "</formula>
    </cfRule>
    <cfRule type="expression" dxfId="357" priority="445">
      <formula>OR(C33=" f ",C33="f/g")</formula>
    </cfRule>
  </conditionalFormatting>
  <conditionalFormatting sqref="C38:D38">
    <cfRule type="expression" dxfId="356" priority="604">
      <formula>LEFT(C38,1)="["</formula>
    </cfRule>
  </conditionalFormatting>
  <conditionalFormatting sqref="C39:D41">
    <cfRule type="expression" dxfId="355" priority="748" stopIfTrue="1">
      <formula>C39=" g "</formula>
    </cfRule>
    <cfRule type="expression" dxfId="354" priority="749">
      <formula>OR(C39=" f ",C39="f/g")</formula>
    </cfRule>
  </conditionalFormatting>
  <conditionalFormatting sqref="C44:D44">
    <cfRule type="expression" dxfId="353" priority="600">
      <formula>LEFT(C44,1)="["</formula>
    </cfRule>
  </conditionalFormatting>
  <conditionalFormatting sqref="C45:D47">
    <cfRule type="expression" dxfId="352" priority="442" stopIfTrue="1">
      <formula>C45=" g "</formula>
    </cfRule>
    <cfRule type="expression" dxfId="351" priority="443">
      <formula>OR(C45=" f ",C45="f/g")</formula>
    </cfRule>
  </conditionalFormatting>
  <conditionalFormatting sqref="C20:E20">
    <cfRule type="expression" dxfId="350" priority="533">
      <formula>C20&lt;&gt;" "</formula>
    </cfRule>
    <cfRule type="expression" dxfId="349" priority="823">
      <formula>LEFT(C20,1)="["</formula>
    </cfRule>
  </conditionalFormatting>
  <conditionalFormatting sqref="D8">
    <cfRule type="expression" dxfId="348" priority="674">
      <formula>D8&lt;&gt;" "</formula>
    </cfRule>
  </conditionalFormatting>
  <conditionalFormatting sqref="D14">
    <cfRule type="expression" dxfId="347" priority="650">
      <formula>D14&lt;&gt;" "</formula>
    </cfRule>
  </conditionalFormatting>
  <conditionalFormatting sqref="D26">
    <cfRule type="expression" dxfId="346" priority="610">
      <formula>D26&lt;&gt;" "</formula>
    </cfRule>
  </conditionalFormatting>
  <conditionalFormatting sqref="D32">
    <cfRule type="expression" dxfId="345" priority="606">
      <formula>D32&lt;&gt;" "</formula>
    </cfRule>
  </conditionalFormatting>
  <conditionalFormatting sqref="D38">
    <cfRule type="expression" dxfId="344" priority="602">
      <formula>D38&lt;&gt;" "</formula>
    </cfRule>
  </conditionalFormatting>
  <conditionalFormatting sqref="D44">
    <cfRule type="expression" dxfId="343" priority="598">
      <formula>D44&lt;&gt;" "</formula>
    </cfRule>
  </conditionalFormatting>
  <conditionalFormatting sqref="E9:E11">
    <cfRule type="expression" dxfId="342" priority="397">
      <formula>AND(E9&lt;&gt;" ",E9&lt;&gt;"")</formula>
    </cfRule>
  </conditionalFormatting>
  <conditionalFormatting sqref="E15:E17">
    <cfRule type="expression" dxfId="341" priority="398">
      <formula>AND(E15&lt;&gt;" ",E15&lt;&gt;"")</formula>
    </cfRule>
  </conditionalFormatting>
  <conditionalFormatting sqref="E27:E29">
    <cfRule type="expression" dxfId="340" priority="387">
      <formula>AND(E27&lt;&gt;" ",E27&lt;&gt;"")</formula>
    </cfRule>
  </conditionalFormatting>
  <conditionalFormatting sqref="E33:E35">
    <cfRule type="expression" dxfId="339" priority="386">
      <formula>AND(E33&lt;&gt;" ",E33&lt;&gt;"")</formula>
    </cfRule>
  </conditionalFormatting>
  <conditionalFormatting sqref="E39:E41">
    <cfRule type="expression" dxfId="338" priority="377">
      <formula>AND(E39&lt;&gt;" ",E39&lt;&gt;"")</formula>
    </cfRule>
  </conditionalFormatting>
  <conditionalFormatting sqref="E45:E47">
    <cfRule type="expression" dxfId="337" priority="376">
      <formula>AND(E45&lt;&gt;" ",E45&lt;&gt;"")</formula>
    </cfRule>
  </conditionalFormatting>
  <conditionalFormatting sqref="F26">
    <cfRule type="expression" dxfId="336" priority="596">
      <formula>F26&lt;&gt;" "</formula>
    </cfRule>
    <cfRule type="expression" dxfId="335" priority="597">
      <formula>LEFT(F26,1)="["</formula>
    </cfRule>
  </conditionalFormatting>
  <conditionalFormatting sqref="F32">
    <cfRule type="expression" dxfId="334" priority="580">
      <formula>F32&lt;&gt;" "</formula>
    </cfRule>
    <cfRule type="expression" dxfId="333" priority="581">
      <formula>LEFT(F32,1)="["</formula>
    </cfRule>
  </conditionalFormatting>
  <conditionalFormatting sqref="F38">
    <cfRule type="expression" dxfId="332" priority="564">
      <formula>F38&lt;&gt;" "</formula>
    </cfRule>
    <cfRule type="expression" dxfId="331" priority="565">
      <formula>LEFT(F38,1)="["</formula>
    </cfRule>
  </conditionalFormatting>
  <conditionalFormatting sqref="F44">
    <cfRule type="expression" dxfId="330" priority="548">
      <formula>F44&lt;&gt;" "</formula>
    </cfRule>
    <cfRule type="expression" dxfId="329" priority="549">
      <formula>LEFT(F44,1)="["</formula>
    </cfRule>
  </conditionalFormatting>
  <conditionalFormatting sqref="F20:H20">
    <cfRule type="expression" dxfId="328" priority="532">
      <formula>F20&lt;&gt;" "</formula>
    </cfRule>
    <cfRule type="expression" dxfId="327" priority="861" stopIfTrue="1">
      <formula>LEFT(F20,1)="["</formula>
    </cfRule>
  </conditionalFormatting>
  <conditionalFormatting sqref="F27:H29">
    <cfRule type="expression" dxfId="326" priority="706" stopIfTrue="1">
      <formula>F27=" g "</formula>
    </cfRule>
    <cfRule type="expression" dxfId="325" priority="707" stopIfTrue="1">
      <formula>OR(F27=" f ",F27="f/g")</formula>
    </cfRule>
  </conditionalFormatting>
  <conditionalFormatting sqref="F33:H35">
    <cfRule type="expression" dxfId="324" priority="428" stopIfTrue="1">
      <formula>F33=" g "</formula>
    </cfRule>
    <cfRule type="expression" dxfId="323" priority="429" stopIfTrue="1">
      <formula>OR(F33=" f ",F33="f/g")</formula>
    </cfRule>
  </conditionalFormatting>
  <conditionalFormatting sqref="F39:H41">
    <cfRule type="expression" dxfId="322" priority="426" stopIfTrue="1">
      <formula>F39=" g "</formula>
    </cfRule>
    <cfRule type="expression" dxfId="321" priority="427" stopIfTrue="1">
      <formula>OR(F39=" f ",F39="f/g")</formula>
    </cfRule>
  </conditionalFormatting>
  <conditionalFormatting sqref="F45:H47">
    <cfRule type="expression" dxfId="320" priority="412" stopIfTrue="1">
      <formula>F45=" g "</formula>
    </cfRule>
    <cfRule type="expression" dxfId="319" priority="413" stopIfTrue="1">
      <formula>OR(F45=" f ",F45="f/g")</formula>
    </cfRule>
  </conditionalFormatting>
  <conditionalFormatting sqref="G8">
    <cfRule type="expression" dxfId="318" priority="202">
      <formula>G8&lt;&gt;" "</formula>
    </cfRule>
  </conditionalFormatting>
  <conditionalFormatting sqref="G14">
    <cfRule type="expression" dxfId="317" priority="647">
      <formula>G14&lt;&gt;" "</formula>
    </cfRule>
  </conditionalFormatting>
  <conditionalFormatting sqref="G3:H5">
    <cfRule type="expression" dxfId="316" priority="488" stopIfTrue="1">
      <formula>G3=" g "</formula>
    </cfRule>
    <cfRule type="expression" dxfId="315" priority="489">
      <formula>OR(G3=" f ",G3="f/g")</formula>
    </cfRule>
  </conditionalFormatting>
  <conditionalFormatting sqref="G8:H8">
    <cfRule type="expression" dxfId="314" priority="203">
      <formula>LEFT(G8,1)="["</formula>
    </cfRule>
  </conditionalFormatting>
  <conditionalFormatting sqref="G9:H11">
    <cfRule type="expression" dxfId="313" priority="476" stopIfTrue="1">
      <formula>G9=" g "</formula>
    </cfRule>
    <cfRule type="expression" dxfId="312" priority="477">
      <formula>OR(G9=" f ",G9="f/g")</formula>
    </cfRule>
  </conditionalFormatting>
  <conditionalFormatting sqref="G14:H14">
    <cfRule type="expression" dxfId="311" priority="648">
      <formula>LEFT(G14,1)="["</formula>
    </cfRule>
  </conditionalFormatting>
  <conditionalFormatting sqref="G15:H17">
    <cfRule type="expression" dxfId="310" priority="464" stopIfTrue="1">
      <formula>G15=" g "</formula>
    </cfRule>
    <cfRule type="expression" dxfId="309" priority="465">
      <formula>OR(G15=" f ",G15="f/g")</formula>
    </cfRule>
  </conditionalFormatting>
  <conditionalFormatting sqref="H8">
    <cfRule type="expression" dxfId="308" priority="670">
      <formula>H8&lt;&gt;" "</formula>
    </cfRule>
  </conditionalFormatting>
  <conditionalFormatting sqref="H14">
    <cfRule type="expression" dxfId="307" priority="646">
      <formula>H14&lt;&gt;" "</formula>
    </cfRule>
  </conditionalFormatting>
  <conditionalFormatting sqref="H26">
    <cfRule type="expression" dxfId="306" priority="594">
      <formula>H26&lt;&gt;" "</formula>
    </cfRule>
    <cfRule type="expression" dxfId="305" priority="595">
      <formula>LEFT(H26,1)="["</formula>
    </cfRule>
  </conditionalFormatting>
  <conditionalFormatting sqref="H32">
    <cfRule type="expression" dxfId="304" priority="578">
      <formula>H32&lt;&gt;" "</formula>
    </cfRule>
    <cfRule type="expression" dxfId="303" priority="579">
      <formula>LEFT(H32,1)="["</formula>
    </cfRule>
  </conditionalFormatting>
  <conditionalFormatting sqref="H38">
    <cfRule type="expression" dxfId="302" priority="562">
      <formula>H38&lt;&gt;" "</formula>
    </cfRule>
    <cfRule type="expression" dxfId="301" priority="563">
      <formula>LEFT(H38,1)="["</formula>
    </cfRule>
  </conditionalFormatting>
  <conditionalFormatting sqref="H44">
    <cfRule type="expression" dxfId="300" priority="546">
      <formula>H44&lt;&gt;" "</formula>
    </cfRule>
    <cfRule type="expression" dxfId="299" priority="547">
      <formula>LEFT(H44,1)="["</formula>
    </cfRule>
  </conditionalFormatting>
  <conditionalFormatting sqref="I9:I11">
    <cfRule type="expression" dxfId="298" priority="396">
      <formula>AND(I9&lt;&gt;" ",I9&lt;&gt;"")</formula>
    </cfRule>
  </conditionalFormatting>
  <conditionalFormatting sqref="I15:I17">
    <cfRule type="expression" dxfId="297" priority="399">
      <formula>AND(I15&lt;&gt;" ",I15&lt;&gt;"")</formula>
    </cfRule>
  </conditionalFormatting>
  <conditionalFormatting sqref="I21:I23">
    <cfRule type="expression" dxfId="296" priority="518">
      <formula>AND(I21&lt;&gt;" ",I21&lt;&gt;"")</formula>
    </cfRule>
  </conditionalFormatting>
  <conditionalFormatting sqref="I27:I29">
    <cfRule type="expression" dxfId="295" priority="388">
      <formula>AND(I27&lt;&gt;" ",I27&lt;&gt;"")</formula>
    </cfRule>
  </conditionalFormatting>
  <conditionalFormatting sqref="I33:I35">
    <cfRule type="expression" dxfId="294" priority="385">
      <formula>AND(I33&lt;&gt;" ",I33&lt;&gt;"")</formula>
    </cfRule>
  </conditionalFormatting>
  <conditionalFormatting sqref="I39:I41">
    <cfRule type="expression" dxfId="293" priority="378">
      <formula>AND(I39&lt;&gt;" ",I39&lt;&gt;"")</formula>
    </cfRule>
  </conditionalFormatting>
  <conditionalFormatting sqref="I45:I47">
    <cfRule type="expression" dxfId="292" priority="375">
      <formula>AND(I45&lt;&gt;" ",I45&lt;&gt;"")</formula>
    </cfRule>
  </conditionalFormatting>
  <conditionalFormatting sqref="J8">
    <cfRule type="expression" dxfId="291" priority="667">
      <formula>J8&lt;&gt;" "</formula>
    </cfRule>
  </conditionalFormatting>
  <conditionalFormatting sqref="J14">
    <cfRule type="expression" dxfId="290" priority="643">
      <formula>J14&lt;&gt;" "</formula>
    </cfRule>
  </conditionalFormatting>
  <conditionalFormatting sqref="J20">
    <cfRule type="expression" dxfId="289" priority="627">
      <formula>J20&lt;&gt;" "</formula>
    </cfRule>
  </conditionalFormatting>
  <conditionalFormatting sqref="J26">
    <cfRule type="expression" dxfId="288" priority="592">
      <formula>J26&lt;&gt;" "</formula>
    </cfRule>
    <cfRule type="expression" dxfId="287" priority="593">
      <formula>LEFT(J26,1)="["</formula>
    </cfRule>
  </conditionalFormatting>
  <conditionalFormatting sqref="J32">
    <cfRule type="expression" dxfId="286" priority="576">
      <formula>J32&lt;&gt;" "</formula>
    </cfRule>
    <cfRule type="expression" dxfId="285" priority="577">
      <formula>LEFT(J32,1)="["</formula>
    </cfRule>
  </conditionalFormatting>
  <conditionalFormatting sqref="J38">
    <cfRule type="expression" dxfId="284" priority="560">
      <formula>J38&lt;&gt;" "</formula>
    </cfRule>
    <cfRule type="expression" dxfId="283" priority="561">
      <formula>LEFT(J38,1)="["</formula>
    </cfRule>
  </conditionalFormatting>
  <conditionalFormatting sqref="J44">
    <cfRule type="expression" dxfId="282" priority="544">
      <formula>J44&lt;&gt;" "</formula>
    </cfRule>
    <cfRule type="expression" dxfId="281" priority="545">
      <formula>LEFT(J44,1)="["</formula>
    </cfRule>
  </conditionalFormatting>
  <conditionalFormatting sqref="J3:K5">
    <cfRule type="expression" dxfId="280" priority="486" stopIfTrue="1">
      <formula>J3=" g "</formula>
    </cfRule>
    <cfRule type="expression" dxfId="279" priority="487">
      <formula>OR(J3=" f ",J3="f/g")</formula>
    </cfRule>
  </conditionalFormatting>
  <conditionalFormatting sqref="J8:K8">
    <cfRule type="expression" dxfId="278" priority="668">
      <formula>LEFT(J8,1)="["</formula>
    </cfRule>
  </conditionalFormatting>
  <conditionalFormatting sqref="J9:K11">
    <cfRule type="expression" dxfId="277" priority="474" stopIfTrue="1">
      <formula>J9=" g "</formula>
    </cfRule>
    <cfRule type="expression" dxfId="276" priority="475">
      <formula>OR(J9=" f ",J9="f/g")</formula>
    </cfRule>
  </conditionalFormatting>
  <conditionalFormatting sqref="J14:K14">
    <cfRule type="expression" dxfId="275" priority="644">
      <formula>LEFT(J14,1)="["</formula>
    </cfRule>
  </conditionalFormatting>
  <conditionalFormatting sqref="J15:K17">
    <cfRule type="expression" dxfId="274" priority="462" stopIfTrue="1">
      <formula>J15=" g "</formula>
    </cfRule>
    <cfRule type="expression" dxfId="273" priority="463">
      <formula>OR(J15=" f ",J15="f/g")</formula>
    </cfRule>
  </conditionalFormatting>
  <conditionalFormatting sqref="J20:K20">
    <cfRule type="expression" dxfId="272" priority="628">
      <formula>LEFT(J20,1)="["</formula>
    </cfRule>
  </conditionalFormatting>
  <conditionalFormatting sqref="J21:K23">
    <cfRule type="expression" dxfId="271" priority="448" stopIfTrue="1">
      <formula>J21=" g "</formula>
    </cfRule>
    <cfRule type="expression" dxfId="270" priority="449">
      <formula>OR(J21=" f ",J21="f/g")</formula>
    </cfRule>
  </conditionalFormatting>
  <conditionalFormatting sqref="J27:L29">
    <cfRule type="expression" dxfId="269" priority="440" stopIfTrue="1">
      <formula>J27=" g "</formula>
    </cfRule>
    <cfRule type="expression" dxfId="268" priority="441" stopIfTrue="1">
      <formula>OR(J27=" f ",J27="f/g")</formula>
    </cfRule>
  </conditionalFormatting>
  <conditionalFormatting sqref="J33:L35">
    <cfRule type="expression" dxfId="267" priority="430" stopIfTrue="1">
      <formula>J33=" g "</formula>
    </cfRule>
    <cfRule type="expression" dxfId="266" priority="431" stopIfTrue="1">
      <formula>OR(J33=" f ",J33="f/g")</formula>
    </cfRule>
  </conditionalFormatting>
  <conditionalFormatting sqref="J39:L41">
    <cfRule type="expression" dxfId="265" priority="424" stopIfTrue="1">
      <formula>J39=" g "</formula>
    </cfRule>
    <cfRule type="expression" dxfId="264" priority="425" stopIfTrue="1">
      <formula>OR(J39=" f ",J39="f/g")</formula>
    </cfRule>
  </conditionalFormatting>
  <conditionalFormatting sqref="J45:L47">
    <cfRule type="expression" dxfId="263" priority="414" stopIfTrue="1">
      <formula>J45=" g "</formula>
    </cfRule>
    <cfRule type="expression" dxfId="262" priority="415" stopIfTrue="1">
      <formula>OR(J45=" f ",J45="f/g")</formula>
    </cfRule>
  </conditionalFormatting>
  <conditionalFormatting sqref="K8">
    <cfRule type="expression" dxfId="261" priority="666">
      <formula>K8&lt;&gt;" "</formula>
    </cfRule>
  </conditionalFormatting>
  <conditionalFormatting sqref="K14">
    <cfRule type="expression" dxfId="260" priority="642">
      <formula>K14&lt;&gt;" "</formula>
    </cfRule>
  </conditionalFormatting>
  <conditionalFormatting sqref="K20">
    <cfRule type="expression" dxfId="259" priority="626">
      <formula>K20&lt;&gt;" "</formula>
    </cfRule>
  </conditionalFormatting>
  <conditionalFormatting sqref="L9:L11">
    <cfRule type="expression" dxfId="258" priority="395">
      <formula>AND(L9&lt;&gt;" ",L9&lt;&gt;"")</formula>
    </cfRule>
  </conditionalFormatting>
  <conditionalFormatting sqref="L15:L17">
    <cfRule type="expression" dxfId="257" priority="400">
      <formula>AND(L15&lt;&gt;" ",L15&lt;&gt;"")</formula>
    </cfRule>
  </conditionalFormatting>
  <conditionalFormatting sqref="L21:L23">
    <cfRule type="expression" dxfId="256" priority="407">
      <formula>AND(L21&lt;&gt;" ",L21&lt;&gt;"")</formula>
    </cfRule>
  </conditionalFormatting>
  <conditionalFormatting sqref="L26">
    <cfRule type="expression" dxfId="255" priority="590">
      <formula>L26&lt;&gt;" "</formula>
    </cfRule>
    <cfRule type="expression" dxfId="254" priority="591">
      <formula>LEFT(L26,1)="["</formula>
    </cfRule>
  </conditionalFormatting>
  <conditionalFormatting sqref="L32">
    <cfRule type="expression" dxfId="253" priority="574">
      <formula>L32&lt;&gt;" "</formula>
    </cfRule>
    <cfRule type="expression" dxfId="252" priority="575">
      <formula>LEFT(L32,1)="["</formula>
    </cfRule>
  </conditionalFormatting>
  <conditionalFormatting sqref="L38">
    <cfRule type="expression" dxfId="251" priority="558">
      <formula>L38&lt;&gt;" "</formula>
    </cfRule>
    <cfRule type="expression" dxfId="250" priority="559">
      <formula>LEFT(L38,1)="["</formula>
    </cfRule>
  </conditionalFormatting>
  <conditionalFormatting sqref="L44">
    <cfRule type="expression" dxfId="249" priority="542">
      <formula>L44&lt;&gt;" "</formula>
    </cfRule>
    <cfRule type="expression" dxfId="248" priority="543">
      <formula>LEFT(L44,1)="["</formula>
    </cfRule>
  </conditionalFormatting>
  <conditionalFormatting sqref="M8">
    <cfRule type="expression" dxfId="247" priority="663">
      <formula>M8&lt;&gt;" "</formula>
    </cfRule>
  </conditionalFormatting>
  <conditionalFormatting sqref="M14">
    <cfRule type="expression" dxfId="246" priority="639">
      <formula>M14&lt;&gt;" "</formula>
    </cfRule>
  </conditionalFormatting>
  <conditionalFormatting sqref="M20">
    <cfRule type="expression" dxfId="245" priority="623">
      <formula>M20&lt;&gt;" "</formula>
    </cfRule>
  </conditionalFormatting>
  <conditionalFormatting sqref="M27:M29">
    <cfRule type="expression" dxfId="244" priority="389">
      <formula>AND(M27&lt;&gt;" ",M27&lt;&gt;"")</formula>
    </cfRule>
  </conditionalFormatting>
  <conditionalFormatting sqref="M33:M35">
    <cfRule type="expression" dxfId="243" priority="384">
      <formula>AND(M33&lt;&gt;" ",M33&lt;&gt;"")</formula>
    </cfRule>
  </conditionalFormatting>
  <conditionalFormatting sqref="M39:M41">
    <cfRule type="expression" dxfId="242" priority="379">
      <formula>AND(M39&lt;&gt;" ",M39&lt;&gt;"")</formula>
    </cfRule>
  </conditionalFormatting>
  <conditionalFormatting sqref="M45:M47">
    <cfRule type="expression" dxfId="241" priority="374">
      <formula>AND(M45&lt;&gt;" ",M45&lt;&gt;"")</formula>
    </cfRule>
  </conditionalFormatting>
  <conditionalFormatting sqref="M3:N5">
    <cfRule type="expression" dxfId="240" priority="484" stopIfTrue="1">
      <formula>M3=" g "</formula>
    </cfRule>
    <cfRule type="expression" dxfId="239" priority="485">
      <formula>OR(M3=" f ",M3="f/g")</formula>
    </cfRule>
  </conditionalFormatting>
  <conditionalFormatting sqref="M8:N8">
    <cfRule type="expression" dxfId="238" priority="664">
      <formula>LEFT(M8,1)="["</formula>
    </cfRule>
  </conditionalFormatting>
  <conditionalFormatting sqref="M9:N11">
    <cfRule type="expression" dxfId="237" priority="472" stopIfTrue="1">
      <formula>M9=" g "</formula>
    </cfRule>
    <cfRule type="expression" dxfId="236" priority="473">
      <formula>OR(M9=" f ",M9="f/g")</formula>
    </cfRule>
  </conditionalFormatting>
  <conditionalFormatting sqref="M14:N14">
    <cfRule type="expression" dxfId="235" priority="640">
      <formula>LEFT(M14,1)="["</formula>
    </cfRule>
  </conditionalFormatting>
  <conditionalFormatting sqref="M15:N17">
    <cfRule type="expression" dxfId="234" priority="460" stopIfTrue="1">
      <formula>M15=" g "</formula>
    </cfRule>
    <cfRule type="expression" dxfId="233" priority="461">
      <formula>OR(M15=" f ",M15="f/g")</formula>
    </cfRule>
  </conditionalFormatting>
  <conditionalFormatting sqref="M20:N20">
    <cfRule type="expression" dxfId="232" priority="624">
      <formula>LEFT(M20,1)="["</formula>
    </cfRule>
  </conditionalFormatting>
  <conditionalFormatting sqref="M21:N23">
    <cfRule type="expression" dxfId="231" priority="450" stopIfTrue="1">
      <formula>M21=" g "</formula>
    </cfRule>
    <cfRule type="expression" dxfId="230" priority="451">
      <formula>OR(M21=" f ",M21="f/g")</formula>
    </cfRule>
  </conditionalFormatting>
  <conditionalFormatting sqref="N8">
    <cfRule type="expression" dxfId="229" priority="662">
      <formula>N8&lt;&gt;" "</formula>
    </cfRule>
  </conditionalFormatting>
  <conditionalFormatting sqref="N14">
    <cfRule type="expression" dxfId="228" priority="638">
      <formula>N14&lt;&gt;" "</formula>
    </cfRule>
  </conditionalFormatting>
  <conditionalFormatting sqref="N20">
    <cfRule type="expression" dxfId="227" priority="622">
      <formula>N20&lt;&gt;" "</formula>
    </cfRule>
  </conditionalFormatting>
  <conditionalFormatting sqref="N26">
    <cfRule type="expression" dxfId="226" priority="588">
      <formula>N26&lt;&gt;" "</formula>
    </cfRule>
    <cfRule type="expression" dxfId="225" priority="589">
      <formula>LEFT(N26,1)="["</formula>
    </cfRule>
  </conditionalFormatting>
  <conditionalFormatting sqref="N32">
    <cfRule type="expression" dxfId="224" priority="572">
      <formula>N32&lt;&gt;" "</formula>
    </cfRule>
    <cfRule type="expression" dxfId="223" priority="573">
      <formula>LEFT(N32,1)="["</formula>
    </cfRule>
  </conditionalFormatting>
  <conditionalFormatting sqref="N38">
    <cfRule type="expression" dxfId="222" priority="556">
      <formula>N38&lt;&gt;" "</formula>
    </cfRule>
    <cfRule type="expression" dxfId="221" priority="557">
      <formula>LEFT(N38,1)="["</formula>
    </cfRule>
  </conditionalFormatting>
  <conditionalFormatting sqref="N44">
    <cfRule type="expression" dxfId="220" priority="540">
      <formula>N44&lt;&gt;" "</formula>
    </cfRule>
    <cfRule type="expression" dxfId="219" priority="541">
      <formula>LEFT(N44,1)="["</formula>
    </cfRule>
  </conditionalFormatting>
  <conditionalFormatting sqref="N27:P29">
    <cfRule type="expression" dxfId="218" priority="438" stopIfTrue="1">
      <formula>N27=" g "</formula>
    </cfRule>
    <cfRule type="expression" dxfId="217" priority="439" stopIfTrue="1">
      <formula>OR(N27=" f ",N27="f/g")</formula>
    </cfRule>
  </conditionalFormatting>
  <conditionalFormatting sqref="N33:P35">
    <cfRule type="expression" dxfId="216" priority="432" stopIfTrue="1">
      <formula>N33=" g "</formula>
    </cfRule>
    <cfRule type="expression" dxfId="215" priority="433" stopIfTrue="1">
      <formula>OR(N33=" f ",N33="f/g")</formula>
    </cfRule>
  </conditionalFormatting>
  <conditionalFormatting sqref="N39:P41">
    <cfRule type="expression" dxfId="214" priority="422" stopIfTrue="1">
      <formula>N39=" g "</formula>
    </cfRule>
    <cfRule type="expression" dxfId="213" priority="423" stopIfTrue="1">
      <formula>OR(N39=" f ",N39="f/g")</formula>
    </cfRule>
  </conditionalFormatting>
  <conditionalFormatting sqref="N45:P47">
    <cfRule type="expression" dxfId="212" priority="416" stopIfTrue="1">
      <formula>N45=" g "</formula>
    </cfRule>
    <cfRule type="expression" dxfId="211" priority="417" stopIfTrue="1">
      <formula>OR(N45=" f ",N45="f/g")</formula>
    </cfRule>
  </conditionalFormatting>
  <conditionalFormatting sqref="O9:O11">
    <cfRule type="expression" dxfId="210" priority="394">
      <formula>AND(O9&lt;&gt;" ",O9&lt;&gt;"")</formula>
    </cfRule>
  </conditionalFormatting>
  <conditionalFormatting sqref="O15:O17">
    <cfRule type="expression" dxfId="209" priority="401">
      <formula>AND(O15&lt;&gt;" ",O15&lt;&gt;"")</formula>
    </cfRule>
  </conditionalFormatting>
  <conditionalFormatting sqref="O21:O23">
    <cfRule type="expression" dxfId="208" priority="406">
      <formula>AND(O21&lt;&gt;" ",O21&lt;&gt;"")</formula>
    </cfRule>
  </conditionalFormatting>
  <conditionalFormatting sqref="O428">
    <cfRule type="expression" dxfId="207" priority="155">
      <formula>O428 = " "</formula>
    </cfRule>
  </conditionalFormatting>
  <conditionalFormatting sqref="P8">
    <cfRule type="expression" dxfId="206" priority="659">
      <formula>P8&lt;&gt;" "</formula>
    </cfRule>
  </conditionalFormatting>
  <conditionalFormatting sqref="P14">
    <cfRule type="expression" dxfId="205" priority="635">
      <formula>P14&lt;&gt;" "</formula>
    </cfRule>
  </conditionalFormatting>
  <conditionalFormatting sqref="P20">
    <cfRule type="expression" dxfId="204" priority="619">
      <formula>P20&lt;&gt;" "</formula>
    </cfRule>
  </conditionalFormatting>
  <conditionalFormatting sqref="P26">
    <cfRule type="expression" dxfId="203" priority="586">
      <formula>P26&lt;&gt;" "</formula>
    </cfRule>
    <cfRule type="expression" dxfId="202" priority="587">
      <formula>LEFT(P26,1)="["</formula>
    </cfRule>
  </conditionalFormatting>
  <conditionalFormatting sqref="P32">
    <cfRule type="expression" dxfId="201" priority="570">
      <formula>P32&lt;&gt;" "</formula>
    </cfRule>
    <cfRule type="expression" dxfId="200" priority="571">
      <formula>LEFT(P32,1)="["</formula>
    </cfRule>
  </conditionalFormatting>
  <conditionalFormatting sqref="P38">
    <cfRule type="expression" dxfId="199" priority="554">
      <formula>P38&lt;&gt;" "</formula>
    </cfRule>
    <cfRule type="expression" dxfId="198" priority="555">
      <formula>LEFT(P38,1)="["</formula>
    </cfRule>
  </conditionalFormatting>
  <conditionalFormatting sqref="P44">
    <cfRule type="expression" dxfId="197" priority="538">
      <formula>P44&lt;&gt;" "</formula>
    </cfRule>
    <cfRule type="expression" dxfId="196" priority="539">
      <formula>LEFT(P44,1)="["</formula>
    </cfRule>
  </conditionalFormatting>
  <conditionalFormatting sqref="P3:Q5">
    <cfRule type="expression" dxfId="195" priority="482" stopIfTrue="1">
      <formula>P3=" g "</formula>
    </cfRule>
    <cfRule type="expression" dxfId="194" priority="483">
      <formula>OR(P3=" f ",P3="f/g")</formula>
    </cfRule>
  </conditionalFormatting>
  <conditionalFormatting sqref="P8:Q8">
    <cfRule type="expression" dxfId="193" priority="660">
      <formula>LEFT(P8,1)="["</formula>
    </cfRule>
  </conditionalFormatting>
  <conditionalFormatting sqref="P9:Q11">
    <cfRule type="expression" dxfId="192" priority="470" stopIfTrue="1">
      <formula>P9=" g "</formula>
    </cfRule>
    <cfRule type="expression" dxfId="191" priority="471">
      <formula>OR(P9=" f ",P9="f/g")</formula>
    </cfRule>
  </conditionalFormatting>
  <conditionalFormatting sqref="P14:Q14">
    <cfRule type="expression" dxfId="190" priority="636">
      <formula>LEFT(P14,1)="["</formula>
    </cfRule>
  </conditionalFormatting>
  <conditionalFormatting sqref="P15:Q17">
    <cfRule type="expression" dxfId="189" priority="458" stopIfTrue="1">
      <formula>P15=" g "</formula>
    </cfRule>
    <cfRule type="expression" dxfId="188" priority="459">
      <formula>OR(P15=" f ",P15="f/g")</formula>
    </cfRule>
  </conditionalFormatting>
  <conditionalFormatting sqref="P20:Q20">
    <cfRule type="expression" dxfId="187" priority="620">
      <formula>LEFT(P20,1)="["</formula>
    </cfRule>
  </conditionalFormatting>
  <conditionalFormatting sqref="P21:Q23">
    <cfRule type="expression" dxfId="186" priority="452" stopIfTrue="1">
      <formula>P21=" g "</formula>
    </cfRule>
    <cfRule type="expression" dxfId="185" priority="453">
      <formula>OR(P21=" f ",P21="f/g")</formula>
    </cfRule>
  </conditionalFormatting>
  <conditionalFormatting sqref="Q8">
    <cfRule type="expression" dxfId="184" priority="658">
      <formula>Q8&lt;&gt;" "</formula>
    </cfRule>
  </conditionalFormatting>
  <conditionalFormatting sqref="Q14">
    <cfRule type="expression" dxfId="183" priority="634">
      <formula>Q14&lt;&gt;" "</formula>
    </cfRule>
  </conditionalFormatting>
  <conditionalFormatting sqref="Q20">
    <cfRule type="expression" dxfId="182" priority="618">
      <formula>Q20&lt;&gt;" "</formula>
    </cfRule>
  </conditionalFormatting>
  <conditionalFormatting sqref="Q27:Q29">
    <cfRule type="expression" dxfId="181" priority="390">
      <formula>AND(Q27&lt;&gt;" ",Q27&lt;&gt;"")</formula>
    </cfRule>
  </conditionalFormatting>
  <conditionalFormatting sqref="Q33:Q35">
    <cfRule type="expression" dxfId="180" priority="383">
      <formula>AND(Q33&lt;&gt;" ",Q33&lt;&gt;"")</formula>
    </cfRule>
  </conditionalFormatting>
  <conditionalFormatting sqref="Q39:Q41">
    <cfRule type="expression" dxfId="179" priority="380">
      <formula>AND(Q39&lt;&gt;" ",Q39&lt;&gt;"")</formula>
    </cfRule>
  </conditionalFormatting>
  <conditionalFormatting sqref="Q45:Q47">
    <cfRule type="expression" dxfId="178" priority="373">
      <formula>AND(Q45&lt;&gt;" ",Q45&lt;&gt;"")</formula>
    </cfRule>
  </conditionalFormatting>
  <conditionalFormatting sqref="R9:R11">
    <cfRule type="expression" dxfId="177" priority="393">
      <formula>AND(R9&lt;&gt;" ",R9&lt;&gt;"")</formula>
    </cfRule>
  </conditionalFormatting>
  <conditionalFormatting sqref="R15:R17">
    <cfRule type="expression" dxfId="176" priority="402">
      <formula>AND(R15&lt;&gt;" ",R15&lt;&gt;"")</formula>
    </cfRule>
  </conditionalFormatting>
  <conditionalFormatting sqref="R21:R23">
    <cfRule type="expression" dxfId="175" priority="405">
      <formula>AND(R21&lt;&gt;" ",R21&lt;&gt;"")</formula>
    </cfRule>
  </conditionalFormatting>
  <conditionalFormatting sqref="R26">
    <cfRule type="expression" dxfId="174" priority="584">
      <formula>R26&lt;&gt;" "</formula>
    </cfRule>
    <cfRule type="expression" dxfId="173" priority="585">
      <formula>LEFT(R26,1)="["</formula>
    </cfRule>
  </conditionalFormatting>
  <conditionalFormatting sqref="R32">
    <cfRule type="expression" dxfId="172" priority="568">
      <formula>R32&lt;&gt;" "</formula>
    </cfRule>
    <cfRule type="expression" dxfId="171" priority="569">
      <formula>LEFT(R32,1)="["</formula>
    </cfRule>
  </conditionalFormatting>
  <conditionalFormatting sqref="R38">
    <cfRule type="expression" dxfId="170" priority="552">
      <formula>R38&lt;&gt;" "</formula>
    </cfRule>
    <cfRule type="expression" dxfId="169" priority="553">
      <formula>LEFT(R38,1)="["</formula>
    </cfRule>
  </conditionalFormatting>
  <conditionalFormatting sqref="R44">
    <cfRule type="expression" dxfId="168" priority="536">
      <formula>R44&lt;&gt;" "</formula>
    </cfRule>
    <cfRule type="expression" dxfId="167" priority="537">
      <formula>LEFT(R44,1)="["</formula>
    </cfRule>
  </conditionalFormatting>
  <conditionalFormatting sqref="R27:T29">
    <cfRule type="expression" dxfId="166" priority="436" stopIfTrue="1">
      <formula>R27=" g "</formula>
    </cfRule>
    <cfRule type="expression" dxfId="165" priority="437" stopIfTrue="1">
      <formula>OR(R27=" f ",R27="f/g")</formula>
    </cfRule>
  </conditionalFormatting>
  <conditionalFormatting sqref="R33:T35">
    <cfRule type="expression" dxfId="164" priority="434" stopIfTrue="1">
      <formula>R33=" g "</formula>
    </cfRule>
    <cfRule type="expression" dxfId="163" priority="435" stopIfTrue="1">
      <formula>OR(R33=" f ",R33="f/g")</formula>
    </cfRule>
  </conditionalFormatting>
  <conditionalFormatting sqref="R39:T41">
    <cfRule type="expression" dxfId="162" priority="420" stopIfTrue="1">
      <formula>R39=" g "</formula>
    </cfRule>
    <cfRule type="expression" dxfId="161" priority="421" stopIfTrue="1">
      <formula>OR(R39=" f ",R39="f/g")</formula>
    </cfRule>
  </conditionalFormatting>
  <conditionalFormatting sqref="R45:T47">
    <cfRule type="expression" dxfId="160" priority="418" stopIfTrue="1">
      <formula>R45=" g "</formula>
    </cfRule>
    <cfRule type="expression" dxfId="159" priority="419" stopIfTrue="1">
      <formula>OR(R45=" f ",R45="f/g")</formula>
    </cfRule>
  </conditionalFormatting>
  <conditionalFormatting sqref="S8">
    <cfRule type="expression" dxfId="158" priority="655">
      <formula>S8&lt;&gt;" "</formula>
    </cfRule>
  </conditionalFormatting>
  <conditionalFormatting sqref="S14">
    <cfRule type="expression" dxfId="157" priority="631">
      <formula>S14&lt;&gt;" "</formula>
    </cfRule>
  </conditionalFormatting>
  <conditionalFormatting sqref="S20">
    <cfRule type="expression" dxfId="156" priority="615">
      <formula>S20&lt;&gt;" "</formula>
    </cfRule>
  </conditionalFormatting>
  <conditionalFormatting sqref="S3:T5">
    <cfRule type="expression" dxfId="155" priority="480" stopIfTrue="1">
      <formula>S3=" g "</formula>
    </cfRule>
    <cfRule type="expression" dxfId="154" priority="481">
      <formula>OR(S3=" f ",S3="f/g")</formula>
    </cfRule>
  </conditionalFormatting>
  <conditionalFormatting sqref="S8:T8">
    <cfRule type="expression" dxfId="153" priority="656">
      <formula>LEFT(S8,1)="["</formula>
    </cfRule>
  </conditionalFormatting>
  <conditionalFormatting sqref="S9:T11">
    <cfRule type="expression" dxfId="152" priority="468" stopIfTrue="1">
      <formula>S9=" g "</formula>
    </cfRule>
    <cfRule type="expression" dxfId="151" priority="469">
      <formula>OR(S9=" f ",S9="f/g")</formula>
    </cfRule>
  </conditionalFormatting>
  <conditionalFormatting sqref="S14:T14">
    <cfRule type="expression" dxfId="150" priority="632">
      <formula>LEFT(S14,1)="["</formula>
    </cfRule>
  </conditionalFormatting>
  <conditionalFormatting sqref="S15:T17">
    <cfRule type="expression" dxfId="149" priority="456" stopIfTrue="1">
      <formula>S15=" g "</formula>
    </cfRule>
    <cfRule type="expression" dxfId="148" priority="457">
      <formula>OR(S15=" f ",S15="f/g")</formula>
    </cfRule>
  </conditionalFormatting>
  <conditionalFormatting sqref="S20:T20">
    <cfRule type="expression" dxfId="147" priority="616">
      <formula>LEFT(S20,1)="["</formula>
    </cfRule>
  </conditionalFormatting>
  <conditionalFormatting sqref="S21:T23">
    <cfRule type="expression" dxfId="146" priority="454" stopIfTrue="1">
      <formula>S21=" g "</formula>
    </cfRule>
    <cfRule type="expression" dxfId="145" priority="455">
      <formula>OR(S21=" f ",S21="f/g")</formula>
    </cfRule>
  </conditionalFormatting>
  <conditionalFormatting sqref="T8">
    <cfRule type="expression" dxfId="144" priority="654">
      <formula>T8&lt;&gt;" "</formula>
    </cfRule>
  </conditionalFormatting>
  <conditionalFormatting sqref="T14">
    <cfRule type="expression" dxfId="143" priority="630">
      <formula>T14&lt;&gt;" "</formula>
    </cfRule>
  </conditionalFormatting>
  <conditionalFormatting sqref="T20">
    <cfRule type="expression" dxfId="142" priority="614">
      <formula>T20&lt;&gt;" "</formula>
    </cfRule>
  </conditionalFormatting>
  <conditionalFormatting sqref="T26">
    <cfRule type="expression" dxfId="141" priority="582">
      <formula>T26&lt;&gt;" "</formula>
    </cfRule>
    <cfRule type="expression" dxfId="140" priority="583">
      <formula>LEFT(T26,1)="["</formula>
    </cfRule>
  </conditionalFormatting>
  <conditionalFormatting sqref="T32">
    <cfRule type="expression" dxfId="139" priority="566">
      <formula>T32&lt;&gt;" "</formula>
    </cfRule>
    <cfRule type="expression" dxfId="138" priority="567">
      <formula>LEFT(T32,1)="["</formula>
    </cfRule>
  </conditionalFormatting>
  <conditionalFormatting sqref="T38">
    <cfRule type="expression" dxfId="137" priority="550">
      <formula>T38&lt;&gt;" "</formula>
    </cfRule>
    <cfRule type="expression" dxfId="136" priority="551">
      <formula>LEFT(T38,1)="["</formula>
    </cfRule>
  </conditionalFormatting>
  <conditionalFormatting sqref="T44">
    <cfRule type="expression" dxfId="135" priority="534">
      <formula>T44&lt;&gt;" "</formula>
    </cfRule>
    <cfRule type="expression" dxfId="134" priority="535">
      <formula>LEFT(T44,1)="["</formula>
    </cfRule>
  </conditionalFormatting>
  <conditionalFormatting sqref="T413">
    <cfRule type="expression" dxfId="133" priority="105">
      <formula>T413 = " "</formula>
    </cfRule>
  </conditionalFormatting>
  <conditionalFormatting sqref="T418">
    <cfRule type="expression" dxfId="132" priority="107">
      <formula>T418 = " "</formula>
    </cfRule>
  </conditionalFormatting>
  <conditionalFormatting sqref="T419:T420">
    <cfRule type="expression" dxfId="131" priority="106">
      <formula xml:space="preserve"> T419 = " "</formula>
    </cfRule>
  </conditionalFormatting>
  <conditionalFormatting sqref="T443">
    <cfRule type="expression" dxfId="130" priority="108">
      <formula xml:space="preserve"> T443 = " "</formula>
    </cfRule>
  </conditionalFormatting>
  <conditionalFormatting sqref="T409:V417">
    <cfRule type="expression" dxfId="129" priority="102">
      <formula>T409 = " "</formula>
    </cfRule>
  </conditionalFormatting>
  <conditionalFormatting sqref="T421:V425 T426 V426 T427:V437 T438:U438 T439:V442 T444:V445">
    <cfRule type="expression" dxfId="128" priority="111">
      <formula>T421 = " "</formula>
    </cfRule>
  </conditionalFormatting>
  <conditionalFormatting sqref="U9:U11">
    <cfRule type="expression" dxfId="127" priority="392">
      <formula>AND(U9&lt;&gt;" ",U9&lt;&gt;"")</formula>
    </cfRule>
  </conditionalFormatting>
  <conditionalFormatting sqref="U15:U17">
    <cfRule type="expression" dxfId="126" priority="403">
      <formula>AND(U15&lt;&gt;" ",U15&lt;&gt;"")</formula>
    </cfRule>
  </conditionalFormatting>
  <conditionalFormatting sqref="U21:U23">
    <cfRule type="expression" dxfId="125" priority="404">
      <formula>AND(U21&lt;&gt;" ",U21&lt;&gt;"")</formula>
    </cfRule>
  </conditionalFormatting>
  <conditionalFormatting sqref="U27:U29">
    <cfRule type="expression" dxfId="124" priority="391">
      <formula>AND(U27&lt;&gt;" ",U27&lt;&gt;"")</formula>
    </cfRule>
  </conditionalFormatting>
  <conditionalFormatting sqref="U33:U35">
    <cfRule type="expression" dxfId="123" priority="382">
      <formula>AND(U33&lt;&gt;" ",U33&lt;&gt;"")</formula>
    </cfRule>
  </conditionalFormatting>
  <conditionalFormatting sqref="U39:U41">
    <cfRule type="expression" dxfId="122" priority="381">
      <formula>AND(U39&lt;&gt;" ",U39&lt;&gt;"")</formula>
    </cfRule>
  </conditionalFormatting>
  <conditionalFormatting sqref="U45:U47">
    <cfRule type="expression" dxfId="121" priority="372">
      <formula>AND(U45&lt;&gt;" ",U45&lt;&gt;"")</formula>
    </cfRule>
  </conditionalFormatting>
  <conditionalFormatting sqref="U426">
    <cfRule type="expression" dxfId="120" priority="110" stopIfTrue="1">
      <formula xml:space="preserve"> U426 = " "</formula>
    </cfRule>
  </conditionalFormatting>
  <conditionalFormatting sqref="U418:V420">
    <cfRule type="expression" dxfId="119" priority="104">
      <formula>U418 = " "</formula>
    </cfRule>
  </conditionalFormatting>
  <conditionalFormatting sqref="U443:V443">
    <cfRule type="expression" dxfId="118" priority="103">
      <formula>U443 = " "</formula>
    </cfRule>
  </conditionalFormatting>
  <conditionalFormatting sqref="V438">
    <cfRule type="expression" dxfId="117" priority="109">
      <formula xml:space="preserve"> V438 = " "</formula>
    </cfRule>
  </conditionalFormatting>
  <conditionalFormatting sqref="AB1:AB2 AD1:AD2 AB48:AB90 AD48:AD90 AB93:AB272 AD93:AD272">
    <cfRule type="expression" dxfId="116" priority="352">
      <formula xml:space="preserve"> AB1 = " "</formula>
    </cfRule>
  </conditionalFormatting>
  <conditionalFormatting sqref="AB289:AB290">
    <cfRule type="expression" dxfId="115" priority="317">
      <formula xml:space="preserve"> AB289 = " "</formula>
    </cfRule>
  </conditionalFormatting>
  <conditionalFormatting sqref="AB313">
    <cfRule type="expression" dxfId="114" priority="247">
      <formula xml:space="preserve"> AB313 = " "</formula>
    </cfRule>
  </conditionalFormatting>
  <conditionalFormatting sqref="AB316:AB360">
    <cfRule type="expression" dxfId="113" priority="246">
      <formula xml:space="preserve"> AB316 = " "</formula>
    </cfRule>
  </conditionalFormatting>
  <conditionalFormatting sqref="AB362:AB407 AD362:AD407">
    <cfRule type="expression" dxfId="112" priority="217">
      <formula xml:space="preserve"> AB362 = " "</formula>
    </cfRule>
  </conditionalFormatting>
  <conditionalFormatting sqref="AB414:AB418">
    <cfRule type="expression" dxfId="111" priority="54">
      <formula>AB414 = " "</formula>
    </cfRule>
  </conditionalFormatting>
  <conditionalFormatting sqref="AB423">
    <cfRule type="expression" dxfId="110" priority="162">
      <formula>AB423 = " "</formula>
    </cfRule>
  </conditionalFormatting>
  <conditionalFormatting sqref="AB424:AB425">
    <cfRule type="expression" dxfId="109" priority="161">
      <formula xml:space="preserve"> AB424 = " "</formula>
    </cfRule>
  </conditionalFormatting>
  <conditionalFormatting sqref="AB431 AD431 AB432:AD442 AB443:AC443 AB444:AD447 AB449:AD450">
    <cfRule type="expression" dxfId="108" priority="220">
      <formula>AB431 = " "</formula>
    </cfRule>
  </conditionalFormatting>
  <conditionalFormatting sqref="AB448">
    <cfRule type="expression" dxfId="107" priority="208">
      <formula xml:space="preserve"> AB448 = " "</formula>
    </cfRule>
  </conditionalFormatting>
  <conditionalFormatting sqref="AB451:AB452 AB496:AB499 AB543:AB546 AB590:AB1048576">
    <cfRule type="expression" dxfId="106" priority="207">
      <formula xml:space="preserve"> AB451 = " "</formula>
    </cfRule>
  </conditionalFormatting>
  <conditionalFormatting sqref="AB463">
    <cfRule type="expression" dxfId="105" priority="115">
      <formula>AB463 = " "</formula>
    </cfRule>
  </conditionalFormatting>
  <conditionalFormatting sqref="AB468">
    <cfRule type="expression" dxfId="104" priority="117">
      <formula>AB468 = " "</formula>
    </cfRule>
  </conditionalFormatting>
  <conditionalFormatting sqref="AB470">
    <cfRule type="expression" dxfId="103" priority="116">
      <formula xml:space="preserve"> AB470 = " "</formula>
    </cfRule>
  </conditionalFormatting>
  <conditionalFormatting sqref="AB493">
    <cfRule type="expression" dxfId="102" priority="120">
      <formula xml:space="preserve"> AB493 = " "</formula>
    </cfRule>
  </conditionalFormatting>
  <conditionalFormatting sqref="AB510">
    <cfRule type="expression" dxfId="101" priority="89">
      <formula>AB510 = " "</formula>
    </cfRule>
  </conditionalFormatting>
  <conditionalFormatting sqref="AB515">
    <cfRule type="expression" dxfId="100" priority="91">
      <formula>AB515 = " "</formula>
    </cfRule>
  </conditionalFormatting>
  <conditionalFormatting sqref="AB517">
    <cfRule type="expression" dxfId="99" priority="90">
      <formula xml:space="preserve"> AB517 = " "</formula>
    </cfRule>
  </conditionalFormatting>
  <conditionalFormatting sqref="AB540">
    <cfRule type="expression" dxfId="98" priority="94">
      <formula xml:space="preserve"> AB540 = " "</formula>
    </cfRule>
  </conditionalFormatting>
  <conditionalFormatting sqref="AB557">
    <cfRule type="expression" dxfId="97" priority="66">
      <formula>AB557 = " "</formula>
    </cfRule>
  </conditionalFormatting>
  <conditionalFormatting sqref="AB562">
    <cfRule type="expression" dxfId="96" priority="68">
      <formula>AB562 = " "</formula>
    </cfRule>
  </conditionalFormatting>
  <conditionalFormatting sqref="AB564">
    <cfRule type="expression" dxfId="95" priority="62">
      <formula xml:space="preserve"> AB564 = " "</formula>
    </cfRule>
  </conditionalFormatting>
  <conditionalFormatting sqref="AB587">
    <cfRule type="expression" dxfId="94" priority="71">
      <formula xml:space="preserve"> AB587 = " "</formula>
    </cfRule>
  </conditionalFormatting>
  <conditionalFormatting sqref="AB273:AD288 AC289:AD290 AB291:AD295 AB296 AD296 AB297:AD307 AB308:AC308 AB309:AD312 AC313:AD313 AB314:AD315">
    <cfRule type="expression" dxfId="93" priority="364">
      <formula>AB273 = " "</formula>
    </cfRule>
  </conditionalFormatting>
  <conditionalFormatting sqref="AB408:AD413 AC414:AD417 AB418:AD422">
    <cfRule type="expression" dxfId="92" priority="141">
      <formula>AB408 = " "</formula>
    </cfRule>
  </conditionalFormatting>
  <conditionalFormatting sqref="AB426:AD430">
    <cfRule type="expression" dxfId="91" priority="52">
      <formula>AB426 = " "</formula>
    </cfRule>
  </conditionalFormatting>
  <conditionalFormatting sqref="AB453:AD467">
    <cfRule type="expression" dxfId="90" priority="112">
      <formula>AB453 = " "</formula>
    </cfRule>
  </conditionalFormatting>
  <conditionalFormatting sqref="AB471:AD475 AB476 AD476 AB477:AD487 AB488:AC488 AB489:AD492 AB494:AD495">
    <cfRule type="expression" dxfId="89" priority="125">
      <formula>AB471 = " "</formula>
    </cfRule>
  </conditionalFormatting>
  <conditionalFormatting sqref="AB500:AD514">
    <cfRule type="expression" dxfId="88" priority="86">
      <formula>AB500 = " "</formula>
    </cfRule>
  </conditionalFormatting>
  <conditionalFormatting sqref="AB518:AD522 AB523 AD523 AB524:AD534 AB535:AC535 AB536:AD539 AB541:AD542">
    <cfRule type="expression" dxfId="87" priority="99">
      <formula>AB518 = " "</formula>
    </cfRule>
  </conditionalFormatting>
  <conditionalFormatting sqref="AB547:AD561">
    <cfRule type="expression" dxfId="86" priority="63">
      <formula>AB547 = " "</formula>
    </cfRule>
  </conditionalFormatting>
  <conditionalFormatting sqref="AB565:AD569 AB570 AD570 AB571:AD581 AB582:AC582 AB583:AD586 AB588:AD589">
    <cfRule type="expression" dxfId="85" priority="76">
      <formula>AB565 = " "</formula>
    </cfRule>
  </conditionalFormatting>
  <conditionalFormatting sqref="AC1:AC2 AC48:AC90 AC93:AC99 AC101:AC272">
    <cfRule type="expression" dxfId="84" priority="351" stopIfTrue="1">
      <formula xml:space="preserve"> AC1 = " "</formula>
    </cfRule>
  </conditionalFormatting>
  <conditionalFormatting sqref="AC100">
    <cfRule type="expression" dxfId="83" priority="254">
      <formula xml:space="preserve"> AC100 = " "</formula>
    </cfRule>
  </conditionalFormatting>
  <conditionalFormatting sqref="AC296">
    <cfRule type="expression" dxfId="82" priority="323" stopIfTrue="1">
      <formula xml:space="preserve"> AC296 = " "</formula>
    </cfRule>
  </conditionalFormatting>
  <conditionalFormatting sqref="AC316:AC360">
    <cfRule type="expression" dxfId="81" priority="347" stopIfTrue="1">
      <formula xml:space="preserve"> AC316 = " "</formula>
    </cfRule>
  </conditionalFormatting>
  <conditionalFormatting sqref="AC362:AC407">
    <cfRule type="expression" dxfId="80" priority="216" stopIfTrue="1">
      <formula xml:space="preserve"> AC362 = " "</formula>
    </cfRule>
  </conditionalFormatting>
  <conditionalFormatting sqref="AC431">
    <cfRule type="expression" dxfId="79" priority="214" stopIfTrue="1">
      <formula xml:space="preserve"> AC431 = " "</formula>
    </cfRule>
  </conditionalFormatting>
  <conditionalFormatting sqref="AC451:AC452 AC496:AC499 AC543:AC546 AC590:AC1048576">
    <cfRule type="expression" dxfId="78" priority="215" stopIfTrue="1">
      <formula xml:space="preserve"> AC451 = " "</formula>
    </cfRule>
  </conditionalFormatting>
  <conditionalFormatting sqref="AC476">
    <cfRule type="expression" dxfId="77" priority="123" stopIfTrue="1">
      <formula xml:space="preserve"> AC476 = " "</formula>
    </cfRule>
  </conditionalFormatting>
  <conditionalFormatting sqref="AC523">
    <cfRule type="expression" dxfId="76" priority="97" stopIfTrue="1">
      <formula xml:space="preserve"> AC523 = " "</formula>
    </cfRule>
  </conditionalFormatting>
  <conditionalFormatting sqref="AC570">
    <cfRule type="expression" dxfId="75" priority="74" stopIfTrue="1">
      <formula xml:space="preserve"> AC570 = " "</formula>
    </cfRule>
  </conditionalFormatting>
  <conditionalFormatting sqref="AC423:AD425">
    <cfRule type="expression" dxfId="74" priority="159">
      <formula>AC423 = " "</formula>
    </cfRule>
  </conditionalFormatting>
  <conditionalFormatting sqref="AC448:AD448">
    <cfRule type="expression" dxfId="73" priority="156">
      <formula>AC448 = " "</formula>
    </cfRule>
  </conditionalFormatting>
  <conditionalFormatting sqref="AC468:AD470">
    <cfRule type="expression" dxfId="72" priority="114">
      <formula>AC468 = " "</formula>
    </cfRule>
  </conditionalFormatting>
  <conditionalFormatting sqref="AC493:AD493">
    <cfRule type="expression" dxfId="71" priority="113">
      <formula>AC493 = " "</formula>
    </cfRule>
  </conditionalFormatting>
  <conditionalFormatting sqref="AC515:AD517">
    <cfRule type="expression" dxfId="70" priority="88">
      <formula>AC515 = " "</formula>
    </cfRule>
  </conditionalFormatting>
  <conditionalFormatting sqref="AC540:AD540">
    <cfRule type="expression" dxfId="69" priority="87">
      <formula>AC540 = " "</formula>
    </cfRule>
  </conditionalFormatting>
  <conditionalFormatting sqref="AC562:AD564">
    <cfRule type="expression" dxfId="68" priority="65">
      <formula>AC562 = " "</formula>
    </cfRule>
  </conditionalFormatting>
  <conditionalFormatting sqref="AC587:AD587">
    <cfRule type="expression" dxfId="67" priority="64">
      <formula>AC587 = " "</formula>
    </cfRule>
  </conditionalFormatting>
  <conditionalFormatting sqref="AD308">
    <cfRule type="expression" dxfId="66" priority="249">
      <formula xml:space="preserve"> AD308 = " "</formula>
    </cfRule>
  </conditionalFormatting>
  <conditionalFormatting sqref="AD316:AD360">
    <cfRule type="expression" dxfId="65" priority="238">
      <formula xml:space="preserve"> AD316 = " "</formula>
    </cfRule>
  </conditionalFormatting>
  <conditionalFormatting sqref="AD443">
    <cfRule type="expression" dxfId="64" priority="209">
      <formula xml:space="preserve"> AD443 = " "</formula>
    </cfRule>
  </conditionalFormatting>
  <conditionalFormatting sqref="AD451:AD452 AD496:AD499 AD543:AD546 AD590:AD1048576">
    <cfRule type="expression" dxfId="63" priority="206">
      <formula xml:space="preserve"> AD451 = " "</formula>
    </cfRule>
  </conditionalFormatting>
  <conditionalFormatting sqref="AD488">
    <cfRule type="expression" dxfId="62" priority="121">
      <formula xml:space="preserve"> AD488 = " "</formula>
    </cfRule>
  </conditionalFormatting>
  <conditionalFormatting sqref="AD535">
    <cfRule type="expression" dxfId="61" priority="95">
      <formula xml:space="preserve"> AD535 = " "</formula>
    </cfRule>
  </conditionalFormatting>
  <conditionalFormatting sqref="AD582">
    <cfRule type="expression" dxfId="60" priority="72">
      <formula xml:space="preserve"> AD582 = " "</formula>
    </cfRule>
  </conditionalFormatting>
  <conditionalFormatting sqref="AF1:AF2 AH1:AJ2 AF48:AF90 AH48:AJ90 AF93:AF108 AH93:AJ272 AF111:AF149 AF152:AF192 AF195:AF255 AF257:AF260 AF262:AF272">
    <cfRule type="expression" dxfId="59" priority="353" stopIfTrue="1">
      <formula>AF1=" "</formula>
    </cfRule>
  </conditionalFormatting>
  <conditionalFormatting sqref="AF109:AF110">
    <cfRule type="expression" dxfId="58" priority="269">
      <formula xml:space="preserve"> AF109 = " "</formula>
    </cfRule>
  </conditionalFormatting>
  <conditionalFormatting sqref="AF151">
    <cfRule type="expression" dxfId="57" priority="273">
      <formula xml:space="preserve"> AF151 = " "</formula>
    </cfRule>
  </conditionalFormatting>
  <conditionalFormatting sqref="AF194">
    <cfRule type="expression" dxfId="56" priority="272">
      <formula xml:space="preserve"> AF194 = " "</formula>
    </cfRule>
  </conditionalFormatting>
  <conditionalFormatting sqref="AF256">
    <cfRule type="expression" dxfId="55" priority="275">
      <formula xml:space="preserve"> AF256 = " "</formula>
    </cfRule>
  </conditionalFormatting>
  <conditionalFormatting sqref="AF261">
    <cfRule type="expression" dxfId="54" priority="271">
      <formula xml:space="preserve"> AF261 = " "</formula>
    </cfRule>
  </conditionalFormatting>
  <conditionalFormatting sqref="AF273:AF278 AH273:AJ278">
    <cfRule type="expression" dxfId="53" priority="363">
      <formula>AF273=" "</formula>
    </cfRule>
  </conditionalFormatting>
  <conditionalFormatting sqref="AF279:AF288 AF291:AF360">
    <cfRule type="expression" dxfId="52" priority="296" stopIfTrue="1">
      <formula>AF279=" "</formula>
    </cfRule>
  </conditionalFormatting>
  <conditionalFormatting sqref="AF290">
    <cfRule type="expression" dxfId="51" priority="270">
      <formula xml:space="preserve"> AF290 = " "</formula>
    </cfRule>
  </conditionalFormatting>
  <conditionalFormatting sqref="AF362:AF374">
    <cfRule type="expression" dxfId="50" priority="228" stopIfTrue="1">
      <formula>AF362=" "</formula>
    </cfRule>
  </conditionalFormatting>
  <conditionalFormatting sqref="AF376:AF407">
    <cfRule type="expression" dxfId="49" priority="204" stopIfTrue="1">
      <formula>AF376=" "</formula>
    </cfRule>
  </conditionalFormatting>
  <conditionalFormatting sqref="AF408:AF413 AH408:AJ413">
    <cfRule type="expression" dxfId="48" priority="219">
      <formula>AF408=" "</formula>
    </cfRule>
  </conditionalFormatting>
  <conditionalFormatting sqref="AF414:AF423 AF426:AF452 AF459:AF468 AF471:AF499 AF506:AF515 AF518:AF546 AF553:AF562 AF565:AF1048576">
    <cfRule type="expression" dxfId="47" priority="211" stopIfTrue="1">
      <formula>AF414=" "</formula>
    </cfRule>
  </conditionalFormatting>
  <conditionalFormatting sqref="AF424:AF425">
    <cfRule type="expression" dxfId="46" priority="22">
      <formula xml:space="preserve"> AF424 = " "</formula>
    </cfRule>
  </conditionalFormatting>
  <conditionalFormatting sqref="AF453:AF458 AH453:AJ458">
    <cfRule type="expression" dxfId="45" priority="124">
      <formula>AF453=" "</formula>
    </cfRule>
  </conditionalFormatting>
  <conditionalFormatting sqref="AF470">
    <cfRule type="expression" dxfId="44" priority="21">
      <formula xml:space="preserve"> AF470 = " "</formula>
    </cfRule>
  </conditionalFormatting>
  <conditionalFormatting sqref="AF500:AF505 AH500:AJ505">
    <cfRule type="expression" dxfId="43" priority="98">
      <formula>AF500=" "</formula>
    </cfRule>
  </conditionalFormatting>
  <conditionalFormatting sqref="AF517">
    <cfRule type="expression" dxfId="42" priority="20">
      <formula xml:space="preserve"> AF517 = " "</formula>
    </cfRule>
  </conditionalFormatting>
  <conditionalFormatting sqref="AF547:AF552 AH547:AJ552">
    <cfRule type="expression" dxfId="41" priority="75">
      <formula>AF547=" "</formula>
    </cfRule>
  </conditionalFormatting>
  <conditionalFormatting sqref="AF564">
    <cfRule type="expression" dxfId="40" priority="19">
      <formula xml:space="preserve"> AF564 = " "</formula>
    </cfRule>
  </conditionalFormatting>
  <conditionalFormatting sqref="AH279:AJ360">
    <cfRule type="expression" dxfId="39" priority="313" stopIfTrue="1">
      <formula>AH279=" "</formula>
    </cfRule>
  </conditionalFormatting>
  <conditionalFormatting sqref="AH362:AJ407">
    <cfRule type="expression" dxfId="38" priority="218" stopIfTrue="1">
      <formula>AH362=" "</formula>
    </cfRule>
  </conditionalFormatting>
  <conditionalFormatting sqref="AH414:AJ452 AH459:AJ499 AH506:AJ546 AH553:AJ1048576">
    <cfRule type="expression" dxfId="37" priority="212" stopIfTrue="1">
      <formula>AH414=" "</formula>
    </cfRule>
  </conditionalFormatting>
  <conditionalFormatting sqref="AL189:AP225">
    <cfRule type="expression" dxfId="36" priority="298">
      <formula>AL189=#REF!</formula>
    </cfRule>
  </conditionalFormatting>
  <conditionalFormatting sqref="AL407:AP408 AL413:AT430 AL431:AS431 AL432:AT450 AL451:AP451">
    <cfRule type="expression" dxfId="35" priority="222">
      <formula>AL407=#REF!</formula>
    </cfRule>
  </conditionalFormatting>
  <conditionalFormatting sqref="AL453:AP453 AL496:AP496">
    <cfRule type="expression" dxfId="34" priority="126">
      <formula>AL453=#REF!</formula>
    </cfRule>
  </conditionalFormatting>
  <conditionalFormatting sqref="AL500:AP500 AL543:AP543">
    <cfRule type="expression" dxfId="33" priority="100">
      <formula>AL500=#REF!</formula>
    </cfRule>
  </conditionalFormatting>
  <conditionalFormatting sqref="AL547:AP547 AL590:AP590">
    <cfRule type="expression" dxfId="32" priority="77">
      <formula>AL547=#REF!</formula>
    </cfRule>
  </conditionalFormatting>
  <conditionalFormatting sqref="AL54:AT90">
    <cfRule type="expression" dxfId="31" priority="43">
      <formula>AL54=#REF!</formula>
    </cfRule>
  </conditionalFormatting>
  <conditionalFormatting sqref="AL99:AT135">
    <cfRule type="expression" dxfId="30" priority="200">
      <formula>AL99=#REF!</formula>
    </cfRule>
  </conditionalFormatting>
  <conditionalFormatting sqref="AL138:AT139 AL140 AL141:AT141 AL185 AL186:AT186 AL188:AT188 AL226:AT229 AL230 AL231:AT231 AS273:AT273 AL274:AT274 AL275 AL276:AT276">
    <cfRule type="expression" dxfId="29" priority="873">
      <formula>AL138=#REF!</formula>
    </cfRule>
  </conditionalFormatting>
  <conditionalFormatting sqref="AL143:AT184 AQ189:AT201 AS201:AS203 AQ202:AR203 AT202:AT203 AQ204:AT225 AL233:AT255 AL256:AS256 AL257:AT260 AL261:AS261 AL262:AT270 AL271:AP273 AL278:AT315 AL316:AP317">
    <cfRule type="expression" dxfId="28" priority="531">
      <formula>AL143=#REF!</formula>
    </cfRule>
  </conditionalFormatting>
  <conditionalFormatting sqref="AL324:AT360">
    <cfRule type="expression" dxfId="27" priority="38">
      <formula>AL324=#REF!</formula>
    </cfRule>
  </conditionalFormatting>
  <conditionalFormatting sqref="AL363:AT364 AL365 AL366:AT366">
    <cfRule type="expression" dxfId="26" priority="231">
      <formula>AL363=#REF!</formula>
    </cfRule>
  </conditionalFormatting>
  <conditionalFormatting sqref="AL368:AT406">
    <cfRule type="expression" dxfId="25" priority="198">
      <formula>AL368=#REF!</formula>
    </cfRule>
  </conditionalFormatting>
  <conditionalFormatting sqref="AL452:AT452 AL497:AT499 AL544:AT546 AL591:AT723">
    <cfRule type="expression" dxfId="24" priority="910">
      <formula>AL452=#REF!</formula>
    </cfRule>
  </conditionalFormatting>
  <conditionalFormatting sqref="AL458:AT495">
    <cfRule type="expression" dxfId="23" priority="3">
      <formula>AL458=#REF!</formula>
    </cfRule>
  </conditionalFormatting>
  <conditionalFormatting sqref="AL505:AT542">
    <cfRule type="expression" dxfId="22" priority="2">
      <formula>AL505=#REF!</formula>
    </cfRule>
  </conditionalFormatting>
  <conditionalFormatting sqref="AL552:AT589">
    <cfRule type="expression" dxfId="21" priority="1">
      <formula>AL552=#REF!</formula>
    </cfRule>
  </conditionalFormatting>
  <conditionalFormatting sqref="AS408:AT408 AL409:AT409 AL410 AL411:AT411">
    <cfRule type="expression" dxfId="20" priority="223">
      <formula>AL408=#REF!</formula>
    </cfRule>
  </conditionalFormatting>
  <conditionalFormatting sqref="AS453:AT453 AL454:AT454 AL455 AL456:AT456">
    <cfRule type="expression" dxfId="19" priority="127">
      <formula>AL453=#REF!</formula>
    </cfRule>
  </conditionalFormatting>
  <conditionalFormatting sqref="AS500:AT500 AL501:AT501 AL502 AL503:AT503">
    <cfRule type="expression" dxfId="18" priority="101">
      <formula>AL500=#REF!</formula>
    </cfRule>
  </conditionalFormatting>
  <conditionalFormatting sqref="AS547:AT547 AL548:AT548 AL549 AL550:AT550">
    <cfRule type="expression" dxfId="17" priority="78">
      <formula>AL547=#REF!</formula>
    </cfRule>
  </conditionalFormatting>
  <conditionalFormatting sqref="AT431">
    <cfRule type="expression" dxfId="16" priority="197">
      <formula>AT431=#REF!</formula>
    </cfRule>
  </conditionalFormatting>
  <conditionalFormatting sqref="AX54:BE90">
    <cfRule type="expression" dxfId="15" priority="262">
      <formula>AX54&lt;&gt;AM54</formula>
    </cfRule>
  </conditionalFormatting>
  <conditionalFormatting sqref="AX99:BE135">
    <cfRule type="expression" dxfId="14" priority="237">
      <formula>AX99&lt;&gt;AM99</formula>
    </cfRule>
  </conditionalFormatting>
  <conditionalFormatting sqref="AX144:BE180">
    <cfRule type="expression" dxfId="13" priority="236">
      <formula>AX144&lt;&gt;AM144</formula>
    </cfRule>
  </conditionalFormatting>
  <conditionalFormatting sqref="AX189:BE225">
    <cfRule type="expression" dxfId="12" priority="34">
      <formula>AX189&lt;&gt;AM189</formula>
    </cfRule>
  </conditionalFormatting>
  <conditionalFormatting sqref="AX234:BE270">
    <cfRule type="expression" dxfId="11" priority="234">
      <formula>AX234&lt;&gt;AM234</formula>
    </cfRule>
  </conditionalFormatting>
  <conditionalFormatting sqref="AX279:BE315">
    <cfRule type="expression" dxfId="10" priority="233">
      <formula>AX279&lt;&gt;AM279</formula>
    </cfRule>
  </conditionalFormatting>
  <conditionalFormatting sqref="AX324:BE360">
    <cfRule type="expression" dxfId="9" priority="33">
      <formula>AX324&lt;&gt;AM324</formula>
    </cfRule>
  </conditionalFormatting>
  <conditionalFormatting sqref="AX369:BE405">
    <cfRule type="expression" dxfId="8" priority="224">
      <formula>AX369&lt;&gt;AM369</formula>
    </cfRule>
  </conditionalFormatting>
  <conditionalFormatting sqref="AX414:BE450">
    <cfRule type="expression" dxfId="7" priority="32">
      <formula>AX414&lt;&gt;AM414</formula>
    </cfRule>
  </conditionalFormatting>
  <conditionalFormatting sqref="AX459:BE495">
    <cfRule type="expression" dxfId="6" priority="31">
      <formula>AX459&lt;&gt;AM459</formula>
    </cfRule>
  </conditionalFormatting>
  <conditionalFormatting sqref="AX506:BE542">
    <cfRule type="expression" dxfId="5" priority="30">
      <formula>AX506&lt;&gt;AM506</formula>
    </cfRule>
  </conditionalFormatting>
  <conditionalFormatting sqref="AX553:BE589">
    <cfRule type="expression" dxfId="4" priority="29">
      <formula>AX553&lt;&gt;AM553</formula>
    </cfRule>
  </conditionalFormatting>
  <conditionalFormatting sqref="BI47:BI228 BI230:BI272">
    <cfRule type="expression" dxfId="3" priority="409">
      <formula>ISNA(BI47)</formula>
    </cfRule>
  </conditionalFormatting>
  <conditionalFormatting sqref="BI275:BI407 BI410:BI452 BI455:BI499 BI502:BI546 BI549:BI723">
    <cfRule type="expression" dxfId="2" priority="221">
      <formula>ISNA(BI275)</formula>
    </cfRule>
  </conditionalFormatting>
  <dataValidations count="1">
    <dataValidation type="list" allowBlank="1" showInputMessage="1" showErrorMessage="1" sqref="A1" xr:uid="{00000000-0002-0000-0000-000000000000}">
      <formula1>$W$3:$W$33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6"/>
  <sheetViews>
    <sheetView workbookViewId="0">
      <pane ySplit="1" topLeftCell="A191" activePane="bottomLeft" state="frozen"/>
      <selection activeCell="I33" sqref="I33:I35"/>
      <selection pane="bottomLeft" activeCell="E212" sqref="E212"/>
    </sheetView>
  </sheetViews>
  <sheetFormatPr baseColWidth="10" defaultColWidth="10.83203125" defaultRowHeight="16" x14ac:dyDescent="0.2"/>
  <cols>
    <col min="1" max="1" width="12.6640625" bestFit="1" customWidth="1"/>
    <col min="2" max="2" width="18.83203125" style="41" bestFit="1" customWidth="1"/>
    <col min="3" max="3" width="24" style="41" customWidth="1"/>
    <col min="4" max="4" width="16.33203125" style="5" bestFit="1" customWidth="1"/>
    <col min="5" max="5" width="19.33203125" bestFit="1" customWidth="1"/>
    <col min="6" max="6" width="18.33203125" bestFit="1" customWidth="1"/>
    <col min="7" max="7" width="18.5" customWidth="1"/>
    <col min="8" max="8" width="19.5" bestFit="1" customWidth="1"/>
    <col min="9" max="9" width="18.83203125" bestFit="1" customWidth="1"/>
    <col min="11" max="11" width="47.5" bestFit="1" customWidth="1"/>
    <col min="12" max="12" width="7.6640625" bestFit="1" customWidth="1"/>
    <col min="13" max="13" width="255.6640625" customWidth="1"/>
  </cols>
  <sheetData>
    <row r="1" spans="2:13" x14ac:dyDescent="0.2">
      <c r="B1" s="33" t="s">
        <v>454</v>
      </c>
      <c r="C1" s="33" t="s">
        <v>455</v>
      </c>
      <c r="E1" s="32" t="s">
        <v>456</v>
      </c>
      <c r="F1" s="32"/>
    </row>
    <row r="2" spans="2:13" x14ac:dyDescent="0.2">
      <c r="B2" s="34">
        <v>0</v>
      </c>
      <c r="C2" s="34" t="s">
        <v>252</v>
      </c>
      <c r="E2" s="55" t="s">
        <v>311</v>
      </c>
      <c r="F2" s="55" t="s">
        <v>66</v>
      </c>
    </row>
    <row r="3" spans="2:13" x14ac:dyDescent="0.2">
      <c r="B3" s="34" t="s">
        <v>457</v>
      </c>
      <c r="C3" s="34" t="s">
        <v>252</v>
      </c>
      <c r="E3" s="55" t="s">
        <v>134</v>
      </c>
      <c r="F3" s="55" t="s">
        <v>134</v>
      </c>
      <c r="H3" s="65" t="s">
        <v>458</v>
      </c>
      <c r="I3" s="66" t="str">
        <f>""</f>
        <v/>
      </c>
      <c r="J3" s="68" t="str">
        <f>"A1"</f>
        <v>A1</v>
      </c>
      <c r="K3" s="67" t="str">
        <f>"Substitute(" &amp; J3 &amp; "; """&amp;H3&amp;"""; """ &amp; I3 &amp;"""); "</f>
        <v xml:space="preserve">Substitute(A1; ".lo"; ""); </v>
      </c>
      <c r="L3" s="65" t="s">
        <v>459</v>
      </c>
      <c r="M3" s="69" t="str">
        <f>K4</f>
        <v>Substitute(Substitute(A1; ".lo"; ""); "MNU_"; "-MNU_")</v>
      </c>
    </row>
    <row r="4" spans="2:13" x14ac:dyDescent="0.2">
      <c r="B4" s="34">
        <v>1</v>
      </c>
      <c r="C4" s="34" t="s">
        <v>226</v>
      </c>
      <c r="E4" s="55" t="s">
        <v>350</v>
      </c>
      <c r="F4" s="55" t="s">
        <v>140</v>
      </c>
      <c r="H4" s="65" t="s">
        <v>460</v>
      </c>
      <c r="I4" s="65" t="str">
        <f>"-MNU_"</f>
        <v>-MNU_</v>
      </c>
      <c r="K4" s="67" t="str">
        <f>"Substitute(" &amp; K3&amp; """"&amp;H4&amp;"""; """&amp;I4&amp;""")"</f>
        <v>Substitute(Substitute(A1; ".lo"; ""); "MNU_"; "-MNU_")</v>
      </c>
      <c r="L4" s="65" t="s">
        <v>461</v>
      </c>
      <c r="M4" s="65" t="s">
        <v>462</v>
      </c>
    </row>
    <row r="5" spans="2:13" x14ac:dyDescent="0.2">
      <c r="B5" s="34" t="s">
        <v>463</v>
      </c>
      <c r="C5" s="34" t="s">
        <v>226</v>
      </c>
      <c r="E5" s="55" t="s">
        <v>355</v>
      </c>
      <c r="F5" s="55" t="s">
        <v>146</v>
      </c>
    </row>
    <row r="6" spans="2:13" x14ac:dyDescent="0.2">
      <c r="B6" s="34">
        <v>2</v>
      </c>
      <c r="C6" s="34" t="s">
        <v>230</v>
      </c>
      <c r="E6" s="55" t="s">
        <v>158</v>
      </c>
      <c r="F6" s="55" t="s">
        <v>158</v>
      </c>
      <c r="G6" s="99" t="s">
        <v>464</v>
      </c>
      <c r="H6" s="100" t="s">
        <v>251</v>
      </c>
      <c r="I6" s="100" t="s">
        <v>252</v>
      </c>
      <c r="J6" s="68" t="s">
        <v>465</v>
      </c>
      <c r="K6" s="67" t="str">
        <f>"Substitute(" &amp; J6 &amp; "; """&amp;H6&amp;"""; """ &amp; I6 &amp;""")"</f>
        <v>Substitute(B2; "ITM_SEMICOLON"; "ITM_0")</v>
      </c>
      <c r="L6" s="65" t="s">
        <v>459</v>
      </c>
      <c r="M6" s="69" t="str">
        <f>K6</f>
        <v>Substitute(B2; "ITM_SEMICOLON"; "ITM_0")</v>
      </c>
    </row>
    <row r="7" spans="2:13" x14ac:dyDescent="0.2">
      <c r="B7" s="34" t="s">
        <v>466</v>
      </c>
      <c r="C7" s="34" t="s">
        <v>230</v>
      </c>
      <c r="E7" s="55" t="s">
        <v>165</v>
      </c>
      <c r="F7" s="55" t="s">
        <v>165</v>
      </c>
      <c r="L7" s="65" t="s">
        <v>461</v>
      </c>
      <c r="M7" s="65" t="s">
        <v>467</v>
      </c>
    </row>
    <row r="8" spans="2:13" x14ac:dyDescent="0.2">
      <c r="B8" s="34">
        <v>3</v>
      </c>
      <c r="C8" s="34" t="s">
        <v>235</v>
      </c>
      <c r="E8" s="55" t="s">
        <v>170</v>
      </c>
      <c r="F8" s="55" t="s">
        <v>170</v>
      </c>
    </row>
    <row r="9" spans="2:13" x14ac:dyDescent="0.2">
      <c r="B9" s="34" t="s">
        <v>468</v>
      </c>
      <c r="C9" s="34" t="s">
        <v>235</v>
      </c>
      <c r="E9" s="55" t="s">
        <v>175</v>
      </c>
      <c r="F9" s="55" t="s">
        <v>175</v>
      </c>
      <c r="H9" s="65" t="s">
        <v>469</v>
      </c>
      <c r="I9" s="65" t="s">
        <v>165</v>
      </c>
      <c r="K9" s="67" t="str">
        <f>""""&amp;H9&amp;"""; """&amp;I9&amp;""""</f>
        <v>"ITM_T_HOME"; "ITM_UP1"</v>
      </c>
      <c r="L9" s="65" t="s">
        <v>459</v>
      </c>
      <c r="M9" s="69" t="str">
        <f>_xlfn.TEXTJOIN("; ",TRUE,K9:K17)</f>
        <v>"ITM_T_HOME"; "ITM_UP1"; "ITM_T_END"; "ITM_DOWN1"; "DOCU_CHR_sub"; "ITM_DOWN_ARROW"; "DOCU_CHR_super"; "ITM_UP_ARROW"; "MNU_TAMALPHA"; "ITM_alpha"; "DOCU_CHR_caseFLIP"; "ITM_NULL"; "DOCU_CHR_numSET"; "ITM_NULL"; "DOCU_ITM_RADIX"; "ITM_PERIOD"; "ITM_SEMICOLON"; "ITM_0"</v>
      </c>
    </row>
    <row r="10" spans="2:13" x14ac:dyDescent="0.2">
      <c r="B10" s="34" t="s">
        <v>629</v>
      </c>
      <c r="C10" s="35" t="s">
        <v>628</v>
      </c>
      <c r="E10" s="55" t="s">
        <v>180</v>
      </c>
      <c r="F10" s="55" t="s">
        <v>180</v>
      </c>
      <c r="H10" s="65" t="s">
        <v>470</v>
      </c>
      <c r="I10" s="65" t="s">
        <v>194</v>
      </c>
      <c r="K10" s="67" t="str">
        <f t="shared" ref="K10:K17" si="0">""""&amp;H10&amp;"""; """&amp;I10&amp;""""</f>
        <v>"ITM_T_END"; "ITM_DOWN1"</v>
      </c>
      <c r="L10" s="65" t="s">
        <v>461</v>
      </c>
      <c r="M10" s="65" t="s">
        <v>471</v>
      </c>
    </row>
    <row r="11" spans="2:13" x14ac:dyDescent="0.2">
      <c r="B11" s="34" t="s">
        <v>627</v>
      </c>
      <c r="C11" s="35" t="s">
        <v>628</v>
      </c>
      <c r="E11" s="55" t="s">
        <v>187</v>
      </c>
      <c r="F11" s="55" t="s">
        <v>186</v>
      </c>
      <c r="H11" s="65" t="s">
        <v>193</v>
      </c>
      <c r="I11" s="65" t="s">
        <v>327</v>
      </c>
      <c r="K11" s="67" t="str">
        <f t="shared" si="0"/>
        <v>"DOCU_CHR_sub"; "ITM_DOWN_ARROW"</v>
      </c>
    </row>
    <row r="12" spans="2:13" x14ac:dyDescent="0.2">
      <c r="B12" s="34">
        <v>4</v>
      </c>
      <c r="C12" s="34" t="s">
        <v>199</v>
      </c>
      <c r="E12" s="55" t="s">
        <v>194</v>
      </c>
      <c r="F12" s="55" t="s">
        <v>194</v>
      </c>
      <c r="H12" s="65" t="s">
        <v>164</v>
      </c>
      <c r="I12" s="65" t="s">
        <v>360</v>
      </c>
      <c r="K12" s="67" t="str">
        <f t="shared" si="0"/>
        <v>"DOCU_CHR_super"; "ITM_UP_ARROW"</v>
      </c>
    </row>
    <row r="13" spans="2:13" x14ac:dyDescent="0.2">
      <c r="B13" s="34" t="s">
        <v>472</v>
      </c>
      <c r="C13" s="34" t="s">
        <v>199</v>
      </c>
      <c r="E13" s="55" t="s">
        <v>199</v>
      </c>
      <c r="F13" s="55" t="s">
        <v>199</v>
      </c>
      <c r="H13" s="65" t="s">
        <v>622</v>
      </c>
      <c r="I13" s="65" t="s">
        <v>315</v>
      </c>
      <c r="K13" s="67" t="str">
        <f t="shared" si="0"/>
        <v>"MNU_TAMALPHA"; "ITM_alpha"</v>
      </c>
    </row>
    <row r="14" spans="2:13" x14ac:dyDescent="0.2">
      <c r="B14" s="34">
        <v>5</v>
      </c>
      <c r="C14" s="34" t="s">
        <v>204</v>
      </c>
      <c r="E14" s="55" t="s">
        <v>204</v>
      </c>
      <c r="F14" s="55" t="s">
        <v>204</v>
      </c>
      <c r="H14" s="65" t="s">
        <v>219</v>
      </c>
      <c r="I14" s="65" t="s">
        <v>81</v>
      </c>
      <c r="K14" s="67" t="str">
        <f t="shared" si="0"/>
        <v>"DOCU_CHR_caseFLIP"; "ITM_NULL"</v>
      </c>
    </row>
    <row r="15" spans="2:13" x14ac:dyDescent="0.2">
      <c r="B15" s="34" t="s">
        <v>473</v>
      </c>
      <c r="C15" s="34" t="s">
        <v>204</v>
      </c>
      <c r="E15" s="55" t="s">
        <v>209</v>
      </c>
      <c r="F15" s="55" t="s">
        <v>209</v>
      </c>
      <c r="H15" s="65" t="s">
        <v>220</v>
      </c>
      <c r="I15" s="65" t="s">
        <v>81</v>
      </c>
      <c r="K15" s="67" t="str">
        <f t="shared" si="0"/>
        <v>"DOCU_CHR_numSET"; "ITM_NULL"</v>
      </c>
    </row>
    <row r="16" spans="2:13" x14ac:dyDescent="0.2">
      <c r="B16" s="34">
        <v>6</v>
      </c>
      <c r="C16" s="34" t="s">
        <v>209</v>
      </c>
      <c r="E16" s="55" t="s">
        <v>216</v>
      </c>
      <c r="F16" s="55" t="s">
        <v>215</v>
      </c>
      <c r="H16" s="65" t="s">
        <v>475</v>
      </c>
      <c r="I16" s="65" t="s">
        <v>257</v>
      </c>
      <c r="K16" s="67" t="str">
        <f t="shared" si="0"/>
        <v>"DOCU_ITM_RADIX"; "ITM_PERIOD"</v>
      </c>
    </row>
    <row r="17" spans="1:11" x14ac:dyDescent="0.2">
      <c r="B17" s="34" t="s">
        <v>474</v>
      </c>
      <c r="C17" s="34" t="s">
        <v>209</v>
      </c>
      <c r="E17" s="55" t="s">
        <v>221</v>
      </c>
      <c r="F17" s="55" t="s">
        <v>221</v>
      </c>
      <c r="H17" s="217" t="s">
        <v>251</v>
      </c>
      <c r="I17" s="217" t="s">
        <v>252</v>
      </c>
      <c r="K17" s="67" t="str">
        <f t="shared" si="0"/>
        <v>"ITM_SEMICOLON"; "ITM_0"</v>
      </c>
    </row>
    <row r="18" spans="1:11" x14ac:dyDescent="0.2">
      <c r="B18" s="34">
        <v>7</v>
      </c>
      <c r="C18" s="34" t="s">
        <v>170</v>
      </c>
      <c r="E18" s="55" t="s">
        <v>226</v>
      </c>
      <c r="F18" s="55" t="s">
        <v>226</v>
      </c>
    </row>
    <row r="19" spans="1:11" x14ac:dyDescent="0.2">
      <c r="B19" s="34" t="s">
        <v>476</v>
      </c>
      <c r="C19" s="34" t="s">
        <v>170</v>
      </c>
      <c r="E19" s="55" t="s">
        <v>230</v>
      </c>
      <c r="F19" s="55" t="s">
        <v>230</v>
      </c>
    </row>
    <row r="20" spans="1:11" x14ac:dyDescent="0.2">
      <c r="B20" s="34">
        <v>8</v>
      </c>
      <c r="C20" s="34" t="s">
        <v>175</v>
      </c>
      <c r="E20" s="55" t="s">
        <v>235</v>
      </c>
      <c r="F20" s="55" t="s">
        <v>235</v>
      </c>
    </row>
    <row r="21" spans="1:11" x14ac:dyDescent="0.2">
      <c r="B21" s="34" t="s">
        <v>477</v>
      </c>
      <c r="C21" s="34" t="s">
        <v>175</v>
      </c>
      <c r="E21" s="55" t="s">
        <v>241</v>
      </c>
      <c r="F21" s="55" t="s">
        <v>240</v>
      </c>
    </row>
    <row r="22" spans="1:11" x14ac:dyDescent="0.2">
      <c r="B22" s="34">
        <v>9</v>
      </c>
      <c r="C22" s="34" t="s">
        <v>180</v>
      </c>
      <c r="E22" s="55" t="s">
        <v>247</v>
      </c>
      <c r="F22" s="55" t="s">
        <v>247</v>
      </c>
    </row>
    <row r="23" spans="1:11" x14ac:dyDescent="0.2">
      <c r="B23" s="34" t="s">
        <v>478</v>
      </c>
      <c r="C23" s="34" t="s">
        <v>180</v>
      </c>
      <c r="E23" s="55" t="s">
        <v>252</v>
      </c>
      <c r="F23" s="55" t="s">
        <v>252</v>
      </c>
    </row>
    <row r="24" spans="1:11" x14ac:dyDescent="0.2">
      <c r="B24" s="43" t="str">
        <f>" "</f>
        <v xml:space="preserve"> </v>
      </c>
      <c r="C24" s="34" t="s">
        <v>81</v>
      </c>
      <c r="E24" s="55" t="s">
        <v>257</v>
      </c>
      <c r="F24" s="55" t="s">
        <v>257</v>
      </c>
    </row>
    <row r="25" spans="1:11" x14ac:dyDescent="0.2">
      <c r="B25" s="34"/>
      <c r="C25" s="34"/>
      <c r="E25" s="55" t="s">
        <v>268</v>
      </c>
      <c r="F25" s="55" t="s">
        <v>267</v>
      </c>
    </row>
    <row r="26" spans="1:11" x14ac:dyDescent="0.2">
      <c r="B26" s="34" t="s">
        <v>143</v>
      </c>
      <c r="C26" s="34" t="s">
        <v>479</v>
      </c>
      <c r="E26" s="55" t="s">
        <v>480</v>
      </c>
      <c r="F26" s="55" t="s">
        <v>283</v>
      </c>
    </row>
    <row r="27" spans="1:11" x14ac:dyDescent="0.2">
      <c r="B27" s="36" t="s">
        <v>339</v>
      </c>
      <c r="C27" s="36" t="s">
        <v>340</v>
      </c>
      <c r="E27" s="55" t="s">
        <v>340</v>
      </c>
      <c r="F27" s="55" t="s">
        <v>340</v>
      </c>
    </row>
    <row r="28" spans="1:11" x14ac:dyDescent="0.2">
      <c r="B28" s="36" t="s">
        <v>341</v>
      </c>
      <c r="C28" s="36" t="s">
        <v>343</v>
      </c>
      <c r="E28" s="55" t="s">
        <v>343</v>
      </c>
      <c r="F28" s="55" t="s">
        <v>343</v>
      </c>
    </row>
    <row r="29" spans="1:11" ht="17" thickBot="1" x14ac:dyDescent="0.25">
      <c r="B29" s="56" t="s">
        <v>239</v>
      </c>
      <c r="C29" s="56" t="s">
        <v>481</v>
      </c>
      <c r="E29" s="169" t="s">
        <v>475</v>
      </c>
      <c r="F29" s="169" t="s">
        <v>257</v>
      </c>
    </row>
    <row r="30" spans="1:11" x14ac:dyDescent="0.2">
      <c r="A30" s="21"/>
      <c r="B30" s="58" t="s">
        <v>236</v>
      </c>
      <c r="C30" s="59" t="s">
        <v>241</v>
      </c>
    </row>
    <row r="31" spans="1:11" ht="17" thickBot="1" x14ac:dyDescent="0.25">
      <c r="A31" s="21"/>
      <c r="B31" s="60" t="s">
        <v>236</v>
      </c>
      <c r="C31" s="61" t="s">
        <v>240</v>
      </c>
    </row>
    <row r="32" spans="1:11" x14ac:dyDescent="0.2">
      <c r="B32" s="57" t="s">
        <v>48</v>
      </c>
      <c r="C32" s="57" t="s">
        <v>482</v>
      </c>
    </row>
    <row r="33" spans="2:3" x14ac:dyDescent="0.2">
      <c r="B33" s="34" t="s">
        <v>124</v>
      </c>
      <c r="C33" s="34" t="s">
        <v>398</v>
      </c>
    </row>
    <row r="34" spans="2:3" x14ac:dyDescent="0.2">
      <c r="B34" s="34" t="s">
        <v>117</v>
      </c>
      <c r="C34" s="34" t="s">
        <v>397</v>
      </c>
    </row>
    <row r="35" spans="2:3" x14ac:dyDescent="0.2">
      <c r="B35" s="34" t="s">
        <v>256</v>
      </c>
      <c r="C35" s="34" t="s">
        <v>438</v>
      </c>
    </row>
    <row r="36" spans="2:3" x14ac:dyDescent="0.2">
      <c r="B36" s="34" t="s">
        <v>483</v>
      </c>
      <c r="C36" s="34" t="s">
        <v>251</v>
      </c>
    </row>
    <row r="37" spans="2:3" x14ac:dyDescent="0.2">
      <c r="B37" s="34" t="s">
        <v>250</v>
      </c>
      <c r="C37" s="34" t="s">
        <v>484</v>
      </c>
    </row>
    <row r="38" spans="2:3" ht="21" x14ac:dyDescent="0.2">
      <c r="B38" s="37" t="s">
        <v>261</v>
      </c>
      <c r="C38" s="34" t="s">
        <v>434</v>
      </c>
    </row>
    <row r="39" spans="2:3" x14ac:dyDescent="0.2">
      <c r="B39" s="38" t="s">
        <v>253</v>
      </c>
      <c r="C39" s="38" t="s">
        <v>475</v>
      </c>
    </row>
    <row r="40" spans="2:3" x14ac:dyDescent="0.2">
      <c r="B40" s="34" t="s">
        <v>485</v>
      </c>
      <c r="C40" s="34" t="s">
        <v>257</v>
      </c>
    </row>
    <row r="41" spans="2:3" x14ac:dyDescent="0.2">
      <c r="B41" s="34" t="s">
        <v>70</v>
      </c>
      <c r="C41" s="34" t="s">
        <v>300</v>
      </c>
    </row>
    <row r="42" spans="2:3" x14ac:dyDescent="0.2">
      <c r="B42" s="34" t="s">
        <v>63</v>
      </c>
      <c r="C42" s="34" t="s">
        <v>486</v>
      </c>
    </row>
    <row r="43" spans="2:3" x14ac:dyDescent="0.2">
      <c r="B43" s="34" t="s">
        <v>487</v>
      </c>
      <c r="C43" s="35" t="s">
        <v>220</v>
      </c>
    </row>
    <row r="44" spans="2:3" x14ac:dyDescent="0.2">
      <c r="B44" s="34" t="s">
        <v>488</v>
      </c>
      <c r="C44" s="35" t="s">
        <v>219</v>
      </c>
    </row>
    <row r="45" spans="2:3" x14ac:dyDescent="0.2">
      <c r="B45" s="34" t="s">
        <v>171</v>
      </c>
      <c r="C45" s="34" t="s">
        <v>413</v>
      </c>
    </row>
    <row r="46" spans="2:3" x14ac:dyDescent="0.2">
      <c r="B46" s="164" t="s">
        <v>623</v>
      </c>
      <c r="C46" s="175" t="s">
        <v>622</v>
      </c>
    </row>
    <row r="47" spans="2:3" x14ac:dyDescent="0.2">
      <c r="B47" s="38" t="s">
        <v>83</v>
      </c>
      <c r="C47" s="34" t="s">
        <v>312</v>
      </c>
    </row>
    <row r="48" spans="2:3" x14ac:dyDescent="0.2">
      <c r="B48" s="165" t="s">
        <v>645</v>
      </c>
      <c r="C48" s="165" t="s">
        <v>313</v>
      </c>
    </row>
    <row r="49" spans="2:3" x14ac:dyDescent="0.2">
      <c r="B49" s="34" t="s">
        <v>195</v>
      </c>
      <c r="C49" s="34" t="s">
        <v>489</v>
      </c>
    </row>
    <row r="50" spans="2:3" x14ac:dyDescent="0.2">
      <c r="B50" s="34" t="s">
        <v>196</v>
      </c>
      <c r="C50" s="34" t="s">
        <v>287</v>
      </c>
    </row>
    <row r="51" spans="2:3" x14ac:dyDescent="0.2">
      <c r="B51" s="34" t="s">
        <v>452</v>
      </c>
      <c r="C51" s="34" t="s">
        <v>490</v>
      </c>
    </row>
    <row r="52" spans="2:3" x14ac:dyDescent="0.2">
      <c r="B52" s="34" t="s">
        <v>264</v>
      </c>
      <c r="C52" s="34" t="s">
        <v>443</v>
      </c>
    </row>
    <row r="53" spans="2:3" x14ac:dyDescent="0.2">
      <c r="B53" s="34" t="s">
        <v>201</v>
      </c>
      <c r="C53" s="34" t="s">
        <v>402</v>
      </c>
    </row>
    <row r="54" spans="2:3" x14ac:dyDescent="0.2">
      <c r="B54" s="34" t="s">
        <v>156</v>
      </c>
      <c r="C54" s="34" t="s">
        <v>367</v>
      </c>
    </row>
    <row r="55" spans="2:3" x14ac:dyDescent="0.2">
      <c r="B55" s="34" t="s">
        <v>265</v>
      </c>
      <c r="C55" s="34" t="s">
        <v>422</v>
      </c>
    </row>
    <row r="56" spans="2:3" x14ac:dyDescent="0.2">
      <c r="B56" s="34" t="s">
        <v>200</v>
      </c>
      <c r="C56" s="34" t="s">
        <v>491</v>
      </c>
    </row>
    <row r="57" spans="2:3" x14ac:dyDescent="0.2">
      <c r="B57" s="34" t="s">
        <v>131</v>
      </c>
      <c r="C57" s="34" t="s">
        <v>331</v>
      </c>
    </row>
    <row r="58" spans="2:3" x14ac:dyDescent="0.2">
      <c r="B58" s="34" t="s">
        <v>148</v>
      </c>
      <c r="C58" s="34" t="s">
        <v>364</v>
      </c>
    </row>
    <row r="59" spans="2:3" x14ac:dyDescent="0.2">
      <c r="B59" s="34" t="s">
        <v>166</v>
      </c>
      <c r="C59" s="34" t="s">
        <v>414</v>
      </c>
    </row>
    <row r="60" spans="2:3" x14ac:dyDescent="0.2">
      <c r="B60" s="34" t="s">
        <v>149</v>
      </c>
      <c r="C60" s="34" t="s">
        <v>285</v>
      </c>
    </row>
    <row r="61" spans="2:3" x14ac:dyDescent="0.2">
      <c r="B61" s="34" t="s">
        <v>172</v>
      </c>
      <c r="C61" s="34" t="s">
        <v>357</v>
      </c>
    </row>
    <row r="62" spans="2:3" x14ac:dyDescent="0.2">
      <c r="B62" s="34" t="s">
        <v>205</v>
      </c>
      <c r="C62" s="34" t="s">
        <v>383</v>
      </c>
    </row>
    <row r="63" spans="2:3" x14ac:dyDescent="0.2">
      <c r="B63" s="34" t="s">
        <v>167</v>
      </c>
      <c r="C63" s="34" t="s">
        <v>492</v>
      </c>
    </row>
    <row r="64" spans="2:3" x14ac:dyDescent="0.2">
      <c r="B64" s="34" t="s">
        <v>238</v>
      </c>
      <c r="C64" s="34" t="s">
        <v>432</v>
      </c>
    </row>
    <row r="65" spans="2:3" x14ac:dyDescent="0.2">
      <c r="B65" s="34" t="s">
        <v>255</v>
      </c>
      <c r="C65" s="34" t="s">
        <v>437</v>
      </c>
    </row>
    <row r="66" spans="2:3" x14ac:dyDescent="0.2">
      <c r="B66" s="34" t="s">
        <v>212</v>
      </c>
      <c r="C66" s="34" t="s">
        <v>409</v>
      </c>
    </row>
    <row r="67" spans="2:3" x14ac:dyDescent="0.2">
      <c r="B67" s="34" t="s">
        <v>223</v>
      </c>
      <c r="C67" s="178" t="s">
        <v>630</v>
      </c>
    </row>
    <row r="68" spans="2:3" x14ac:dyDescent="0.2">
      <c r="B68" s="34" t="s">
        <v>232</v>
      </c>
      <c r="C68" s="34" t="s">
        <v>428</v>
      </c>
    </row>
    <row r="69" spans="2:3" x14ac:dyDescent="0.2">
      <c r="B69" s="34" t="s">
        <v>176</v>
      </c>
      <c r="C69" s="34" t="s">
        <v>417</v>
      </c>
    </row>
    <row r="70" spans="2:3" x14ac:dyDescent="0.2">
      <c r="B70" s="34" t="s">
        <v>142</v>
      </c>
      <c r="C70" s="34" t="s">
        <v>376</v>
      </c>
    </row>
    <row r="71" spans="2:3" x14ac:dyDescent="0.2">
      <c r="B71" s="34" t="s">
        <v>231</v>
      </c>
      <c r="C71" s="34" t="s">
        <v>441</v>
      </c>
    </row>
    <row r="72" spans="2:3" x14ac:dyDescent="0.2">
      <c r="B72" s="165" t="s">
        <v>407</v>
      </c>
      <c r="C72" s="165" t="s">
        <v>493</v>
      </c>
    </row>
    <row r="73" spans="2:3" x14ac:dyDescent="0.2">
      <c r="B73" s="34" t="s">
        <v>183</v>
      </c>
      <c r="C73" s="34" t="s">
        <v>494</v>
      </c>
    </row>
    <row r="74" spans="2:3" x14ac:dyDescent="0.2">
      <c r="B74" s="34" t="s">
        <v>237</v>
      </c>
      <c r="C74" s="34" t="s">
        <v>433</v>
      </c>
    </row>
    <row r="75" spans="2:3" x14ac:dyDescent="0.2">
      <c r="B75" s="34" t="s">
        <v>211</v>
      </c>
      <c r="C75" s="34" t="s">
        <v>390</v>
      </c>
    </row>
    <row r="76" spans="2:3" x14ac:dyDescent="0.2">
      <c r="B76" s="34" t="s">
        <v>206</v>
      </c>
      <c r="C76" s="34" t="s">
        <v>493</v>
      </c>
    </row>
    <row r="77" spans="2:3" x14ac:dyDescent="0.2">
      <c r="B77" s="39" t="s">
        <v>447</v>
      </c>
      <c r="C77" s="40" t="s">
        <v>495</v>
      </c>
    </row>
    <row r="78" spans="2:3" x14ac:dyDescent="0.2">
      <c r="B78" s="34" t="s">
        <v>182</v>
      </c>
      <c r="C78" s="34" t="s">
        <v>394</v>
      </c>
    </row>
    <row r="79" spans="2:3" x14ac:dyDescent="0.2">
      <c r="B79" s="34" t="s">
        <v>137</v>
      </c>
      <c r="C79" s="34" t="s">
        <v>352</v>
      </c>
    </row>
    <row r="80" spans="2:3" x14ac:dyDescent="0.2">
      <c r="B80" s="165" t="s">
        <v>392</v>
      </c>
      <c r="C80" s="165" t="s">
        <v>494</v>
      </c>
    </row>
    <row r="81" spans="2:4" x14ac:dyDescent="0.2">
      <c r="B81" s="34" t="s">
        <v>260</v>
      </c>
      <c r="C81" s="34" t="s">
        <v>429</v>
      </c>
    </row>
    <row r="82" spans="2:4" x14ac:dyDescent="0.2">
      <c r="B82" s="164" t="s">
        <v>633</v>
      </c>
      <c r="C82" s="164" t="s">
        <v>632</v>
      </c>
      <c r="D82" s="21"/>
    </row>
    <row r="83" spans="2:4" x14ac:dyDescent="0.2">
      <c r="B83" s="34" t="s">
        <v>496</v>
      </c>
      <c r="C83" s="34" t="s">
        <v>497</v>
      </c>
    </row>
    <row r="84" spans="2:4" x14ac:dyDescent="0.2">
      <c r="B84" s="166" t="s">
        <v>631</v>
      </c>
      <c r="C84" s="165" t="s">
        <v>479</v>
      </c>
    </row>
    <row r="85" spans="2:4" x14ac:dyDescent="0.2">
      <c r="B85" s="165" t="s">
        <v>275</v>
      </c>
      <c r="C85" s="165" t="s">
        <v>491</v>
      </c>
    </row>
    <row r="86" spans="2:4" x14ac:dyDescent="0.2">
      <c r="B86" s="34" t="s">
        <v>177</v>
      </c>
      <c r="C86" s="34" t="s">
        <v>418</v>
      </c>
    </row>
    <row r="87" spans="2:4" x14ac:dyDescent="0.2">
      <c r="B87" s="34" t="s">
        <v>498</v>
      </c>
      <c r="C87" s="34" t="s">
        <v>262</v>
      </c>
    </row>
    <row r="88" spans="2:4" x14ac:dyDescent="0.2">
      <c r="B88" s="34" t="s">
        <v>56</v>
      </c>
      <c r="C88" s="34" t="s">
        <v>480</v>
      </c>
    </row>
    <row r="89" spans="2:4" x14ac:dyDescent="0.2">
      <c r="B89" s="34" t="s">
        <v>499</v>
      </c>
      <c r="C89" s="34" t="s">
        <v>100</v>
      </c>
    </row>
    <row r="90" spans="2:4" x14ac:dyDescent="0.2">
      <c r="B90" s="34" t="s">
        <v>500</v>
      </c>
      <c r="C90" s="34" t="s">
        <v>153</v>
      </c>
    </row>
    <row r="91" spans="2:4" ht="17" thickBot="1" x14ac:dyDescent="0.25">
      <c r="B91" s="34" t="s">
        <v>95</v>
      </c>
      <c r="C91" s="34" t="s">
        <v>501</v>
      </c>
    </row>
    <row r="92" spans="2:4" x14ac:dyDescent="0.2">
      <c r="B92" s="58" t="s">
        <v>502</v>
      </c>
      <c r="C92" s="59" t="s">
        <v>59</v>
      </c>
    </row>
    <row r="93" spans="2:4" ht="17" thickBot="1" x14ac:dyDescent="0.25">
      <c r="B93" s="60" t="s">
        <v>502</v>
      </c>
      <c r="C93" s="61" t="s">
        <v>360</v>
      </c>
    </row>
    <row r="94" spans="2:4" x14ac:dyDescent="0.2">
      <c r="B94" s="58" t="s">
        <v>263</v>
      </c>
      <c r="C94" s="59" t="s">
        <v>268</v>
      </c>
    </row>
    <row r="95" spans="2:4" ht="17" thickBot="1" x14ac:dyDescent="0.25">
      <c r="B95" s="60" t="s">
        <v>263</v>
      </c>
      <c r="C95" s="61" t="s">
        <v>267</v>
      </c>
    </row>
    <row r="96" spans="2:4" ht="17" thickBot="1" x14ac:dyDescent="0.25">
      <c r="B96" s="34" t="s">
        <v>503</v>
      </c>
      <c r="C96" s="34" t="s">
        <v>146</v>
      </c>
    </row>
    <row r="97" spans="2:3" x14ac:dyDescent="0.2">
      <c r="B97" s="62" t="s">
        <v>181</v>
      </c>
      <c r="C97" s="59" t="s">
        <v>187</v>
      </c>
    </row>
    <row r="98" spans="2:3" ht="17" thickBot="1" x14ac:dyDescent="0.25">
      <c r="B98" s="63" t="s">
        <v>181</v>
      </c>
      <c r="C98" s="61" t="s">
        <v>186</v>
      </c>
    </row>
    <row r="99" spans="2:3" x14ac:dyDescent="0.2">
      <c r="B99" s="34" t="s">
        <v>162</v>
      </c>
      <c r="C99" s="34" t="s">
        <v>469</v>
      </c>
    </row>
    <row r="100" spans="2:3" x14ac:dyDescent="0.2">
      <c r="B100" s="34" t="s">
        <v>154</v>
      </c>
      <c r="C100" s="34" t="s">
        <v>158</v>
      </c>
    </row>
    <row r="101" spans="2:3" x14ac:dyDescent="0.2">
      <c r="B101" s="34" t="s">
        <v>504</v>
      </c>
      <c r="C101" s="34" t="s">
        <v>140</v>
      </c>
    </row>
    <row r="102" spans="2:3" x14ac:dyDescent="0.2">
      <c r="B102" s="34" t="s">
        <v>505</v>
      </c>
      <c r="C102" s="34" t="s">
        <v>152</v>
      </c>
    </row>
    <row r="103" spans="2:3" x14ac:dyDescent="0.2">
      <c r="B103" s="34" t="s">
        <v>506</v>
      </c>
      <c r="C103" s="34" t="s">
        <v>93</v>
      </c>
    </row>
    <row r="104" spans="2:3" x14ac:dyDescent="0.2">
      <c r="B104" s="34" t="s">
        <v>89</v>
      </c>
      <c r="C104" s="34" t="s">
        <v>336</v>
      </c>
    </row>
    <row r="105" spans="2:3" x14ac:dyDescent="0.2">
      <c r="B105" s="34" t="s">
        <v>507</v>
      </c>
      <c r="C105" s="34" t="s">
        <v>66</v>
      </c>
    </row>
    <row r="106" spans="2:3" ht="17" thickBot="1" x14ac:dyDescent="0.25">
      <c r="B106" s="34" t="s">
        <v>61</v>
      </c>
      <c r="C106" s="34" t="s">
        <v>311</v>
      </c>
    </row>
    <row r="107" spans="2:3" x14ac:dyDescent="0.2">
      <c r="B107" s="62" t="s">
        <v>210</v>
      </c>
      <c r="C107" s="59" t="s">
        <v>216</v>
      </c>
    </row>
    <row r="108" spans="2:3" ht="17" thickBot="1" x14ac:dyDescent="0.25">
      <c r="B108" s="63" t="s">
        <v>210</v>
      </c>
      <c r="C108" s="61" t="s">
        <v>215</v>
      </c>
    </row>
    <row r="109" spans="2:3" x14ac:dyDescent="0.2">
      <c r="B109" s="34" t="s">
        <v>54</v>
      </c>
      <c r="C109" s="34" t="s">
        <v>278</v>
      </c>
    </row>
    <row r="110" spans="2:3" x14ac:dyDescent="0.2">
      <c r="B110" s="34" t="s">
        <v>69</v>
      </c>
      <c r="C110" s="34" t="s">
        <v>309</v>
      </c>
    </row>
    <row r="111" spans="2:3" x14ac:dyDescent="0.2">
      <c r="B111" s="34" t="s">
        <v>50</v>
      </c>
      <c r="C111" s="34" t="s">
        <v>281</v>
      </c>
    </row>
    <row r="112" spans="2:3" x14ac:dyDescent="0.2">
      <c r="B112" s="34" t="s">
        <v>508</v>
      </c>
      <c r="C112" s="34" t="s">
        <v>51</v>
      </c>
    </row>
    <row r="113" spans="2:3" x14ac:dyDescent="0.2">
      <c r="B113" s="34" t="s">
        <v>49</v>
      </c>
      <c r="C113" s="34" t="s">
        <v>279</v>
      </c>
    </row>
    <row r="114" spans="2:3" x14ac:dyDescent="0.2">
      <c r="B114" s="34" t="s">
        <v>509</v>
      </c>
      <c r="C114" s="34" t="s">
        <v>133</v>
      </c>
    </row>
    <row r="115" spans="2:3" x14ac:dyDescent="0.2">
      <c r="B115" s="34" t="s">
        <v>116</v>
      </c>
      <c r="C115" s="34" t="s">
        <v>510</v>
      </c>
    </row>
    <row r="116" spans="2:3" x14ac:dyDescent="0.2">
      <c r="B116" s="34" t="s">
        <v>620</v>
      </c>
      <c r="C116" s="34" t="s">
        <v>163</v>
      </c>
    </row>
    <row r="117" spans="2:3" x14ac:dyDescent="0.2">
      <c r="B117" s="34" t="s">
        <v>621</v>
      </c>
      <c r="C117" s="34" t="s">
        <v>192</v>
      </c>
    </row>
    <row r="118" spans="2:3" x14ac:dyDescent="0.2">
      <c r="B118" s="34" t="s">
        <v>8</v>
      </c>
      <c r="C118" s="34" t="s">
        <v>315</v>
      </c>
    </row>
    <row r="119" spans="2:3" x14ac:dyDescent="0.2">
      <c r="B119" s="34" t="s">
        <v>511</v>
      </c>
      <c r="C119" s="34" t="s">
        <v>87</v>
      </c>
    </row>
    <row r="120" spans="2:3" x14ac:dyDescent="0.2">
      <c r="B120" s="34" t="s">
        <v>90</v>
      </c>
      <c r="C120" s="34" t="s">
        <v>337</v>
      </c>
    </row>
    <row r="121" spans="2:3" x14ac:dyDescent="0.2">
      <c r="B121" s="34" t="s">
        <v>109</v>
      </c>
      <c r="C121" s="34" t="s">
        <v>512</v>
      </c>
    </row>
    <row r="122" spans="2:3" x14ac:dyDescent="0.2">
      <c r="B122" s="34" t="s">
        <v>222</v>
      </c>
      <c r="C122" s="34" t="s">
        <v>317</v>
      </c>
    </row>
    <row r="123" spans="2:3" x14ac:dyDescent="0.2">
      <c r="B123" s="34" t="s">
        <v>123</v>
      </c>
      <c r="C123" s="34" t="s">
        <v>513</v>
      </c>
    </row>
    <row r="124" spans="2:3" x14ac:dyDescent="0.2">
      <c r="B124" s="34" t="s">
        <v>57</v>
      </c>
      <c r="C124" s="34" t="s">
        <v>288</v>
      </c>
    </row>
    <row r="125" spans="2:3" x14ac:dyDescent="0.2">
      <c r="B125" s="34" t="s">
        <v>514</v>
      </c>
      <c r="C125" s="34" t="s">
        <v>58</v>
      </c>
    </row>
    <row r="126" spans="2:3" x14ac:dyDescent="0.2">
      <c r="B126" s="34" t="s">
        <v>64</v>
      </c>
      <c r="C126" s="34" t="s">
        <v>296</v>
      </c>
    </row>
    <row r="127" spans="2:3" x14ac:dyDescent="0.2">
      <c r="B127" s="34" t="s">
        <v>515</v>
      </c>
      <c r="C127" s="34" t="s">
        <v>65</v>
      </c>
    </row>
    <row r="128" spans="2:3" x14ac:dyDescent="0.2">
      <c r="B128" s="34" t="s">
        <v>141</v>
      </c>
      <c r="C128" s="34" t="s">
        <v>355</v>
      </c>
    </row>
    <row r="129" spans="2:3" x14ac:dyDescent="0.2">
      <c r="B129" s="34" t="s">
        <v>516</v>
      </c>
      <c r="C129" s="34" t="s">
        <v>157</v>
      </c>
    </row>
    <row r="130" spans="2:3" ht="17" thickBot="1" x14ac:dyDescent="0.25">
      <c r="B130" s="34" t="s">
        <v>130</v>
      </c>
      <c r="C130" s="34" t="s">
        <v>517</v>
      </c>
    </row>
    <row r="131" spans="2:3" x14ac:dyDescent="0.2">
      <c r="B131" s="58" t="s">
        <v>115</v>
      </c>
      <c r="C131" s="59" t="s">
        <v>518</v>
      </c>
    </row>
    <row r="132" spans="2:3" ht="17" thickBot="1" x14ac:dyDescent="0.25">
      <c r="B132" s="60" t="s">
        <v>115</v>
      </c>
      <c r="C132" s="61" t="s">
        <v>120</v>
      </c>
    </row>
    <row r="133" spans="2:3" x14ac:dyDescent="0.2">
      <c r="B133" s="34" t="s">
        <v>71</v>
      </c>
      <c r="C133" s="34" t="s">
        <v>302</v>
      </c>
    </row>
    <row r="134" spans="2:3" x14ac:dyDescent="0.2">
      <c r="B134" s="34" t="s">
        <v>519</v>
      </c>
      <c r="C134" s="34" t="s">
        <v>72</v>
      </c>
    </row>
    <row r="135" spans="2:3" x14ac:dyDescent="0.2">
      <c r="B135" s="34" t="s">
        <v>520</v>
      </c>
      <c r="C135" s="34" t="s">
        <v>99</v>
      </c>
    </row>
    <row r="136" spans="2:3" x14ac:dyDescent="0.2">
      <c r="B136" s="34" t="s">
        <v>96</v>
      </c>
      <c r="C136" s="34" t="s">
        <v>356</v>
      </c>
    </row>
    <row r="137" spans="2:3" x14ac:dyDescent="0.2">
      <c r="B137" s="34" t="s">
        <v>188</v>
      </c>
      <c r="C137" s="34" t="s">
        <v>194</v>
      </c>
    </row>
    <row r="138" spans="2:3" x14ac:dyDescent="0.2">
      <c r="B138" s="34" t="s">
        <v>446</v>
      </c>
      <c r="C138" s="34" t="s">
        <v>521</v>
      </c>
    </row>
    <row r="139" spans="2:3" x14ac:dyDescent="0.2">
      <c r="B139" s="34" t="s">
        <v>78</v>
      </c>
      <c r="C139" s="34" t="s">
        <v>306</v>
      </c>
    </row>
    <row r="140" spans="2:3" x14ac:dyDescent="0.2">
      <c r="B140" s="34" t="s">
        <v>78</v>
      </c>
      <c r="C140" s="34" t="s">
        <v>306</v>
      </c>
    </row>
    <row r="141" spans="2:3" x14ac:dyDescent="0.2">
      <c r="B141" s="34" t="s">
        <v>522</v>
      </c>
      <c r="C141" s="34" t="s">
        <v>79</v>
      </c>
    </row>
    <row r="142" spans="2:3" x14ac:dyDescent="0.2">
      <c r="B142" s="34" t="s">
        <v>636</v>
      </c>
      <c r="C142" s="34" t="s">
        <v>635</v>
      </c>
    </row>
    <row r="143" spans="2:3" x14ac:dyDescent="0.2">
      <c r="B143" s="34" t="s">
        <v>76</v>
      </c>
      <c r="C143" s="34" t="s">
        <v>307</v>
      </c>
    </row>
    <row r="144" spans="2:3" x14ac:dyDescent="0.2">
      <c r="B144" s="34" t="s">
        <v>147</v>
      </c>
      <c r="C144" s="34" t="s">
        <v>362</v>
      </c>
    </row>
    <row r="145" spans="2:3" x14ac:dyDescent="0.2">
      <c r="B145" s="34" t="s">
        <v>191</v>
      </c>
      <c r="C145" s="34" t="s">
        <v>470</v>
      </c>
    </row>
    <row r="146" spans="2:3" x14ac:dyDescent="0.2">
      <c r="B146" s="34" t="s">
        <v>129</v>
      </c>
      <c r="C146" s="34" t="s">
        <v>134</v>
      </c>
    </row>
    <row r="147" spans="2:3" x14ac:dyDescent="0.2">
      <c r="B147" s="34" t="s">
        <v>639</v>
      </c>
      <c r="C147" s="177" t="s">
        <v>637</v>
      </c>
    </row>
    <row r="148" spans="2:3" x14ac:dyDescent="0.2">
      <c r="B148" s="34" t="s">
        <v>242</v>
      </c>
      <c r="C148" s="34" t="s">
        <v>247</v>
      </c>
    </row>
    <row r="149" spans="2:3" x14ac:dyDescent="0.2">
      <c r="B149" s="34" t="s">
        <v>85</v>
      </c>
      <c r="C149" s="34" t="s">
        <v>314</v>
      </c>
    </row>
    <row r="150" spans="2:3" x14ac:dyDescent="0.2">
      <c r="B150" s="34" t="s">
        <v>523</v>
      </c>
      <c r="C150" s="34" t="s">
        <v>86</v>
      </c>
    </row>
    <row r="151" spans="2:3" x14ac:dyDescent="0.2">
      <c r="B151" s="34" t="s">
        <v>217</v>
      </c>
      <c r="C151" s="34" t="s">
        <v>221</v>
      </c>
    </row>
    <row r="152" spans="2:3" x14ac:dyDescent="0.2">
      <c r="B152" s="34" t="s">
        <v>190</v>
      </c>
      <c r="C152" s="34" t="s">
        <v>524</v>
      </c>
    </row>
    <row r="153" spans="2:3" x14ac:dyDescent="0.2">
      <c r="B153" s="34" t="s">
        <v>91</v>
      </c>
      <c r="C153" s="34" t="s">
        <v>320</v>
      </c>
    </row>
    <row r="154" spans="2:3" x14ac:dyDescent="0.2">
      <c r="B154" s="34" t="s">
        <v>525</v>
      </c>
      <c r="C154" s="34" t="s">
        <v>92</v>
      </c>
    </row>
    <row r="155" spans="2:3" x14ac:dyDescent="0.2">
      <c r="B155" s="34" t="s">
        <v>84</v>
      </c>
      <c r="C155" s="34" t="s">
        <v>385</v>
      </c>
    </row>
    <row r="156" spans="2:3" x14ac:dyDescent="0.2">
      <c r="B156" s="34" t="s">
        <v>97</v>
      </c>
      <c r="C156" s="34" t="s">
        <v>325</v>
      </c>
    </row>
    <row r="157" spans="2:3" x14ac:dyDescent="0.2">
      <c r="B157" s="34" t="s">
        <v>526</v>
      </c>
      <c r="C157" s="34" t="s">
        <v>98</v>
      </c>
    </row>
    <row r="158" spans="2:3" x14ac:dyDescent="0.2">
      <c r="B158" s="34" t="s">
        <v>104</v>
      </c>
      <c r="C158" s="34" t="s">
        <v>332</v>
      </c>
    </row>
    <row r="159" spans="2:3" x14ac:dyDescent="0.2">
      <c r="B159" s="34" t="s">
        <v>527</v>
      </c>
      <c r="C159" s="34" t="s">
        <v>105</v>
      </c>
    </row>
    <row r="160" spans="2:3" x14ac:dyDescent="0.2">
      <c r="B160" s="35" t="s">
        <v>453</v>
      </c>
      <c r="C160" s="35" t="s">
        <v>528</v>
      </c>
    </row>
    <row r="161" spans="2:3" x14ac:dyDescent="0.2">
      <c r="B161" s="34" t="s">
        <v>111</v>
      </c>
      <c r="C161" s="34" t="s">
        <v>338</v>
      </c>
    </row>
    <row r="162" spans="2:3" x14ac:dyDescent="0.2">
      <c r="B162" s="34" t="s">
        <v>529</v>
      </c>
      <c r="C162" s="34" t="s">
        <v>112</v>
      </c>
    </row>
    <row r="163" spans="2:3" x14ac:dyDescent="0.2">
      <c r="B163" s="34" t="s">
        <v>118</v>
      </c>
      <c r="C163" s="34" t="s">
        <v>353</v>
      </c>
    </row>
    <row r="164" spans="2:3" x14ac:dyDescent="0.2">
      <c r="B164" s="34" t="s">
        <v>530</v>
      </c>
      <c r="C164" s="34" t="s">
        <v>119</v>
      </c>
    </row>
    <row r="165" spans="2:3" x14ac:dyDescent="0.2">
      <c r="B165" s="34" t="s">
        <v>125</v>
      </c>
      <c r="C165" s="34" t="s">
        <v>358</v>
      </c>
    </row>
    <row r="166" spans="2:3" x14ac:dyDescent="0.2">
      <c r="B166" s="34" t="s">
        <v>531</v>
      </c>
      <c r="C166" s="34" t="s">
        <v>126</v>
      </c>
    </row>
    <row r="167" spans="2:3" x14ac:dyDescent="0.2">
      <c r="B167" s="34" t="s">
        <v>136</v>
      </c>
      <c r="C167" s="34" t="s">
        <v>532</v>
      </c>
    </row>
    <row r="168" spans="2:3" x14ac:dyDescent="0.2">
      <c r="B168" s="34" t="s">
        <v>77</v>
      </c>
      <c r="C168" s="34" t="s">
        <v>380</v>
      </c>
    </row>
    <row r="169" spans="2:3" ht="17" thickBot="1" x14ac:dyDescent="0.25">
      <c r="B169" s="34" t="s">
        <v>533</v>
      </c>
      <c r="C169" s="34" t="s">
        <v>534</v>
      </c>
    </row>
    <row r="170" spans="2:3" x14ac:dyDescent="0.2">
      <c r="B170" s="58" t="s">
        <v>75</v>
      </c>
      <c r="C170" s="59" t="s">
        <v>299</v>
      </c>
    </row>
    <row r="171" spans="2:3" ht="17" thickBot="1" x14ac:dyDescent="0.25">
      <c r="B171" s="60" t="s">
        <v>75</v>
      </c>
      <c r="C171" s="61" t="s">
        <v>80</v>
      </c>
    </row>
    <row r="172" spans="2:3" x14ac:dyDescent="0.2">
      <c r="B172" s="58" t="s">
        <v>68</v>
      </c>
      <c r="C172" s="59" t="s">
        <v>301</v>
      </c>
    </row>
    <row r="173" spans="2:3" ht="17" thickBot="1" x14ac:dyDescent="0.25">
      <c r="B173" s="60" t="s">
        <v>68</v>
      </c>
      <c r="C173" s="61" t="s">
        <v>73</v>
      </c>
    </row>
    <row r="174" spans="2:3" x14ac:dyDescent="0.2">
      <c r="B174" s="34" t="s">
        <v>138</v>
      </c>
      <c r="C174" s="34" t="s">
        <v>365</v>
      </c>
    </row>
    <row r="175" spans="2:3" x14ac:dyDescent="0.2">
      <c r="B175" s="34" t="s">
        <v>535</v>
      </c>
      <c r="C175" s="34" t="s">
        <v>139</v>
      </c>
    </row>
    <row r="176" spans="2:3" x14ac:dyDescent="0.2">
      <c r="B176" s="34" t="s">
        <v>144</v>
      </c>
      <c r="C176" s="34" t="s">
        <v>373</v>
      </c>
    </row>
    <row r="177" spans="2:3" x14ac:dyDescent="0.2">
      <c r="B177" s="34" t="s">
        <v>536</v>
      </c>
      <c r="C177" s="34" t="s">
        <v>145</v>
      </c>
    </row>
    <row r="178" spans="2:3" x14ac:dyDescent="0.2">
      <c r="B178" s="34" t="s">
        <v>56</v>
      </c>
      <c r="C178" s="34" t="s">
        <v>283</v>
      </c>
    </row>
    <row r="179" spans="2:3" x14ac:dyDescent="0.2">
      <c r="B179" s="34" t="s">
        <v>150</v>
      </c>
      <c r="C179" s="34" t="s">
        <v>375</v>
      </c>
    </row>
    <row r="180" spans="2:3" x14ac:dyDescent="0.2">
      <c r="B180" s="34" t="s">
        <v>537</v>
      </c>
      <c r="C180" s="34" t="s">
        <v>151</v>
      </c>
    </row>
    <row r="181" spans="2:3" x14ac:dyDescent="0.2">
      <c r="B181" s="34" t="s">
        <v>243</v>
      </c>
      <c r="C181" s="34" t="s">
        <v>245</v>
      </c>
    </row>
    <row r="182" spans="2:3" x14ac:dyDescent="0.2">
      <c r="B182" s="34" t="s">
        <v>640</v>
      </c>
      <c r="C182" s="177" t="s">
        <v>638</v>
      </c>
    </row>
    <row r="183" spans="2:3" x14ac:dyDescent="0.2">
      <c r="B183" s="34" t="s">
        <v>641</v>
      </c>
      <c r="C183" s="177" t="s">
        <v>642</v>
      </c>
    </row>
    <row r="184" spans="2:3" x14ac:dyDescent="0.2">
      <c r="B184" s="34" t="s">
        <v>110</v>
      </c>
      <c r="C184" s="34" t="s">
        <v>538</v>
      </c>
    </row>
    <row r="185" spans="2:3" x14ac:dyDescent="0.2">
      <c r="B185" s="34" t="s">
        <v>168</v>
      </c>
      <c r="C185" s="34" t="s">
        <v>377</v>
      </c>
    </row>
    <row r="186" spans="2:3" x14ac:dyDescent="0.2">
      <c r="B186" s="34" t="s">
        <v>539</v>
      </c>
      <c r="C186" s="34" t="s">
        <v>169</v>
      </c>
    </row>
    <row r="187" spans="2:3" x14ac:dyDescent="0.2">
      <c r="B187" s="34" t="s">
        <v>102</v>
      </c>
      <c r="C187" s="34" t="s">
        <v>421</v>
      </c>
    </row>
    <row r="188" spans="2:3" x14ac:dyDescent="0.2">
      <c r="B188" s="35" t="s">
        <v>102</v>
      </c>
      <c r="C188" s="35" t="s">
        <v>106</v>
      </c>
    </row>
    <row r="189" spans="2:3" x14ac:dyDescent="0.2">
      <c r="B189" s="177" t="s">
        <v>644</v>
      </c>
      <c r="C189" s="34" t="s">
        <v>624</v>
      </c>
    </row>
    <row r="190" spans="2:3" x14ac:dyDescent="0.2">
      <c r="B190" s="34" t="s">
        <v>259</v>
      </c>
      <c r="C190" s="34" t="s">
        <v>440</v>
      </c>
    </row>
    <row r="191" spans="2:3" x14ac:dyDescent="0.2">
      <c r="B191" s="34" t="s">
        <v>540</v>
      </c>
      <c r="C191" s="34" t="s">
        <v>541</v>
      </c>
    </row>
    <row r="192" spans="2:3" x14ac:dyDescent="0.2">
      <c r="B192" s="34" t="s">
        <v>173</v>
      </c>
      <c r="C192" s="34" t="s">
        <v>382</v>
      </c>
    </row>
    <row r="193" spans="2:3" x14ac:dyDescent="0.2">
      <c r="B193" s="34" t="s">
        <v>542</v>
      </c>
      <c r="C193" s="34" t="s">
        <v>174</v>
      </c>
    </row>
    <row r="194" spans="2:3" x14ac:dyDescent="0.2">
      <c r="B194" s="34" t="s">
        <v>178</v>
      </c>
      <c r="C194" s="34" t="s">
        <v>391</v>
      </c>
    </row>
    <row r="195" spans="2:3" x14ac:dyDescent="0.2">
      <c r="B195" s="34" t="s">
        <v>543</v>
      </c>
      <c r="C195" s="34" t="s">
        <v>179</v>
      </c>
    </row>
    <row r="196" spans="2:3" x14ac:dyDescent="0.2">
      <c r="B196" s="34" t="s">
        <v>326</v>
      </c>
      <c r="C196" s="34" t="s">
        <v>330</v>
      </c>
    </row>
    <row r="197" spans="2:3" x14ac:dyDescent="0.2">
      <c r="B197" s="34" t="s">
        <v>258</v>
      </c>
      <c r="C197" s="34" t="s">
        <v>439</v>
      </c>
    </row>
    <row r="198" spans="2:3" x14ac:dyDescent="0.2">
      <c r="B198" s="34" t="s">
        <v>94</v>
      </c>
      <c r="C198" s="34" t="s">
        <v>323</v>
      </c>
    </row>
    <row r="199" spans="2:3" x14ac:dyDescent="0.2">
      <c r="B199" s="34" t="s">
        <v>101</v>
      </c>
      <c r="C199" s="34" t="s">
        <v>329</v>
      </c>
    </row>
    <row r="200" spans="2:3" x14ac:dyDescent="0.2">
      <c r="B200" s="34" t="s">
        <v>544</v>
      </c>
      <c r="C200" s="34" t="s">
        <v>53</v>
      </c>
    </row>
    <row r="201" spans="2:3" x14ac:dyDescent="0.2">
      <c r="B201" s="34" t="s">
        <v>545</v>
      </c>
      <c r="C201" s="34" t="s">
        <v>60</v>
      </c>
    </row>
    <row r="202" spans="2:3" x14ac:dyDescent="0.2">
      <c r="B202" s="34" t="s">
        <v>546</v>
      </c>
      <c r="C202" s="34" t="s">
        <v>67</v>
      </c>
    </row>
    <row r="203" spans="2:3" x14ac:dyDescent="0.2">
      <c r="B203" s="34" t="s">
        <v>547</v>
      </c>
      <c r="C203" s="34" t="s">
        <v>74</v>
      </c>
    </row>
    <row r="204" spans="2:3" x14ac:dyDescent="0.2">
      <c r="B204" s="34" t="s">
        <v>677</v>
      </c>
      <c r="C204" s="34" t="s">
        <v>672</v>
      </c>
    </row>
    <row r="205" spans="2:3" x14ac:dyDescent="0.2">
      <c r="B205" s="34" t="s">
        <v>678</v>
      </c>
      <c r="C205" s="34" t="s">
        <v>676</v>
      </c>
    </row>
    <row r="206" spans="2:3" x14ac:dyDescent="0.2">
      <c r="B206" s="34" t="s">
        <v>679</v>
      </c>
      <c r="C206" s="34" t="s">
        <v>673</v>
      </c>
    </row>
    <row r="207" spans="2:3" x14ac:dyDescent="0.2">
      <c r="B207" s="34" t="s">
        <v>680</v>
      </c>
      <c r="C207" s="34" t="s">
        <v>674</v>
      </c>
    </row>
    <row r="208" spans="2:3" x14ac:dyDescent="0.2">
      <c r="B208" s="34" t="s">
        <v>548</v>
      </c>
      <c r="C208" s="34" t="s">
        <v>107</v>
      </c>
    </row>
    <row r="209" spans="2:3" x14ac:dyDescent="0.2">
      <c r="B209" s="34" t="s">
        <v>549</v>
      </c>
      <c r="C209" s="34" t="s">
        <v>114</v>
      </c>
    </row>
    <row r="210" spans="2:3" x14ac:dyDescent="0.2">
      <c r="B210" s="34" t="s">
        <v>550</v>
      </c>
      <c r="C210" s="34" t="s">
        <v>121</v>
      </c>
    </row>
    <row r="211" spans="2:3" x14ac:dyDescent="0.2">
      <c r="B211" s="34" t="s">
        <v>551</v>
      </c>
      <c r="C211" s="34" t="s">
        <v>128</v>
      </c>
    </row>
    <row r="212" spans="2:3" x14ac:dyDescent="0.2">
      <c r="B212" s="34" t="s">
        <v>660</v>
      </c>
      <c r="C212" s="258" t="s">
        <v>654</v>
      </c>
    </row>
    <row r="213" spans="2:3" x14ac:dyDescent="0.2">
      <c r="B213" s="34" t="s">
        <v>661</v>
      </c>
      <c r="C213" s="258" t="s">
        <v>655</v>
      </c>
    </row>
    <row r="214" spans="2:3" x14ac:dyDescent="0.2">
      <c r="B214" s="34" t="s">
        <v>681</v>
      </c>
      <c r="C214" s="258" t="s">
        <v>675</v>
      </c>
    </row>
    <row r="215" spans="2:3" x14ac:dyDescent="0.2">
      <c r="B215" s="34" t="s">
        <v>662</v>
      </c>
      <c r="C215" s="258" t="s">
        <v>656</v>
      </c>
    </row>
    <row r="216" spans="2:3" x14ac:dyDescent="0.2">
      <c r="B216" s="34" t="s">
        <v>663</v>
      </c>
      <c r="C216" s="258" t="s">
        <v>657</v>
      </c>
    </row>
    <row r="217" spans="2:3" x14ac:dyDescent="0.2">
      <c r="B217" s="34" t="s">
        <v>664</v>
      </c>
      <c r="C217" s="258" t="s">
        <v>658</v>
      </c>
    </row>
    <row r="218" spans="2:3" x14ac:dyDescent="0.2">
      <c r="B218" s="34" t="s">
        <v>665</v>
      </c>
      <c r="C218" s="258" t="s">
        <v>659</v>
      </c>
    </row>
    <row r="219" spans="2:3" x14ac:dyDescent="0.2">
      <c r="B219" s="34" t="s">
        <v>161</v>
      </c>
      <c r="C219" s="34" t="s">
        <v>321</v>
      </c>
    </row>
    <row r="220" spans="2:3" x14ac:dyDescent="0.2">
      <c r="B220" s="34" t="s">
        <v>379</v>
      </c>
      <c r="C220" s="34" t="s">
        <v>381</v>
      </c>
    </row>
    <row r="221" spans="2:3" x14ac:dyDescent="0.2">
      <c r="B221" s="34" t="s">
        <v>184</v>
      </c>
      <c r="C221" s="34" t="s">
        <v>395</v>
      </c>
    </row>
    <row r="222" spans="2:3" x14ac:dyDescent="0.2">
      <c r="B222" s="34" t="s">
        <v>552</v>
      </c>
      <c r="C222" s="34" t="s">
        <v>185</v>
      </c>
    </row>
    <row r="223" spans="2:3" x14ac:dyDescent="0.2">
      <c r="B223" s="42" t="s">
        <v>189</v>
      </c>
      <c r="C223" s="34" t="s">
        <v>425</v>
      </c>
    </row>
    <row r="224" spans="2:3" x14ac:dyDescent="0.2">
      <c r="B224" s="42" t="s">
        <v>160</v>
      </c>
      <c r="C224" s="34" t="s">
        <v>405</v>
      </c>
    </row>
    <row r="225" spans="2:9" x14ac:dyDescent="0.2">
      <c r="B225" s="34" t="s">
        <v>254</v>
      </c>
      <c r="C225" s="34" t="s">
        <v>436</v>
      </c>
    </row>
    <row r="226" spans="2:9" x14ac:dyDescent="0.2">
      <c r="B226" s="34" t="s">
        <v>553</v>
      </c>
      <c r="C226" s="34" t="s">
        <v>52</v>
      </c>
    </row>
    <row r="227" spans="2:9" x14ac:dyDescent="0.2">
      <c r="B227" s="34" t="s">
        <v>451</v>
      </c>
      <c r="C227" s="34" t="s">
        <v>554</v>
      </c>
      <c r="I227" t="s">
        <v>649</v>
      </c>
    </row>
    <row r="228" spans="2:9" ht="17" thickBot="1" x14ac:dyDescent="0.25">
      <c r="B228" s="34" t="s">
        <v>47</v>
      </c>
      <c r="C228" s="34" t="s">
        <v>555</v>
      </c>
      <c r="I228" t="s">
        <v>650</v>
      </c>
    </row>
    <row r="229" spans="2:9" x14ac:dyDescent="0.2">
      <c r="B229" s="58" t="s">
        <v>108</v>
      </c>
      <c r="C229" s="59" t="s">
        <v>556</v>
      </c>
    </row>
    <row r="230" spans="2:9" ht="17" thickBot="1" x14ac:dyDescent="0.25">
      <c r="B230" s="60" t="s">
        <v>108</v>
      </c>
      <c r="C230" s="61" t="s">
        <v>113</v>
      </c>
    </row>
    <row r="231" spans="2:9" x14ac:dyDescent="0.2">
      <c r="B231" s="34" t="s">
        <v>244</v>
      </c>
      <c r="C231" s="34" t="s">
        <v>246</v>
      </c>
    </row>
    <row r="232" spans="2:9" x14ac:dyDescent="0.2">
      <c r="B232" s="34" t="s">
        <v>266</v>
      </c>
      <c r="C232" s="34" t="s">
        <v>442</v>
      </c>
    </row>
    <row r="233" spans="2:9" x14ac:dyDescent="0.2">
      <c r="B233" s="34" t="s">
        <v>88</v>
      </c>
      <c r="C233" s="34" t="s">
        <v>318</v>
      </c>
    </row>
    <row r="234" spans="2:9" x14ac:dyDescent="0.2">
      <c r="B234" s="34" t="s">
        <v>249</v>
      </c>
      <c r="C234" s="34" t="s">
        <v>401</v>
      </c>
    </row>
    <row r="235" spans="2:9" x14ac:dyDescent="0.2">
      <c r="B235" s="34" t="s">
        <v>557</v>
      </c>
      <c r="C235" s="35" t="s">
        <v>193</v>
      </c>
    </row>
    <row r="236" spans="2:9" x14ac:dyDescent="0.2">
      <c r="B236" s="34" t="s">
        <v>558</v>
      </c>
      <c r="C236" s="35" t="s">
        <v>164</v>
      </c>
    </row>
    <row r="237" spans="2:9" x14ac:dyDescent="0.2">
      <c r="B237" s="34" t="s">
        <v>197</v>
      </c>
      <c r="C237" s="34" t="s">
        <v>399</v>
      </c>
    </row>
    <row r="238" spans="2:9" ht="17" thickBot="1" x14ac:dyDescent="0.25">
      <c r="B238" s="34" t="s">
        <v>559</v>
      </c>
      <c r="C238" s="34" t="s">
        <v>198</v>
      </c>
    </row>
    <row r="239" spans="2:9" x14ac:dyDescent="0.2">
      <c r="B239" s="58" t="s">
        <v>122</v>
      </c>
      <c r="C239" s="59" t="s">
        <v>560</v>
      </c>
    </row>
    <row r="240" spans="2:9" ht="17" thickBot="1" x14ac:dyDescent="0.25">
      <c r="B240" s="60" t="s">
        <v>122</v>
      </c>
      <c r="C240" s="61" t="s">
        <v>127</v>
      </c>
    </row>
    <row r="241" spans="2:3" x14ac:dyDescent="0.2">
      <c r="B241" s="34" t="s">
        <v>202</v>
      </c>
      <c r="C241" s="34" t="s">
        <v>403</v>
      </c>
    </row>
    <row r="242" spans="2:3" x14ac:dyDescent="0.2">
      <c r="B242" s="34" t="s">
        <v>561</v>
      </c>
      <c r="C242" s="34" t="s">
        <v>203</v>
      </c>
    </row>
    <row r="243" spans="2:3" x14ac:dyDescent="0.2">
      <c r="B243" s="34" t="s">
        <v>155</v>
      </c>
      <c r="C243" s="34" t="s">
        <v>366</v>
      </c>
    </row>
    <row r="244" spans="2:3" x14ac:dyDescent="0.2">
      <c r="B244" s="34" t="s">
        <v>159</v>
      </c>
      <c r="C244" s="34" t="s">
        <v>165</v>
      </c>
    </row>
    <row r="245" spans="2:3" x14ac:dyDescent="0.2">
      <c r="B245" s="34" t="s">
        <v>227</v>
      </c>
      <c r="C245" s="34" t="s">
        <v>342</v>
      </c>
    </row>
    <row r="246" spans="2:3" ht="17" thickBot="1" x14ac:dyDescent="0.25">
      <c r="B246" s="34" t="s">
        <v>207</v>
      </c>
      <c r="C246" s="34" t="s">
        <v>411</v>
      </c>
    </row>
    <row r="247" spans="2:3" x14ac:dyDescent="0.2">
      <c r="B247" s="58" t="s">
        <v>562</v>
      </c>
      <c r="C247" s="59" t="s">
        <v>208</v>
      </c>
    </row>
    <row r="248" spans="2:3" ht="17" thickBot="1" x14ac:dyDescent="0.25">
      <c r="B248" s="60" t="s">
        <v>562</v>
      </c>
      <c r="C248" s="61" t="s">
        <v>327</v>
      </c>
    </row>
    <row r="249" spans="2:3" x14ac:dyDescent="0.2">
      <c r="B249" s="34" t="s">
        <v>248</v>
      </c>
      <c r="C249" s="34" t="s">
        <v>324</v>
      </c>
    </row>
    <row r="250" spans="2:3" x14ac:dyDescent="0.2">
      <c r="B250" s="34" t="s">
        <v>213</v>
      </c>
      <c r="C250" s="34" t="s">
        <v>415</v>
      </c>
    </row>
    <row r="251" spans="2:3" x14ac:dyDescent="0.2">
      <c r="B251" s="34" t="s">
        <v>563</v>
      </c>
      <c r="C251" s="34" t="s">
        <v>214</v>
      </c>
    </row>
    <row r="252" spans="2:3" x14ac:dyDescent="0.2">
      <c r="B252" s="34" t="s">
        <v>224</v>
      </c>
      <c r="C252" s="34" t="s">
        <v>419</v>
      </c>
    </row>
    <row r="253" spans="2:3" x14ac:dyDescent="0.2">
      <c r="B253" s="34" t="s">
        <v>564</v>
      </c>
      <c r="C253" s="34" t="s">
        <v>225</v>
      </c>
    </row>
    <row r="254" spans="2:3" x14ac:dyDescent="0.2">
      <c r="B254" s="34" t="s">
        <v>135</v>
      </c>
      <c r="C254" s="34" t="s">
        <v>350</v>
      </c>
    </row>
    <row r="255" spans="2:3" x14ac:dyDescent="0.2">
      <c r="B255" s="34" t="s">
        <v>565</v>
      </c>
      <c r="C255" s="34" t="s">
        <v>132</v>
      </c>
    </row>
    <row r="256" spans="2:3" x14ac:dyDescent="0.2">
      <c r="B256" s="34" t="s">
        <v>62</v>
      </c>
      <c r="C256" s="34" t="s">
        <v>566</v>
      </c>
    </row>
    <row r="257" spans="1:4" x14ac:dyDescent="0.2">
      <c r="B257" s="34" t="s">
        <v>103</v>
      </c>
      <c r="C257" s="34" t="s">
        <v>567</v>
      </c>
    </row>
    <row r="258" spans="1:4" x14ac:dyDescent="0.2">
      <c r="B258" s="34" t="s">
        <v>82</v>
      </c>
      <c r="C258" s="34" t="s">
        <v>384</v>
      </c>
    </row>
    <row r="259" spans="1:4" x14ac:dyDescent="0.2">
      <c r="B259" s="34" t="s">
        <v>228</v>
      </c>
      <c r="C259" s="34" t="s">
        <v>423</v>
      </c>
    </row>
    <row r="260" spans="1:4" x14ac:dyDescent="0.2">
      <c r="B260" s="34" t="s">
        <v>568</v>
      </c>
      <c r="C260" s="34" t="s">
        <v>229</v>
      </c>
    </row>
    <row r="261" spans="1:4" x14ac:dyDescent="0.2">
      <c r="B261" s="34" t="s">
        <v>55</v>
      </c>
      <c r="C261" s="34" t="s">
        <v>569</v>
      </c>
    </row>
    <row r="262" spans="1:4" x14ac:dyDescent="0.2">
      <c r="A262" s="163" t="s">
        <v>571</v>
      </c>
      <c r="B262" s="34" t="s">
        <v>233</v>
      </c>
      <c r="C262" s="34" t="s">
        <v>430</v>
      </c>
    </row>
    <row r="263" spans="1:4" x14ac:dyDescent="0.2">
      <c r="B263" s="34" t="s">
        <v>570</v>
      </c>
      <c r="C263" s="34" t="s">
        <v>234</v>
      </c>
      <c r="D263"/>
    </row>
    <row r="264" spans="1:4" x14ac:dyDescent="0.2">
      <c r="B264" s="165" t="s">
        <v>95</v>
      </c>
      <c r="C264" s="165" t="s">
        <v>649</v>
      </c>
      <c r="D264"/>
    </row>
    <row r="265" spans="1:4" x14ac:dyDescent="0.2">
      <c r="B265" s="165" t="s">
        <v>651</v>
      </c>
      <c r="C265" s="165" t="s">
        <v>650</v>
      </c>
      <c r="D265"/>
    </row>
    <row r="266" spans="1:4" x14ac:dyDescent="0.2">
      <c r="D266"/>
    </row>
    <row r="267" spans="1:4" x14ac:dyDescent="0.2">
      <c r="B267" s="183"/>
      <c r="C267" s="183"/>
      <c r="D267"/>
    </row>
    <row r="268" spans="1:4" x14ac:dyDescent="0.2">
      <c r="B268" s="158" t="s">
        <v>282</v>
      </c>
      <c r="C268" s="34" t="s">
        <v>286</v>
      </c>
      <c r="D268"/>
    </row>
    <row r="269" spans="1:4" x14ac:dyDescent="0.2">
      <c r="B269" s="34" t="s">
        <v>303</v>
      </c>
      <c r="C269" s="34" t="s">
        <v>308</v>
      </c>
      <c r="D269"/>
    </row>
    <row r="270" spans="1:4" x14ac:dyDescent="0.2">
      <c r="B270" s="159" t="s">
        <v>572</v>
      </c>
      <c r="C270" s="160" t="s">
        <v>291</v>
      </c>
      <c r="D270"/>
    </row>
    <row r="271" spans="1:4" x14ac:dyDescent="0.2">
      <c r="B271" s="159" t="s">
        <v>573</v>
      </c>
      <c r="C271" s="160" t="s">
        <v>298</v>
      </c>
    </row>
    <row r="272" spans="1:4" x14ac:dyDescent="0.2">
      <c r="B272" s="165" t="s">
        <v>290</v>
      </c>
      <c r="C272" s="165" t="s">
        <v>574</v>
      </c>
      <c r="D272"/>
    </row>
    <row r="273" spans="2:4" x14ac:dyDescent="0.2">
      <c r="B273" s="161" t="s">
        <v>575</v>
      </c>
      <c r="C273" s="160" t="s">
        <v>435</v>
      </c>
      <c r="D273"/>
    </row>
    <row r="274" spans="2:4" x14ac:dyDescent="0.2">
      <c r="B274" s="161" t="s">
        <v>576</v>
      </c>
      <c r="C274" s="160" t="s">
        <v>276</v>
      </c>
      <c r="D274"/>
    </row>
    <row r="275" spans="2:4" x14ac:dyDescent="0.2">
      <c r="B275" s="161" t="s">
        <v>577</v>
      </c>
      <c r="C275" s="160" t="s">
        <v>408</v>
      </c>
      <c r="D275"/>
    </row>
    <row r="276" spans="2:4" x14ac:dyDescent="0.2">
      <c r="B276" s="34" t="s">
        <v>634</v>
      </c>
      <c r="C276" s="34" t="s">
        <v>293</v>
      </c>
      <c r="D276"/>
    </row>
    <row r="277" spans="2:4" x14ac:dyDescent="0.2">
      <c r="B277" s="159" t="s">
        <v>56</v>
      </c>
      <c r="C277" s="160" t="s">
        <v>283</v>
      </c>
      <c r="D277"/>
    </row>
    <row r="278" spans="2:4" x14ac:dyDescent="0.2">
      <c r="B278" s="34" t="s">
        <v>578</v>
      </c>
      <c r="C278" s="34" t="s">
        <v>579</v>
      </c>
      <c r="D278"/>
    </row>
    <row r="279" spans="2:4" x14ac:dyDescent="0.2">
      <c r="B279" s="34" t="s">
        <v>368</v>
      </c>
      <c r="C279" s="34" t="s">
        <v>371</v>
      </c>
    </row>
    <row r="280" spans="2:4" x14ac:dyDescent="0.2">
      <c r="B280" s="158" t="s">
        <v>210</v>
      </c>
      <c r="C280" s="160" t="s">
        <v>387</v>
      </c>
    </row>
    <row r="281" spans="2:4" x14ac:dyDescent="0.2">
      <c r="B281" s="159" t="s">
        <v>580</v>
      </c>
      <c r="C281" s="160" t="s">
        <v>284</v>
      </c>
    </row>
    <row r="282" spans="2:4" x14ac:dyDescent="0.2">
      <c r="B282" s="34" t="s">
        <v>333</v>
      </c>
      <c r="C282" s="34" t="s">
        <v>335</v>
      </c>
    </row>
    <row r="283" spans="2:4" x14ac:dyDescent="0.2">
      <c r="B283" s="34" t="s">
        <v>424</v>
      </c>
      <c r="C283" s="34" t="s">
        <v>426</v>
      </c>
    </row>
    <row r="284" spans="2:4" x14ac:dyDescent="0.2">
      <c r="B284" s="159" t="s">
        <v>581</v>
      </c>
      <c r="C284" s="160" t="s">
        <v>322</v>
      </c>
    </row>
    <row r="285" spans="2:4" x14ac:dyDescent="0.2">
      <c r="B285" s="34" t="s">
        <v>582</v>
      </c>
      <c r="C285" s="34" t="s">
        <v>294</v>
      </c>
    </row>
    <row r="286" spans="2:4" x14ac:dyDescent="0.2">
      <c r="B286" s="34" t="s">
        <v>345</v>
      </c>
      <c r="C286" s="34" t="s">
        <v>347</v>
      </c>
    </row>
    <row r="287" spans="2:4" x14ac:dyDescent="0.2">
      <c r="B287" s="34" t="s">
        <v>359</v>
      </c>
      <c r="C287" s="34" t="s">
        <v>363</v>
      </c>
    </row>
    <row r="288" spans="2:4" x14ac:dyDescent="0.2">
      <c r="B288" s="159" t="s">
        <v>76</v>
      </c>
      <c r="C288" s="160" t="s">
        <v>643</v>
      </c>
    </row>
    <row r="289" spans="2:3" x14ac:dyDescent="0.2">
      <c r="B289" s="159" t="s">
        <v>583</v>
      </c>
      <c r="C289" s="160" t="s">
        <v>305</v>
      </c>
    </row>
    <row r="290" spans="2:3" x14ac:dyDescent="0.2">
      <c r="B290" s="159" t="s">
        <v>584</v>
      </c>
      <c r="C290" s="160" t="s">
        <v>334</v>
      </c>
    </row>
    <row r="291" spans="2:3" x14ac:dyDescent="0.2">
      <c r="B291" s="34" t="s">
        <v>344</v>
      </c>
      <c r="C291" s="34" t="s">
        <v>346</v>
      </c>
    </row>
    <row r="292" spans="2:3" x14ac:dyDescent="0.2">
      <c r="B292" s="159" t="s">
        <v>585</v>
      </c>
      <c r="C292" s="160" t="s">
        <v>292</v>
      </c>
    </row>
    <row r="293" spans="2:3" x14ac:dyDescent="0.2">
      <c r="B293" s="159" t="s">
        <v>586</v>
      </c>
      <c r="C293" s="160" t="s">
        <v>328</v>
      </c>
    </row>
    <row r="294" spans="2:3" x14ac:dyDescent="0.2">
      <c r="B294" s="159" t="s">
        <v>587</v>
      </c>
      <c r="C294" s="160" t="s">
        <v>349</v>
      </c>
    </row>
    <row r="295" spans="2:3" x14ac:dyDescent="0.2">
      <c r="B295" s="159" t="s">
        <v>588</v>
      </c>
      <c r="C295" s="160" t="s">
        <v>354</v>
      </c>
    </row>
    <row r="296" spans="2:3" x14ac:dyDescent="0.2">
      <c r="B296" s="34" t="s">
        <v>369</v>
      </c>
      <c r="C296" s="34" t="s">
        <v>372</v>
      </c>
    </row>
    <row r="297" spans="2:3" x14ac:dyDescent="0.2">
      <c r="B297" s="159" t="s">
        <v>589</v>
      </c>
      <c r="C297" s="160" t="s">
        <v>361</v>
      </c>
    </row>
    <row r="298" spans="2:3" x14ac:dyDescent="0.2">
      <c r="B298" s="159" t="s">
        <v>590</v>
      </c>
      <c r="C298" s="160" t="s">
        <v>370</v>
      </c>
    </row>
    <row r="299" spans="2:3" x14ac:dyDescent="0.2">
      <c r="B299" s="159" t="s">
        <v>591</v>
      </c>
      <c r="C299" s="160" t="s">
        <v>374</v>
      </c>
    </row>
    <row r="300" spans="2:3" x14ac:dyDescent="0.2">
      <c r="B300" s="159" t="s">
        <v>592</v>
      </c>
      <c r="C300" s="160" t="s">
        <v>310</v>
      </c>
    </row>
    <row r="301" spans="2:3" x14ac:dyDescent="0.2">
      <c r="B301" s="159" t="s">
        <v>593</v>
      </c>
      <c r="C301" s="162" t="s">
        <v>431</v>
      </c>
    </row>
    <row r="302" spans="2:3" x14ac:dyDescent="0.2">
      <c r="B302" s="159" t="s">
        <v>594</v>
      </c>
      <c r="C302" s="160" t="s">
        <v>412</v>
      </c>
    </row>
    <row r="303" spans="2:3" x14ac:dyDescent="0.2">
      <c r="B303" s="159" t="s">
        <v>595</v>
      </c>
      <c r="C303" s="160" t="s">
        <v>388</v>
      </c>
    </row>
    <row r="304" spans="2:3" x14ac:dyDescent="0.2">
      <c r="B304" s="34" t="s">
        <v>316</v>
      </c>
      <c r="C304" s="34" t="s">
        <v>319</v>
      </c>
    </row>
    <row r="305" spans="2:3" x14ac:dyDescent="0.2">
      <c r="B305" s="34" t="s">
        <v>404</v>
      </c>
      <c r="C305" s="34" t="s">
        <v>406</v>
      </c>
    </row>
    <row r="306" spans="2:3" x14ac:dyDescent="0.2">
      <c r="B306" s="159" t="s">
        <v>596</v>
      </c>
      <c r="C306" s="160" t="s">
        <v>396</v>
      </c>
    </row>
    <row r="307" spans="2:3" x14ac:dyDescent="0.2">
      <c r="B307" s="159" t="s">
        <v>597</v>
      </c>
      <c r="C307" s="160" t="s">
        <v>400</v>
      </c>
    </row>
    <row r="308" spans="2:3" x14ac:dyDescent="0.2">
      <c r="B308" s="159" t="s">
        <v>598</v>
      </c>
      <c r="C308" s="160" t="s">
        <v>420</v>
      </c>
    </row>
    <row r="309" spans="2:3" x14ac:dyDescent="0.2">
      <c r="B309" s="34" t="s">
        <v>348</v>
      </c>
      <c r="C309" s="34" t="s">
        <v>351</v>
      </c>
    </row>
    <row r="310" spans="2:3" x14ac:dyDescent="0.2">
      <c r="B310" s="34" t="s">
        <v>386</v>
      </c>
      <c r="C310" s="34" t="s">
        <v>389</v>
      </c>
    </row>
    <row r="311" spans="2:3" x14ac:dyDescent="0.2">
      <c r="B311" s="159" t="s">
        <v>599</v>
      </c>
      <c r="C311" s="160" t="s">
        <v>416</v>
      </c>
    </row>
    <row r="312" spans="2:3" x14ac:dyDescent="0.2">
      <c r="B312" s="159" t="s">
        <v>600</v>
      </c>
      <c r="C312" s="160" t="s">
        <v>427</v>
      </c>
    </row>
    <row r="314" spans="2:3" x14ac:dyDescent="0.2">
      <c r="B314" s="223" t="s">
        <v>669</v>
      </c>
      <c r="C314" s="223" t="s">
        <v>667</v>
      </c>
    </row>
    <row r="315" spans="2:3" x14ac:dyDescent="0.2">
      <c r="B315" s="223" t="s">
        <v>670</v>
      </c>
      <c r="C315" s="223" t="s">
        <v>668</v>
      </c>
    </row>
    <row r="316" spans="2:3" x14ac:dyDescent="0.2">
      <c r="B316" s="223" t="s">
        <v>671</v>
      </c>
      <c r="C316" s="223" t="s">
        <v>666</v>
      </c>
    </row>
  </sheetData>
  <autoFilter ref="B1:G307" xr:uid="{00000000-0009-0000-0000-000001000000}"/>
  <sortState xmlns:xlrd2="http://schemas.microsoft.com/office/spreadsheetml/2017/richdata2" ref="B263:C311">
    <sortCondition ref="B263:B311"/>
    <sortCondition ref="C263:C311"/>
  </sortState>
  <conditionalFormatting sqref="B284">
    <cfRule type="expression" dxfId="1" priority="3">
      <formula xml:space="preserve"> B284 = " "</formula>
    </cfRule>
  </conditionalFormatting>
  <conditionalFormatting sqref="B304">
    <cfRule type="expression" dxfId="0" priority="1">
      <formula xml:space="preserve"> B304 = " 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G30"/>
  <sheetViews>
    <sheetView workbookViewId="0">
      <selection activeCell="C31" sqref="C31"/>
    </sheetView>
  </sheetViews>
  <sheetFormatPr baseColWidth="10" defaultColWidth="11" defaultRowHeight="16" x14ac:dyDescent="0.2"/>
  <sheetData>
    <row r="3" spans="2:3" x14ac:dyDescent="0.2">
      <c r="B3" s="19">
        <v>44925</v>
      </c>
      <c r="C3" s="20" t="s">
        <v>601</v>
      </c>
    </row>
    <row r="4" spans="2:3" x14ac:dyDescent="0.2">
      <c r="B4" s="20"/>
      <c r="C4" s="20" t="s">
        <v>602</v>
      </c>
    </row>
    <row r="8" spans="2:3" x14ac:dyDescent="0.2">
      <c r="B8" s="23">
        <v>44795</v>
      </c>
      <c r="C8" t="s">
        <v>603</v>
      </c>
    </row>
    <row r="9" spans="2:3" x14ac:dyDescent="0.2">
      <c r="C9" t="s">
        <v>604</v>
      </c>
    </row>
    <row r="10" spans="2:3" x14ac:dyDescent="0.2">
      <c r="C10" t="s">
        <v>605</v>
      </c>
    </row>
    <row r="12" spans="2:3" x14ac:dyDescent="0.2">
      <c r="B12" s="74">
        <v>45170</v>
      </c>
      <c r="C12" t="s">
        <v>606</v>
      </c>
    </row>
    <row r="13" spans="2:3" x14ac:dyDescent="0.2">
      <c r="B13" t="s">
        <v>562</v>
      </c>
      <c r="C13" t="s">
        <v>607</v>
      </c>
    </row>
    <row r="14" spans="2:3" x14ac:dyDescent="0.2">
      <c r="B14" t="s">
        <v>562</v>
      </c>
      <c r="C14" t="s">
        <v>608</v>
      </c>
    </row>
    <row r="15" spans="2:3" x14ac:dyDescent="0.2">
      <c r="B15" t="s">
        <v>562</v>
      </c>
      <c r="C15" t="s">
        <v>609</v>
      </c>
    </row>
    <row r="16" spans="2:3" x14ac:dyDescent="0.2">
      <c r="B16" t="s">
        <v>610</v>
      </c>
      <c r="C16" t="s">
        <v>611</v>
      </c>
    </row>
    <row r="18" spans="2:7" x14ac:dyDescent="0.2">
      <c r="B18" t="s">
        <v>562</v>
      </c>
      <c r="C18" t="s">
        <v>612</v>
      </c>
    </row>
    <row r="19" spans="2:7" x14ac:dyDescent="0.2">
      <c r="B19" t="s">
        <v>562</v>
      </c>
      <c r="C19" t="s">
        <v>613</v>
      </c>
    </row>
    <row r="21" spans="2:7" x14ac:dyDescent="0.2">
      <c r="B21" t="s">
        <v>562</v>
      </c>
      <c r="C21" t="s">
        <v>614</v>
      </c>
    </row>
    <row r="22" spans="2:7" x14ac:dyDescent="0.2">
      <c r="B22" t="s">
        <v>562</v>
      </c>
      <c r="C22" s="76" t="str">
        <f>MAIN!AJ198</f>
        <v xml:space="preserve"> </v>
      </c>
      <c r="D22" t="s">
        <v>615</v>
      </c>
      <c r="G22" s="76" t="str">
        <f>MAIN!AT198</f>
        <v>ITM_NULL</v>
      </c>
    </row>
    <row r="23" spans="2:7" x14ac:dyDescent="0.2">
      <c r="B23" t="s">
        <v>562</v>
      </c>
      <c r="C23" s="76" t="str">
        <f>MAIN!AI199</f>
        <v>COS</v>
      </c>
    </row>
    <row r="24" spans="2:7" x14ac:dyDescent="0.2">
      <c r="B24" t="s">
        <v>562</v>
      </c>
      <c r="C24" s="76" t="str">
        <f>MAIN!AI200</f>
        <v>TAN</v>
      </c>
    </row>
    <row r="27" spans="2:7" x14ac:dyDescent="0.2">
      <c r="B27" s="98">
        <v>45171</v>
      </c>
      <c r="C27" t="s">
        <v>616</v>
      </c>
    </row>
    <row r="28" spans="2:7" x14ac:dyDescent="0.2">
      <c r="C28" t="s">
        <v>617</v>
      </c>
    </row>
    <row r="29" spans="2:7" x14ac:dyDescent="0.2">
      <c r="C29" t="s">
        <v>618</v>
      </c>
    </row>
    <row r="30" spans="2:7" x14ac:dyDescent="0.2">
      <c r="C30" t="s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MAIN</vt:lpstr>
      <vt:lpstr>Lookups</vt:lpstr>
      <vt:lpstr>Revisions</vt:lpstr>
      <vt:lpstr>items</vt:lpstr>
      <vt:lpstr>keylabelaim</vt:lpstr>
      <vt:lpstr>label</vt:lpstr>
      <vt:lpstr>labelitem</vt:lpstr>
      <vt:lpstr>layout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RJvM</cp:lastModifiedBy>
  <cp:revision/>
  <dcterms:created xsi:type="dcterms:W3CDTF">2022-12-03T10:52:27Z</dcterms:created>
  <dcterms:modified xsi:type="dcterms:W3CDTF">2024-05-01T21:12:39Z</dcterms:modified>
  <cp:category/>
  <cp:contentStatus/>
</cp:coreProperties>
</file>